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\OneDrive\Documents\Excel Projects 2026\"/>
    </mc:Choice>
  </mc:AlternateContent>
  <xr:revisionPtr revIDLastSave="0" documentId="8_{3356045B-F39D-4A29-BF16-0391F90DDED7}" xr6:coauthVersionLast="47" xr6:coauthVersionMax="47" xr10:uidLastSave="{00000000-0000-0000-0000-000000000000}"/>
  <bookViews>
    <workbookView xWindow="-108" yWindow="-108" windowWidth="23256" windowHeight="12456" activeTab="1" xr2:uid="{EB109AE4-E8E9-450B-AAF8-2055FDE2027B}"/>
  </bookViews>
  <sheets>
    <sheet name="Fraud cases by payment method" sheetId="2" r:id="rId1"/>
    <sheet name="luxury_cosmetics_fraud_analysis" sheetId="1" r:id="rId2"/>
  </sheets>
  <definedNames>
    <definedName name="_xlnm._FilterDatabase" localSheetId="1" hidden="1">luxury_cosmetics_fraud_analysis!$A$1:$R$2134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D5" i="2"/>
  <c r="D6" i="2"/>
  <c r="D7" i="2"/>
  <c r="D8" i="2"/>
  <c r="D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U1374" i="1"/>
  <c r="U1650" i="1"/>
  <c r="W1650" i="1" s="1"/>
  <c r="X1650" i="1" s="1"/>
  <c r="U1660" i="1"/>
  <c r="W1660" i="1" s="1"/>
  <c r="X1660" i="1" s="1"/>
  <c r="U2004" i="1"/>
  <c r="W2004" i="1" s="1"/>
  <c r="X2004" i="1" s="1"/>
  <c r="U2064" i="1"/>
  <c r="W2064" i="1" s="1"/>
  <c r="X2064" i="1" s="1"/>
  <c r="U2089" i="1"/>
  <c r="W2089" i="1" s="1"/>
  <c r="X2089" i="1" s="1"/>
  <c r="T1204" i="1"/>
  <c r="T1813" i="1"/>
  <c r="T378" i="1"/>
  <c r="T148" i="1"/>
  <c r="T808" i="1"/>
  <c r="T1393" i="1"/>
  <c r="T1799" i="1"/>
  <c r="T1569" i="1"/>
  <c r="T1601" i="1"/>
  <c r="T833" i="1"/>
  <c r="T120" i="1"/>
  <c r="T2022" i="1"/>
  <c r="T2134" i="1"/>
  <c r="T846" i="1"/>
  <c r="T1533" i="1"/>
  <c r="T254" i="1"/>
  <c r="T1429" i="1"/>
  <c r="T1523" i="1"/>
  <c r="T1560" i="1"/>
  <c r="T1812" i="1"/>
  <c r="T890" i="1"/>
  <c r="T1770" i="1"/>
  <c r="T1221" i="1"/>
  <c r="T1142" i="1"/>
  <c r="T2082" i="1"/>
  <c r="T2099" i="1"/>
  <c r="T1021" i="1"/>
  <c r="T650" i="1"/>
  <c r="T126" i="1"/>
  <c r="T1748" i="1"/>
  <c r="T1904" i="1"/>
  <c r="T2013" i="1"/>
  <c r="T1196" i="1"/>
  <c r="T809" i="1"/>
  <c r="T337" i="1"/>
  <c r="T683" i="1"/>
  <c r="T1699" i="1"/>
  <c r="T1137" i="1"/>
  <c r="T182" i="1"/>
  <c r="T1430" i="1"/>
  <c r="T1062" i="1"/>
  <c r="T84" i="1"/>
  <c r="T560" i="1"/>
  <c r="T533" i="1"/>
  <c r="T1614" i="1"/>
  <c r="T1247" i="1"/>
  <c r="T1942" i="1"/>
  <c r="T839" i="1"/>
  <c r="T1901" i="1"/>
  <c r="T348" i="1"/>
  <c r="T398" i="1"/>
  <c r="T993" i="1"/>
  <c r="T1817" i="1"/>
  <c r="T2071" i="1"/>
  <c r="T435" i="1"/>
  <c r="T847" i="1"/>
  <c r="T614" i="1"/>
  <c r="T1490" i="1"/>
  <c r="T1047" i="1"/>
  <c r="T534" i="1"/>
  <c r="T1133" i="1"/>
  <c r="T845" i="1"/>
  <c r="T454" i="1"/>
  <c r="T1684" i="1"/>
  <c r="T1984" i="1"/>
  <c r="T997" i="1"/>
  <c r="T1992" i="1"/>
  <c r="T493" i="1"/>
  <c r="T597" i="1"/>
  <c r="T252" i="1"/>
  <c r="T776" i="1"/>
  <c r="T1981" i="1"/>
  <c r="T1607" i="1"/>
  <c r="T408" i="1"/>
  <c r="T1774" i="1"/>
  <c r="T647" i="1"/>
  <c r="T471" i="1"/>
  <c r="T1422" i="1"/>
  <c r="T1447" i="1"/>
  <c r="T947" i="1"/>
  <c r="T292" i="1"/>
  <c r="T1668" i="1"/>
  <c r="T127" i="1"/>
  <c r="T850" i="1"/>
  <c r="T16" i="1"/>
  <c r="T1931" i="1"/>
  <c r="T1854" i="1"/>
  <c r="T368" i="1"/>
  <c r="T283" i="1"/>
  <c r="T1175" i="1"/>
  <c r="T608" i="1"/>
  <c r="T278" i="1"/>
  <c r="T2035" i="1"/>
  <c r="T909" i="1"/>
  <c r="T307" i="1"/>
  <c r="T1290" i="1"/>
  <c r="T1494" i="1"/>
  <c r="T437" i="1"/>
  <c r="T1409" i="1"/>
  <c r="T2127" i="1"/>
  <c r="T81" i="1"/>
  <c r="T870" i="1"/>
  <c r="T387" i="1"/>
  <c r="T373" i="1"/>
  <c r="T1983" i="1"/>
  <c r="T1765" i="1"/>
  <c r="T1472" i="1"/>
  <c r="T1452" i="1"/>
  <c r="T737" i="1"/>
  <c r="T810" i="1"/>
  <c r="T1075" i="1"/>
  <c r="T1692" i="1"/>
  <c r="T1319" i="1"/>
  <c r="T976" i="1"/>
  <c r="T1118" i="1"/>
  <c r="T1852" i="1"/>
  <c r="T752" i="1"/>
  <c r="T1958" i="1"/>
  <c r="T1330" i="1"/>
  <c r="T615" i="1"/>
  <c r="T2083" i="1"/>
  <c r="T921" i="1"/>
  <c r="T1414" i="1"/>
  <c r="T2117" i="1"/>
  <c r="T1727" i="1"/>
  <c r="T128" i="1"/>
  <c r="T1019" i="1"/>
  <c r="T7" i="1"/>
  <c r="T1011" i="1"/>
  <c r="T974" i="1"/>
  <c r="T1306" i="1"/>
  <c r="T1475" i="1"/>
  <c r="T1619" i="1"/>
  <c r="T1394" i="1"/>
  <c r="T1146" i="1"/>
  <c r="T1724" i="1"/>
  <c r="T1661" i="1"/>
  <c r="T1555" i="1"/>
  <c r="T1166" i="1"/>
  <c r="T745" i="1"/>
  <c r="T305" i="1"/>
  <c r="T1526" i="1"/>
  <c r="T1742" i="1"/>
  <c r="T1328" i="1"/>
  <c r="T213" i="1"/>
  <c r="T2115" i="1"/>
  <c r="T692" i="1"/>
  <c r="T1103" i="1"/>
  <c r="T1783" i="1"/>
  <c r="T1450" i="1"/>
  <c r="T1660" i="1"/>
  <c r="T262" i="1"/>
  <c r="T1093" i="1"/>
  <c r="T935" i="1"/>
  <c r="T866" i="1"/>
  <c r="T775" i="1"/>
  <c r="T1072" i="1"/>
  <c r="T2095" i="1"/>
  <c r="T1413" i="1"/>
  <c r="T1741" i="1"/>
  <c r="T686" i="1"/>
  <c r="T2003" i="1"/>
  <c r="T934" i="1"/>
  <c r="T1693" i="1"/>
  <c r="T113" i="1"/>
  <c r="T1410" i="1"/>
  <c r="T1436" i="1"/>
  <c r="T162" i="1"/>
  <c r="T1242" i="1"/>
  <c r="T73" i="1"/>
  <c r="T2074" i="1"/>
  <c r="T1482" i="1"/>
  <c r="T721" i="1"/>
  <c r="T224" i="1"/>
  <c r="T1593" i="1"/>
  <c r="T149" i="1"/>
  <c r="T863" i="1"/>
  <c r="T424" i="1"/>
  <c r="T1291" i="1"/>
  <c r="T1689" i="1"/>
  <c r="T181" i="1"/>
  <c r="T142" i="1"/>
  <c r="T1065" i="1"/>
  <c r="T2121" i="1"/>
  <c r="T1888" i="1"/>
  <c r="T911" i="1"/>
  <c r="T2078" i="1"/>
  <c r="T1292" i="1"/>
  <c r="T1491" i="1"/>
  <c r="T607" i="1"/>
  <c r="T2005" i="1"/>
  <c r="T1087" i="1"/>
  <c r="T897" i="1"/>
  <c r="T823" i="1"/>
  <c r="T1265" i="1"/>
  <c r="T1487" i="1"/>
  <c r="T684" i="1"/>
  <c r="T319" i="1"/>
  <c r="T658" i="1"/>
  <c r="T144" i="1"/>
  <c r="T601" i="1"/>
  <c r="T497" i="1"/>
  <c r="T1772" i="1"/>
  <c r="T1236" i="1"/>
  <c r="T1090" i="1"/>
  <c r="T1595" i="1"/>
  <c r="T1001" i="1"/>
  <c r="T1521" i="1"/>
  <c r="T671" i="1"/>
  <c r="T1111" i="1"/>
  <c r="T1147" i="1"/>
  <c r="T31" i="1"/>
  <c r="T1302" i="1"/>
  <c r="T1355" i="1"/>
  <c r="T1456" i="1"/>
  <c r="T212" i="1"/>
  <c r="T1067" i="1"/>
  <c r="T848" i="1"/>
  <c r="T1744" i="1"/>
  <c r="T979" i="1"/>
  <c r="T1547" i="1"/>
  <c r="T572" i="1"/>
  <c r="T359" i="1"/>
  <c r="T606" i="1"/>
  <c r="T574" i="1"/>
  <c r="T1037" i="1"/>
  <c r="T611" i="1"/>
  <c r="T1230" i="1"/>
  <c r="T748" i="1"/>
  <c r="T1587" i="1"/>
  <c r="T1971" i="1"/>
  <c r="T1249" i="1"/>
  <c r="T1138" i="1"/>
  <c r="T1594" i="1"/>
  <c r="T578" i="1"/>
  <c r="T1957" i="1"/>
  <c r="T1671" i="1"/>
  <c r="T530" i="1"/>
  <c r="T1192" i="1"/>
  <c r="T629" i="1"/>
  <c r="T927" i="1"/>
  <c r="T105" i="1"/>
  <c r="T853" i="1"/>
  <c r="T2105" i="1"/>
  <c r="T1372" i="1"/>
  <c r="T1814" i="1"/>
  <c r="T158" i="1"/>
  <c r="T1900" i="1"/>
  <c r="T1309" i="1"/>
  <c r="T1656" i="1"/>
  <c r="T322" i="1"/>
  <c r="T1477" i="1"/>
  <c r="T17" i="1"/>
  <c r="T2042" i="1"/>
  <c r="T1847" i="1"/>
  <c r="T1665" i="1"/>
  <c r="T404" i="1"/>
  <c r="T261" i="1"/>
  <c r="T1964" i="1"/>
  <c r="T2057" i="1"/>
  <c r="T536" i="1"/>
  <c r="T1830" i="1"/>
  <c r="T1831" i="1"/>
  <c r="T2081" i="1"/>
  <c r="T2016" i="1"/>
  <c r="T1574" i="1"/>
  <c r="T1986" i="1"/>
  <c r="T1344" i="1"/>
  <c r="T358" i="1"/>
  <c r="T1433" i="1"/>
  <c r="T577" i="1"/>
  <c r="T1924" i="1"/>
  <c r="T736" i="1"/>
  <c r="T1465" i="1"/>
  <c r="T527" i="1"/>
  <c r="T1824" i="1"/>
  <c r="T204" i="1"/>
  <c r="T1633" i="1"/>
  <c r="T1370" i="1"/>
  <c r="T106" i="1"/>
  <c r="T900" i="1"/>
  <c r="T1350" i="1"/>
  <c r="T108" i="1"/>
  <c r="T1425" i="1"/>
  <c r="T1920" i="1"/>
  <c r="T9" i="1"/>
  <c r="T1563" i="1"/>
  <c r="T311" i="1"/>
  <c r="T1776" i="1"/>
  <c r="T569" i="1"/>
  <c r="T1013" i="1"/>
  <c r="T35" i="1"/>
  <c r="T956" i="1"/>
  <c r="T2073" i="1"/>
  <c r="T841" i="1"/>
  <c r="T1809" i="1"/>
  <c r="T432" i="1"/>
  <c r="T302" i="1"/>
  <c r="T1092" i="1"/>
  <c r="T464" i="1"/>
  <c r="T1810" i="1"/>
  <c r="T1081" i="1"/>
  <c r="T1298" i="1"/>
  <c r="T837" i="1"/>
  <c r="T2031" i="1"/>
  <c r="T525" i="1"/>
  <c r="T1950" i="1"/>
  <c r="T741" i="1"/>
  <c r="T2093" i="1"/>
  <c r="T360" i="1"/>
  <c r="T1757" i="1"/>
  <c r="T1033" i="1"/>
  <c r="T1579" i="1"/>
  <c r="T590" i="1"/>
  <c r="T1448" i="1"/>
  <c r="T583" i="1"/>
  <c r="T1532" i="1"/>
  <c r="T522" i="1"/>
  <c r="T2064" i="1"/>
  <c r="T1534" i="1"/>
  <c r="T1063" i="1"/>
  <c r="T2029" i="1"/>
  <c r="T1738" i="1"/>
  <c r="T140" i="1"/>
  <c r="T40" i="1"/>
  <c r="T549" i="1"/>
  <c r="T1615" i="1"/>
  <c r="T1584" i="1"/>
  <c r="T758" i="1"/>
  <c r="T1871" i="1"/>
  <c r="T114" i="1"/>
  <c r="T1663" i="1"/>
  <c r="T2" i="1"/>
  <c r="T1071" i="1"/>
  <c r="T486" i="1"/>
  <c r="T2130" i="1"/>
  <c r="T234" i="1"/>
  <c r="T1559" i="1"/>
  <c r="T715" i="1"/>
  <c r="T413" i="1"/>
  <c r="T1779" i="1"/>
  <c r="T1180" i="1"/>
  <c r="T1077" i="1"/>
  <c r="T1468" i="1"/>
  <c r="T1094" i="1"/>
  <c r="T1461" i="1"/>
  <c r="T1360" i="1"/>
  <c r="T712" i="1"/>
  <c r="T797" i="1"/>
  <c r="T1644" i="1"/>
  <c r="T206" i="1"/>
  <c r="T288" i="1"/>
  <c r="T1048" i="1"/>
  <c r="T1203" i="1"/>
  <c r="T1333" i="1"/>
  <c r="T620" i="1"/>
  <c r="T706" i="1"/>
  <c r="T1718" i="1"/>
  <c r="T707" i="1"/>
  <c r="T1612" i="1"/>
  <c r="T2091" i="1"/>
  <c r="T644" i="1"/>
  <c r="T765" i="1"/>
  <c r="T1254" i="1"/>
  <c r="T1008" i="1"/>
  <c r="T116" i="1"/>
  <c r="T858" i="1"/>
  <c r="T739" i="1"/>
  <c r="T1989" i="1"/>
  <c r="T1775" i="1"/>
  <c r="T1497" i="1"/>
  <c r="T983" i="1"/>
  <c r="T475" i="1"/>
  <c r="T1449" i="1"/>
  <c r="T1365" i="1"/>
  <c r="T1596" i="1"/>
  <c r="T1602" i="1"/>
  <c r="T112" i="1"/>
  <c r="T785" i="1"/>
  <c r="T1793" i="1"/>
  <c r="T591" i="1"/>
  <c r="T592" i="1"/>
  <c r="T720" i="1"/>
  <c r="T1827" i="1"/>
  <c r="T1259" i="1"/>
  <c r="T1892" i="1"/>
  <c r="T392" i="1"/>
  <c r="T742" i="1"/>
  <c r="T1051" i="1"/>
  <c r="T1396" i="1"/>
  <c r="T1740" i="1"/>
  <c r="T1895" i="1"/>
  <c r="T54" i="1"/>
  <c r="T1711" i="1"/>
  <c r="T1997" i="1"/>
  <c r="T76" i="1"/>
  <c r="T963" i="1"/>
  <c r="T436" i="1"/>
  <c r="T2033" i="1"/>
  <c r="T929" i="1"/>
  <c r="T1289" i="1"/>
  <c r="T484" i="1"/>
  <c r="T2043" i="1"/>
  <c r="T1278" i="1"/>
  <c r="T429" i="1"/>
  <c r="T1015" i="1"/>
  <c r="T960" i="1"/>
  <c r="T1916" i="1"/>
  <c r="T1832" i="1"/>
  <c r="T695" i="1"/>
  <c r="T700" i="1"/>
  <c r="T39" i="1"/>
  <c r="T613" i="1"/>
  <c r="T1080" i="1"/>
  <c r="T299" i="1"/>
  <c r="T1898" i="1"/>
  <c r="T1165" i="1"/>
  <c r="T1527" i="1"/>
  <c r="T1897" i="1"/>
  <c r="T498" i="1"/>
  <c r="T1041" i="1"/>
  <c r="T949" i="1"/>
  <c r="T1252" i="1"/>
  <c r="T1145" i="1"/>
  <c r="T1877" i="1"/>
  <c r="T704" i="1"/>
  <c r="T1205" i="1"/>
  <c r="T391" i="1"/>
  <c r="T1717" i="1"/>
  <c r="T1705" i="1"/>
  <c r="T759" i="1"/>
  <c r="T325" i="1"/>
  <c r="T1108" i="1"/>
  <c r="T579" i="1"/>
  <c r="T3" i="1"/>
  <c r="T20" i="1"/>
  <c r="T538" i="1"/>
  <c r="T551" i="1"/>
  <c r="T1623" i="1"/>
  <c r="T356" i="1"/>
  <c r="T1267" i="1"/>
  <c r="T75" i="1"/>
  <c r="T1946" i="1"/>
  <c r="T1197" i="1"/>
  <c r="T952" i="1"/>
  <c r="T1266" i="1"/>
  <c r="T1694" i="1"/>
  <c r="T869" i="1"/>
  <c r="T515" i="1"/>
  <c r="T764" i="1"/>
  <c r="T1643" i="1"/>
  <c r="T568" i="1"/>
  <c r="T1590" i="1"/>
  <c r="T1755" i="1"/>
  <c r="T662" i="1"/>
  <c r="T331" i="1"/>
  <c r="T1095" i="1"/>
  <c r="T998" i="1"/>
  <c r="T1492" i="1"/>
  <c r="T1076" i="1"/>
  <c r="T1834" i="1"/>
  <c r="T94" i="1"/>
  <c r="T426" i="1"/>
  <c r="T714" i="1"/>
  <c r="T986" i="1"/>
  <c r="T445" i="1"/>
  <c r="T1074" i="1"/>
  <c r="T1501" i="1"/>
  <c r="T1785" i="1"/>
  <c r="T755" i="1"/>
  <c r="T150" i="1"/>
  <c r="T1801" i="1"/>
  <c r="T1746" i="1"/>
  <c r="T1201" i="1"/>
  <c r="T411" i="1"/>
  <c r="T1515" i="1"/>
  <c r="T1604" i="1"/>
  <c r="T819" i="1"/>
  <c r="T991" i="1"/>
  <c r="T1995" i="1"/>
  <c r="T1945" i="1"/>
  <c r="T769" i="1"/>
  <c r="T1127" i="1"/>
  <c r="T46" i="1"/>
  <c r="T690" i="1"/>
  <c r="T2114" i="1"/>
  <c r="T1096" i="1"/>
  <c r="T1248" i="1"/>
  <c r="T1893" i="1"/>
  <c r="T164" i="1"/>
  <c r="T416" i="1"/>
  <c r="T1648" i="1"/>
  <c r="T1598" i="1"/>
  <c r="T2059" i="1"/>
  <c r="T1510" i="1"/>
  <c r="T884" i="1"/>
  <c r="T1233" i="1"/>
  <c r="T55" i="1"/>
  <c r="T2004" i="1"/>
  <c r="T872" i="1"/>
  <c r="T298" i="1"/>
  <c r="T1097" i="1"/>
  <c r="T2128" i="1"/>
  <c r="T1632" i="1"/>
  <c r="T1442" i="1"/>
  <c r="T64" i="1"/>
  <c r="T179" i="1"/>
  <c r="T109" i="1"/>
  <c r="T372" i="1"/>
  <c r="T1374" i="1"/>
  <c r="T189" i="1"/>
  <c r="T34" i="1"/>
  <c r="T1378" i="1"/>
  <c r="T1583" i="1"/>
  <c r="T966" i="1"/>
  <c r="T1736" i="1"/>
  <c r="T2056" i="1"/>
  <c r="T118" i="1"/>
  <c r="T156" i="1"/>
  <c r="T1780" i="1"/>
  <c r="T1260" i="1"/>
  <c r="T361" i="1"/>
  <c r="T732" i="1"/>
  <c r="T1297" i="1"/>
  <c r="T539" i="1"/>
  <c r="T207" i="1"/>
  <c r="T155" i="1"/>
  <c r="T1329" i="1"/>
  <c r="T1760" i="1"/>
  <c r="T178" i="1"/>
  <c r="T1926" i="1"/>
  <c r="T594" i="1"/>
  <c r="T1819" i="1"/>
  <c r="T1307" i="1"/>
  <c r="T1251" i="1"/>
  <c r="T1788" i="1"/>
  <c r="T165" i="1"/>
  <c r="T2129" i="1"/>
  <c r="T216" i="1"/>
  <c r="T249" i="1"/>
  <c r="T1463" i="1"/>
  <c r="T633" i="1"/>
  <c r="T1608" i="1"/>
  <c r="T509" i="1"/>
  <c r="T939" i="1"/>
  <c r="T1499" i="1"/>
  <c r="T1285" i="1"/>
  <c r="T665" i="1"/>
  <c r="T188" i="1"/>
  <c r="T1836" i="1"/>
  <c r="T916" i="1"/>
  <c r="T1606" i="1"/>
  <c r="T423" i="1"/>
  <c r="T1968" i="1"/>
  <c r="T667" i="1"/>
  <c r="T1756" i="1"/>
  <c r="T855" i="1"/>
  <c r="T350" i="1"/>
  <c r="T517" i="1"/>
  <c r="T520" i="1"/>
  <c r="T1029" i="1"/>
  <c r="T225" i="1"/>
  <c r="T878" i="1"/>
  <c r="T169" i="1"/>
  <c r="T968" i="1"/>
  <c r="T1054" i="1"/>
  <c r="T1673" i="1"/>
  <c r="T973" i="1"/>
  <c r="T1818" i="1"/>
  <c r="T272" i="1"/>
  <c r="T696" i="1"/>
  <c r="T12" i="1"/>
  <c r="T1928" i="1"/>
  <c r="T1638" i="1"/>
  <c r="T265" i="1"/>
  <c r="T1296" i="1"/>
  <c r="T1124" i="1"/>
  <c r="T294" i="1"/>
  <c r="T1017" i="1"/>
  <c r="T1720" i="1"/>
  <c r="T221" i="1"/>
  <c r="T2062" i="1"/>
  <c r="T211" i="1"/>
  <c r="T2015" i="1"/>
  <c r="T722" i="1"/>
  <c r="T1963" i="1"/>
  <c r="T625" i="1"/>
  <c r="T2053" i="1"/>
  <c r="T333" i="1"/>
  <c r="T1125" i="1"/>
  <c r="T1925" i="1"/>
  <c r="T623" i="1"/>
  <c r="T1086" i="1"/>
  <c r="T1725" i="1"/>
  <c r="T2103" i="1"/>
  <c r="T1237" i="1"/>
  <c r="T1937" i="1"/>
  <c r="T1922" i="1"/>
  <c r="T1564" i="1"/>
  <c r="T799" i="1"/>
  <c r="T999" i="1"/>
  <c r="T1974" i="1"/>
  <c r="T56" i="1"/>
  <c r="T237" i="1"/>
  <c r="T1586" i="1"/>
  <c r="T1859" i="1"/>
  <c r="T125" i="1"/>
  <c r="T1140" i="1"/>
  <c r="T1471" i="1"/>
  <c r="T1083" i="1"/>
  <c r="T481" i="1"/>
  <c r="T1769" i="1"/>
  <c r="T492" i="1"/>
  <c r="T528" i="1"/>
  <c r="T984" i="1"/>
  <c r="T281" i="1"/>
  <c r="T1833" i="1"/>
  <c r="T857" i="1"/>
  <c r="T1164" i="1"/>
  <c r="T1231" i="1"/>
  <c r="T1610" i="1"/>
  <c r="T1341" i="1"/>
  <c r="T1891" i="1"/>
  <c r="T1618" i="1"/>
  <c r="T1554" i="1"/>
  <c r="T595" i="1"/>
  <c r="T2021" i="1"/>
  <c r="T749" i="1"/>
  <c r="T1676" i="1"/>
  <c r="T1944" i="1"/>
  <c r="T1498" i="1"/>
  <c r="T1666" i="1"/>
  <c r="T957" i="1"/>
  <c r="T1364" i="1"/>
  <c r="T65" i="1"/>
  <c r="T71" i="1"/>
  <c r="T1179" i="1"/>
  <c r="T441" i="1"/>
  <c r="T2108" i="1"/>
  <c r="T964" i="1"/>
  <c r="T542" i="1"/>
  <c r="T1680" i="1"/>
  <c r="T1993" i="1"/>
  <c r="T1794" i="1"/>
  <c r="T1183" i="1"/>
  <c r="T1053" i="1"/>
  <c r="T1322" i="1"/>
  <c r="T1187" i="1"/>
  <c r="T1112" i="1"/>
  <c r="T487" i="1"/>
  <c r="T1896" i="1"/>
  <c r="T488" i="1"/>
  <c r="T669" i="1"/>
  <c r="T545" i="1"/>
  <c r="T561" i="1"/>
  <c r="T1110" i="1"/>
  <c r="T1691" i="1"/>
  <c r="T990" i="1"/>
  <c r="T87" i="1"/>
  <c r="T876" i="1"/>
  <c r="T2112" i="1"/>
  <c r="T1998" i="1"/>
  <c r="T14" i="1"/>
  <c r="T1961" i="1"/>
  <c r="T2027" i="1"/>
  <c r="T1371" i="1"/>
  <c r="T53" i="1"/>
  <c r="T1455" i="1"/>
  <c r="T1257" i="1"/>
  <c r="T790" i="1"/>
  <c r="T2076" i="1"/>
  <c r="T205" i="1"/>
  <c r="T1022" i="1"/>
  <c r="T1121" i="1"/>
  <c r="T293" i="1"/>
  <c r="T101" i="1"/>
  <c r="T1226" i="1"/>
  <c r="T1763" i="1"/>
  <c r="T395" i="1"/>
  <c r="T1273" i="1"/>
  <c r="T137" i="1"/>
  <c r="T107" i="1"/>
  <c r="T1882" i="1"/>
  <c r="T92" i="1"/>
  <c r="T1345" i="1"/>
  <c r="T757" i="1"/>
  <c r="T2050" i="1"/>
  <c r="T232" i="1"/>
  <c r="T771" i="1"/>
  <c r="T767" i="1"/>
  <c r="T196" i="1"/>
  <c r="T1049" i="1"/>
  <c r="T1255" i="1"/>
  <c r="T280" i="1"/>
  <c r="T544" i="1"/>
  <c r="T110" i="1"/>
  <c r="T129" i="1"/>
  <c r="T1317" i="1"/>
  <c r="T1170" i="1"/>
  <c r="T1599" i="1"/>
  <c r="T733" i="1"/>
  <c r="T1352" i="1"/>
  <c r="T457" i="1"/>
  <c r="T1861" i="1"/>
  <c r="T1875" i="1"/>
  <c r="T1706" i="1"/>
  <c r="T1941" i="1"/>
  <c r="T818" i="1"/>
  <c r="T1807" i="1"/>
  <c r="T1787" i="1"/>
  <c r="T2107" i="1"/>
  <c r="T468" i="1"/>
  <c r="T401" i="1"/>
  <c r="T1782" i="1"/>
  <c r="T552" i="1"/>
  <c r="T1202" i="1"/>
  <c r="T1639" i="1"/>
  <c r="T813" i="1"/>
  <c r="T1750" i="1"/>
  <c r="T511" i="1"/>
  <c r="T2024" i="1"/>
  <c r="T82" i="1"/>
  <c r="T1962" i="1"/>
  <c r="T895" i="1"/>
  <c r="T195" i="1"/>
  <c r="T2111" i="1"/>
  <c r="T1064" i="1"/>
  <c r="T1380" i="1"/>
  <c r="T893" i="1"/>
  <c r="T1659" i="1"/>
  <c r="T1987" i="1"/>
  <c r="T804" i="1"/>
  <c r="T1243" i="1"/>
  <c r="T812" i="1"/>
  <c r="T1695" i="1"/>
  <c r="T1403" i="1"/>
  <c r="T937" i="1"/>
  <c r="T868" i="1"/>
  <c r="T1340" i="1"/>
  <c r="T1538" i="1"/>
  <c r="T1549" i="1"/>
  <c r="T1758" i="1"/>
  <c r="T1435" i="1"/>
  <c r="T1712" i="1"/>
  <c r="T792" i="1"/>
  <c r="T923" i="1"/>
  <c r="T1315" i="1"/>
  <c r="T1434" i="1"/>
  <c r="T1640" i="1"/>
  <c r="T992" i="1"/>
  <c r="T168" i="1"/>
  <c r="T675" i="1"/>
  <c r="T537" i="1"/>
  <c r="T354" i="1"/>
  <c r="T1375" i="1"/>
  <c r="T1991" i="1"/>
  <c r="T811" i="1"/>
  <c r="T1732" i="1"/>
  <c r="T924" i="1"/>
  <c r="T553" i="1"/>
  <c r="T461" i="1"/>
  <c r="T1495" i="1"/>
  <c r="T1038" i="1"/>
  <c r="T817" i="1"/>
  <c r="T388" i="1"/>
  <c r="T503" i="1"/>
  <c r="T26" i="1"/>
  <c r="T2119" i="1"/>
  <c r="T1190" i="1"/>
  <c r="T1597" i="1"/>
  <c r="T1865" i="1"/>
  <c r="T180" i="1"/>
  <c r="T5" i="1"/>
  <c r="T1745" i="1"/>
  <c r="T2044" i="1"/>
  <c r="T1545" i="1"/>
  <c r="T351" i="1"/>
  <c r="T1516" i="1"/>
  <c r="T2002" i="1"/>
  <c r="T2012" i="1"/>
  <c r="T1217" i="1"/>
  <c r="T145" i="1"/>
  <c r="T1529" i="1"/>
  <c r="T1218" i="1"/>
  <c r="T1907" i="1"/>
  <c r="T1078" i="1"/>
  <c r="T649" i="1"/>
  <c r="T1556" i="1"/>
  <c r="T1511" i="1"/>
  <c r="T334" i="1"/>
  <c r="T2113" i="1"/>
  <c r="T782" i="1"/>
  <c r="T1299" i="1"/>
  <c r="T1506" i="1"/>
  <c r="T740" i="1"/>
  <c r="T353" i="1"/>
  <c r="T945" i="1"/>
  <c r="T2063" i="1"/>
  <c r="T1139" i="1"/>
  <c r="T1132" i="1"/>
  <c r="T975" i="1"/>
  <c r="T709" i="1"/>
  <c r="T2086" i="1"/>
  <c r="T1059" i="1"/>
  <c r="T877" i="1"/>
  <c r="T1395" i="1"/>
  <c r="T713" i="1"/>
  <c r="T1652" i="1"/>
  <c r="T1462" i="1"/>
  <c r="T74" i="1"/>
  <c r="T1384" i="1"/>
  <c r="T1389" i="1"/>
  <c r="T856" i="1"/>
  <c r="T47" i="1"/>
  <c r="T32" i="1"/>
  <c r="T894" i="1"/>
  <c r="T2133" i="1"/>
  <c r="T198" i="1"/>
  <c r="T920" i="1"/>
  <c r="T1349" i="1"/>
  <c r="T365" i="1"/>
  <c r="T1286" i="1"/>
  <c r="T2052" i="1"/>
  <c r="T384" i="1"/>
  <c r="T972" i="1"/>
  <c r="T1404" i="1"/>
  <c r="T1620" i="1"/>
  <c r="T865" i="1"/>
  <c r="T1701" i="1"/>
  <c r="T1441" i="1"/>
  <c r="T781" i="1"/>
  <c r="T253" i="1"/>
  <c r="T994" i="1"/>
  <c r="T506" i="1"/>
  <c r="T499" i="1"/>
  <c r="T725" i="1"/>
  <c r="T1627" i="1"/>
  <c r="T279" i="1"/>
  <c r="T1194" i="1"/>
  <c r="T2032" i="1"/>
  <c r="T1628" i="1"/>
  <c r="T495" i="1"/>
  <c r="T1973" i="1"/>
  <c r="T1808" i="1"/>
  <c r="T656" i="1"/>
  <c r="T218" i="1"/>
  <c r="T793" i="1"/>
  <c r="T1674" i="1"/>
  <c r="T2009" i="1"/>
  <c r="T830" i="1"/>
  <c r="T2025" i="1"/>
  <c r="T835" i="1"/>
  <c r="T1658" i="1"/>
  <c r="T190" i="1"/>
  <c r="T1105" i="1"/>
  <c r="T1669" i="1"/>
  <c r="T308" i="1"/>
  <c r="T1603" i="1"/>
  <c r="T1480" i="1"/>
  <c r="T355" i="1"/>
  <c r="T1476" i="1"/>
  <c r="T1256" i="1"/>
  <c r="T1385" i="1"/>
  <c r="T1876" i="1"/>
  <c r="T2041" i="1"/>
  <c r="T584" i="1"/>
  <c r="T762" i="1"/>
  <c r="T1535" i="1"/>
  <c r="T1514" i="1"/>
  <c r="T121" i="1"/>
  <c r="T27" i="1"/>
  <c r="T1107" i="1"/>
  <c r="T422" i="1"/>
  <c r="T559" i="1"/>
  <c r="T1507" i="1"/>
  <c r="T2000" i="1"/>
  <c r="T1816" i="1"/>
  <c r="T342" i="1"/>
  <c r="T570" i="1"/>
  <c r="T726" i="1"/>
  <c r="T1837" i="1"/>
  <c r="T774" i="1"/>
  <c r="T483" i="1"/>
  <c r="T295" i="1"/>
  <c r="T2109" i="1"/>
  <c r="T678" i="1"/>
  <c r="T2087" i="1"/>
  <c r="T622" i="1"/>
  <c r="T784" i="1"/>
  <c r="T1805" i="1"/>
  <c r="T494" i="1"/>
  <c r="T1976" i="1"/>
  <c r="T369" i="1"/>
  <c r="T1578" i="1"/>
  <c r="T668" i="1"/>
  <c r="T161" i="1"/>
  <c r="T1400" i="1"/>
  <c r="T1056" i="1"/>
  <c r="T1131" i="1"/>
  <c r="T1790" i="1"/>
  <c r="T873" i="1"/>
  <c r="T543" i="1"/>
  <c r="T170" i="1"/>
  <c r="T312" i="1"/>
  <c r="T1045" i="1"/>
  <c r="T598" i="1"/>
  <c r="T425" i="1"/>
  <c r="T1079" i="1"/>
  <c r="T1879" i="1"/>
  <c r="T1188" i="1"/>
  <c r="T332" i="1"/>
  <c r="T854" i="1"/>
  <c r="T585" i="1"/>
  <c r="T1739" i="1"/>
  <c r="T69" i="1"/>
  <c r="T1270" i="1"/>
  <c r="T744" i="1"/>
  <c r="T2089" i="1"/>
  <c r="T1851" i="1"/>
  <c r="T469" i="1"/>
  <c r="T59" i="1"/>
  <c r="T1453" i="1"/>
  <c r="T2046" i="1"/>
  <c r="T1359" i="1"/>
  <c r="T2096" i="1"/>
  <c r="T1723" i="1"/>
  <c r="T523" i="1"/>
  <c r="T131" i="1"/>
  <c r="T1935" i="1"/>
  <c r="T946" i="1"/>
  <c r="T1605" i="1"/>
  <c r="T1820" i="1"/>
  <c r="T1678" i="1"/>
  <c r="T903" i="1"/>
  <c r="T1985" i="1"/>
  <c r="T1199" i="1"/>
  <c r="T1826" i="1"/>
  <c r="T1551" i="1"/>
  <c r="T1726" i="1"/>
  <c r="T251" i="1"/>
  <c r="T617" i="1"/>
  <c r="T276" i="1"/>
  <c r="T1313" i="1"/>
  <c r="T1466" i="1"/>
  <c r="T1324" i="1"/>
  <c r="T2092" i="1"/>
  <c r="T582" i="1"/>
  <c r="T1382" i="1"/>
  <c r="T1467" i="1"/>
  <c r="T851" i="1"/>
  <c r="T1195" i="1"/>
  <c r="T36" i="1"/>
  <c r="T1366" i="1"/>
  <c r="T832" i="1"/>
  <c r="T1470" i="1"/>
  <c r="T19" i="1"/>
  <c r="T1176" i="1"/>
  <c r="T789" i="1"/>
  <c r="T1853" i="1"/>
  <c r="T565" i="1"/>
  <c r="T1561" i="1"/>
  <c r="T1168" i="1"/>
  <c r="T250" i="1"/>
  <c r="T48" i="1"/>
  <c r="T1223" i="1"/>
  <c r="T352" i="1"/>
  <c r="T2010" i="1"/>
  <c r="T320" i="1"/>
  <c r="T800" i="1"/>
  <c r="T1088" i="1"/>
  <c r="T228" i="1"/>
  <c r="T327" i="1"/>
  <c r="T1509" i="1"/>
  <c r="T447" i="1"/>
  <c r="T1911" i="1"/>
  <c r="T379" i="1"/>
  <c r="T699" i="1"/>
  <c r="T1933" i="1"/>
  <c r="T682" i="1"/>
  <c r="T892" i="1"/>
  <c r="T860" i="1"/>
  <c r="T1520" i="1"/>
  <c r="T1566" i="1"/>
  <c r="T500" i="1"/>
  <c r="T1591" i="1"/>
  <c r="T1174" i="1"/>
  <c r="T654" i="1"/>
  <c r="T1949" i="1"/>
  <c r="T861" i="1"/>
  <c r="T874" i="1"/>
  <c r="T679" i="1"/>
  <c r="T1343" i="1"/>
  <c r="T1167" i="1"/>
  <c r="T1423" i="1"/>
  <c r="T407" i="1"/>
  <c r="T1839" i="1"/>
  <c r="T72" i="1"/>
  <c r="T787" i="1"/>
  <c r="T239" i="1"/>
  <c r="T1220" i="1"/>
  <c r="T1419" i="1"/>
  <c r="T197" i="1"/>
  <c r="T1912" i="1"/>
  <c r="T1874" i="1"/>
  <c r="T1504" i="1"/>
  <c r="T80" i="1"/>
  <c r="T795" i="1"/>
  <c r="T953" i="1"/>
  <c r="T628" i="1"/>
  <c r="T1241" i="1"/>
  <c r="T510" i="1"/>
  <c r="T1301" i="1"/>
  <c r="T370" i="1"/>
  <c r="T1565" i="1"/>
  <c r="T1542" i="1"/>
  <c r="T1016" i="1"/>
  <c r="T1212" i="1"/>
  <c r="T754" i="1"/>
  <c r="T1353" i="1"/>
  <c r="T1647" i="1"/>
  <c r="T1114" i="1"/>
  <c r="T941" i="1"/>
  <c r="T1815" i="1"/>
  <c r="T950" i="1"/>
  <c r="T1454" i="1"/>
  <c r="T1303" i="1"/>
  <c r="T1539" i="1"/>
  <c r="T146" i="1"/>
  <c r="T681" i="1"/>
  <c r="T1577" i="1"/>
  <c r="T763" i="1"/>
  <c r="T318" i="1"/>
  <c r="T1279" i="1"/>
  <c r="T364" i="1"/>
  <c r="T1797" i="1"/>
  <c r="T377" i="1"/>
  <c r="T982" i="1"/>
  <c r="T1670" i="1"/>
  <c r="T1263" i="1"/>
  <c r="T25" i="1"/>
  <c r="T462" i="1"/>
  <c r="T907" i="1"/>
  <c r="T1881" i="1"/>
  <c r="T1239" i="1"/>
  <c r="T1576" i="1"/>
  <c r="T1966" i="1"/>
  <c r="T977" i="1"/>
  <c r="T231" i="1"/>
  <c r="T698" i="1"/>
  <c r="T1622" i="1"/>
  <c r="T910" i="1"/>
  <c r="T124" i="1"/>
  <c r="T589" i="1"/>
  <c r="T666" i="1"/>
  <c r="T58" i="1"/>
  <c r="T431" i="1"/>
  <c r="T1823" i="1"/>
  <c r="T1386" i="1"/>
  <c r="T67" i="1"/>
  <c r="T1085" i="1"/>
  <c r="T1886" i="1"/>
  <c r="T1149" i="1"/>
  <c r="T648" i="1"/>
  <c r="T6" i="1"/>
  <c r="T1440" i="1"/>
  <c r="T1035" i="1"/>
  <c r="T257" i="1"/>
  <c r="T1369" i="1"/>
  <c r="T1889" i="1"/>
  <c r="T111" i="1"/>
  <c r="T1089" i="1"/>
  <c r="T1057" i="1"/>
  <c r="T815" i="1"/>
  <c r="T2126" i="1"/>
  <c r="T147" i="1"/>
  <c r="T1357" i="1"/>
  <c r="T1293" i="1"/>
  <c r="T1759" i="1"/>
  <c r="T1331" i="1"/>
  <c r="T419" i="1"/>
  <c r="T427" i="1"/>
  <c r="T135" i="1"/>
  <c r="T1274" i="1"/>
  <c r="T616" i="1"/>
  <c r="T1050" i="1"/>
  <c r="T418" i="1"/>
  <c r="T609" i="1"/>
  <c r="T1347" i="1"/>
  <c r="T1407" i="1"/>
  <c r="T1613" i="1"/>
  <c r="T906" i="1"/>
  <c r="T70" i="1"/>
  <c r="T1709" i="1"/>
  <c r="T1918" i="1"/>
  <c r="T1867" i="1"/>
  <c r="T465" i="1"/>
  <c r="T1377" i="1"/>
  <c r="T1667" i="1"/>
  <c r="T1373" i="1"/>
  <c r="T761" i="1"/>
  <c r="T967" i="1"/>
  <c r="T540" i="1"/>
  <c r="T1401" i="1"/>
  <c r="T1159" i="1"/>
  <c r="T1906" i="1"/>
  <c r="T1959" i="1"/>
  <c r="T1134" i="1"/>
  <c r="T1496" i="1"/>
  <c r="T834" i="1"/>
  <c r="T2036" i="1"/>
  <c r="T1860" i="1"/>
  <c r="T282" i="1"/>
  <c r="T930" i="1"/>
  <c r="T612" i="1"/>
  <c r="T335" i="1"/>
  <c r="T1130" i="1"/>
  <c r="T504" i="1"/>
  <c r="T1012" i="1"/>
  <c r="T1672" i="1"/>
  <c r="T1405" i="1"/>
  <c r="T1084" i="1"/>
  <c r="T1464" i="1"/>
  <c r="T1411" i="1"/>
  <c r="T1406" i="1"/>
  <c r="T1856" i="1"/>
  <c r="T1939" i="1"/>
  <c r="T2026" i="1"/>
  <c r="T1887" i="1"/>
  <c r="T1392" i="1"/>
  <c r="T864" i="1"/>
  <c r="T1734" i="1"/>
  <c r="T235" i="1"/>
  <c r="T406" i="1"/>
  <c r="T1020" i="1"/>
  <c r="T586" i="1"/>
  <c r="T1348" i="1"/>
  <c r="T2047" i="1"/>
  <c r="T192" i="1"/>
  <c r="T1848" i="1"/>
  <c r="T115" i="1"/>
  <c r="T914" i="1"/>
  <c r="T1484" i="1"/>
  <c r="T1073" i="1"/>
  <c r="T1060" i="1"/>
  <c r="T2079" i="1"/>
  <c r="T1368" i="1"/>
  <c r="T548" i="1"/>
  <c r="T1044" i="1"/>
  <c r="T1629" i="1"/>
  <c r="T1412" i="1"/>
  <c r="T287" i="1"/>
  <c r="T1009" i="1"/>
  <c r="T1002" i="1"/>
  <c r="T77" i="1"/>
  <c r="T1451" i="1"/>
  <c r="T1099" i="1"/>
  <c r="T402" i="1"/>
  <c r="T508" i="1"/>
  <c r="T1567" i="1"/>
  <c r="T1804" i="1"/>
  <c r="T639" i="1"/>
  <c r="T1588" i="1"/>
  <c r="T166" i="1"/>
  <c r="T1843" i="1"/>
  <c r="T1457" i="1"/>
  <c r="T2006" i="1"/>
  <c r="T634" i="1"/>
  <c r="T223" i="1"/>
  <c r="T783" i="1"/>
  <c r="T130" i="1"/>
  <c r="T1845" i="1"/>
  <c r="T1934" i="1"/>
  <c r="T341" i="1"/>
  <c r="T306" i="1"/>
  <c r="T362" i="1"/>
  <c r="T430" i="1"/>
  <c r="T1356" i="1"/>
  <c r="T1679" i="1"/>
  <c r="T152" i="1"/>
  <c r="T1479" i="1"/>
  <c r="T1288" i="1"/>
  <c r="T643" i="1"/>
  <c r="T1518" i="1"/>
  <c r="T389" i="1"/>
  <c r="T1969" i="1"/>
  <c r="T449" i="1"/>
  <c r="T844" i="1"/>
  <c r="T912" i="1"/>
  <c r="T1150" i="1"/>
  <c r="T1543" i="1"/>
  <c r="T1129" i="1"/>
  <c r="T1162" i="1"/>
  <c r="T886" i="1"/>
  <c r="T1537" i="1"/>
  <c r="T1953" i="1"/>
  <c r="T1811" i="1"/>
  <c r="T645" i="1"/>
  <c r="T2080" i="1"/>
  <c r="T304" i="1"/>
  <c r="T655" i="1"/>
  <c r="T490" i="1"/>
  <c r="T347" i="1"/>
  <c r="T1858" i="1"/>
  <c r="T380" i="1"/>
  <c r="T1055" i="1"/>
  <c r="T243" i="1"/>
  <c r="T241" i="1"/>
  <c r="T2075" i="1"/>
  <c r="T1314" i="1"/>
  <c r="T1006" i="1"/>
  <c r="T691" i="1"/>
  <c r="T1528" i="1"/>
  <c r="T1616" i="1"/>
  <c r="T1321" i="1"/>
  <c r="T1061" i="1"/>
  <c r="T103" i="1"/>
  <c r="T502" i="1"/>
  <c r="T1214" i="1"/>
  <c r="T2007" i="1"/>
  <c r="T1768" i="1"/>
  <c r="T1153" i="1"/>
  <c r="T399" i="1"/>
  <c r="T1323" i="1"/>
  <c r="T985" i="1"/>
  <c r="T222" i="1"/>
  <c r="T176" i="1"/>
  <c r="T1683" i="1"/>
  <c r="T2034" i="1"/>
  <c r="T1485" i="1"/>
  <c r="T652" i="1"/>
  <c r="T104" i="1"/>
  <c r="T1954" i="1"/>
  <c r="T2068" i="1"/>
  <c r="T247" i="1"/>
  <c r="T531" i="1"/>
  <c r="T15" i="1"/>
  <c r="T1294" i="1"/>
  <c r="T1244" i="1"/>
  <c r="T1764" i="1"/>
  <c r="T1878" i="1"/>
  <c r="T898" i="1"/>
  <c r="T1354" i="1"/>
  <c r="T1947" i="1"/>
  <c r="T238" i="1"/>
  <c r="T1714" i="1"/>
  <c r="T529" i="1"/>
  <c r="T1536" i="1"/>
  <c r="T400" i="1"/>
  <c r="T1870" i="1"/>
  <c r="T514" i="1"/>
  <c r="T1914" i="1"/>
  <c r="T1171" i="1"/>
  <c r="T563" i="1"/>
  <c r="T1762" i="1"/>
  <c r="T1530" i="1"/>
  <c r="T284" i="1"/>
  <c r="T244" i="1"/>
  <c r="T2030" i="1"/>
  <c r="T1771" i="1"/>
  <c r="T1873" i="1"/>
  <c r="T1747" i="1"/>
  <c r="T49" i="1"/>
  <c r="T958" i="1"/>
  <c r="T1117" i="1"/>
  <c r="T30" i="1"/>
  <c r="T948" i="1"/>
  <c r="T731" i="1"/>
  <c r="T1417" i="1"/>
  <c r="T1318" i="1"/>
  <c r="T862" i="1"/>
  <c r="T1970" i="1"/>
  <c r="T1600" i="1"/>
  <c r="T1715" i="1"/>
  <c r="T2100" i="1"/>
  <c r="T989" i="1"/>
  <c r="T940" i="1"/>
  <c r="T1311" i="1"/>
  <c r="T1562" i="1"/>
  <c r="T746" i="1"/>
  <c r="T1828" i="1"/>
  <c r="T1024" i="1"/>
  <c r="T491" i="1"/>
  <c r="T1778" i="1"/>
  <c r="T519" i="1"/>
  <c r="T505" i="1"/>
  <c r="T1996" i="1"/>
  <c r="T2090" i="1"/>
  <c r="T43" i="1"/>
  <c r="T1721" i="1"/>
  <c r="T381" i="1"/>
  <c r="T936" i="1"/>
  <c r="T1572" i="1"/>
  <c r="T1841" i="1"/>
  <c r="T1069" i="1"/>
  <c r="T1261" i="1"/>
  <c r="T646" i="1"/>
  <c r="T193" i="1"/>
  <c r="T415" i="1"/>
  <c r="T1548" i="1"/>
  <c r="T258" i="1"/>
  <c r="T357" i="1"/>
  <c r="T151" i="1"/>
  <c r="T1148" i="1"/>
  <c r="T489" i="1"/>
  <c r="T871" i="1"/>
  <c r="T1474" i="1"/>
  <c r="T11" i="1"/>
  <c r="T2045" i="1"/>
  <c r="T1781" i="1"/>
  <c r="T219" i="1"/>
  <c r="T1994" i="1"/>
  <c r="T240" i="1"/>
  <c r="T604" i="1"/>
  <c r="T2048" i="1"/>
  <c r="T1215" i="1"/>
  <c r="T518" i="1"/>
  <c r="T888" i="1"/>
  <c r="T134" i="1"/>
  <c r="T277" i="1"/>
  <c r="T1418" i="1"/>
  <c r="T1940" i="1"/>
  <c r="T123" i="1"/>
  <c r="T1031" i="1"/>
  <c r="T1956" i="1"/>
  <c r="T393" i="1"/>
  <c r="T274" i="1"/>
  <c r="T777" i="1"/>
  <c r="T1169" i="1"/>
  <c r="T729" i="1"/>
  <c r="T624" i="1"/>
  <c r="T217" i="1"/>
  <c r="T93" i="1"/>
  <c r="T1034" i="1"/>
  <c r="T433" i="1"/>
  <c r="T68" i="1"/>
  <c r="T1803" i="1"/>
  <c r="T2094" i="1"/>
  <c r="T273" i="1"/>
  <c r="T1719" i="1"/>
  <c r="T2038" i="1"/>
  <c r="T1786" i="1"/>
  <c r="T1310" i="1"/>
  <c r="T1677" i="1"/>
  <c r="T1486" i="1"/>
  <c r="T42" i="1"/>
  <c r="T631" i="1"/>
  <c r="T610" i="1"/>
  <c r="T1921" i="1"/>
  <c r="T567" i="1"/>
  <c r="T554" i="1"/>
  <c r="T734" i="1"/>
  <c r="T1651" i="1"/>
  <c r="T1228" i="1"/>
  <c r="T324" i="1"/>
  <c r="T710" i="1"/>
  <c r="T566" i="1"/>
  <c r="T879" i="1"/>
  <c r="T1163" i="1"/>
  <c r="T507" i="1"/>
  <c r="T1979" i="1"/>
  <c r="T703" i="1"/>
  <c r="T8" i="1"/>
  <c r="T472" i="1"/>
  <c r="T1522" i="1"/>
  <c r="T1540" i="1"/>
  <c r="T718" i="1"/>
  <c r="T209" i="1"/>
  <c r="T902" i="1"/>
  <c r="T1003" i="1"/>
  <c r="T1784" i="1"/>
  <c r="T603" i="1"/>
  <c r="T635" i="1"/>
  <c r="T62" i="1"/>
  <c r="T1500" i="1"/>
  <c r="T513" i="1"/>
  <c r="T1200" i="1"/>
  <c r="T944" i="1"/>
  <c r="T394" i="1"/>
  <c r="T1675" i="1"/>
  <c r="T1397" i="1"/>
  <c r="T479" i="1"/>
  <c r="T918" i="1"/>
  <c r="T1927" i="1"/>
  <c r="T1213" i="1"/>
  <c r="T881" i="1"/>
  <c r="T184" i="1"/>
  <c r="T1733" i="1"/>
  <c r="T414" i="1"/>
  <c r="T1838" i="1"/>
  <c r="T1634" i="1"/>
  <c r="T1630" i="1"/>
  <c r="T264" i="1"/>
  <c r="T1713" i="1"/>
  <c r="T455" i="1"/>
  <c r="T1136" i="1"/>
  <c r="T4" i="1"/>
  <c r="T339" i="1"/>
  <c r="T550" i="1"/>
  <c r="T271" i="1"/>
  <c r="T791" i="1"/>
  <c r="T330" i="1"/>
  <c r="T1581" i="1"/>
  <c r="T1915" i="1"/>
  <c r="T827" i="1"/>
  <c r="T1198" i="1"/>
  <c r="T1219" i="1"/>
  <c r="T1004" i="1"/>
  <c r="T1358" i="1"/>
  <c r="T803" i="1"/>
  <c r="T2065" i="1"/>
  <c r="T51" i="1"/>
  <c r="T157" i="1"/>
  <c r="T139" i="1"/>
  <c r="T1351" i="1"/>
  <c r="T996" i="1"/>
  <c r="T100" i="1"/>
  <c r="T194" i="1"/>
  <c r="T452" i="1"/>
  <c r="T1262" i="1"/>
  <c r="T933" i="1"/>
  <c r="T443" i="1"/>
  <c r="T1550" i="1"/>
  <c r="T802" i="1"/>
  <c r="T367" i="1"/>
  <c r="T619" i="1"/>
  <c r="T1101" i="1"/>
  <c r="T885" i="1"/>
  <c r="T24" i="1"/>
  <c r="T843" i="1"/>
  <c r="T458" i="1"/>
  <c r="T580" i="1"/>
  <c r="T637" i="1"/>
  <c r="T602" i="1"/>
  <c r="T1155" i="1"/>
  <c r="T1106" i="1"/>
  <c r="T1120" i="1"/>
  <c r="T2054" i="1"/>
  <c r="T1636" i="1"/>
  <c r="T1796" i="1"/>
  <c r="T242" i="1"/>
  <c r="T1546" i="1"/>
  <c r="T1821" i="1"/>
  <c r="T1866" i="1"/>
  <c r="T641" i="1"/>
  <c r="T2122" i="1"/>
  <c r="T1109" i="1"/>
  <c r="T1868" i="1"/>
  <c r="T314" i="1"/>
  <c r="T85" i="1"/>
  <c r="T83" i="1"/>
  <c r="T1182" i="1"/>
  <c r="T766" i="1"/>
  <c r="T849" i="1"/>
  <c r="T1379" i="1"/>
  <c r="T1177" i="1"/>
  <c r="T1988" i="1"/>
  <c r="T438" i="1"/>
  <c r="T1637" i="1"/>
  <c r="T1143" i="1"/>
  <c r="T1098" i="1"/>
  <c r="T942" i="1"/>
  <c r="T390" i="1"/>
  <c r="T661" i="1"/>
  <c r="T728" i="1"/>
  <c r="T1005" i="1"/>
  <c r="T1917" i="1"/>
  <c r="T1277" i="1"/>
  <c r="T90" i="1"/>
  <c r="T10" i="1"/>
  <c r="T573" i="1"/>
  <c r="T1653" i="1"/>
  <c r="T1908" i="1"/>
  <c r="T1246" i="1"/>
  <c r="T303" i="1"/>
  <c r="T593" i="1"/>
  <c r="T248" i="1"/>
  <c r="T828" i="1"/>
  <c r="T1840" i="1"/>
  <c r="T1883" i="1"/>
  <c r="T2023" i="1"/>
  <c r="T928" i="1"/>
  <c r="T1631" i="1"/>
  <c r="T562" i="1"/>
  <c r="T673" i="1"/>
  <c r="T1459" i="1"/>
  <c r="T1752" i="1"/>
  <c r="T1905" i="1"/>
  <c r="T556" i="1"/>
  <c r="T1161" i="1"/>
  <c r="T1443" i="1"/>
  <c r="T301" i="1"/>
  <c r="T867" i="1"/>
  <c r="T1026" i="1"/>
  <c r="T541" i="1"/>
  <c r="T396" i="1"/>
  <c r="T674" i="1"/>
  <c r="T1186" i="1"/>
  <c r="T1326" i="1"/>
  <c r="T485" i="1"/>
  <c r="T1028" i="1"/>
  <c r="T632" i="1"/>
  <c r="T227" i="1"/>
  <c r="T173" i="1"/>
  <c r="T1541" i="1"/>
  <c r="T1735" i="1"/>
  <c r="T1580" i="1"/>
  <c r="T526" i="1"/>
  <c r="T1342" i="1"/>
  <c r="T1761" i="1"/>
  <c r="T1913" i="1"/>
  <c r="T1428" i="1"/>
  <c r="T1825" i="1"/>
  <c r="T1791" i="1"/>
  <c r="T680" i="1"/>
  <c r="T2084" i="1"/>
  <c r="T1872" i="1"/>
  <c r="T329" i="1"/>
  <c r="T328" i="1"/>
  <c r="T1424" i="1"/>
  <c r="T1932" i="1"/>
  <c r="T630" i="1"/>
  <c r="T1362" i="1"/>
  <c r="T2028" i="1"/>
  <c r="T1789" i="1"/>
  <c r="T1822" i="1"/>
  <c r="T875" i="1"/>
  <c r="T203" i="1"/>
  <c r="T442" i="1"/>
  <c r="T969" i="1"/>
  <c r="T1232" i="1"/>
  <c r="T821" i="1"/>
  <c r="T1178" i="1"/>
  <c r="T1625" i="1"/>
  <c r="T688" i="1"/>
  <c r="T267" i="1"/>
  <c r="T1339" i="1"/>
  <c r="T336" i="1"/>
  <c r="T1209" i="1"/>
  <c r="T1282" i="1"/>
  <c r="T2069" i="1"/>
  <c r="T653" i="1"/>
  <c r="T410" i="1"/>
  <c r="T727" i="1"/>
  <c r="T1802" i="1"/>
  <c r="T1903" i="1"/>
  <c r="T913" i="1"/>
  <c r="T1280" i="1"/>
  <c r="T1216" i="1"/>
  <c r="T60" i="1"/>
  <c r="T588" i="1"/>
  <c r="T1250" i="1"/>
  <c r="T2088" i="1"/>
  <c r="T2051" i="1"/>
  <c r="T677" i="1"/>
  <c r="T344" i="1"/>
  <c r="T618" i="1"/>
  <c r="T1264" i="1"/>
  <c r="T2061" i="1"/>
  <c r="T61" i="1"/>
  <c r="T28" i="1"/>
  <c r="T962" i="1"/>
  <c r="T1967" i="1"/>
  <c r="T980" i="1"/>
  <c r="T220" i="1"/>
  <c r="T687" i="1"/>
  <c r="T596" i="1"/>
  <c r="T1938" i="1"/>
  <c r="T1894" i="1"/>
  <c r="T1850" i="1"/>
  <c r="T191" i="1"/>
  <c r="T1007" i="1"/>
  <c r="T446" i="1"/>
  <c r="T1880" i="1"/>
  <c r="T153" i="1"/>
  <c r="T383" i="1"/>
  <c r="T1664" i="1"/>
  <c r="T266" i="1"/>
  <c r="T1575" i="1"/>
  <c r="T1704" i="1"/>
  <c r="T1573" i="1"/>
  <c r="T183" i="1"/>
  <c r="T174" i="1"/>
  <c r="T1426" i="1"/>
  <c r="T626" i="1"/>
  <c r="T697" i="1"/>
  <c r="T412" i="1"/>
  <c r="T1512" i="1"/>
  <c r="T1043" i="1"/>
  <c r="T716" i="1"/>
  <c r="T2070" i="1"/>
  <c r="T1334" i="1"/>
  <c r="T651" i="1"/>
  <c r="T1609" i="1"/>
  <c r="T88" i="1"/>
  <c r="T2066" i="1"/>
  <c r="T86" i="1"/>
  <c r="T1681" i="1"/>
  <c r="T2020" i="1"/>
  <c r="T1519" i="1"/>
  <c r="T456" i="1"/>
  <c r="T524" i="1"/>
  <c r="T1698" i="1"/>
  <c r="T1716" i="1"/>
  <c r="T770" i="1"/>
  <c r="T1151" i="1"/>
  <c r="T444" i="1"/>
  <c r="T2077" i="1"/>
  <c r="T838" i="1"/>
  <c r="T571" i="1"/>
  <c r="T13" i="1"/>
  <c r="T689" i="1"/>
  <c r="T1646" i="1"/>
  <c r="T1890" i="1"/>
  <c r="T773" i="1"/>
  <c r="T1014" i="1"/>
  <c r="T202" i="1"/>
  <c r="T581" i="1"/>
  <c r="T1046" i="1"/>
  <c r="T1272" i="1"/>
  <c r="T1268" i="1"/>
  <c r="T1655" i="1"/>
  <c r="T2097" i="1"/>
  <c r="T908" i="1"/>
  <c r="T1688" i="1"/>
  <c r="T1700" i="1"/>
  <c r="T1855" i="1"/>
  <c r="T1729" i="1"/>
  <c r="T2060" i="1"/>
  <c r="T701" i="1"/>
  <c r="T1281" i="1"/>
  <c r="T938" i="1"/>
  <c r="T780" i="1"/>
  <c r="T45" i="1"/>
  <c r="T1977" i="1"/>
  <c r="T1238" i="1"/>
  <c r="T1626" i="1"/>
  <c r="T1104" i="1"/>
  <c r="T167" i="1"/>
  <c r="T587" i="1"/>
  <c r="T730" i="1"/>
  <c r="T1184" i="1"/>
  <c r="T708" i="1"/>
  <c r="T2058" i="1"/>
  <c r="T882" i="1"/>
  <c r="T954" i="1"/>
  <c r="T1388" i="1"/>
  <c r="T1708" i="1"/>
  <c r="T409" i="1"/>
  <c r="T2008" i="1"/>
  <c r="T1972" i="1"/>
  <c r="T1185" i="1"/>
  <c r="T1611" i="1"/>
  <c r="T535" i="1"/>
  <c r="T788" i="1"/>
  <c r="T482" i="1"/>
  <c r="T1437" i="1"/>
  <c r="T546" i="1"/>
  <c r="T289" i="1"/>
  <c r="T1391" i="1"/>
  <c r="T1399" i="1"/>
  <c r="T200" i="1"/>
  <c r="T2017" i="1"/>
  <c r="T1376" i="1"/>
  <c r="T1869" i="1"/>
  <c r="T2067" i="1"/>
  <c r="T1885" i="1"/>
  <c r="T1208" i="1"/>
  <c r="T672" i="1"/>
  <c r="T1524" i="1"/>
  <c r="T315" i="1"/>
  <c r="T1189" i="1"/>
  <c r="T57" i="1"/>
  <c r="T99" i="1"/>
  <c r="T480" i="1"/>
  <c r="T143" i="1"/>
  <c r="T621" i="1"/>
  <c r="T210" i="1"/>
  <c r="T1641" i="1"/>
  <c r="T1390" i="1"/>
  <c r="T521" i="1"/>
  <c r="T1224" i="1"/>
  <c r="T346" i="1"/>
  <c r="T263" i="1"/>
  <c r="T1502" i="1"/>
  <c r="T375" i="1"/>
  <c r="T1798" i="1"/>
  <c r="T1415" i="1"/>
  <c r="T1027" i="1"/>
  <c r="T1654" i="1"/>
  <c r="T896" i="1"/>
  <c r="T899" i="1"/>
  <c r="T1702" i="1"/>
  <c r="T439" i="1"/>
  <c r="T798" i="1"/>
  <c r="T1460" i="1"/>
  <c r="T1645" i="1"/>
  <c r="T260" i="1"/>
  <c r="T349" i="1"/>
  <c r="T1649" i="1"/>
  <c r="T2049" i="1"/>
  <c r="T417" i="1"/>
  <c r="T829" i="1"/>
  <c r="T1909" i="1"/>
  <c r="T880" i="1"/>
  <c r="T1158" i="1"/>
  <c r="T478" i="1"/>
  <c r="T1697" i="1"/>
  <c r="T1157" i="1"/>
  <c r="T1792" i="1"/>
  <c r="T89" i="1"/>
  <c r="T474" i="1"/>
  <c r="T558" i="1"/>
  <c r="T664" i="1"/>
  <c r="T1227" i="1"/>
  <c r="T163" i="1"/>
  <c r="T1960" i="1"/>
  <c r="T420" i="1"/>
  <c r="T1685" i="1"/>
  <c r="T1439" i="1"/>
  <c r="T1023" i="1"/>
  <c r="T467" i="1"/>
  <c r="T340" i="1"/>
  <c r="T887" i="1"/>
  <c r="T1276" i="1"/>
  <c r="T117" i="1"/>
  <c r="T1624" i="1"/>
  <c r="T421" i="1"/>
  <c r="T836" i="1"/>
  <c r="T1332" i="1"/>
  <c r="T2131" i="1"/>
  <c r="T1172" i="1"/>
  <c r="T1544" i="1"/>
  <c r="T1899" i="1"/>
  <c r="T1955" i="1"/>
  <c r="T1387" i="1"/>
  <c r="T831" i="1"/>
  <c r="T345" i="1"/>
  <c r="T1743" i="1"/>
  <c r="T1222" i="1"/>
  <c r="T1305" i="1"/>
  <c r="T1036" i="1"/>
  <c r="T405" i="1"/>
  <c r="T955" i="1"/>
  <c r="T323" i="1"/>
  <c r="T1025" i="1"/>
  <c r="T842" i="1"/>
  <c r="T1191" i="1"/>
  <c r="T376" i="1"/>
  <c r="T160" i="1"/>
  <c r="T778" i="1"/>
  <c r="T385" i="1"/>
  <c r="T1999" i="1"/>
  <c r="T187" i="1"/>
  <c r="T1730" i="1"/>
  <c r="T1592" i="1"/>
  <c r="T2011" i="1"/>
  <c r="T66" i="1"/>
  <c r="T310" i="1"/>
  <c r="T177" i="1"/>
  <c r="T321" i="1"/>
  <c r="T1100" i="1"/>
  <c r="T159" i="1"/>
  <c r="T52" i="1"/>
  <c r="T1058" i="1"/>
  <c r="T1754" i="1"/>
  <c r="T738" i="1"/>
  <c r="T41" i="1"/>
  <c r="T269" i="1"/>
  <c r="T291" i="1"/>
  <c r="T141" i="1"/>
  <c r="T215" i="1"/>
  <c r="T476" i="1"/>
  <c r="T599" i="1"/>
  <c r="T1571" i="1"/>
  <c r="T814" i="1"/>
  <c r="T1018" i="1"/>
  <c r="T290" i="1"/>
  <c r="T1082" i="1"/>
  <c r="T1849" i="1"/>
  <c r="T2124" i="1"/>
  <c r="T693" i="1"/>
  <c r="T961" i="1"/>
  <c r="T1420" i="1"/>
  <c r="T1766" i="1"/>
  <c r="T1122" i="1"/>
  <c r="T1910" i="1"/>
  <c r="T1408" i="1"/>
  <c r="T1327" i="1"/>
  <c r="T1126" i="1"/>
  <c r="T1123" i="1"/>
  <c r="T1589" i="1"/>
  <c r="T313" i="1"/>
  <c r="T1367" i="1"/>
  <c r="T1650" i="1"/>
  <c r="T1753" i="1"/>
  <c r="T1446" i="1"/>
  <c r="T1980" i="1"/>
  <c r="T2055" i="1"/>
  <c r="T840" i="1"/>
  <c r="T820" i="1"/>
  <c r="T1000" i="1"/>
  <c r="T501" i="1"/>
  <c r="T2040" i="1"/>
  <c r="T133" i="1"/>
  <c r="T1919" i="1"/>
  <c r="T702" i="1"/>
  <c r="T1829" i="1"/>
  <c r="T255" i="1"/>
  <c r="T1042" i="1"/>
  <c r="T1943" i="1"/>
  <c r="T824" i="1"/>
  <c r="T2116" i="1"/>
  <c r="T477" i="1"/>
  <c r="T750" i="1"/>
  <c r="T1687" i="1"/>
  <c r="T1337" i="1"/>
  <c r="T2120" i="1"/>
  <c r="T657" i="1"/>
  <c r="T1445" i="1"/>
  <c r="T915" i="1"/>
  <c r="T91" i="1"/>
  <c r="T1503" i="1"/>
  <c r="T21" i="1"/>
  <c r="T796" i="1"/>
  <c r="T1635" i="1"/>
  <c r="T1193" i="1"/>
  <c r="T547" i="1"/>
  <c r="T1173" i="1"/>
  <c r="T1975" i="1"/>
  <c r="T1767" i="1"/>
  <c r="T448" i="1"/>
  <c r="T753" i="1"/>
  <c r="T922" i="1"/>
  <c r="T1773" i="1"/>
  <c r="T343" i="1"/>
  <c r="T78" i="1"/>
  <c r="T2039" i="1"/>
  <c r="T1951" i="1"/>
  <c r="T246" i="1"/>
  <c r="T397" i="1"/>
  <c r="T822" i="1"/>
  <c r="T122" i="1"/>
  <c r="T756" i="1"/>
  <c r="T1682" i="1"/>
  <c r="T576" i="1"/>
  <c r="T760" i="1"/>
  <c r="T29" i="1"/>
  <c r="T1686" i="1"/>
  <c r="T852" i="1"/>
  <c r="T473" i="1"/>
  <c r="T1402" i="1"/>
  <c r="T1325" i="1"/>
  <c r="T236" i="1"/>
  <c r="T1269" i="1"/>
  <c r="T807" i="1"/>
  <c r="T229" i="1"/>
  <c r="T1696" i="1"/>
  <c r="T33" i="1"/>
  <c r="T636" i="1"/>
  <c r="T1070" i="1"/>
  <c r="T1210" i="1"/>
  <c r="T98" i="1"/>
  <c r="T1703" i="1"/>
  <c r="T1469" i="1"/>
  <c r="T1478" i="1"/>
  <c r="T1525" i="1"/>
  <c r="T1115" i="1"/>
  <c r="T22" i="1"/>
  <c r="T233" i="1"/>
  <c r="T1427" i="1"/>
  <c r="T1229" i="1"/>
  <c r="T711" i="1"/>
  <c r="T2098" i="1"/>
  <c r="T386" i="1"/>
  <c r="T256" i="1"/>
  <c r="T300" i="1"/>
  <c r="T1336" i="1"/>
  <c r="T1135" i="1"/>
  <c r="T2110" i="1"/>
  <c r="T1287" i="1"/>
  <c r="T1144" i="1"/>
  <c r="T186" i="1"/>
  <c r="T214" i="1"/>
  <c r="T63" i="1"/>
  <c r="T245" i="1"/>
  <c r="T2118" i="1"/>
  <c r="T772" i="1"/>
  <c r="T1978" i="1"/>
  <c r="T1552" i="1"/>
  <c r="T901" i="1"/>
  <c r="T640" i="1"/>
  <c r="T743" i="1"/>
  <c r="T2019" i="1"/>
  <c r="T1902" i="1"/>
  <c r="T1844" i="1"/>
  <c r="T1930" i="1"/>
  <c r="T1751" i="1"/>
  <c r="T670" i="1"/>
  <c r="T363" i="1"/>
  <c r="T1258" i="1"/>
  <c r="T660" i="1"/>
  <c r="T1710" i="1"/>
  <c r="T44" i="1"/>
  <c r="T1381" i="1"/>
  <c r="T326" i="1"/>
  <c r="T119" i="1"/>
  <c r="T285" i="1"/>
  <c r="T1982" i="1"/>
  <c r="T751" i="1"/>
  <c r="T1863" i="1"/>
  <c r="T2123" i="1"/>
  <c r="T2014" i="1"/>
  <c r="T172" i="1"/>
  <c r="T185" i="1"/>
  <c r="T1657" i="1"/>
  <c r="T965" i="1"/>
  <c r="T95" i="1"/>
  <c r="T1068" i="1"/>
  <c r="T1300" i="1"/>
  <c r="T1091" i="1"/>
  <c r="T453" i="1"/>
  <c r="T1102" i="1"/>
  <c r="T463" i="1"/>
  <c r="T1207" i="1"/>
  <c r="T1617" i="1"/>
  <c r="T1432" i="1"/>
  <c r="T1952" i="1"/>
  <c r="T1066" i="1"/>
  <c r="T1806" i="1"/>
  <c r="T403" i="1"/>
  <c r="T1234" i="1"/>
  <c r="T496" i="1"/>
  <c r="T97" i="1"/>
  <c r="T316" i="1"/>
  <c r="T102" i="1"/>
  <c r="T925" i="1"/>
  <c r="T1777" i="1"/>
  <c r="T138" i="1"/>
  <c r="T275" i="1"/>
  <c r="T286" i="1"/>
  <c r="T659" i="1"/>
  <c r="T806" i="1"/>
  <c r="T2106" i="1"/>
  <c r="T532" i="1"/>
  <c r="T1929" i="1"/>
  <c r="T1585" i="1"/>
  <c r="T959" i="1"/>
  <c r="T1160" i="1"/>
  <c r="T2101" i="1"/>
  <c r="T374" i="1"/>
  <c r="T259" i="1"/>
  <c r="T685" i="1"/>
  <c r="T978" i="1"/>
  <c r="T79" i="1"/>
  <c r="T1864" i="1"/>
  <c r="T555" i="1"/>
  <c r="T1846" i="1"/>
  <c r="T1320" i="1"/>
  <c r="T883" i="1"/>
  <c r="T557" i="1"/>
  <c r="T2125" i="1"/>
  <c r="T1582" i="1"/>
  <c r="T987" i="1"/>
  <c r="T995" i="1"/>
  <c r="T779" i="1"/>
  <c r="T1489" i="1"/>
  <c r="T981" i="1"/>
  <c r="T1728" i="1"/>
  <c r="T1737" i="1"/>
  <c r="T905" i="1"/>
  <c r="T676" i="1"/>
  <c r="T1862" i="1"/>
  <c r="T1857" i="1"/>
  <c r="T931" i="1"/>
  <c r="T1558" i="1"/>
  <c r="T1304" i="1"/>
  <c r="T1284" i="1"/>
  <c r="T1749" i="1"/>
  <c r="T2132" i="1"/>
  <c r="T309" i="1"/>
  <c r="T605" i="1"/>
  <c r="T663" i="1"/>
  <c r="T970" i="1"/>
  <c r="T638" i="1"/>
  <c r="T136" i="1"/>
  <c r="T723" i="1"/>
  <c r="T1570" i="1"/>
  <c r="T917" i="1"/>
  <c r="T1181" i="1"/>
  <c r="T951" i="1"/>
  <c r="T1030" i="1"/>
  <c r="T297" i="1"/>
  <c r="T747" i="1"/>
  <c r="T1731" i="1"/>
  <c r="T1990" i="1"/>
  <c r="T1225" i="1"/>
  <c r="T2104" i="1"/>
  <c r="T1458" i="1"/>
  <c r="T1346" i="1"/>
  <c r="T1335" i="1"/>
  <c r="T38" i="1"/>
  <c r="T1488" i="1"/>
  <c r="T1568" i="1"/>
  <c r="T1842" i="1"/>
  <c r="T1040" i="1"/>
  <c r="T1800" i="1"/>
  <c r="T826" i="1"/>
  <c r="T1795" i="1"/>
  <c r="T904" i="1"/>
  <c r="T371" i="1"/>
  <c r="T2037" i="1"/>
  <c r="T1235" i="1"/>
  <c r="T1141" i="1"/>
  <c r="T451" i="1"/>
  <c r="T1119" i="1"/>
  <c r="T926" i="1"/>
  <c r="T450" i="1"/>
  <c r="T943" i="1"/>
  <c r="T1363" i="1"/>
  <c r="T1936" i="1"/>
  <c r="T575" i="1"/>
  <c r="T270" i="1"/>
  <c r="T50" i="1"/>
  <c r="T154" i="1"/>
  <c r="T434" i="1"/>
  <c r="T768" i="1"/>
  <c r="T470" i="1"/>
  <c r="T1206" i="1"/>
  <c r="T859" i="1"/>
  <c r="T1383" i="1"/>
  <c r="T1431" i="1"/>
  <c r="T512" i="1"/>
  <c r="T1156" i="1"/>
  <c r="T1690" i="1"/>
  <c r="T1707" i="1"/>
  <c r="T296" i="1"/>
  <c r="T694" i="1"/>
  <c r="T971" i="1"/>
  <c r="T1283" i="1"/>
  <c r="T1211" i="1"/>
  <c r="T2001" i="1"/>
  <c r="T1154" i="1"/>
  <c r="T440" i="1"/>
  <c r="T1308" i="1"/>
  <c r="T1312" i="1"/>
  <c r="T2102" i="1"/>
  <c r="T1152" i="1"/>
  <c r="T2072" i="1"/>
  <c r="T919" i="1"/>
  <c r="T1052" i="1"/>
  <c r="T338" i="1"/>
  <c r="T889" i="1"/>
  <c r="T1444" i="1"/>
  <c r="T1032" i="1"/>
  <c r="T642" i="1"/>
  <c r="T1923" i="1"/>
  <c r="T816" i="1"/>
  <c r="T171" i="1"/>
  <c r="T1505" i="1"/>
  <c r="T801" i="1"/>
  <c r="T382" i="1"/>
  <c r="T1039" i="1"/>
  <c r="T600" i="1"/>
  <c r="T1473" i="1"/>
  <c r="T1483" i="1"/>
  <c r="T717" i="1"/>
  <c r="T627" i="1"/>
  <c r="T132" i="1"/>
  <c r="T1662" i="1"/>
  <c r="T1116" i="1"/>
  <c r="T1621" i="1"/>
  <c r="T1948" i="1"/>
  <c r="T1275" i="1"/>
  <c r="T1338" i="1"/>
  <c r="T1557" i="1"/>
  <c r="T1508" i="1"/>
  <c r="T1361" i="1"/>
  <c r="T23" i="1"/>
  <c r="T466" i="1"/>
  <c r="T1965" i="1"/>
  <c r="T268" i="1"/>
  <c r="T794" i="1"/>
  <c r="T226" i="1"/>
  <c r="T1398" i="1"/>
  <c r="T1128" i="1"/>
  <c r="T208" i="1"/>
  <c r="T1553" i="1"/>
  <c r="T175" i="1"/>
  <c r="T366" i="1"/>
  <c r="T37" i="1"/>
  <c r="T1438" i="1"/>
  <c r="T1642" i="1"/>
  <c r="T1421" i="1"/>
  <c r="T96" i="1"/>
  <c r="T1416" i="1"/>
  <c r="T932" i="1"/>
  <c r="T1271" i="1"/>
  <c r="T1295" i="1"/>
  <c r="T1722" i="1"/>
  <c r="T988" i="1"/>
  <c r="T317" i="1"/>
  <c r="T2018" i="1"/>
  <c r="T230" i="1"/>
  <c r="T724" i="1"/>
  <c r="T825" i="1"/>
  <c r="T805" i="1"/>
  <c r="T1513" i="1"/>
  <c r="T1245" i="1"/>
  <c r="T428" i="1"/>
  <c r="T1481" i="1"/>
  <c r="T1113" i="1"/>
  <c r="T2085" i="1"/>
  <c r="T564" i="1"/>
  <c r="T1240" i="1"/>
  <c r="T1010" i="1"/>
  <c r="T1884" i="1"/>
  <c r="T18" i="1"/>
  <c r="T1493" i="1"/>
  <c r="T786" i="1"/>
  <c r="T891" i="1"/>
  <c r="T459" i="1"/>
  <c r="T1517" i="1"/>
  <c r="T516" i="1"/>
  <c r="T1316" i="1"/>
  <c r="T1253" i="1"/>
  <c r="T705" i="1"/>
  <c r="T460" i="1"/>
  <c r="T719" i="1"/>
  <c r="T201" i="1"/>
  <c r="T1531" i="1"/>
  <c r="T199" i="1"/>
  <c r="T1835" i="1"/>
  <c r="T735" i="1"/>
  <c r="P2138" i="1"/>
  <c r="P2137" i="1"/>
  <c r="S804" i="1" s="1"/>
  <c r="E1813" i="1"/>
  <c r="U1813" i="1" s="1"/>
  <c r="W1813" i="1" s="1"/>
  <c r="X1813" i="1" s="1"/>
  <c r="E1204" i="1"/>
  <c r="U1204" i="1" s="1"/>
  <c r="W1204" i="1" s="1"/>
  <c r="X1204" i="1" s="1"/>
  <c r="E378" i="1"/>
  <c r="U378" i="1" s="1"/>
  <c r="E148" i="1"/>
  <c r="U148" i="1" s="1"/>
  <c r="E808" i="1"/>
  <c r="U808" i="1" s="1"/>
  <c r="E1393" i="1"/>
  <c r="U1393" i="1" s="1"/>
  <c r="E1799" i="1"/>
  <c r="U1799" i="1" s="1"/>
  <c r="E1569" i="1"/>
  <c r="U1569" i="1" s="1"/>
  <c r="E1601" i="1"/>
  <c r="U1601" i="1" s="1"/>
  <c r="E833" i="1"/>
  <c r="U833" i="1" s="1"/>
  <c r="E120" i="1"/>
  <c r="U120" i="1" s="1"/>
  <c r="E2022" i="1"/>
  <c r="U2022" i="1" s="1"/>
  <c r="E2134" i="1"/>
  <c r="U2134" i="1" s="1"/>
  <c r="E846" i="1"/>
  <c r="U846" i="1" s="1"/>
  <c r="E1533" i="1"/>
  <c r="U1533" i="1" s="1"/>
  <c r="E254" i="1"/>
  <c r="U254" i="1" s="1"/>
  <c r="E1429" i="1"/>
  <c r="U1429" i="1" s="1"/>
  <c r="E1523" i="1"/>
  <c r="U1523" i="1" s="1"/>
  <c r="E1560" i="1"/>
  <c r="U1560" i="1" s="1"/>
  <c r="E1812" i="1"/>
  <c r="U1812" i="1" s="1"/>
  <c r="E890" i="1"/>
  <c r="U890" i="1" s="1"/>
  <c r="E1770" i="1"/>
  <c r="U1770" i="1" s="1"/>
  <c r="E1221" i="1"/>
  <c r="U1221" i="1" s="1"/>
  <c r="E1142" i="1"/>
  <c r="U1142" i="1" s="1"/>
  <c r="E2082" i="1"/>
  <c r="U2082" i="1" s="1"/>
  <c r="E2099" i="1"/>
  <c r="U2099" i="1" s="1"/>
  <c r="E1021" i="1"/>
  <c r="U1021" i="1" s="1"/>
  <c r="E650" i="1"/>
  <c r="U650" i="1" s="1"/>
  <c r="E126" i="1"/>
  <c r="U126" i="1" s="1"/>
  <c r="E1748" i="1"/>
  <c r="U1748" i="1" s="1"/>
  <c r="E1904" i="1"/>
  <c r="U1904" i="1" s="1"/>
  <c r="E2013" i="1"/>
  <c r="U2013" i="1" s="1"/>
  <c r="E1196" i="1"/>
  <c r="U1196" i="1" s="1"/>
  <c r="E809" i="1"/>
  <c r="U809" i="1" s="1"/>
  <c r="E337" i="1"/>
  <c r="U337" i="1" s="1"/>
  <c r="E683" i="1"/>
  <c r="U683" i="1" s="1"/>
  <c r="E1699" i="1"/>
  <c r="U1699" i="1" s="1"/>
  <c r="E1137" i="1"/>
  <c r="U1137" i="1" s="1"/>
  <c r="E182" i="1"/>
  <c r="U182" i="1" s="1"/>
  <c r="E1430" i="1"/>
  <c r="U1430" i="1" s="1"/>
  <c r="E1062" i="1"/>
  <c r="U1062" i="1" s="1"/>
  <c r="E84" i="1"/>
  <c r="U84" i="1" s="1"/>
  <c r="E560" i="1"/>
  <c r="U560" i="1" s="1"/>
  <c r="E533" i="1"/>
  <c r="U533" i="1" s="1"/>
  <c r="E1614" i="1"/>
  <c r="U1614" i="1" s="1"/>
  <c r="E1247" i="1"/>
  <c r="U1247" i="1" s="1"/>
  <c r="E1942" i="1"/>
  <c r="U1942" i="1" s="1"/>
  <c r="E839" i="1"/>
  <c r="U839" i="1" s="1"/>
  <c r="E1901" i="1"/>
  <c r="U1901" i="1" s="1"/>
  <c r="E348" i="1"/>
  <c r="U348" i="1" s="1"/>
  <c r="E398" i="1"/>
  <c r="U398" i="1" s="1"/>
  <c r="E993" i="1"/>
  <c r="U993" i="1" s="1"/>
  <c r="E1817" i="1"/>
  <c r="U1817" i="1" s="1"/>
  <c r="E2071" i="1"/>
  <c r="U2071" i="1" s="1"/>
  <c r="E435" i="1"/>
  <c r="U435" i="1" s="1"/>
  <c r="E847" i="1"/>
  <c r="U847" i="1" s="1"/>
  <c r="E614" i="1"/>
  <c r="U614" i="1" s="1"/>
  <c r="E1490" i="1"/>
  <c r="U1490" i="1" s="1"/>
  <c r="E1047" i="1"/>
  <c r="U1047" i="1" s="1"/>
  <c r="E534" i="1"/>
  <c r="U534" i="1" s="1"/>
  <c r="E1133" i="1"/>
  <c r="U1133" i="1" s="1"/>
  <c r="E845" i="1"/>
  <c r="U845" i="1" s="1"/>
  <c r="E454" i="1"/>
  <c r="U454" i="1" s="1"/>
  <c r="E1684" i="1"/>
  <c r="U1684" i="1" s="1"/>
  <c r="E1984" i="1"/>
  <c r="U1984" i="1" s="1"/>
  <c r="E997" i="1"/>
  <c r="U997" i="1" s="1"/>
  <c r="E1992" i="1"/>
  <c r="U1992" i="1" s="1"/>
  <c r="E493" i="1"/>
  <c r="U493" i="1" s="1"/>
  <c r="E597" i="1"/>
  <c r="U597" i="1" s="1"/>
  <c r="E252" i="1"/>
  <c r="U252" i="1" s="1"/>
  <c r="E776" i="1"/>
  <c r="U776" i="1" s="1"/>
  <c r="E1981" i="1"/>
  <c r="U1981" i="1" s="1"/>
  <c r="E1607" i="1"/>
  <c r="U1607" i="1" s="1"/>
  <c r="E408" i="1"/>
  <c r="U408" i="1" s="1"/>
  <c r="E1774" i="1"/>
  <c r="U1774" i="1" s="1"/>
  <c r="E647" i="1"/>
  <c r="U647" i="1" s="1"/>
  <c r="E471" i="1"/>
  <c r="U471" i="1" s="1"/>
  <c r="E1422" i="1"/>
  <c r="U1422" i="1" s="1"/>
  <c r="E1447" i="1"/>
  <c r="U1447" i="1" s="1"/>
  <c r="E947" i="1"/>
  <c r="U947" i="1" s="1"/>
  <c r="E292" i="1"/>
  <c r="U292" i="1" s="1"/>
  <c r="E1668" i="1"/>
  <c r="U1668" i="1" s="1"/>
  <c r="E127" i="1"/>
  <c r="U127" i="1" s="1"/>
  <c r="E850" i="1"/>
  <c r="U850" i="1" s="1"/>
  <c r="E16" i="1"/>
  <c r="U16" i="1" s="1"/>
  <c r="E1931" i="1"/>
  <c r="U1931" i="1" s="1"/>
  <c r="E1854" i="1"/>
  <c r="U1854" i="1" s="1"/>
  <c r="E368" i="1"/>
  <c r="U368" i="1" s="1"/>
  <c r="E283" i="1"/>
  <c r="U283" i="1" s="1"/>
  <c r="E1175" i="1"/>
  <c r="U1175" i="1" s="1"/>
  <c r="E608" i="1"/>
  <c r="U608" i="1" s="1"/>
  <c r="E278" i="1"/>
  <c r="U278" i="1" s="1"/>
  <c r="E2035" i="1"/>
  <c r="U2035" i="1" s="1"/>
  <c r="E909" i="1"/>
  <c r="U909" i="1" s="1"/>
  <c r="E307" i="1"/>
  <c r="U307" i="1" s="1"/>
  <c r="E1290" i="1"/>
  <c r="U1290" i="1" s="1"/>
  <c r="E1494" i="1"/>
  <c r="U1494" i="1" s="1"/>
  <c r="E437" i="1"/>
  <c r="U437" i="1" s="1"/>
  <c r="E1409" i="1"/>
  <c r="U1409" i="1" s="1"/>
  <c r="E2127" i="1"/>
  <c r="U2127" i="1" s="1"/>
  <c r="E81" i="1"/>
  <c r="U81" i="1" s="1"/>
  <c r="E870" i="1"/>
  <c r="U870" i="1" s="1"/>
  <c r="E387" i="1"/>
  <c r="U387" i="1" s="1"/>
  <c r="E373" i="1"/>
  <c r="U373" i="1" s="1"/>
  <c r="E1983" i="1"/>
  <c r="U1983" i="1" s="1"/>
  <c r="E1765" i="1"/>
  <c r="U1765" i="1" s="1"/>
  <c r="E1472" i="1"/>
  <c r="U1472" i="1" s="1"/>
  <c r="E1452" i="1"/>
  <c r="U1452" i="1" s="1"/>
  <c r="E737" i="1"/>
  <c r="U737" i="1" s="1"/>
  <c r="E810" i="1"/>
  <c r="U810" i="1" s="1"/>
  <c r="E1075" i="1"/>
  <c r="U1075" i="1" s="1"/>
  <c r="E1692" i="1"/>
  <c r="U1692" i="1" s="1"/>
  <c r="E1319" i="1"/>
  <c r="U1319" i="1" s="1"/>
  <c r="E976" i="1"/>
  <c r="U976" i="1" s="1"/>
  <c r="E1118" i="1"/>
  <c r="U1118" i="1" s="1"/>
  <c r="E1852" i="1"/>
  <c r="U1852" i="1" s="1"/>
  <c r="E752" i="1"/>
  <c r="U752" i="1" s="1"/>
  <c r="E1958" i="1"/>
  <c r="U1958" i="1" s="1"/>
  <c r="E1330" i="1"/>
  <c r="U1330" i="1" s="1"/>
  <c r="E615" i="1"/>
  <c r="U615" i="1" s="1"/>
  <c r="E2083" i="1"/>
  <c r="U2083" i="1" s="1"/>
  <c r="E921" i="1"/>
  <c r="U921" i="1" s="1"/>
  <c r="E1414" i="1"/>
  <c r="U1414" i="1" s="1"/>
  <c r="E2117" i="1"/>
  <c r="U2117" i="1" s="1"/>
  <c r="E1727" i="1"/>
  <c r="U1727" i="1" s="1"/>
  <c r="E128" i="1"/>
  <c r="U128" i="1" s="1"/>
  <c r="E1019" i="1"/>
  <c r="U1019" i="1" s="1"/>
  <c r="E7" i="1"/>
  <c r="U7" i="1" s="1"/>
  <c r="E1011" i="1"/>
  <c r="U1011" i="1" s="1"/>
  <c r="E974" i="1"/>
  <c r="U974" i="1" s="1"/>
  <c r="E1306" i="1"/>
  <c r="U1306" i="1" s="1"/>
  <c r="E1475" i="1"/>
  <c r="U1475" i="1" s="1"/>
  <c r="E1619" i="1"/>
  <c r="U1619" i="1" s="1"/>
  <c r="E1394" i="1"/>
  <c r="U1394" i="1" s="1"/>
  <c r="E1146" i="1"/>
  <c r="U1146" i="1" s="1"/>
  <c r="E1724" i="1"/>
  <c r="U1724" i="1" s="1"/>
  <c r="E1661" i="1"/>
  <c r="U1661" i="1" s="1"/>
  <c r="E1555" i="1"/>
  <c r="U1555" i="1" s="1"/>
  <c r="E1166" i="1"/>
  <c r="U1166" i="1" s="1"/>
  <c r="E745" i="1"/>
  <c r="U745" i="1" s="1"/>
  <c r="E305" i="1"/>
  <c r="U305" i="1" s="1"/>
  <c r="E1526" i="1"/>
  <c r="U1526" i="1" s="1"/>
  <c r="E1742" i="1"/>
  <c r="U1742" i="1" s="1"/>
  <c r="E1328" i="1"/>
  <c r="U1328" i="1" s="1"/>
  <c r="E213" i="1"/>
  <c r="U213" i="1" s="1"/>
  <c r="E2115" i="1"/>
  <c r="U2115" i="1" s="1"/>
  <c r="E692" i="1"/>
  <c r="U692" i="1" s="1"/>
  <c r="E1103" i="1"/>
  <c r="U1103" i="1" s="1"/>
  <c r="E1783" i="1"/>
  <c r="U1783" i="1" s="1"/>
  <c r="E1450" i="1"/>
  <c r="U1450" i="1" s="1"/>
  <c r="E1660" i="1"/>
  <c r="E262" i="1"/>
  <c r="U262" i="1" s="1"/>
  <c r="E1093" i="1"/>
  <c r="U1093" i="1" s="1"/>
  <c r="E935" i="1"/>
  <c r="U935" i="1" s="1"/>
  <c r="E866" i="1"/>
  <c r="U866" i="1" s="1"/>
  <c r="E775" i="1"/>
  <c r="U775" i="1" s="1"/>
  <c r="E1072" i="1"/>
  <c r="U1072" i="1" s="1"/>
  <c r="E2095" i="1"/>
  <c r="U2095" i="1" s="1"/>
  <c r="E1413" i="1"/>
  <c r="U1413" i="1" s="1"/>
  <c r="E1741" i="1"/>
  <c r="U1741" i="1" s="1"/>
  <c r="E686" i="1"/>
  <c r="U686" i="1" s="1"/>
  <c r="E2003" i="1"/>
  <c r="U2003" i="1" s="1"/>
  <c r="E934" i="1"/>
  <c r="U934" i="1" s="1"/>
  <c r="E1693" i="1"/>
  <c r="U1693" i="1" s="1"/>
  <c r="E113" i="1"/>
  <c r="U113" i="1" s="1"/>
  <c r="E1410" i="1"/>
  <c r="U1410" i="1" s="1"/>
  <c r="E1436" i="1"/>
  <c r="U1436" i="1" s="1"/>
  <c r="E162" i="1"/>
  <c r="U162" i="1" s="1"/>
  <c r="E1242" i="1"/>
  <c r="U1242" i="1" s="1"/>
  <c r="E73" i="1"/>
  <c r="U73" i="1" s="1"/>
  <c r="E2074" i="1"/>
  <c r="U2074" i="1" s="1"/>
  <c r="E1482" i="1"/>
  <c r="U1482" i="1" s="1"/>
  <c r="E721" i="1"/>
  <c r="U721" i="1" s="1"/>
  <c r="E224" i="1"/>
  <c r="U224" i="1" s="1"/>
  <c r="E1593" i="1"/>
  <c r="U1593" i="1" s="1"/>
  <c r="E149" i="1"/>
  <c r="U149" i="1" s="1"/>
  <c r="E863" i="1"/>
  <c r="U863" i="1" s="1"/>
  <c r="E424" i="1"/>
  <c r="U424" i="1" s="1"/>
  <c r="E1291" i="1"/>
  <c r="U1291" i="1" s="1"/>
  <c r="E1689" i="1"/>
  <c r="U1689" i="1" s="1"/>
  <c r="E181" i="1"/>
  <c r="U181" i="1" s="1"/>
  <c r="E142" i="1"/>
  <c r="U142" i="1" s="1"/>
  <c r="E1065" i="1"/>
  <c r="U1065" i="1" s="1"/>
  <c r="E2121" i="1"/>
  <c r="U2121" i="1" s="1"/>
  <c r="E1888" i="1"/>
  <c r="U1888" i="1" s="1"/>
  <c r="E911" i="1"/>
  <c r="U911" i="1" s="1"/>
  <c r="E2078" i="1"/>
  <c r="U2078" i="1" s="1"/>
  <c r="E1292" i="1"/>
  <c r="U1292" i="1" s="1"/>
  <c r="E1491" i="1"/>
  <c r="U1491" i="1" s="1"/>
  <c r="E607" i="1"/>
  <c r="U607" i="1" s="1"/>
  <c r="E2005" i="1"/>
  <c r="U2005" i="1" s="1"/>
  <c r="E1087" i="1"/>
  <c r="U1087" i="1" s="1"/>
  <c r="E897" i="1"/>
  <c r="U897" i="1" s="1"/>
  <c r="E823" i="1"/>
  <c r="U823" i="1" s="1"/>
  <c r="E1265" i="1"/>
  <c r="U1265" i="1" s="1"/>
  <c r="E1487" i="1"/>
  <c r="U1487" i="1" s="1"/>
  <c r="E684" i="1"/>
  <c r="U684" i="1" s="1"/>
  <c r="E319" i="1"/>
  <c r="U319" i="1" s="1"/>
  <c r="E658" i="1"/>
  <c r="U658" i="1" s="1"/>
  <c r="E144" i="1"/>
  <c r="U144" i="1" s="1"/>
  <c r="E601" i="1"/>
  <c r="U601" i="1" s="1"/>
  <c r="E497" i="1"/>
  <c r="U497" i="1" s="1"/>
  <c r="E1772" i="1"/>
  <c r="U1772" i="1" s="1"/>
  <c r="E1236" i="1"/>
  <c r="U1236" i="1" s="1"/>
  <c r="E1090" i="1"/>
  <c r="U1090" i="1" s="1"/>
  <c r="E1595" i="1"/>
  <c r="U1595" i="1" s="1"/>
  <c r="E1001" i="1"/>
  <c r="U1001" i="1" s="1"/>
  <c r="E1521" i="1"/>
  <c r="U1521" i="1" s="1"/>
  <c r="E671" i="1"/>
  <c r="U671" i="1" s="1"/>
  <c r="E1111" i="1"/>
  <c r="U1111" i="1" s="1"/>
  <c r="E1147" i="1"/>
  <c r="U1147" i="1" s="1"/>
  <c r="E31" i="1"/>
  <c r="U31" i="1" s="1"/>
  <c r="E1302" i="1"/>
  <c r="U1302" i="1" s="1"/>
  <c r="E1355" i="1"/>
  <c r="U1355" i="1" s="1"/>
  <c r="E1456" i="1"/>
  <c r="U1456" i="1" s="1"/>
  <c r="E212" i="1"/>
  <c r="U212" i="1" s="1"/>
  <c r="E1067" i="1"/>
  <c r="U1067" i="1" s="1"/>
  <c r="E848" i="1"/>
  <c r="U848" i="1" s="1"/>
  <c r="E1744" i="1"/>
  <c r="U1744" i="1" s="1"/>
  <c r="E979" i="1"/>
  <c r="U979" i="1" s="1"/>
  <c r="E1547" i="1"/>
  <c r="U1547" i="1" s="1"/>
  <c r="E572" i="1"/>
  <c r="U572" i="1" s="1"/>
  <c r="E359" i="1"/>
  <c r="U359" i="1" s="1"/>
  <c r="E606" i="1"/>
  <c r="U606" i="1" s="1"/>
  <c r="E574" i="1"/>
  <c r="U574" i="1" s="1"/>
  <c r="E1037" i="1"/>
  <c r="U1037" i="1" s="1"/>
  <c r="E611" i="1"/>
  <c r="U611" i="1" s="1"/>
  <c r="E1230" i="1"/>
  <c r="U1230" i="1" s="1"/>
  <c r="E748" i="1"/>
  <c r="U748" i="1" s="1"/>
  <c r="E1587" i="1"/>
  <c r="U1587" i="1" s="1"/>
  <c r="E1971" i="1"/>
  <c r="U1971" i="1" s="1"/>
  <c r="E1249" i="1"/>
  <c r="U1249" i="1" s="1"/>
  <c r="E1138" i="1"/>
  <c r="U1138" i="1" s="1"/>
  <c r="E1594" i="1"/>
  <c r="U1594" i="1" s="1"/>
  <c r="E578" i="1"/>
  <c r="U578" i="1" s="1"/>
  <c r="E1957" i="1"/>
  <c r="U1957" i="1" s="1"/>
  <c r="E1671" i="1"/>
  <c r="U1671" i="1" s="1"/>
  <c r="E530" i="1"/>
  <c r="U530" i="1" s="1"/>
  <c r="E1192" i="1"/>
  <c r="U1192" i="1" s="1"/>
  <c r="E629" i="1"/>
  <c r="U629" i="1" s="1"/>
  <c r="E927" i="1"/>
  <c r="U927" i="1" s="1"/>
  <c r="E105" i="1"/>
  <c r="U105" i="1" s="1"/>
  <c r="E853" i="1"/>
  <c r="U853" i="1" s="1"/>
  <c r="E2105" i="1"/>
  <c r="U2105" i="1" s="1"/>
  <c r="E1372" i="1"/>
  <c r="U1372" i="1" s="1"/>
  <c r="E1814" i="1"/>
  <c r="U1814" i="1" s="1"/>
  <c r="E158" i="1"/>
  <c r="U158" i="1" s="1"/>
  <c r="E1900" i="1"/>
  <c r="U1900" i="1" s="1"/>
  <c r="E1309" i="1"/>
  <c r="U1309" i="1" s="1"/>
  <c r="E1656" i="1"/>
  <c r="U1656" i="1" s="1"/>
  <c r="E322" i="1"/>
  <c r="U322" i="1" s="1"/>
  <c r="E1477" i="1"/>
  <c r="U1477" i="1" s="1"/>
  <c r="E17" i="1"/>
  <c r="U17" i="1" s="1"/>
  <c r="E2042" i="1"/>
  <c r="U2042" i="1" s="1"/>
  <c r="E1847" i="1"/>
  <c r="U1847" i="1" s="1"/>
  <c r="E1665" i="1"/>
  <c r="U1665" i="1" s="1"/>
  <c r="E404" i="1"/>
  <c r="U404" i="1" s="1"/>
  <c r="E261" i="1"/>
  <c r="U261" i="1" s="1"/>
  <c r="E1964" i="1"/>
  <c r="U1964" i="1" s="1"/>
  <c r="E2057" i="1"/>
  <c r="U2057" i="1" s="1"/>
  <c r="E536" i="1"/>
  <c r="U536" i="1" s="1"/>
  <c r="E1830" i="1"/>
  <c r="U1830" i="1" s="1"/>
  <c r="E1831" i="1"/>
  <c r="U1831" i="1" s="1"/>
  <c r="E2081" i="1"/>
  <c r="U2081" i="1" s="1"/>
  <c r="E2016" i="1"/>
  <c r="U2016" i="1" s="1"/>
  <c r="E1574" i="1"/>
  <c r="U1574" i="1" s="1"/>
  <c r="E1986" i="1"/>
  <c r="U1986" i="1" s="1"/>
  <c r="E1344" i="1"/>
  <c r="U1344" i="1" s="1"/>
  <c r="E358" i="1"/>
  <c r="U358" i="1" s="1"/>
  <c r="E1433" i="1"/>
  <c r="U1433" i="1" s="1"/>
  <c r="E577" i="1"/>
  <c r="U577" i="1" s="1"/>
  <c r="E1924" i="1"/>
  <c r="U1924" i="1" s="1"/>
  <c r="E736" i="1"/>
  <c r="U736" i="1" s="1"/>
  <c r="E1465" i="1"/>
  <c r="U1465" i="1" s="1"/>
  <c r="E527" i="1"/>
  <c r="U527" i="1" s="1"/>
  <c r="E1824" i="1"/>
  <c r="U1824" i="1" s="1"/>
  <c r="E204" i="1"/>
  <c r="U204" i="1" s="1"/>
  <c r="E1633" i="1"/>
  <c r="U1633" i="1" s="1"/>
  <c r="E1370" i="1"/>
  <c r="U1370" i="1" s="1"/>
  <c r="E106" i="1"/>
  <c r="U106" i="1" s="1"/>
  <c r="E900" i="1"/>
  <c r="U900" i="1" s="1"/>
  <c r="E1350" i="1"/>
  <c r="U1350" i="1" s="1"/>
  <c r="E108" i="1"/>
  <c r="U108" i="1" s="1"/>
  <c r="E1425" i="1"/>
  <c r="U1425" i="1" s="1"/>
  <c r="E1920" i="1"/>
  <c r="U1920" i="1" s="1"/>
  <c r="E9" i="1"/>
  <c r="U9" i="1" s="1"/>
  <c r="E1563" i="1"/>
  <c r="U1563" i="1" s="1"/>
  <c r="E311" i="1"/>
  <c r="U311" i="1" s="1"/>
  <c r="E1776" i="1"/>
  <c r="U1776" i="1" s="1"/>
  <c r="E569" i="1"/>
  <c r="U569" i="1" s="1"/>
  <c r="E1013" i="1"/>
  <c r="U1013" i="1" s="1"/>
  <c r="E35" i="1"/>
  <c r="U35" i="1" s="1"/>
  <c r="E956" i="1"/>
  <c r="U956" i="1" s="1"/>
  <c r="E2073" i="1"/>
  <c r="U2073" i="1" s="1"/>
  <c r="E841" i="1"/>
  <c r="U841" i="1" s="1"/>
  <c r="E1809" i="1"/>
  <c r="U1809" i="1" s="1"/>
  <c r="E432" i="1"/>
  <c r="U432" i="1" s="1"/>
  <c r="E302" i="1"/>
  <c r="U302" i="1" s="1"/>
  <c r="E1092" i="1"/>
  <c r="U1092" i="1" s="1"/>
  <c r="E464" i="1"/>
  <c r="U464" i="1" s="1"/>
  <c r="E1810" i="1"/>
  <c r="U1810" i="1" s="1"/>
  <c r="E1081" i="1"/>
  <c r="U1081" i="1" s="1"/>
  <c r="E1298" i="1"/>
  <c r="U1298" i="1" s="1"/>
  <c r="E837" i="1"/>
  <c r="U837" i="1" s="1"/>
  <c r="E2031" i="1"/>
  <c r="U2031" i="1" s="1"/>
  <c r="E525" i="1"/>
  <c r="U525" i="1" s="1"/>
  <c r="E1950" i="1"/>
  <c r="U1950" i="1" s="1"/>
  <c r="E741" i="1"/>
  <c r="U741" i="1" s="1"/>
  <c r="E2093" i="1"/>
  <c r="U2093" i="1" s="1"/>
  <c r="E360" i="1"/>
  <c r="U360" i="1" s="1"/>
  <c r="E1757" i="1"/>
  <c r="U1757" i="1" s="1"/>
  <c r="E1033" i="1"/>
  <c r="U1033" i="1" s="1"/>
  <c r="E1579" i="1"/>
  <c r="U1579" i="1" s="1"/>
  <c r="E590" i="1"/>
  <c r="U590" i="1" s="1"/>
  <c r="E1448" i="1"/>
  <c r="U1448" i="1" s="1"/>
  <c r="E583" i="1"/>
  <c r="U583" i="1" s="1"/>
  <c r="E1532" i="1"/>
  <c r="U1532" i="1" s="1"/>
  <c r="E522" i="1"/>
  <c r="U522" i="1" s="1"/>
  <c r="E2064" i="1"/>
  <c r="E1534" i="1"/>
  <c r="U1534" i="1" s="1"/>
  <c r="E1063" i="1"/>
  <c r="U1063" i="1" s="1"/>
  <c r="E2029" i="1"/>
  <c r="U2029" i="1" s="1"/>
  <c r="E1738" i="1"/>
  <c r="U1738" i="1" s="1"/>
  <c r="E140" i="1"/>
  <c r="U140" i="1" s="1"/>
  <c r="E40" i="1"/>
  <c r="U40" i="1" s="1"/>
  <c r="E549" i="1"/>
  <c r="U549" i="1" s="1"/>
  <c r="E1615" i="1"/>
  <c r="U1615" i="1" s="1"/>
  <c r="E1584" i="1"/>
  <c r="U1584" i="1" s="1"/>
  <c r="E758" i="1"/>
  <c r="U758" i="1" s="1"/>
  <c r="E1871" i="1"/>
  <c r="U1871" i="1" s="1"/>
  <c r="E114" i="1"/>
  <c r="U114" i="1" s="1"/>
  <c r="E1663" i="1"/>
  <c r="U1663" i="1" s="1"/>
  <c r="E2" i="1"/>
  <c r="U2" i="1" s="1"/>
  <c r="E1071" i="1"/>
  <c r="U1071" i="1" s="1"/>
  <c r="E486" i="1"/>
  <c r="U486" i="1" s="1"/>
  <c r="E2130" i="1"/>
  <c r="U2130" i="1" s="1"/>
  <c r="E234" i="1"/>
  <c r="U234" i="1" s="1"/>
  <c r="E1559" i="1"/>
  <c r="U1559" i="1" s="1"/>
  <c r="E715" i="1"/>
  <c r="U715" i="1" s="1"/>
  <c r="E413" i="1"/>
  <c r="U413" i="1" s="1"/>
  <c r="E1779" i="1"/>
  <c r="U1779" i="1" s="1"/>
  <c r="E1180" i="1"/>
  <c r="U1180" i="1" s="1"/>
  <c r="E1077" i="1"/>
  <c r="U1077" i="1" s="1"/>
  <c r="E1468" i="1"/>
  <c r="U1468" i="1" s="1"/>
  <c r="E1094" i="1"/>
  <c r="U1094" i="1" s="1"/>
  <c r="E1461" i="1"/>
  <c r="U1461" i="1" s="1"/>
  <c r="E1360" i="1"/>
  <c r="U1360" i="1" s="1"/>
  <c r="E712" i="1"/>
  <c r="U712" i="1" s="1"/>
  <c r="E797" i="1"/>
  <c r="U797" i="1" s="1"/>
  <c r="E1644" i="1"/>
  <c r="U1644" i="1" s="1"/>
  <c r="E206" i="1"/>
  <c r="U206" i="1" s="1"/>
  <c r="E288" i="1"/>
  <c r="U288" i="1" s="1"/>
  <c r="E1048" i="1"/>
  <c r="U1048" i="1" s="1"/>
  <c r="E1203" i="1"/>
  <c r="U1203" i="1" s="1"/>
  <c r="E1333" i="1"/>
  <c r="U1333" i="1" s="1"/>
  <c r="E620" i="1"/>
  <c r="U620" i="1" s="1"/>
  <c r="E706" i="1"/>
  <c r="U706" i="1" s="1"/>
  <c r="E1718" i="1"/>
  <c r="U1718" i="1" s="1"/>
  <c r="E707" i="1"/>
  <c r="U707" i="1" s="1"/>
  <c r="E1612" i="1"/>
  <c r="U1612" i="1" s="1"/>
  <c r="E2091" i="1"/>
  <c r="U2091" i="1" s="1"/>
  <c r="E644" i="1"/>
  <c r="U644" i="1" s="1"/>
  <c r="E765" i="1"/>
  <c r="U765" i="1" s="1"/>
  <c r="E1254" i="1"/>
  <c r="U1254" i="1" s="1"/>
  <c r="E1008" i="1"/>
  <c r="U1008" i="1" s="1"/>
  <c r="E116" i="1"/>
  <c r="U116" i="1" s="1"/>
  <c r="E858" i="1"/>
  <c r="U858" i="1" s="1"/>
  <c r="E739" i="1"/>
  <c r="U739" i="1" s="1"/>
  <c r="E1989" i="1"/>
  <c r="U1989" i="1" s="1"/>
  <c r="E1775" i="1"/>
  <c r="U1775" i="1" s="1"/>
  <c r="E1497" i="1"/>
  <c r="U1497" i="1" s="1"/>
  <c r="E983" i="1"/>
  <c r="U983" i="1" s="1"/>
  <c r="E475" i="1"/>
  <c r="U475" i="1" s="1"/>
  <c r="E1449" i="1"/>
  <c r="U1449" i="1" s="1"/>
  <c r="E1365" i="1"/>
  <c r="U1365" i="1" s="1"/>
  <c r="E1596" i="1"/>
  <c r="U1596" i="1" s="1"/>
  <c r="E1602" i="1"/>
  <c r="U1602" i="1" s="1"/>
  <c r="E112" i="1"/>
  <c r="U112" i="1" s="1"/>
  <c r="E785" i="1"/>
  <c r="U785" i="1" s="1"/>
  <c r="E1793" i="1"/>
  <c r="U1793" i="1" s="1"/>
  <c r="E591" i="1"/>
  <c r="U591" i="1" s="1"/>
  <c r="E592" i="1"/>
  <c r="U592" i="1" s="1"/>
  <c r="E720" i="1"/>
  <c r="U720" i="1" s="1"/>
  <c r="E1827" i="1"/>
  <c r="U1827" i="1" s="1"/>
  <c r="E1259" i="1"/>
  <c r="U1259" i="1" s="1"/>
  <c r="E1892" i="1"/>
  <c r="U1892" i="1" s="1"/>
  <c r="E392" i="1"/>
  <c r="U392" i="1" s="1"/>
  <c r="E742" i="1"/>
  <c r="U742" i="1" s="1"/>
  <c r="E1051" i="1"/>
  <c r="U1051" i="1" s="1"/>
  <c r="E1396" i="1"/>
  <c r="U1396" i="1" s="1"/>
  <c r="E1740" i="1"/>
  <c r="U1740" i="1" s="1"/>
  <c r="E1895" i="1"/>
  <c r="U1895" i="1" s="1"/>
  <c r="E54" i="1"/>
  <c r="U54" i="1" s="1"/>
  <c r="E1711" i="1"/>
  <c r="U1711" i="1" s="1"/>
  <c r="E1997" i="1"/>
  <c r="U1997" i="1" s="1"/>
  <c r="E76" i="1"/>
  <c r="U76" i="1" s="1"/>
  <c r="E963" i="1"/>
  <c r="U963" i="1" s="1"/>
  <c r="E436" i="1"/>
  <c r="U436" i="1" s="1"/>
  <c r="E2033" i="1"/>
  <c r="U2033" i="1" s="1"/>
  <c r="E929" i="1"/>
  <c r="U929" i="1" s="1"/>
  <c r="E1289" i="1"/>
  <c r="U1289" i="1" s="1"/>
  <c r="E484" i="1"/>
  <c r="U484" i="1" s="1"/>
  <c r="E2043" i="1"/>
  <c r="U2043" i="1" s="1"/>
  <c r="E1278" i="1"/>
  <c r="U1278" i="1" s="1"/>
  <c r="E429" i="1"/>
  <c r="U429" i="1" s="1"/>
  <c r="E1015" i="1"/>
  <c r="U1015" i="1" s="1"/>
  <c r="E960" i="1"/>
  <c r="U960" i="1" s="1"/>
  <c r="E1916" i="1"/>
  <c r="U1916" i="1" s="1"/>
  <c r="E1832" i="1"/>
  <c r="U1832" i="1" s="1"/>
  <c r="E695" i="1"/>
  <c r="U695" i="1" s="1"/>
  <c r="E700" i="1"/>
  <c r="U700" i="1" s="1"/>
  <c r="E39" i="1"/>
  <c r="U39" i="1" s="1"/>
  <c r="E613" i="1"/>
  <c r="U613" i="1" s="1"/>
  <c r="E1080" i="1"/>
  <c r="U1080" i="1" s="1"/>
  <c r="E299" i="1"/>
  <c r="U299" i="1" s="1"/>
  <c r="E1898" i="1"/>
  <c r="U1898" i="1" s="1"/>
  <c r="E1165" i="1"/>
  <c r="U1165" i="1" s="1"/>
  <c r="E1527" i="1"/>
  <c r="U1527" i="1" s="1"/>
  <c r="E1897" i="1"/>
  <c r="U1897" i="1" s="1"/>
  <c r="E498" i="1"/>
  <c r="U498" i="1" s="1"/>
  <c r="E1041" i="1"/>
  <c r="U1041" i="1" s="1"/>
  <c r="E949" i="1"/>
  <c r="U949" i="1" s="1"/>
  <c r="E1252" i="1"/>
  <c r="U1252" i="1" s="1"/>
  <c r="E1145" i="1"/>
  <c r="U1145" i="1" s="1"/>
  <c r="E1877" i="1"/>
  <c r="U1877" i="1" s="1"/>
  <c r="E704" i="1"/>
  <c r="U704" i="1" s="1"/>
  <c r="E1205" i="1"/>
  <c r="U1205" i="1" s="1"/>
  <c r="E391" i="1"/>
  <c r="U391" i="1" s="1"/>
  <c r="E1717" i="1"/>
  <c r="U1717" i="1" s="1"/>
  <c r="E1705" i="1"/>
  <c r="U1705" i="1" s="1"/>
  <c r="E759" i="1"/>
  <c r="U759" i="1" s="1"/>
  <c r="E325" i="1"/>
  <c r="U325" i="1" s="1"/>
  <c r="E1108" i="1"/>
  <c r="U1108" i="1" s="1"/>
  <c r="E579" i="1"/>
  <c r="U579" i="1" s="1"/>
  <c r="E3" i="1"/>
  <c r="U3" i="1" s="1"/>
  <c r="E20" i="1"/>
  <c r="U20" i="1" s="1"/>
  <c r="E538" i="1"/>
  <c r="U538" i="1" s="1"/>
  <c r="E551" i="1"/>
  <c r="U551" i="1" s="1"/>
  <c r="E1623" i="1"/>
  <c r="U1623" i="1" s="1"/>
  <c r="E356" i="1"/>
  <c r="U356" i="1" s="1"/>
  <c r="E1267" i="1"/>
  <c r="U1267" i="1" s="1"/>
  <c r="E75" i="1"/>
  <c r="U75" i="1" s="1"/>
  <c r="E1946" i="1"/>
  <c r="U1946" i="1" s="1"/>
  <c r="E1197" i="1"/>
  <c r="U1197" i="1" s="1"/>
  <c r="E952" i="1"/>
  <c r="U952" i="1" s="1"/>
  <c r="E1266" i="1"/>
  <c r="U1266" i="1" s="1"/>
  <c r="E1694" i="1"/>
  <c r="U1694" i="1" s="1"/>
  <c r="E869" i="1"/>
  <c r="U869" i="1" s="1"/>
  <c r="E515" i="1"/>
  <c r="U515" i="1" s="1"/>
  <c r="E764" i="1"/>
  <c r="U764" i="1" s="1"/>
  <c r="E1643" i="1"/>
  <c r="U1643" i="1" s="1"/>
  <c r="E568" i="1"/>
  <c r="U568" i="1" s="1"/>
  <c r="E1590" i="1"/>
  <c r="U1590" i="1" s="1"/>
  <c r="E1755" i="1"/>
  <c r="U1755" i="1" s="1"/>
  <c r="E662" i="1"/>
  <c r="U662" i="1" s="1"/>
  <c r="E331" i="1"/>
  <c r="U331" i="1" s="1"/>
  <c r="E1095" i="1"/>
  <c r="U1095" i="1" s="1"/>
  <c r="E998" i="1"/>
  <c r="U998" i="1" s="1"/>
  <c r="E1492" i="1"/>
  <c r="U1492" i="1" s="1"/>
  <c r="E1076" i="1"/>
  <c r="U1076" i="1" s="1"/>
  <c r="E1834" i="1"/>
  <c r="U1834" i="1" s="1"/>
  <c r="E94" i="1"/>
  <c r="U94" i="1" s="1"/>
  <c r="E426" i="1"/>
  <c r="U426" i="1" s="1"/>
  <c r="E714" i="1"/>
  <c r="U714" i="1" s="1"/>
  <c r="E986" i="1"/>
  <c r="U986" i="1" s="1"/>
  <c r="E445" i="1"/>
  <c r="U445" i="1" s="1"/>
  <c r="E1074" i="1"/>
  <c r="U1074" i="1" s="1"/>
  <c r="E1501" i="1"/>
  <c r="U1501" i="1" s="1"/>
  <c r="E1785" i="1"/>
  <c r="U1785" i="1" s="1"/>
  <c r="E755" i="1"/>
  <c r="U755" i="1" s="1"/>
  <c r="E150" i="1"/>
  <c r="U150" i="1" s="1"/>
  <c r="E1801" i="1"/>
  <c r="U1801" i="1" s="1"/>
  <c r="E1746" i="1"/>
  <c r="U1746" i="1" s="1"/>
  <c r="E1201" i="1"/>
  <c r="U1201" i="1" s="1"/>
  <c r="E411" i="1"/>
  <c r="U411" i="1" s="1"/>
  <c r="E1515" i="1"/>
  <c r="U1515" i="1" s="1"/>
  <c r="E1604" i="1"/>
  <c r="U1604" i="1" s="1"/>
  <c r="E819" i="1"/>
  <c r="U819" i="1" s="1"/>
  <c r="E991" i="1"/>
  <c r="U991" i="1" s="1"/>
  <c r="E1995" i="1"/>
  <c r="U1995" i="1" s="1"/>
  <c r="E1945" i="1"/>
  <c r="U1945" i="1" s="1"/>
  <c r="E769" i="1"/>
  <c r="U769" i="1" s="1"/>
  <c r="E1127" i="1"/>
  <c r="U1127" i="1" s="1"/>
  <c r="E46" i="1"/>
  <c r="U46" i="1" s="1"/>
  <c r="E690" i="1"/>
  <c r="U690" i="1" s="1"/>
  <c r="E2114" i="1"/>
  <c r="U2114" i="1" s="1"/>
  <c r="E1096" i="1"/>
  <c r="U1096" i="1" s="1"/>
  <c r="E1248" i="1"/>
  <c r="U1248" i="1" s="1"/>
  <c r="E1893" i="1"/>
  <c r="U1893" i="1" s="1"/>
  <c r="E164" i="1"/>
  <c r="U164" i="1" s="1"/>
  <c r="E416" i="1"/>
  <c r="U416" i="1" s="1"/>
  <c r="E1648" i="1"/>
  <c r="U1648" i="1" s="1"/>
  <c r="E1598" i="1"/>
  <c r="U1598" i="1" s="1"/>
  <c r="E2059" i="1"/>
  <c r="U2059" i="1" s="1"/>
  <c r="E1510" i="1"/>
  <c r="U1510" i="1" s="1"/>
  <c r="E884" i="1"/>
  <c r="U884" i="1" s="1"/>
  <c r="E1233" i="1"/>
  <c r="U1233" i="1" s="1"/>
  <c r="E55" i="1"/>
  <c r="U55" i="1" s="1"/>
  <c r="E2004" i="1"/>
  <c r="E872" i="1"/>
  <c r="U872" i="1" s="1"/>
  <c r="E298" i="1"/>
  <c r="U298" i="1" s="1"/>
  <c r="E1097" i="1"/>
  <c r="U1097" i="1" s="1"/>
  <c r="E2128" i="1"/>
  <c r="U2128" i="1" s="1"/>
  <c r="E1632" i="1"/>
  <c r="U1632" i="1" s="1"/>
  <c r="E1442" i="1"/>
  <c r="U1442" i="1" s="1"/>
  <c r="E64" i="1"/>
  <c r="U64" i="1" s="1"/>
  <c r="E179" i="1"/>
  <c r="U179" i="1" s="1"/>
  <c r="E109" i="1"/>
  <c r="U109" i="1" s="1"/>
  <c r="E372" i="1"/>
  <c r="U372" i="1" s="1"/>
  <c r="E1374" i="1"/>
  <c r="E189" i="1"/>
  <c r="U189" i="1" s="1"/>
  <c r="E34" i="1"/>
  <c r="U34" i="1" s="1"/>
  <c r="E1378" i="1"/>
  <c r="U1378" i="1" s="1"/>
  <c r="E1583" i="1"/>
  <c r="U1583" i="1" s="1"/>
  <c r="E966" i="1"/>
  <c r="U966" i="1" s="1"/>
  <c r="E1736" i="1"/>
  <c r="U1736" i="1" s="1"/>
  <c r="E2056" i="1"/>
  <c r="U2056" i="1" s="1"/>
  <c r="E118" i="1"/>
  <c r="U118" i="1" s="1"/>
  <c r="E156" i="1"/>
  <c r="U156" i="1" s="1"/>
  <c r="E1780" i="1"/>
  <c r="U1780" i="1" s="1"/>
  <c r="E1260" i="1"/>
  <c r="U1260" i="1" s="1"/>
  <c r="E361" i="1"/>
  <c r="U361" i="1" s="1"/>
  <c r="E732" i="1"/>
  <c r="U732" i="1" s="1"/>
  <c r="E1297" i="1"/>
  <c r="U1297" i="1" s="1"/>
  <c r="E539" i="1"/>
  <c r="U539" i="1" s="1"/>
  <c r="E207" i="1"/>
  <c r="U207" i="1" s="1"/>
  <c r="E155" i="1"/>
  <c r="U155" i="1" s="1"/>
  <c r="E1329" i="1"/>
  <c r="U1329" i="1" s="1"/>
  <c r="E1760" i="1"/>
  <c r="U1760" i="1" s="1"/>
  <c r="E178" i="1"/>
  <c r="U178" i="1" s="1"/>
  <c r="E1926" i="1"/>
  <c r="U1926" i="1" s="1"/>
  <c r="E594" i="1"/>
  <c r="U594" i="1" s="1"/>
  <c r="E1819" i="1"/>
  <c r="U1819" i="1" s="1"/>
  <c r="E1307" i="1"/>
  <c r="U1307" i="1" s="1"/>
  <c r="E1251" i="1"/>
  <c r="U1251" i="1" s="1"/>
  <c r="E1788" i="1"/>
  <c r="U1788" i="1" s="1"/>
  <c r="E165" i="1"/>
  <c r="U165" i="1" s="1"/>
  <c r="E2129" i="1"/>
  <c r="U2129" i="1" s="1"/>
  <c r="E216" i="1"/>
  <c r="U216" i="1" s="1"/>
  <c r="E249" i="1"/>
  <c r="U249" i="1" s="1"/>
  <c r="E1463" i="1"/>
  <c r="U1463" i="1" s="1"/>
  <c r="E633" i="1"/>
  <c r="U633" i="1" s="1"/>
  <c r="E1608" i="1"/>
  <c r="U1608" i="1" s="1"/>
  <c r="E509" i="1"/>
  <c r="U509" i="1" s="1"/>
  <c r="E939" i="1"/>
  <c r="U939" i="1" s="1"/>
  <c r="E1499" i="1"/>
  <c r="U1499" i="1" s="1"/>
  <c r="E1285" i="1"/>
  <c r="U1285" i="1" s="1"/>
  <c r="E665" i="1"/>
  <c r="U665" i="1" s="1"/>
  <c r="E188" i="1"/>
  <c r="U188" i="1" s="1"/>
  <c r="E1836" i="1"/>
  <c r="U1836" i="1" s="1"/>
  <c r="E916" i="1"/>
  <c r="U916" i="1" s="1"/>
  <c r="E1606" i="1"/>
  <c r="U1606" i="1" s="1"/>
  <c r="E423" i="1"/>
  <c r="U423" i="1" s="1"/>
  <c r="E1968" i="1"/>
  <c r="U1968" i="1" s="1"/>
  <c r="E667" i="1"/>
  <c r="U667" i="1" s="1"/>
  <c r="E1756" i="1"/>
  <c r="U1756" i="1" s="1"/>
  <c r="E855" i="1"/>
  <c r="U855" i="1" s="1"/>
  <c r="E350" i="1"/>
  <c r="U350" i="1" s="1"/>
  <c r="E517" i="1"/>
  <c r="U517" i="1" s="1"/>
  <c r="E520" i="1"/>
  <c r="U520" i="1" s="1"/>
  <c r="E1029" i="1"/>
  <c r="U1029" i="1" s="1"/>
  <c r="E225" i="1"/>
  <c r="U225" i="1" s="1"/>
  <c r="E878" i="1"/>
  <c r="U878" i="1" s="1"/>
  <c r="E169" i="1"/>
  <c r="U169" i="1" s="1"/>
  <c r="E968" i="1"/>
  <c r="U968" i="1" s="1"/>
  <c r="E1054" i="1"/>
  <c r="U1054" i="1" s="1"/>
  <c r="E1673" i="1"/>
  <c r="U1673" i="1" s="1"/>
  <c r="E973" i="1"/>
  <c r="U973" i="1" s="1"/>
  <c r="E1818" i="1"/>
  <c r="U1818" i="1" s="1"/>
  <c r="E272" i="1"/>
  <c r="U272" i="1" s="1"/>
  <c r="E696" i="1"/>
  <c r="U696" i="1" s="1"/>
  <c r="E12" i="1"/>
  <c r="U12" i="1" s="1"/>
  <c r="E1928" i="1"/>
  <c r="U1928" i="1" s="1"/>
  <c r="E1638" i="1"/>
  <c r="U1638" i="1" s="1"/>
  <c r="E265" i="1"/>
  <c r="U265" i="1" s="1"/>
  <c r="E1296" i="1"/>
  <c r="U1296" i="1" s="1"/>
  <c r="E1124" i="1"/>
  <c r="U1124" i="1" s="1"/>
  <c r="E294" i="1"/>
  <c r="U294" i="1" s="1"/>
  <c r="E1017" i="1"/>
  <c r="U1017" i="1" s="1"/>
  <c r="E1720" i="1"/>
  <c r="U1720" i="1" s="1"/>
  <c r="E221" i="1"/>
  <c r="U221" i="1" s="1"/>
  <c r="E2062" i="1"/>
  <c r="U2062" i="1" s="1"/>
  <c r="E211" i="1"/>
  <c r="U211" i="1" s="1"/>
  <c r="E2015" i="1"/>
  <c r="U2015" i="1" s="1"/>
  <c r="E722" i="1"/>
  <c r="U722" i="1" s="1"/>
  <c r="E1963" i="1"/>
  <c r="U1963" i="1" s="1"/>
  <c r="E625" i="1"/>
  <c r="U625" i="1" s="1"/>
  <c r="E2053" i="1"/>
  <c r="U2053" i="1" s="1"/>
  <c r="E333" i="1"/>
  <c r="U333" i="1" s="1"/>
  <c r="E1125" i="1"/>
  <c r="U1125" i="1" s="1"/>
  <c r="E1925" i="1"/>
  <c r="U1925" i="1" s="1"/>
  <c r="E623" i="1"/>
  <c r="U623" i="1" s="1"/>
  <c r="E1086" i="1"/>
  <c r="U1086" i="1" s="1"/>
  <c r="E1725" i="1"/>
  <c r="U1725" i="1" s="1"/>
  <c r="E2103" i="1"/>
  <c r="U2103" i="1" s="1"/>
  <c r="E1237" i="1"/>
  <c r="U1237" i="1" s="1"/>
  <c r="E1937" i="1"/>
  <c r="U1937" i="1" s="1"/>
  <c r="E1922" i="1"/>
  <c r="U1922" i="1" s="1"/>
  <c r="E1564" i="1"/>
  <c r="U1564" i="1" s="1"/>
  <c r="E799" i="1"/>
  <c r="U799" i="1" s="1"/>
  <c r="E999" i="1"/>
  <c r="U999" i="1" s="1"/>
  <c r="E1974" i="1"/>
  <c r="U1974" i="1" s="1"/>
  <c r="E56" i="1"/>
  <c r="U56" i="1" s="1"/>
  <c r="E237" i="1"/>
  <c r="U237" i="1" s="1"/>
  <c r="E1586" i="1"/>
  <c r="U1586" i="1" s="1"/>
  <c r="E1859" i="1"/>
  <c r="U1859" i="1" s="1"/>
  <c r="E125" i="1"/>
  <c r="U125" i="1" s="1"/>
  <c r="E1140" i="1"/>
  <c r="U1140" i="1" s="1"/>
  <c r="E1471" i="1"/>
  <c r="U1471" i="1" s="1"/>
  <c r="E1083" i="1"/>
  <c r="U1083" i="1" s="1"/>
  <c r="E481" i="1"/>
  <c r="U481" i="1" s="1"/>
  <c r="E1769" i="1"/>
  <c r="U1769" i="1" s="1"/>
  <c r="E492" i="1"/>
  <c r="U492" i="1" s="1"/>
  <c r="E528" i="1"/>
  <c r="U528" i="1" s="1"/>
  <c r="E984" i="1"/>
  <c r="U984" i="1" s="1"/>
  <c r="E281" i="1"/>
  <c r="U281" i="1" s="1"/>
  <c r="E1833" i="1"/>
  <c r="U1833" i="1" s="1"/>
  <c r="E857" i="1"/>
  <c r="U857" i="1" s="1"/>
  <c r="E1164" i="1"/>
  <c r="U1164" i="1" s="1"/>
  <c r="E1231" i="1"/>
  <c r="U1231" i="1" s="1"/>
  <c r="E1610" i="1"/>
  <c r="U1610" i="1" s="1"/>
  <c r="E1341" i="1"/>
  <c r="U1341" i="1" s="1"/>
  <c r="E1891" i="1"/>
  <c r="U1891" i="1" s="1"/>
  <c r="E1618" i="1"/>
  <c r="U1618" i="1" s="1"/>
  <c r="E1554" i="1"/>
  <c r="U1554" i="1" s="1"/>
  <c r="E595" i="1"/>
  <c r="U595" i="1" s="1"/>
  <c r="E2021" i="1"/>
  <c r="U2021" i="1" s="1"/>
  <c r="E749" i="1"/>
  <c r="U749" i="1" s="1"/>
  <c r="E1676" i="1"/>
  <c r="U1676" i="1" s="1"/>
  <c r="E1944" i="1"/>
  <c r="U1944" i="1" s="1"/>
  <c r="E1498" i="1"/>
  <c r="U1498" i="1" s="1"/>
  <c r="E1666" i="1"/>
  <c r="U1666" i="1" s="1"/>
  <c r="E957" i="1"/>
  <c r="U957" i="1" s="1"/>
  <c r="E1364" i="1"/>
  <c r="U1364" i="1" s="1"/>
  <c r="E65" i="1"/>
  <c r="U65" i="1" s="1"/>
  <c r="E71" i="1"/>
  <c r="U71" i="1" s="1"/>
  <c r="E1179" i="1"/>
  <c r="U1179" i="1" s="1"/>
  <c r="E441" i="1"/>
  <c r="U441" i="1" s="1"/>
  <c r="E2108" i="1"/>
  <c r="U2108" i="1" s="1"/>
  <c r="E964" i="1"/>
  <c r="U964" i="1" s="1"/>
  <c r="E542" i="1"/>
  <c r="U542" i="1" s="1"/>
  <c r="E1680" i="1"/>
  <c r="U1680" i="1" s="1"/>
  <c r="E1993" i="1"/>
  <c r="U1993" i="1" s="1"/>
  <c r="E1794" i="1"/>
  <c r="U1794" i="1" s="1"/>
  <c r="E1183" i="1"/>
  <c r="U1183" i="1" s="1"/>
  <c r="E1053" i="1"/>
  <c r="U1053" i="1" s="1"/>
  <c r="E1322" i="1"/>
  <c r="U1322" i="1" s="1"/>
  <c r="E1187" i="1"/>
  <c r="U1187" i="1" s="1"/>
  <c r="E1112" i="1"/>
  <c r="U1112" i="1" s="1"/>
  <c r="E487" i="1"/>
  <c r="U487" i="1" s="1"/>
  <c r="E1896" i="1"/>
  <c r="U1896" i="1" s="1"/>
  <c r="E488" i="1"/>
  <c r="U488" i="1" s="1"/>
  <c r="E669" i="1"/>
  <c r="U669" i="1" s="1"/>
  <c r="E545" i="1"/>
  <c r="U545" i="1" s="1"/>
  <c r="E561" i="1"/>
  <c r="U561" i="1" s="1"/>
  <c r="E1110" i="1"/>
  <c r="U1110" i="1" s="1"/>
  <c r="E1691" i="1"/>
  <c r="U1691" i="1" s="1"/>
  <c r="E990" i="1"/>
  <c r="U990" i="1" s="1"/>
  <c r="E87" i="1"/>
  <c r="U87" i="1" s="1"/>
  <c r="E876" i="1"/>
  <c r="U876" i="1" s="1"/>
  <c r="E2112" i="1"/>
  <c r="U2112" i="1" s="1"/>
  <c r="E1998" i="1"/>
  <c r="U1998" i="1" s="1"/>
  <c r="E14" i="1"/>
  <c r="U14" i="1" s="1"/>
  <c r="E1961" i="1"/>
  <c r="U1961" i="1" s="1"/>
  <c r="E2027" i="1"/>
  <c r="U2027" i="1" s="1"/>
  <c r="E1371" i="1"/>
  <c r="U1371" i="1" s="1"/>
  <c r="E53" i="1"/>
  <c r="U53" i="1" s="1"/>
  <c r="E1455" i="1"/>
  <c r="U1455" i="1" s="1"/>
  <c r="E1257" i="1"/>
  <c r="U1257" i="1" s="1"/>
  <c r="E790" i="1"/>
  <c r="U790" i="1" s="1"/>
  <c r="E2076" i="1"/>
  <c r="U2076" i="1" s="1"/>
  <c r="E205" i="1"/>
  <c r="U205" i="1" s="1"/>
  <c r="E1022" i="1"/>
  <c r="U1022" i="1" s="1"/>
  <c r="E1121" i="1"/>
  <c r="U1121" i="1" s="1"/>
  <c r="E293" i="1"/>
  <c r="U293" i="1" s="1"/>
  <c r="E101" i="1"/>
  <c r="U101" i="1" s="1"/>
  <c r="E1226" i="1"/>
  <c r="U1226" i="1" s="1"/>
  <c r="E1763" i="1"/>
  <c r="U1763" i="1" s="1"/>
  <c r="E395" i="1"/>
  <c r="U395" i="1" s="1"/>
  <c r="E1273" i="1"/>
  <c r="U1273" i="1" s="1"/>
  <c r="E137" i="1"/>
  <c r="U137" i="1" s="1"/>
  <c r="E107" i="1"/>
  <c r="U107" i="1" s="1"/>
  <c r="E1882" i="1"/>
  <c r="U1882" i="1" s="1"/>
  <c r="E92" i="1"/>
  <c r="U92" i="1" s="1"/>
  <c r="E1345" i="1"/>
  <c r="U1345" i="1" s="1"/>
  <c r="E757" i="1"/>
  <c r="U757" i="1" s="1"/>
  <c r="E2050" i="1"/>
  <c r="U2050" i="1" s="1"/>
  <c r="E232" i="1"/>
  <c r="U232" i="1" s="1"/>
  <c r="E771" i="1"/>
  <c r="U771" i="1" s="1"/>
  <c r="E767" i="1"/>
  <c r="U767" i="1" s="1"/>
  <c r="E196" i="1"/>
  <c r="U196" i="1" s="1"/>
  <c r="E1049" i="1"/>
  <c r="U1049" i="1" s="1"/>
  <c r="E1255" i="1"/>
  <c r="U1255" i="1" s="1"/>
  <c r="E280" i="1"/>
  <c r="U280" i="1" s="1"/>
  <c r="E544" i="1"/>
  <c r="U544" i="1" s="1"/>
  <c r="E110" i="1"/>
  <c r="U110" i="1" s="1"/>
  <c r="E129" i="1"/>
  <c r="U129" i="1" s="1"/>
  <c r="E1317" i="1"/>
  <c r="U1317" i="1" s="1"/>
  <c r="E1170" i="1"/>
  <c r="U1170" i="1" s="1"/>
  <c r="E1599" i="1"/>
  <c r="U1599" i="1" s="1"/>
  <c r="E733" i="1"/>
  <c r="U733" i="1" s="1"/>
  <c r="E1352" i="1"/>
  <c r="U1352" i="1" s="1"/>
  <c r="E457" i="1"/>
  <c r="U457" i="1" s="1"/>
  <c r="E1861" i="1"/>
  <c r="U1861" i="1" s="1"/>
  <c r="E1875" i="1"/>
  <c r="U1875" i="1" s="1"/>
  <c r="E1706" i="1"/>
  <c r="U1706" i="1" s="1"/>
  <c r="E1941" i="1"/>
  <c r="U1941" i="1" s="1"/>
  <c r="E818" i="1"/>
  <c r="U818" i="1" s="1"/>
  <c r="E1807" i="1"/>
  <c r="U1807" i="1" s="1"/>
  <c r="E1787" i="1"/>
  <c r="U1787" i="1" s="1"/>
  <c r="E2107" i="1"/>
  <c r="U2107" i="1" s="1"/>
  <c r="E468" i="1"/>
  <c r="U468" i="1" s="1"/>
  <c r="E401" i="1"/>
  <c r="U401" i="1" s="1"/>
  <c r="E1782" i="1"/>
  <c r="U1782" i="1" s="1"/>
  <c r="E552" i="1"/>
  <c r="U552" i="1" s="1"/>
  <c r="E1202" i="1"/>
  <c r="U1202" i="1" s="1"/>
  <c r="E1639" i="1"/>
  <c r="U1639" i="1" s="1"/>
  <c r="E813" i="1"/>
  <c r="U813" i="1" s="1"/>
  <c r="E1750" i="1"/>
  <c r="U1750" i="1" s="1"/>
  <c r="E511" i="1"/>
  <c r="U511" i="1" s="1"/>
  <c r="E2024" i="1"/>
  <c r="U2024" i="1" s="1"/>
  <c r="E82" i="1"/>
  <c r="U82" i="1" s="1"/>
  <c r="E1962" i="1"/>
  <c r="U1962" i="1" s="1"/>
  <c r="E895" i="1"/>
  <c r="U895" i="1" s="1"/>
  <c r="E195" i="1"/>
  <c r="U195" i="1" s="1"/>
  <c r="E2111" i="1"/>
  <c r="U2111" i="1" s="1"/>
  <c r="E1064" i="1"/>
  <c r="U1064" i="1" s="1"/>
  <c r="E1380" i="1"/>
  <c r="U1380" i="1" s="1"/>
  <c r="E893" i="1"/>
  <c r="U893" i="1" s="1"/>
  <c r="E1659" i="1"/>
  <c r="U1659" i="1" s="1"/>
  <c r="E1987" i="1"/>
  <c r="U1987" i="1" s="1"/>
  <c r="E804" i="1"/>
  <c r="U804" i="1" s="1"/>
  <c r="E1243" i="1"/>
  <c r="U1243" i="1" s="1"/>
  <c r="E812" i="1"/>
  <c r="U812" i="1" s="1"/>
  <c r="E1695" i="1"/>
  <c r="U1695" i="1" s="1"/>
  <c r="E1403" i="1"/>
  <c r="U1403" i="1" s="1"/>
  <c r="E937" i="1"/>
  <c r="U937" i="1" s="1"/>
  <c r="E868" i="1"/>
  <c r="U868" i="1" s="1"/>
  <c r="E1340" i="1"/>
  <c r="U1340" i="1" s="1"/>
  <c r="E1538" i="1"/>
  <c r="U1538" i="1" s="1"/>
  <c r="E1549" i="1"/>
  <c r="U1549" i="1" s="1"/>
  <c r="E1758" i="1"/>
  <c r="U1758" i="1" s="1"/>
  <c r="E1435" i="1"/>
  <c r="U1435" i="1" s="1"/>
  <c r="E1712" i="1"/>
  <c r="U1712" i="1" s="1"/>
  <c r="E792" i="1"/>
  <c r="U792" i="1" s="1"/>
  <c r="E923" i="1"/>
  <c r="U923" i="1" s="1"/>
  <c r="E1315" i="1"/>
  <c r="U1315" i="1" s="1"/>
  <c r="E1434" i="1"/>
  <c r="U1434" i="1" s="1"/>
  <c r="E1640" i="1"/>
  <c r="U1640" i="1" s="1"/>
  <c r="E992" i="1"/>
  <c r="U992" i="1" s="1"/>
  <c r="E168" i="1"/>
  <c r="U168" i="1" s="1"/>
  <c r="E675" i="1"/>
  <c r="U675" i="1" s="1"/>
  <c r="E537" i="1"/>
  <c r="U537" i="1" s="1"/>
  <c r="E354" i="1"/>
  <c r="U354" i="1" s="1"/>
  <c r="E1375" i="1"/>
  <c r="U1375" i="1" s="1"/>
  <c r="E1991" i="1"/>
  <c r="U1991" i="1" s="1"/>
  <c r="E811" i="1"/>
  <c r="U811" i="1" s="1"/>
  <c r="E1732" i="1"/>
  <c r="U1732" i="1" s="1"/>
  <c r="E924" i="1"/>
  <c r="U924" i="1" s="1"/>
  <c r="E553" i="1"/>
  <c r="U553" i="1" s="1"/>
  <c r="E461" i="1"/>
  <c r="U461" i="1" s="1"/>
  <c r="E1495" i="1"/>
  <c r="U1495" i="1" s="1"/>
  <c r="E1038" i="1"/>
  <c r="U1038" i="1" s="1"/>
  <c r="E817" i="1"/>
  <c r="U817" i="1" s="1"/>
  <c r="E388" i="1"/>
  <c r="U388" i="1" s="1"/>
  <c r="E503" i="1"/>
  <c r="U503" i="1" s="1"/>
  <c r="E26" i="1"/>
  <c r="U26" i="1" s="1"/>
  <c r="E2119" i="1"/>
  <c r="U2119" i="1" s="1"/>
  <c r="E1190" i="1"/>
  <c r="U1190" i="1" s="1"/>
  <c r="E1597" i="1"/>
  <c r="U1597" i="1" s="1"/>
  <c r="E1865" i="1"/>
  <c r="U1865" i="1" s="1"/>
  <c r="E180" i="1"/>
  <c r="U180" i="1" s="1"/>
  <c r="E5" i="1"/>
  <c r="U5" i="1" s="1"/>
  <c r="E1745" i="1"/>
  <c r="U1745" i="1" s="1"/>
  <c r="E2044" i="1"/>
  <c r="U2044" i="1" s="1"/>
  <c r="E1545" i="1"/>
  <c r="U1545" i="1" s="1"/>
  <c r="E351" i="1"/>
  <c r="U351" i="1" s="1"/>
  <c r="E1516" i="1"/>
  <c r="U1516" i="1" s="1"/>
  <c r="E2002" i="1"/>
  <c r="U2002" i="1" s="1"/>
  <c r="E2012" i="1"/>
  <c r="U2012" i="1" s="1"/>
  <c r="E1217" i="1"/>
  <c r="U1217" i="1" s="1"/>
  <c r="E145" i="1"/>
  <c r="U145" i="1" s="1"/>
  <c r="E1529" i="1"/>
  <c r="U1529" i="1" s="1"/>
  <c r="E1218" i="1"/>
  <c r="U1218" i="1" s="1"/>
  <c r="E1907" i="1"/>
  <c r="U1907" i="1" s="1"/>
  <c r="E1078" i="1"/>
  <c r="U1078" i="1" s="1"/>
  <c r="E649" i="1"/>
  <c r="U649" i="1" s="1"/>
  <c r="E1556" i="1"/>
  <c r="U1556" i="1" s="1"/>
  <c r="E1511" i="1"/>
  <c r="U1511" i="1" s="1"/>
  <c r="E334" i="1"/>
  <c r="U334" i="1" s="1"/>
  <c r="E2113" i="1"/>
  <c r="U2113" i="1" s="1"/>
  <c r="E782" i="1"/>
  <c r="U782" i="1" s="1"/>
  <c r="E1299" i="1"/>
  <c r="U1299" i="1" s="1"/>
  <c r="E1506" i="1"/>
  <c r="U1506" i="1" s="1"/>
  <c r="E740" i="1"/>
  <c r="U740" i="1" s="1"/>
  <c r="E353" i="1"/>
  <c r="U353" i="1" s="1"/>
  <c r="E945" i="1"/>
  <c r="U945" i="1" s="1"/>
  <c r="E2063" i="1"/>
  <c r="U2063" i="1" s="1"/>
  <c r="E1139" i="1"/>
  <c r="U1139" i="1" s="1"/>
  <c r="E1132" i="1"/>
  <c r="U1132" i="1" s="1"/>
  <c r="E975" i="1"/>
  <c r="U975" i="1" s="1"/>
  <c r="E709" i="1"/>
  <c r="U709" i="1" s="1"/>
  <c r="E2086" i="1"/>
  <c r="U2086" i="1" s="1"/>
  <c r="E1059" i="1"/>
  <c r="U1059" i="1" s="1"/>
  <c r="E877" i="1"/>
  <c r="U877" i="1" s="1"/>
  <c r="E1395" i="1"/>
  <c r="U1395" i="1" s="1"/>
  <c r="E713" i="1"/>
  <c r="U713" i="1" s="1"/>
  <c r="E1652" i="1"/>
  <c r="U1652" i="1" s="1"/>
  <c r="E1462" i="1"/>
  <c r="U1462" i="1" s="1"/>
  <c r="E74" i="1"/>
  <c r="U74" i="1" s="1"/>
  <c r="E1384" i="1"/>
  <c r="U1384" i="1" s="1"/>
  <c r="E1389" i="1"/>
  <c r="U1389" i="1" s="1"/>
  <c r="E856" i="1"/>
  <c r="U856" i="1" s="1"/>
  <c r="E47" i="1"/>
  <c r="U47" i="1" s="1"/>
  <c r="E32" i="1"/>
  <c r="U32" i="1" s="1"/>
  <c r="E894" i="1"/>
  <c r="U894" i="1" s="1"/>
  <c r="E2133" i="1"/>
  <c r="U2133" i="1" s="1"/>
  <c r="E198" i="1"/>
  <c r="U198" i="1" s="1"/>
  <c r="E920" i="1"/>
  <c r="U920" i="1" s="1"/>
  <c r="E1349" i="1"/>
  <c r="U1349" i="1" s="1"/>
  <c r="E365" i="1"/>
  <c r="U365" i="1" s="1"/>
  <c r="E1286" i="1"/>
  <c r="U1286" i="1" s="1"/>
  <c r="E2052" i="1"/>
  <c r="U2052" i="1" s="1"/>
  <c r="E384" i="1"/>
  <c r="U384" i="1" s="1"/>
  <c r="E972" i="1"/>
  <c r="U972" i="1" s="1"/>
  <c r="E1404" i="1"/>
  <c r="U1404" i="1" s="1"/>
  <c r="E1620" i="1"/>
  <c r="U1620" i="1" s="1"/>
  <c r="E865" i="1"/>
  <c r="U865" i="1" s="1"/>
  <c r="E1701" i="1"/>
  <c r="U1701" i="1" s="1"/>
  <c r="E1441" i="1"/>
  <c r="U1441" i="1" s="1"/>
  <c r="E781" i="1"/>
  <c r="U781" i="1" s="1"/>
  <c r="E253" i="1"/>
  <c r="U253" i="1" s="1"/>
  <c r="E994" i="1"/>
  <c r="U994" i="1" s="1"/>
  <c r="E506" i="1"/>
  <c r="U506" i="1" s="1"/>
  <c r="E499" i="1"/>
  <c r="U499" i="1" s="1"/>
  <c r="E725" i="1"/>
  <c r="U725" i="1" s="1"/>
  <c r="E1627" i="1"/>
  <c r="U1627" i="1" s="1"/>
  <c r="E279" i="1"/>
  <c r="U279" i="1" s="1"/>
  <c r="E1194" i="1"/>
  <c r="U1194" i="1" s="1"/>
  <c r="E2032" i="1"/>
  <c r="U2032" i="1" s="1"/>
  <c r="E1628" i="1"/>
  <c r="U1628" i="1" s="1"/>
  <c r="E495" i="1"/>
  <c r="U495" i="1" s="1"/>
  <c r="E1973" i="1"/>
  <c r="U1973" i="1" s="1"/>
  <c r="E1808" i="1"/>
  <c r="U1808" i="1" s="1"/>
  <c r="E656" i="1"/>
  <c r="U656" i="1" s="1"/>
  <c r="E218" i="1"/>
  <c r="U218" i="1" s="1"/>
  <c r="E793" i="1"/>
  <c r="U793" i="1" s="1"/>
  <c r="E1674" i="1"/>
  <c r="U1674" i="1" s="1"/>
  <c r="E2009" i="1"/>
  <c r="U2009" i="1" s="1"/>
  <c r="E830" i="1"/>
  <c r="U830" i="1" s="1"/>
  <c r="E2025" i="1"/>
  <c r="U2025" i="1" s="1"/>
  <c r="E835" i="1"/>
  <c r="U835" i="1" s="1"/>
  <c r="E1658" i="1"/>
  <c r="U1658" i="1" s="1"/>
  <c r="E190" i="1"/>
  <c r="U190" i="1" s="1"/>
  <c r="E1105" i="1"/>
  <c r="U1105" i="1" s="1"/>
  <c r="E1669" i="1"/>
  <c r="U1669" i="1" s="1"/>
  <c r="E308" i="1"/>
  <c r="U308" i="1" s="1"/>
  <c r="E1603" i="1"/>
  <c r="U1603" i="1" s="1"/>
  <c r="E1480" i="1"/>
  <c r="U1480" i="1" s="1"/>
  <c r="E355" i="1"/>
  <c r="U355" i="1" s="1"/>
  <c r="E1476" i="1"/>
  <c r="U1476" i="1" s="1"/>
  <c r="E1256" i="1"/>
  <c r="U1256" i="1" s="1"/>
  <c r="E1385" i="1"/>
  <c r="U1385" i="1" s="1"/>
  <c r="E1876" i="1"/>
  <c r="U1876" i="1" s="1"/>
  <c r="E2041" i="1"/>
  <c r="U2041" i="1" s="1"/>
  <c r="E584" i="1"/>
  <c r="U584" i="1" s="1"/>
  <c r="E762" i="1"/>
  <c r="U762" i="1" s="1"/>
  <c r="E1535" i="1"/>
  <c r="U1535" i="1" s="1"/>
  <c r="E1514" i="1"/>
  <c r="U1514" i="1" s="1"/>
  <c r="E121" i="1"/>
  <c r="U121" i="1" s="1"/>
  <c r="E27" i="1"/>
  <c r="U27" i="1" s="1"/>
  <c r="E1107" i="1"/>
  <c r="U1107" i="1" s="1"/>
  <c r="E422" i="1"/>
  <c r="U422" i="1" s="1"/>
  <c r="E559" i="1"/>
  <c r="U559" i="1" s="1"/>
  <c r="E1507" i="1"/>
  <c r="U1507" i="1" s="1"/>
  <c r="E2000" i="1"/>
  <c r="U2000" i="1" s="1"/>
  <c r="E1816" i="1"/>
  <c r="U1816" i="1" s="1"/>
  <c r="E342" i="1"/>
  <c r="U342" i="1" s="1"/>
  <c r="E570" i="1"/>
  <c r="U570" i="1" s="1"/>
  <c r="E726" i="1"/>
  <c r="U726" i="1" s="1"/>
  <c r="E1837" i="1"/>
  <c r="U1837" i="1" s="1"/>
  <c r="E774" i="1"/>
  <c r="U774" i="1" s="1"/>
  <c r="E483" i="1"/>
  <c r="U483" i="1" s="1"/>
  <c r="E295" i="1"/>
  <c r="U295" i="1" s="1"/>
  <c r="E2109" i="1"/>
  <c r="U2109" i="1" s="1"/>
  <c r="E678" i="1"/>
  <c r="U678" i="1" s="1"/>
  <c r="E2087" i="1"/>
  <c r="U2087" i="1" s="1"/>
  <c r="E622" i="1"/>
  <c r="U622" i="1" s="1"/>
  <c r="E784" i="1"/>
  <c r="U784" i="1" s="1"/>
  <c r="E1805" i="1"/>
  <c r="U1805" i="1" s="1"/>
  <c r="E494" i="1"/>
  <c r="U494" i="1" s="1"/>
  <c r="E1976" i="1"/>
  <c r="U1976" i="1" s="1"/>
  <c r="E369" i="1"/>
  <c r="U369" i="1" s="1"/>
  <c r="E1578" i="1"/>
  <c r="U1578" i="1" s="1"/>
  <c r="E668" i="1"/>
  <c r="U668" i="1" s="1"/>
  <c r="E161" i="1"/>
  <c r="U161" i="1" s="1"/>
  <c r="E1400" i="1"/>
  <c r="U1400" i="1" s="1"/>
  <c r="E1056" i="1"/>
  <c r="U1056" i="1" s="1"/>
  <c r="E1131" i="1"/>
  <c r="U1131" i="1" s="1"/>
  <c r="E1790" i="1"/>
  <c r="U1790" i="1" s="1"/>
  <c r="E873" i="1"/>
  <c r="U873" i="1" s="1"/>
  <c r="E543" i="1"/>
  <c r="U543" i="1" s="1"/>
  <c r="E170" i="1"/>
  <c r="U170" i="1" s="1"/>
  <c r="E312" i="1"/>
  <c r="U312" i="1" s="1"/>
  <c r="E1045" i="1"/>
  <c r="U1045" i="1" s="1"/>
  <c r="E598" i="1"/>
  <c r="U598" i="1" s="1"/>
  <c r="E425" i="1"/>
  <c r="U425" i="1" s="1"/>
  <c r="E1079" i="1"/>
  <c r="U1079" i="1" s="1"/>
  <c r="E1879" i="1"/>
  <c r="U1879" i="1" s="1"/>
  <c r="E1188" i="1"/>
  <c r="U1188" i="1" s="1"/>
  <c r="E332" i="1"/>
  <c r="U332" i="1" s="1"/>
  <c r="E854" i="1"/>
  <c r="U854" i="1" s="1"/>
  <c r="E585" i="1"/>
  <c r="U585" i="1" s="1"/>
  <c r="E1739" i="1"/>
  <c r="U1739" i="1" s="1"/>
  <c r="E69" i="1"/>
  <c r="U69" i="1" s="1"/>
  <c r="E1270" i="1"/>
  <c r="U1270" i="1" s="1"/>
  <c r="E744" i="1"/>
  <c r="U744" i="1" s="1"/>
  <c r="E2089" i="1"/>
  <c r="E1851" i="1"/>
  <c r="U1851" i="1" s="1"/>
  <c r="E469" i="1"/>
  <c r="U469" i="1" s="1"/>
  <c r="E59" i="1"/>
  <c r="U59" i="1" s="1"/>
  <c r="E1453" i="1"/>
  <c r="U1453" i="1" s="1"/>
  <c r="E2046" i="1"/>
  <c r="U2046" i="1" s="1"/>
  <c r="E1359" i="1"/>
  <c r="U1359" i="1" s="1"/>
  <c r="E2096" i="1"/>
  <c r="U2096" i="1" s="1"/>
  <c r="E1723" i="1"/>
  <c r="U1723" i="1" s="1"/>
  <c r="E523" i="1"/>
  <c r="U523" i="1" s="1"/>
  <c r="E131" i="1"/>
  <c r="U131" i="1" s="1"/>
  <c r="E1935" i="1"/>
  <c r="U1935" i="1" s="1"/>
  <c r="E946" i="1"/>
  <c r="U946" i="1" s="1"/>
  <c r="E1605" i="1"/>
  <c r="U1605" i="1" s="1"/>
  <c r="E1820" i="1"/>
  <c r="U1820" i="1" s="1"/>
  <c r="E1678" i="1"/>
  <c r="U1678" i="1" s="1"/>
  <c r="E903" i="1"/>
  <c r="U903" i="1" s="1"/>
  <c r="E1985" i="1"/>
  <c r="U1985" i="1" s="1"/>
  <c r="E1199" i="1"/>
  <c r="U1199" i="1" s="1"/>
  <c r="E1826" i="1"/>
  <c r="U1826" i="1" s="1"/>
  <c r="E1551" i="1"/>
  <c r="U1551" i="1" s="1"/>
  <c r="E1726" i="1"/>
  <c r="U1726" i="1" s="1"/>
  <c r="E251" i="1"/>
  <c r="U251" i="1" s="1"/>
  <c r="E617" i="1"/>
  <c r="U617" i="1" s="1"/>
  <c r="E276" i="1"/>
  <c r="U276" i="1" s="1"/>
  <c r="E1313" i="1"/>
  <c r="U1313" i="1" s="1"/>
  <c r="E1466" i="1"/>
  <c r="U1466" i="1" s="1"/>
  <c r="E1324" i="1"/>
  <c r="U1324" i="1" s="1"/>
  <c r="E2092" i="1"/>
  <c r="U2092" i="1" s="1"/>
  <c r="E582" i="1"/>
  <c r="U582" i="1" s="1"/>
  <c r="E1382" i="1"/>
  <c r="U1382" i="1" s="1"/>
  <c r="E1467" i="1"/>
  <c r="U1467" i="1" s="1"/>
  <c r="E851" i="1"/>
  <c r="U851" i="1" s="1"/>
  <c r="E1195" i="1"/>
  <c r="U1195" i="1" s="1"/>
  <c r="E36" i="1"/>
  <c r="U36" i="1" s="1"/>
  <c r="E1366" i="1"/>
  <c r="U1366" i="1" s="1"/>
  <c r="E832" i="1"/>
  <c r="U832" i="1" s="1"/>
  <c r="E1470" i="1"/>
  <c r="U1470" i="1" s="1"/>
  <c r="E19" i="1"/>
  <c r="U19" i="1" s="1"/>
  <c r="E1176" i="1"/>
  <c r="U1176" i="1" s="1"/>
  <c r="E789" i="1"/>
  <c r="U789" i="1" s="1"/>
  <c r="E1853" i="1"/>
  <c r="U1853" i="1" s="1"/>
  <c r="E565" i="1"/>
  <c r="U565" i="1" s="1"/>
  <c r="E1561" i="1"/>
  <c r="U1561" i="1" s="1"/>
  <c r="E1168" i="1"/>
  <c r="U1168" i="1" s="1"/>
  <c r="E250" i="1"/>
  <c r="U250" i="1" s="1"/>
  <c r="E48" i="1"/>
  <c r="U48" i="1" s="1"/>
  <c r="E1223" i="1"/>
  <c r="U1223" i="1" s="1"/>
  <c r="E352" i="1"/>
  <c r="U352" i="1" s="1"/>
  <c r="E2010" i="1"/>
  <c r="U2010" i="1" s="1"/>
  <c r="E320" i="1"/>
  <c r="U320" i="1" s="1"/>
  <c r="E800" i="1"/>
  <c r="U800" i="1" s="1"/>
  <c r="E1088" i="1"/>
  <c r="U1088" i="1" s="1"/>
  <c r="E228" i="1"/>
  <c r="U228" i="1" s="1"/>
  <c r="E327" i="1"/>
  <c r="U327" i="1" s="1"/>
  <c r="E1509" i="1"/>
  <c r="U1509" i="1" s="1"/>
  <c r="E447" i="1"/>
  <c r="U447" i="1" s="1"/>
  <c r="E1911" i="1"/>
  <c r="U1911" i="1" s="1"/>
  <c r="E379" i="1"/>
  <c r="U379" i="1" s="1"/>
  <c r="E699" i="1"/>
  <c r="U699" i="1" s="1"/>
  <c r="E1933" i="1"/>
  <c r="U1933" i="1" s="1"/>
  <c r="E682" i="1"/>
  <c r="U682" i="1" s="1"/>
  <c r="E892" i="1"/>
  <c r="U892" i="1" s="1"/>
  <c r="E860" i="1"/>
  <c r="U860" i="1" s="1"/>
  <c r="E1520" i="1"/>
  <c r="U1520" i="1" s="1"/>
  <c r="E1566" i="1"/>
  <c r="U1566" i="1" s="1"/>
  <c r="E500" i="1"/>
  <c r="U500" i="1" s="1"/>
  <c r="E1591" i="1"/>
  <c r="U1591" i="1" s="1"/>
  <c r="E1174" i="1"/>
  <c r="U1174" i="1" s="1"/>
  <c r="E654" i="1"/>
  <c r="U654" i="1" s="1"/>
  <c r="E1949" i="1"/>
  <c r="U1949" i="1" s="1"/>
  <c r="E861" i="1"/>
  <c r="U861" i="1" s="1"/>
  <c r="E874" i="1"/>
  <c r="U874" i="1" s="1"/>
  <c r="E679" i="1"/>
  <c r="U679" i="1" s="1"/>
  <c r="E1343" i="1"/>
  <c r="U1343" i="1" s="1"/>
  <c r="E1167" i="1"/>
  <c r="U1167" i="1" s="1"/>
  <c r="E1423" i="1"/>
  <c r="U1423" i="1" s="1"/>
  <c r="E407" i="1"/>
  <c r="U407" i="1" s="1"/>
  <c r="E1839" i="1"/>
  <c r="U1839" i="1" s="1"/>
  <c r="E72" i="1"/>
  <c r="U72" i="1" s="1"/>
  <c r="E787" i="1"/>
  <c r="U787" i="1" s="1"/>
  <c r="E239" i="1"/>
  <c r="U239" i="1" s="1"/>
  <c r="E1220" i="1"/>
  <c r="U1220" i="1" s="1"/>
  <c r="E1419" i="1"/>
  <c r="U1419" i="1" s="1"/>
  <c r="E197" i="1"/>
  <c r="U197" i="1" s="1"/>
  <c r="E1912" i="1"/>
  <c r="U1912" i="1" s="1"/>
  <c r="E1874" i="1"/>
  <c r="U1874" i="1" s="1"/>
  <c r="E1504" i="1"/>
  <c r="U1504" i="1" s="1"/>
  <c r="E80" i="1"/>
  <c r="U80" i="1" s="1"/>
  <c r="E795" i="1"/>
  <c r="U795" i="1" s="1"/>
  <c r="E953" i="1"/>
  <c r="U953" i="1" s="1"/>
  <c r="E628" i="1"/>
  <c r="U628" i="1" s="1"/>
  <c r="E1241" i="1"/>
  <c r="U1241" i="1" s="1"/>
  <c r="E510" i="1"/>
  <c r="U510" i="1" s="1"/>
  <c r="E1301" i="1"/>
  <c r="U1301" i="1" s="1"/>
  <c r="E370" i="1"/>
  <c r="U370" i="1" s="1"/>
  <c r="E1565" i="1"/>
  <c r="U1565" i="1" s="1"/>
  <c r="E1542" i="1"/>
  <c r="U1542" i="1" s="1"/>
  <c r="E1016" i="1"/>
  <c r="U1016" i="1" s="1"/>
  <c r="E1212" i="1"/>
  <c r="U1212" i="1" s="1"/>
  <c r="E754" i="1"/>
  <c r="U754" i="1" s="1"/>
  <c r="E1353" i="1"/>
  <c r="U1353" i="1" s="1"/>
  <c r="E1647" i="1"/>
  <c r="U1647" i="1" s="1"/>
  <c r="E1114" i="1"/>
  <c r="U1114" i="1" s="1"/>
  <c r="E941" i="1"/>
  <c r="U941" i="1" s="1"/>
  <c r="E1815" i="1"/>
  <c r="U1815" i="1" s="1"/>
  <c r="E950" i="1"/>
  <c r="U950" i="1" s="1"/>
  <c r="E1454" i="1"/>
  <c r="U1454" i="1" s="1"/>
  <c r="E1303" i="1"/>
  <c r="U1303" i="1" s="1"/>
  <c r="E1539" i="1"/>
  <c r="U1539" i="1" s="1"/>
  <c r="E146" i="1"/>
  <c r="U146" i="1" s="1"/>
  <c r="E681" i="1"/>
  <c r="U681" i="1" s="1"/>
  <c r="E1577" i="1"/>
  <c r="U1577" i="1" s="1"/>
  <c r="E763" i="1"/>
  <c r="U763" i="1" s="1"/>
  <c r="E318" i="1"/>
  <c r="U318" i="1" s="1"/>
  <c r="E1279" i="1"/>
  <c r="U1279" i="1" s="1"/>
  <c r="E364" i="1"/>
  <c r="U364" i="1" s="1"/>
  <c r="E1797" i="1"/>
  <c r="U1797" i="1" s="1"/>
  <c r="E377" i="1"/>
  <c r="U377" i="1" s="1"/>
  <c r="E982" i="1"/>
  <c r="U982" i="1" s="1"/>
  <c r="E1670" i="1"/>
  <c r="U1670" i="1" s="1"/>
  <c r="E1263" i="1"/>
  <c r="U1263" i="1" s="1"/>
  <c r="E25" i="1"/>
  <c r="U25" i="1" s="1"/>
  <c r="E462" i="1"/>
  <c r="U462" i="1" s="1"/>
  <c r="E907" i="1"/>
  <c r="U907" i="1" s="1"/>
  <c r="E1881" i="1"/>
  <c r="U1881" i="1" s="1"/>
  <c r="E1239" i="1"/>
  <c r="U1239" i="1" s="1"/>
  <c r="E1576" i="1"/>
  <c r="U1576" i="1" s="1"/>
  <c r="E1966" i="1"/>
  <c r="U1966" i="1" s="1"/>
  <c r="E977" i="1"/>
  <c r="U977" i="1" s="1"/>
  <c r="E231" i="1"/>
  <c r="U231" i="1" s="1"/>
  <c r="E698" i="1"/>
  <c r="U698" i="1" s="1"/>
  <c r="E1622" i="1"/>
  <c r="U1622" i="1" s="1"/>
  <c r="E910" i="1"/>
  <c r="U910" i="1" s="1"/>
  <c r="E124" i="1"/>
  <c r="U124" i="1" s="1"/>
  <c r="E589" i="1"/>
  <c r="U589" i="1" s="1"/>
  <c r="E666" i="1"/>
  <c r="U666" i="1" s="1"/>
  <c r="E58" i="1"/>
  <c r="U58" i="1" s="1"/>
  <c r="E431" i="1"/>
  <c r="U431" i="1" s="1"/>
  <c r="E1823" i="1"/>
  <c r="U1823" i="1" s="1"/>
  <c r="E1386" i="1"/>
  <c r="U1386" i="1" s="1"/>
  <c r="E67" i="1"/>
  <c r="U67" i="1" s="1"/>
  <c r="E1085" i="1"/>
  <c r="U1085" i="1" s="1"/>
  <c r="E1886" i="1"/>
  <c r="U1886" i="1" s="1"/>
  <c r="E1149" i="1"/>
  <c r="U1149" i="1" s="1"/>
  <c r="E648" i="1"/>
  <c r="U648" i="1" s="1"/>
  <c r="E6" i="1"/>
  <c r="U6" i="1" s="1"/>
  <c r="E1440" i="1"/>
  <c r="U1440" i="1" s="1"/>
  <c r="E1035" i="1"/>
  <c r="U1035" i="1" s="1"/>
  <c r="E257" i="1"/>
  <c r="U257" i="1" s="1"/>
  <c r="E1369" i="1"/>
  <c r="U1369" i="1" s="1"/>
  <c r="E1889" i="1"/>
  <c r="U1889" i="1" s="1"/>
  <c r="E111" i="1"/>
  <c r="U111" i="1" s="1"/>
  <c r="E1089" i="1"/>
  <c r="U1089" i="1" s="1"/>
  <c r="E1057" i="1"/>
  <c r="U1057" i="1" s="1"/>
  <c r="E815" i="1"/>
  <c r="U815" i="1" s="1"/>
  <c r="E2126" i="1"/>
  <c r="U2126" i="1" s="1"/>
  <c r="E147" i="1"/>
  <c r="U147" i="1" s="1"/>
  <c r="E1357" i="1"/>
  <c r="U1357" i="1" s="1"/>
  <c r="E1293" i="1"/>
  <c r="U1293" i="1" s="1"/>
  <c r="E1759" i="1"/>
  <c r="U1759" i="1" s="1"/>
  <c r="E1331" i="1"/>
  <c r="U1331" i="1" s="1"/>
  <c r="E419" i="1"/>
  <c r="U419" i="1" s="1"/>
  <c r="E427" i="1"/>
  <c r="U427" i="1" s="1"/>
  <c r="E135" i="1"/>
  <c r="U135" i="1" s="1"/>
  <c r="E1274" i="1"/>
  <c r="U1274" i="1" s="1"/>
  <c r="E616" i="1"/>
  <c r="U616" i="1" s="1"/>
  <c r="E1050" i="1"/>
  <c r="U1050" i="1" s="1"/>
  <c r="E418" i="1"/>
  <c r="U418" i="1" s="1"/>
  <c r="E609" i="1"/>
  <c r="U609" i="1" s="1"/>
  <c r="E1347" i="1"/>
  <c r="U1347" i="1" s="1"/>
  <c r="E1407" i="1"/>
  <c r="U1407" i="1" s="1"/>
  <c r="E1613" i="1"/>
  <c r="U1613" i="1" s="1"/>
  <c r="E906" i="1"/>
  <c r="U906" i="1" s="1"/>
  <c r="E70" i="1"/>
  <c r="U70" i="1" s="1"/>
  <c r="E1709" i="1"/>
  <c r="U1709" i="1" s="1"/>
  <c r="E1918" i="1"/>
  <c r="U1918" i="1" s="1"/>
  <c r="E1867" i="1"/>
  <c r="U1867" i="1" s="1"/>
  <c r="E465" i="1"/>
  <c r="U465" i="1" s="1"/>
  <c r="E1377" i="1"/>
  <c r="U1377" i="1" s="1"/>
  <c r="E1667" i="1"/>
  <c r="U1667" i="1" s="1"/>
  <c r="E1373" i="1"/>
  <c r="U1373" i="1" s="1"/>
  <c r="E761" i="1"/>
  <c r="U761" i="1" s="1"/>
  <c r="E967" i="1"/>
  <c r="U967" i="1" s="1"/>
  <c r="E540" i="1"/>
  <c r="U540" i="1" s="1"/>
  <c r="E1401" i="1"/>
  <c r="U1401" i="1" s="1"/>
  <c r="E1159" i="1"/>
  <c r="U1159" i="1" s="1"/>
  <c r="E1906" i="1"/>
  <c r="U1906" i="1" s="1"/>
  <c r="E1959" i="1"/>
  <c r="U1959" i="1" s="1"/>
  <c r="E1134" i="1"/>
  <c r="U1134" i="1" s="1"/>
  <c r="E1496" i="1"/>
  <c r="U1496" i="1" s="1"/>
  <c r="E834" i="1"/>
  <c r="U834" i="1" s="1"/>
  <c r="E2036" i="1"/>
  <c r="U2036" i="1" s="1"/>
  <c r="E1860" i="1"/>
  <c r="U1860" i="1" s="1"/>
  <c r="E282" i="1"/>
  <c r="U282" i="1" s="1"/>
  <c r="E930" i="1"/>
  <c r="U930" i="1" s="1"/>
  <c r="E612" i="1"/>
  <c r="U612" i="1" s="1"/>
  <c r="E335" i="1"/>
  <c r="U335" i="1" s="1"/>
  <c r="E1130" i="1"/>
  <c r="U1130" i="1" s="1"/>
  <c r="E504" i="1"/>
  <c r="U504" i="1" s="1"/>
  <c r="E1012" i="1"/>
  <c r="U1012" i="1" s="1"/>
  <c r="E1672" i="1"/>
  <c r="U1672" i="1" s="1"/>
  <c r="E1405" i="1"/>
  <c r="U1405" i="1" s="1"/>
  <c r="E1084" i="1"/>
  <c r="U1084" i="1" s="1"/>
  <c r="E1464" i="1"/>
  <c r="U1464" i="1" s="1"/>
  <c r="E1411" i="1"/>
  <c r="U1411" i="1" s="1"/>
  <c r="E1406" i="1"/>
  <c r="U1406" i="1" s="1"/>
  <c r="E1856" i="1"/>
  <c r="U1856" i="1" s="1"/>
  <c r="E1939" i="1"/>
  <c r="U1939" i="1" s="1"/>
  <c r="E2026" i="1"/>
  <c r="U2026" i="1" s="1"/>
  <c r="E1887" i="1"/>
  <c r="U1887" i="1" s="1"/>
  <c r="E1392" i="1"/>
  <c r="U1392" i="1" s="1"/>
  <c r="E864" i="1"/>
  <c r="U864" i="1" s="1"/>
  <c r="E1734" i="1"/>
  <c r="U1734" i="1" s="1"/>
  <c r="E235" i="1"/>
  <c r="U235" i="1" s="1"/>
  <c r="E406" i="1"/>
  <c r="U406" i="1" s="1"/>
  <c r="E1020" i="1"/>
  <c r="U1020" i="1" s="1"/>
  <c r="E586" i="1"/>
  <c r="U586" i="1" s="1"/>
  <c r="E1348" i="1"/>
  <c r="U1348" i="1" s="1"/>
  <c r="E2047" i="1"/>
  <c r="U2047" i="1" s="1"/>
  <c r="E192" i="1"/>
  <c r="U192" i="1" s="1"/>
  <c r="E1848" i="1"/>
  <c r="U1848" i="1" s="1"/>
  <c r="E115" i="1"/>
  <c r="U115" i="1" s="1"/>
  <c r="E914" i="1"/>
  <c r="U914" i="1" s="1"/>
  <c r="E1484" i="1"/>
  <c r="U1484" i="1" s="1"/>
  <c r="E1073" i="1"/>
  <c r="U1073" i="1" s="1"/>
  <c r="E1060" i="1"/>
  <c r="U1060" i="1" s="1"/>
  <c r="E2079" i="1"/>
  <c r="U2079" i="1" s="1"/>
  <c r="E1368" i="1"/>
  <c r="U1368" i="1" s="1"/>
  <c r="E548" i="1"/>
  <c r="U548" i="1" s="1"/>
  <c r="E1044" i="1"/>
  <c r="U1044" i="1" s="1"/>
  <c r="E1629" i="1"/>
  <c r="U1629" i="1" s="1"/>
  <c r="E1412" i="1"/>
  <c r="U1412" i="1" s="1"/>
  <c r="E287" i="1"/>
  <c r="U287" i="1" s="1"/>
  <c r="E1009" i="1"/>
  <c r="U1009" i="1" s="1"/>
  <c r="E1002" i="1"/>
  <c r="U1002" i="1" s="1"/>
  <c r="E77" i="1"/>
  <c r="U77" i="1" s="1"/>
  <c r="E1451" i="1"/>
  <c r="U1451" i="1" s="1"/>
  <c r="E1099" i="1"/>
  <c r="U1099" i="1" s="1"/>
  <c r="E402" i="1"/>
  <c r="U402" i="1" s="1"/>
  <c r="E508" i="1"/>
  <c r="U508" i="1" s="1"/>
  <c r="E1567" i="1"/>
  <c r="U1567" i="1" s="1"/>
  <c r="E1804" i="1"/>
  <c r="U1804" i="1" s="1"/>
  <c r="E639" i="1"/>
  <c r="U639" i="1" s="1"/>
  <c r="E1588" i="1"/>
  <c r="U1588" i="1" s="1"/>
  <c r="E166" i="1"/>
  <c r="U166" i="1" s="1"/>
  <c r="E1843" i="1"/>
  <c r="U1843" i="1" s="1"/>
  <c r="E1457" i="1"/>
  <c r="U1457" i="1" s="1"/>
  <c r="E2006" i="1"/>
  <c r="U2006" i="1" s="1"/>
  <c r="E634" i="1"/>
  <c r="U634" i="1" s="1"/>
  <c r="E223" i="1"/>
  <c r="U223" i="1" s="1"/>
  <c r="E783" i="1"/>
  <c r="U783" i="1" s="1"/>
  <c r="E130" i="1"/>
  <c r="U130" i="1" s="1"/>
  <c r="E1845" i="1"/>
  <c r="U1845" i="1" s="1"/>
  <c r="E1934" i="1"/>
  <c r="U1934" i="1" s="1"/>
  <c r="E341" i="1"/>
  <c r="U341" i="1" s="1"/>
  <c r="E306" i="1"/>
  <c r="U306" i="1" s="1"/>
  <c r="E362" i="1"/>
  <c r="U362" i="1" s="1"/>
  <c r="E430" i="1"/>
  <c r="U430" i="1" s="1"/>
  <c r="E1356" i="1"/>
  <c r="U1356" i="1" s="1"/>
  <c r="E1679" i="1"/>
  <c r="U1679" i="1" s="1"/>
  <c r="E152" i="1"/>
  <c r="U152" i="1" s="1"/>
  <c r="E1479" i="1"/>
  <c r="U1479" i="1" s="1"/>
  <c r="E1288" i="1"/>
  <c r="U1288" i="1" s="1"/>
  <c r="E643" i="1"/>
  <c r="U643" i="1" s="1"/>
  <c r="E1518" i="1"/>
  <c r="U1518" i="1" s="1"/>
  <c r="E389" i="1"/>
  <c r="U389" i="1" s="1"/>
  <c r="E1969" i="1"/>
  <c r="U1969" i="1" s="1"/>
  <c r="E449" i="1"/>
  <c r="U449" i="1" s="1"/>
  <c r="E844" i="1"/>
  <c r="U844" i="1" s="1"/>
  <c r="E912" i="1"/>
  <c r="U912" i="1" s="1"/>
  <c r="E1150" i="1"/>
  <c r="U1150" i="1" s="1"/>
  <c r="E1543" i="1"/>
  <c r="U1543" i="1" s="1"/>
  <c r="E1129" i="1"/>
  <c r="U1129" i="1" s="1"/>
  <c r="E1162" i="1"/>
  <c r="U1162" i="1" s="1"/>
  <c r="E886" i="1"/>
  <c r="U886" i="1" s="1"/>
  <c r="E1537" i="1"/>
  <c r="U1537" i="1" s="1"/>
  <c r="E1953" i="1"/>
  <c r="U1953" i="1" s="1"/>
  <c r="E1811" i="1"/>
  <c r="U1811" i="1" s="1"/>
  <c r="E645" i="1"/>
  <c r="U645" i="1" s="1"/>
  <c r="E2080" i="1"/>
  <c r="U2080" i="1" s="1"/>
  <c r="E304" i="1"/>
  <c r="U304" i="1" s="1"/>
  <c r="E655" i="1"/>
  <c r="U655" i="1" s="1"/>
  <c r="E490" i="1"/>
  <c r="U490" i="1" s="1"/>
  <c r="E347" i="1"/>
  <c r="U347" i="1" s="1"/>
  <c r="E1858" i="1"/>
  <c r="U1858" i="1" s="1"/>
  <c r="E380" i="1"/>
  <c r="U380" i="1" s="1"/>
  <c r="E1055" i="1"/>
  <c r="U1055" i="1" s="1"/>
  <c r="E243" i="1"/>
  <c r="U243" i="1" s="1"/>
  <c r="E241" i="1"/>
  <c r="U241" i="1" s="1"/>
  <c r="E2075" i="1"/>
  <c r="U2075" i="1" s="1"/>
  <c r="E1314" i="1"/>
  <c r="U1314" i="1" s="1"/>
  <c r="E1006" i="1"/>
  <c r="U1006" i="1" s="1"/>
  <c r="E691" i="1"/>
  <c r="U691" i="1" s="1"/>
  <c r="E1528" i="1"/>
  <c r="U1528" i="1" s="1"/>
  <c r="E1616" i="1"/>
  <c r="U1616" i="1" s="1"/>
  <c r="E1321" i="1"/>
  <c r="U1321" i="1" s="1"/>
  <c r="E1061" i="1"/>
  <c r="U1061" i="1" s="1"/>
  <c r="E103" i="1"/>
  <c r="U103" i="1" s="1"/>
  <c r="E502" i="1"/>
  <c r="U502" i="1" s="1"/>
  <c r="E1214" i="1"/>
  <c r="U1214" i="1" s="1"/>
  <c r="E2007" i="1"/>
  <c r="U2007" i="1" s="1"/>
  <c r="E1768" i="1"/>
  <c r="U1768" i="1" s="1"/>
  <c r="E1153" i="1"/>
  <c r="U1153" i="1" s="1"/>
  <c r="E399" i="1"/>
  <c r="U399" i="1" s="1"/>
  <c r="E1323" i="1"/>
  <c r="U1323" i="1" s="1"/>
  <c r="E985" i="1"/>
  <c r="U985" i="1" s="1"/>
  <c r="E222" i="1"/>
  <c r="U222" i="1" s="1"/>
  <c r="E176" i="1"/>
  <c r="U176" i="1" s="1"/>
  <c r="E1683" i="1"/>
  <c r="U1683" i="1" s="1"/>
  <c r="E2034" i="1"/>
  <c r="U2034" i="1" s="1"/>
  <c r="E1485" i="1"/>
  <c r="U1485" i="1" s="1"/>
  <c r="E652" i="1"/>
  <c r="U652" i="1" s="1"/>
  <c r="E104" i="1"/>
  <c r="U104" i="1" s="1"/>
  <c r="E1954" i="1"/>
  <c r="U1954" i="1" s="1"/>
  <c r="E2068" i="1"/>
  <c r="U2068" i="1" s="1"/>
  <c r="E247" i="1"/>
  <c r="U247" i="1" s="1"/>
  <c r="E531" i="1"/>
  <c r="U531" i="1" s="1"/>
  <c r="E15" i="1"/>
  <c r="U15" i="1" s="1"/>
  <c r="E1294" i="1"/>
  <c r="U1294" i="1" s="1"/>
  <c r="E1244" i="1"/>
  <c r="U1244" i="1" s="1"/>
  <c r="E1764" i="1"/>
  <c r="U1764" i="1" s="1"/>
  <c r="E1878" i="1"/>
  <c r="U1878" i="1" s="1"/>
  <c r="E898" i="1"/>
  <c r="U898" i="1" s="1"/>
  <c r="E1354" i="1"/>
  <c r="U1354" i="1" s="1"/>
  <c r="E1947" i="1"/>
  <c r="U1947" i="1" s="1"/>
  <c r="E238" i="1"/>
  <c r="U238" i="1" s="1"/>
  <c r="E1714" i="1"/>
  <c r="U1714" i="1" s="1"/>
  <c r="E529" i="1"/>
  <c r="U529" i="1" s="1"/>
  <c r="E1536" i="1"/>
  <c r="U1536" i="1" s="1"/>
  <c r="E400" i="1"/>
  <c r="U400" i="1" s="1"/>
  <c r="E1870" i="1"/>
  <c r="U1870" i="1" s="1"/>
  <c r="E514" i="1"/>
  <c r="U514" i="1" s="1"/>
  <c r="E1914" i="1"/>
  <c r="U1914" i="1" s="1"/>
  <c r="E1171" i="1"/>
  <c r="U1171" i="1" s="1"/>
  <c r="E563" i="1"/>
  <c r="U563" i="1" s="1"/>
  <c r="E1762" i="1"/>
  <c r="U1762" i="1" s="1"/>
  <c r="E1530" i="1"/>
  <c r="U1530" i="1" s="1"/>
  <c r="E284" i="1"/>
  <c r="U284" i="1" s="1"/>
  <c r="E244" i="1"/>
  <c r="U244" i="1" s="1"/>
  <c r="E2030" i="1"/>
  <c r="U2030" i="1" s="1"/>
  <c r="E1771" i="1"/>
  <c r="U1771" i="1" s="1"/>
  <c r="E1873" i="1"/>
  <c r="U1873" i="1" s="1"/>
  <c r="E1747" i="1"/>
  <c r="U1747" i="1" s="1"/>
  <c r="E49" i="1"/>
  <c r="U49" i="1" s="1"/>
  <c r="E958" i="1"/>
  <c r="U958" i="1" s="1"/>
  <c r="E1117" i="1"/>
  <c r="U1117" i="1" s="1"/>
  <c r="E30" i="1"/>
  <c r="U30" i="1" s="1"/>
  <c r="E948" i="1"/>
  <c r="U948" i="1" s="1"/>
  <c r="E731" i="1"/>
  <c r="U731" i="1" s="1"/>
  <c r="E1417" i="1"/>
  <c r="U1417" i="1" s="1"/>
  <c r="E1318" i="1"/>
  <c r="U1318" i="1" s="1"/>
  <c r="E862" i="1"/>
  <c r="U862" i="1" s="1"/>
  <c r="E1970" i="1"/>
  <c r="U1970" i="1" s="1"/>
  <c r="E1600" i="1"/>
  <c r="U1600" i="1" s="1"/>
  <c r="E1715" i="1"/>
  <c r="U1715" i="1" s="1"/>
  <c r="E2100" i="1"/>
  <c r="U2100" i="1" s="1"/>
  <c r="E989" i="1"/>
  <c r="U989" i="1" s="1"/>
  <c r="E940" i="1"/>
  <c r="U940" i="1" s="1"/>
  <c r="E1311" i="1"/>
  <c r="U1311" i="1" s="1"/>
  <c r="E1562" i="1"/>
  <c r="U1562" i="1" s="1"/>
  <c r="E746" i="1"/>
  <c r="U746" i="1" s="1"/>
  <c r="E1828" i="1"/>
  <c r="U1828" i="1" s="1"/>
  <c r="E1024" i="1"/>
  <c r="U1024" i="1" s="1"/>
  <c r="E491" i="1"/>
  <c r="U491" i="1" s="1"/>
  <c r="E1778" i="1"/>
  <c r="U1778" i="1" s="1"/>
  <c r="E519" i="1"/>
  <c r="U519" i="1" s="1"/>
  <c r="E505" i="1"/>
  <c r="U505" i="1" s="1"/>
  <c r="E1996" i="1"/>
  <c r="U1996" i="1" s="1"/>
  <c r="E2090" i="1"/>
  <c r="U2090" i="1" s="1"/>
  <c r="E43" i="1"/>
  <c r="U43" i="1" s="1"/>
  <c r="E1721" i="1"/>
  <c r="U1721" i="1" s="1"/>
  <c r="E381" i="1"/>
  <c r="U381" i="1" s="1"/>
  <c r="E936" i="1"/>
  <c r="U936" i="1" s="1"/>
  <c r="E1572" i="1"/>
  <c r="U1572" i="1" s="1"/>
  <c r="E1841" i="1"/>
  <c r="U1841" i="1" s="1"/>
  <c r="E1069" i="1"/>
  <c r="U1069" i="1" s="1"/>
  <c r="E1261" i="1"/>
  <c r="U1261" i="1" s="1"/>
  <c r="E646" i="1"/>
  <c r="U646" i="1" s="1"/>
  <c r="E193" i="1"/>
  <c r="U193" i="1" s="1"/>
  <c r="E415" i="1"/>
  <c r="U415" i="1" s="1"/>
  <c r="E1548" i="1"/>
  <c r="U1548" i="1" s="1"/>
  <c r="E258" i="1"/>
  <c r="U258" i="1" s="1"/>
  <c r="E357" i="1"/>
  <c r="U357" i="1" s="1"/>
  <c r="E151" i="1"/>
  <c r="U151" i="1" s="1"/>
  <c r="E1148" i="1"/>
  <c r="U1148" i="1" s="1"/>
  <c r="E489" i="1"/>
  <c r="U489" i="1" s="1"/>
  <c r="E871" i="1"/>
  <c r="U871" i="1" s="1"/>
  <c r="E1474" i="1"/>
  <c r="U1474" i="1" s="1"/>
  <c r="E11" i="1"/>
  <c r="U11" i="1" s="1"/>
  <c r="E2045" i="1"/>
  <c r="U2045" i="1" s="1"/>
  <c r="E1781" i="1"/>
  <c r="U1781" i="1" s="1"/>
  <c r="E219" i="1"/>
  <c r="U219" i="1" s="1"/>
  <c r="E1994" i="1"/>
  <c r="U1994" i="1" s="1"/>
  <c r="E240" i="1"/>
  <c r="U240" i="1" s="1"/>
  <c r="E604" i="1"/>
  <c r="U604" i="1" s="1"/>
  <c r="E2048" i="1"/>
  <c r="U2048" i="1" s="1"/>
  <c r="E1215" i="1"/>
  <c r="U1215" i="1" s="1"/>
  <c r="E518" i="1"/>
  <c r="U518" i="1" s="1"/>
  <c r="E888" i="1"/>
  <c r="U888" i="1" s="1"/>
  <c r="E134" i="1"/>
  <c r="U134" i="1" s="1"/>
  <c r="E277" i="1"/>
  <c r="U277" i="1" s="1"/>
  <c r="E1418" i="1"/>
  <c r="U1418" i="1" s="1"/>
  <c r="E1940" i="1"/>
  <c r="U1940" i="1" s="1"/>
  <c r="E123" i="1"/>
  <c r="U123" i="1" s="1"/>
  <c r="E1031" i="1"/>
  <c r="U1031" i="1" s="1"/>
  <c r="E1956" i="1"/>
  <c r="U1956" i="1" s="1"/>
  <c r="E393" i="1"/>
  <c r="U393" i="1" s="1"/>
  <c r="E274" i="1"/>
  <c r="U274" i="1" s="1"/>
  <c r="E777" i="1"/>
  <c r="U777" i="1" s="1"/>
  <c r="E1169" i="1"/>
  <c r="U1169" i="1" s="1"/>
  <c r="E729" i="1"/>
  <c r="U729" i="1" s="1"/>
  <c r="E624" i="1"/>
  <c r="U624" i="1" s="1"/>
  <c r="E217" i="1"/>
  <c r="U217" i="1" s="1"/>
  <c r="E93" i="1"/>
  <c r="U93" i="1" s="1"/>
  <c r="E1034" i="1"/>
  <c r="U1034" i="1" s="1"/>
  <c r="E433" i="1"/>
  <c r="U433" i="1" s="1"/>
  <c r="E68" i="1"/>
  <c r="U68" i="1" s="1"/>
  <c r="E1803" i="1"/>
  <c r="U1803" i="1" s="1"/>
  <c r="E2094" i="1"/>
  <c r="U2094" i="1" s="1"/>
  <c r="E273" i="1"/>
  <c r="U273" i="1" s="1"/>
  <c r="E1719" i="1"/>
  <c r="U1719" i="1" s="1"/>
  <c r="E2038" i="1"/>
  <c r="U2038" i="1" s="1"/>
  <c r="E1786" i="1"/>
  <c r="U1786" i="1" s="1"/>
  <c r="E1310" i="1"/>
  <c r="U1310" i="1" s="1"/>
  <c r="E1677" i="1"/>
  <c r="U1677" i="1" s="1"/>
  <c r="E1486" i="1"/>
  <c r="U1486" i="1" s="1"/>
  <c r="E42" i="1"/>
  <c r="U42" i="1" s="1"/>
  <c r="E631" i="1"/>
  <c r="U631" i="1" s="1"/>
  <c r="E610" i="1"/>
  <c r="U610" i="1" s="1"/>
  <c r="E1921" i="1"/>
  <c r="U1921" i="1" s="1"/>
  <c r="E567" i="1"/>
  <c r="U567" i="1" s="1"/>
  <c r="E554" i="1"/>
  <c r="U554" i="1" s="1"/>
  <c r="E734" i="1"/>
  <c r="U734" i="1" s="1"/>
  <c r="E1651" i="1"/>
  <c r="U1651" i="1" s="1"/>
  <c r="E1228" i="1"/>
  <c r="U1228" i="1" s="1"/>
  <c r="E324" i="1"/>
  <c r="U324" i="1" s="1"/>
  <c r="E710" i="1"/>
  <c r="U710" i="1" s="1"/>
  <c r="E566" i="1"/>
  <c r="U566" i="1" s="1"/>
  <c r="E879" i="1"/>
  <c r="U879" i="1" s="1"/>
  <c r="E1163" i="1"/>
  <c r="U1163" i="1" s="1"/>
  <c r="E507" i="1"/>
  <c r="U507" i="1" s="1"/>
  <c r="E1979" i="1"/>
  <c r="U1979" i="1" s="1"/>
  <c r="E703" i="1"/>
  <c r="U703" i="1" s="1"/>
  <c r="E8" i="1"/>
  <c r="U8" i="1" s="1"/>
  <c r="E472" i="1"/>
  <c r="U472" i="1" s="1"/>
  <c r="E1522" i="1"/>
  <c r="U1522" i="1" s="1"/>
  <c r="E1540" i="1"/>
  <c r="U1540" i="1" s="1"/>
  <c r="E718" i="1"/>
  <c r="U718" i="1" s="1"/>
  <c r="E209" i="1"/>
  <c r="U209" i="1" s="1"/>
  <c r="E902" i="1"/>
  <c r="U902" i="1" s="1"/>
  <c r="E1003" i="1"/>
  <c r="U1003" i="1" s="1"/>
  <c r="E1784" i="1"/>
  <c r="U1784" i="1" s="1"/>
  <c r="E603" i="1"/>
  <c r="U603" i="1" s="1"/>
  <c r="E635" i="1"/>
  <c r="U635" i="1" s="1"/>
  <c r="E62" i="1"/>
  <c r="U62" i="1" s="1"/>
  <c r="E1500" i="1"/>
  <c r="U1500" i="1" s="1"/>
  <c r="E513" i="1"/>
  <c r="U513" i="1" s="1"/>
  <c r="E1200" i="1"/>
  <c r="U1200" i="1" s="1"/>
  <c r="E944" i="1"/>
  <c r="U944" i="1" s="1"/>
  <c r="E394" i="1"/>
  <c r="U394" i="1" s="1"/>
  <c r="E1675" i="1"/>
  <c r="U1675" i="1" s="1"/>
  <c r="E1397" i="1"/>
  <c r="U1397" i="1" s="1"/>
  <c r="E479" i="1"/>
  <c r="U479" i="1" s="1"/>
  <c r="E918" i="1"/>
  <c r="U918" i="1" s="1"/>
  <c r="E1927" i="1"/>
  <c r="U1927" i="1" s="1"/>
  <c r="E1213" i="1"/>
  <c r="U1213" i="1" s="1"/>
  <c r="E881" i="1"/>
  <c r="U881" i="1" s="1"/>
  <c r="E184" i="1"/>
  <c r="U184" i="1" s="1"/>
  <c r="E1733" i="1"/>
  <c r="U1733" i="1" s="1"/>
  <c r="E414" i="1"/>
  <c r="U414" i="1" s="1"/>
  <c r="E1838" i="1"/>
  <c r="U1838" i="1" s="1"/>
  <c r="E1634" i="1"/>
  <c r="U1634" i="1" s="1"/>
  <c r="E1630" i="1"/>
  <c r="U1630" i="1" s="1"/>
  <c r="E264" i="1"/>
  <c r="U264" i="1" s="1"/>
  <c r="E1713" i="1"/>
  <c r="U1713" i="1" s="1"/>
  <c r="E455" i="1"/>
  <c r="U455" i="1" s="1"/>
  <c r="E1136" i="1"/>
  <c r="U1136" i="1" s="1"/>
  <c r="E4" i="1"/>
  <c r="U4" i="1" s="1"/>
  <c r="E339" i="1"/>
  <c r="U339" i="1" s="1"/>
  <c r="E550" i="1"/>
  <c r="U550" i="1" s="1"/>
  <c r="E271" i="1"/>
  <c r="U271" i="1" s="1"/>
  <c r="E791" i="1"/>
  <c r="U791" i="1" s="1"/>
  <c r="E330" i="1"/>
  <c r="U330" i="1" s="1"/>
  <c r="E1581" i="1"/>
  <c r="U1581" i="1" s="1"/>
  <c r="E1915" i="1"/>
  <c r="U1915" i="1" s="1"/>
  <c r="E827" i="1"/>
  <c r="U827" i="1" s="1"/>
  <c r="E1198" i="1"/>
  <c r="U1198" i="1" s="1"/>
  <c r="E1219" i="1"/>
  <c r="U1219" i="1" s="1"/>
  <c r="E1004" i="1"/>
  <c r="U1004" i="1" s="1"/>
  <c r="E1358" i="1"/>
  <c r="U1358" i="1" s="1"/>
  <c r="E803" i="1"/>
  <c r="U803" i="1" s="1"/>
  <c r="E2065" i="1"/>
  <c r="U2065" i="1" s="1"/>
  <c r="E51" i="1"/>
  <c r="U51" i="1" s="1"/>
  <c r="E157" i="1"/>
  <c r="U157" i="1" s="1"/>
  <c r="E139" i="1"/>
  <c r="U139" i="1" s="1"/>
  <c r="E1351" i="1"/>
  <c r="U1351" i="1" s="1"/>
  <c r="E996" i="1"/>
  <c r="U996" i="1" s="1"/>
  <c r="E100" i="1"/>
  <c r="U100" i="1" s="1"/>
  <c r="E194" i="1"/>
  <c r="U194" i="1" s="1"/>
  <c r="E452" i="1"/>
  <c r="U452" i="1" s="1"/>
  <c r="E1262" i="1"/>
  <c r="U1262" i="1" s="1"/>
  <c r="E933" i="1"/>
  <c r="U933" i="1" s="1"/>
  <c r="E443" i="1"/>
  <c r="U443" i="1" s="1"/>
  <c r="E1550" i="1"/>
  <c r="U1550" i="1" s="1"/>
  <c r="E802" i="1"/>
  <c r="U802" i="1" s="1"/>
  <c r="E367" i="1"/>
  <c r="U367" i="1" s="1"/>
  <c r="E619" i="1"/>
  <c r="U619" i="1" s="1"/>
  <c r="E1101" i="1"/>
  <c r="U1101" i="1" s="1"/>
  <c r="E885" i="1"/>
  <c r="U885" i="1" s="1"/>
  <c r="E24" i="1"/>
  <c r="U24" i="1" s="1"/>
  <c r="E843" i="1"/>
  <c r="U843" i="1" s="1"/>
  <c r="E458" i="1"/>
  <c r="U458" i="1" s="1"/>
  <c r="E580" i="1"/>
  <c r="U580" i="1" s="1"/>
  <c r="E637" i="1"/>
  <c r="U637" i="1" s="1"/>
  <c r="E602" i="1"/>
  <c r="U602" i="1" s="1"/>
  <c r="E1155" i="1"/>
  <c r="U1155" i="1" s="1"/>
  <c r="E1106" i="1"/>
  <c r="U1106" i="1" s="1"/>
  <c r="E1120" i="1"/>
  <c r="U1120" i="1" s="1"/>
  <c r="E2054" i="1"/>
  <c r="U2054" i="1" s="1"/>
  <c r="E1636" i="1"/>
  <c r="U1636" i="1" s="1"/>
  <c r="E1796" i="1"/>
  <c r="U1796" i="1" s="1"/>
  <c r="E242" i="1"/>
  <c r="U242" i="1" s="1"/>
  <c r="E1546" i="1"/>
  <c r="U1546" i="1" s="1"/>
  <c r="E1821" i="1"/>
  <c r="U1821" i="1" s="1"/>
  <c r="E1866" i="1"/>
  <c r="U1866" i="1" s="1"/>
  <c r="E641" i="1"/>
  <c r="U641" i="1" s="1"/>
  <c r="E2122" i="1"/>
  <c r="U2122" i="1" s="1"/>
  <c r="E1109" i="1"/>
  <c r="U1109" i="1" s="1"/>
  <c r="E1868" i="1"/>
  <c r="U1868" i="1" s="1"/>
  <c r="E314" i="1"/>
  <c r="U314" i="1" s="1"/>
  <c r="E85" i="1"/>
  <c r="U85" i="1" s="1"/>
  <c r="E83" i="1"/>
  <c r="U83" i="1" s="1"/>
  <c r="E1182" i="1"/>
  <c r="U1182" i="1" s="1"/>
  <c r="E766" i="1"/>
  <c r="U766" i="1" s="1"/>
  <c r="E849" i="1"/>
  <c r="U849" i="1" s="1"/>
  <c r="E1379" i="1"/>
  <c r="U1379" i="1" s="1"/>
  <c r="E1177" i="1"/>
  <c r="U1177" i="1" s="1"/>
  <c r="E1988" i="1"/>
  <c r="U1988" i="1" s="1"/>
  <c r="E438" i="1"/>
  <c r="U438" i="1" s="1"/>
  <c r="E1637" i="1"/>
  <c r="U1637" i="1" s="1"/>
  <c r="E1143" i="1"/>
  <c r="U1143" i="1" s="1"/>
  <c r="E1098" i="1"/>
  <c r="U1098" i="1" s="1"/>
  <c r="E942" i="1"/>
  <c r="U942" i="1" s="1"/>
  <c r="E390" i="1"/>
  <c r="U390" i="1" s="1"/>
  <c r="E661" i="1"/>
  <c r="U661" i="1" s="1"/>
  <c r="E728" i="1"/>
  <c r="U728" i="1" s="1"/>
  <c r="E1005" i="1"/>
  <c r="U1005" i="1" s="1"/>
  <c r="E1917" i="1"/>
  <c r="U1917" i="1" s="1"/>
  <c r="E1277" i="1"/>
  <c r="U1277" i="1" s="1"/>
  <c r="E90" i="1"/>
  <c r="U90" i="1" s="1"/>
  <c r="E10" i="1"/>
  <c r="U10" i="1" s="1"/>
  <c r="E573" i="1"/>
  <c r="U573" i="1" s="1"/>
  <c r="E1653" i="1"/>
  <c r="U1653" i="1" s="1"/>
  <c r="E1908" i="1"/>
  <c r="U1908" i="1" s="1"/>
  <c r="E1246" i="1"/>
  <c r="U1246" i="1" s="1"/>
  <c r="E303" i="1"/>
  <c r="U303" i="1" s="1"/>
  <c r="E593" i="1"/>
  <c r="U593" i="1" s="1"/>
  <c r="E248" i="1"/>
  <c r="U248" i="1" s="1"/>
  <c r="E828" i="1"/>
  <c r="U828" i="1" s="1"/>
  <c r="E1840" i="1"/>
  <c r="U1840" i="1" s="1"/>
  <c r="E1883" i="1"/>
  <c r="U1883" i="1" s="1"/>
  <c r="E2023" i="1"/>
  <c r="U2023" i="1" s="1"/>
  <c r="E928" i="1"/>
  <c r="U928" i="1" s="1"/>
  <c r="E1631" i="1"/>
  <c r="U1631" i="1" s="1"/>
  <c r="E562" i="1"/>
  <c r="U562" i="1" s="1"/>
  <c r="E673" i="1"/>
  <c r="U673" i="1" s="1"/>
  <c r="E1459" i="1"/>
  <c r="U1459" i="1" s="1"/>
  <c r="E1752" i="1"/>
  <c r="U1752" i="1" s="1"/>
  <c r="E1905" i="1"/>
  <c r="U1905" i="1" s="1"/>
  <c r="E556" i="1"/>
  <c r="U556" i="1" s="1"/>
  <c r="E1161" i="1"/>
  <c r="U1161" i="1" s="1"/>
  <c r="E1443" i="1"/>
  <c r="U1443" i="1" s="1"/>
  <c r="E301" i="1"/>
  <c r="U301" i="1" s="1"/>
  <c r="E867" i="1"/>
  <c r="U867" i="1" s="1"/>
  <c r="E1026" i="1"/>
  <c r="U1026" i="1" s="1"/>
  <c r="E541" i="1"/>
  <c r="U541" i="1" s="1"/>
  <c r="E396" i="1"/>
  <c r="U396" i="1" s="1"/>
  <c r="E674" i="1"/>
  <c r="U674" i="1" s="1"/>
  <c r="E1186" i="1"/>
  <c r="U1186" i="1" s="1"/>
  <c r="E1326" i="1"/>
  <c r="U1326" i="1" s="1"/>
  <c r="E485" i="1"/>
  <c r="U485" i="1" s="1"/>
  <c r="E1028" i="1"/>
  <c r="U1028" i="1" s="1"/>
  <c r="E632" i="1"/>
  <c r="U632" i="1" s="1"/>
  <c r="E227" i="1"/>
  <c r="U227" i="1" s="1"/>
  <c r="E173" i="1"/>
  <c r="U173" i="1" s="1"/>
  <c r="E1541" i="1"/>
  <c r="U1541" i="1" s="1"/>
  <c r="E1735" i="1"/>
  <c r="U1735" i="1" s="1"/>
  <c r="E1580" i="1"/>
  <c r="U1580" i="1" s="1"/>
  <c r="E526" i="1"/>
  <c r="U526" i="1" s="1"/>
  <c r="E1342" i="1"/>
  <c r="U1342" i="1" s="1"/>
  <c r="E1761" i="1"/>
  <c r="U1761" i="1" s="1"/>
  <c r="E1913" i="1"/>
  <c r="U1913" i="1" s="1"/>
  <c r="E1428" i="1"/>
  <c r="U1428" i="1" s="1"/>
  <c r="E1825" i="1"/>
  <c r="U1825" i="1" s="1"/>
  <c r="E1791" i="1"/>
  <c r="U1791" i="1" s="1"/>
  <c r="E680" i="1"/>
  <c r="U680" i="1" s="1"/>
  <c r="E2084" i="1"/>
  <c r="U2084" i="1" s="1"/>
  <c r="E1872" i="1"/>
  <c r="U1872" i="1" s="1"/>
  <c r="E329" i="1"/>
  <c r="U329" i="1" s="1"/>
  <c r="E328" i="1"/>
  <c r="U328" i="1" s="1"/>
  <c r="E1424" i="1"/>
  <c r="U1424" i="1" s="1"/>
  <c r="E1932" i="1"/>
  <c r="U1932" i="1" s="1"/>
  <c r="E630" i="1"/>
  <c r="U630" i="1" s="1"/>
  <c r="E1362" i="1"/>
  <c r="U1362" i="1" s="1"/>
  <c r="E2028" i="1"/>
  <c r="U2028" i="1" s="1"/>
  <c r="E1789" i="1"/>
  <c r="U1789" i="1" s="1"/>
  <c r="E1822" i="1"/>
  <c r="U1822" i="1" s="1"/>
  <c r="E875" i="1"/>
  <c r="U875" i="1" s="1"/>
  <c r="E203" i="1"/>
  <c r="U203" i="1" s="1"/>
  <c r="E442" i="1"/>
  <c r="U442" i="1" s="1"/>
  <c r="E969" i="1"/>
  <c r="U969" i="1" s="1"/>
  <c r="E1232" i="1"/>
  <c r="U1232" i="1" s="1"/>
  <c r="E821" i="1"/>
  <c r="U821" i="1" s="1"/>
  <c r="E1178" i="1"/>
  <c r="U1178" i="1" s="1"/>
  <c r="E1625" i="1"/>
  <c r="U1625" i="1" s="1"/>
  <c r="E688" i="1"/>
  <c r="U688" i="1" s="1"/>
  <c r="E267" i="1"/>
  <c r="U267" i="1" s="1"/>
  <c r="E1339" i="1"/>
  <c r="U1339" i="1" s="1"/>
  <c r="E336" i="1"/>
  <c r="U336" i="1" s="1"/>
  <c r="E1209" i="1"/>
  <c r="U1209" i="1" s="1"/>
  <c r="E1282" i="1"/>
  <c r="U1282" i="1" s="1"/>
  <c r="E2069" i="1"/>
  <c r="U2069" i="1" s="1"/>
  <c r="E653" i="1"/>
  <c r="U653" i="1" s="1"/>
  <c r="E410" i="1"/>
  <c r="U410" i="1" s="1"/>
  <c r="E727" i="1"/>
  <c r="U727" i="1" s="1"/>
  <c r="E1802" i="1"/>
  <c r="U1802" i="1" s="1"/>
  <c r="E1903" i="1"/>
  <c r="U1903" i="1" s="1"/>
  <c r="E913" i="1"/>
  <c r="U913" i="1" s="1"/>
  <c r="E1280" i="1"/>
  <c r="U1280" i="1" s="1"/>
  <c r="E1216" i="1"/>
  <c r="U1216" i="1" s="1"/>
  <c r="E60" i="1"/>
  <c r="U60" i="1" s="1"/>
  <c r="E588" i="1"/>
  <c r="U588" i="1" s="1"/>
  <c r="E1250" i="1"/>
  <c r="U1250" i="1" s="1"/>
  <c r="E2088" i="1"/>
  <c r="U2088" i="1" s="1"/>
  <c r="E2051" i="1"/>
  <c r="U2051" i="1" s="1"/>
  <c r="E677" i="1"/>
  <c r="U677" i="1" s="1"/>
  <c r="E344" i="1"/>
  <c r="U344" i="1" s="1"/>
  <c r="E618" i="1"/>
  <c r="U618" i="1" s="1"/>
  <c r="E1264" i="1"/>
  <c r="U1264" i="1" s="1"/>
  <c r="E2061" i="1"/>
  <c r="U2061" i="1" s="1"/>
  <c r="E61" i="1"/>
  <c r="U61" i="1" s="1"/>
  <c r="E28" i="1"/>
  <c r="U28" i="1" s="1"/>
  <c r="E962" i="1"/>
  <c r="U962" i="1" s="1"/>
  <c r="E1967" i="1"/>
  <c r="U1967" i="1" s="1"/>
  <c r="E980" i="1"/>
  <c r="U980" i="1" s="1"/>
  <c r="E220" i="1"/>
  <c r="U220" i="1" s="1"/>
  <c r="E687" i="1"/>
  <c r="U687" i="1" s="1"/>
  <c r="E596" i="1"/>
  <c r="U596" i="1" s="1"/>
  <c r="E1938" i="1"/>
  <c r="U1938" i="1" s="1"/>
  <c r="E1894" i="1"/>
  <c r="U1894" i="1" s="1"/>
  <c r="E1850" i="1"/>
  <c r="U1850" i="1" s="1"/>
  <c r="E191" i="1"/>
  <c r="U191" i="1" s="1"/>
  <c r="E1007" i="1"/>
  <c r="U1007" i="1" s="1"/>
  <c r="E446" i="1"/>
  <c r="U446" i="1" s="1"/>
  <c r="E1880" i="1"/>
  <c r="U1880" i="1" s="1"/>
  <c r="E153" i="1"/>
  <c r="U153" i="1" s="1"/>
  <c r="E383" i="1"/>
  <c r="U383" i="1" s="1"/>
  <c r="E1664" i="1"/>
  <c r="U1664" i="1" s="1"/>
  <c r="E266" i="1"/>
  <c r="U266" i="1" s="1"/>
  <c r="E1575" i="1"/>
  <c r="U1575" i="1" s="1"/>
  <c r="E1704" i="1"/>
  <c r="U1704" i="1" s="1"/>
  <c r="E1573" i="1"/>
  <c r="U1573" i="1" s="1"/>
  <c r="E183" i="1"/>
  <c r="U183" i="1" s="1"/>
  <c r="E174" i="1"/>
  <c r="U174" i="1" s="1"/>
  <c r="E1426" i="1"/>
  <c r="U1426" i="1" s="1"/>
  <c r="E626" i="1"/>
  <c r="U626" i="1" s="1"/>
  <c r="E697" i="1"/>
  <c r="U697" i="1" s="1"/>
  <c r="E412" i="1"/>
  <c r="U412" i="1" s="1"/>
  <c r="E1512" i="1"/>
  <c r="U1512" i="1" s="1"/>
  <c r="E1043" i="1"/>
  <c r="U1043" i="1" s="1"/>
  <c r="E716" i="1"/>
  <c r="U716" i="1" s="1"/>
  <c r="E2070" i="1"/>
  <c r="U2070" i="1" s="1"/>
  <c r="E1334" i="1"/>
  <c r="U1334" i="1" s="1"/>
  <c r="E651" i="1"/>
  <c r="U651" i="1" s="1"/>
  <c r="E1609" i="1"/>
  <c r="U1609" i="1" s="1"/>
  <c r="E88" i="1"/>
  <c r="U88" i="1" s="1"/>
  <c r="E2066" i="1"/>
  <c r="U2066" i="1" s="1"/>
  <c r="E86" i="1"/>
  <c r="U86" i="1" s="1"/>
  <c r="E1681" i="1"/>
  <c r="U1681" i="1" s="1"/>
  <c r="E2020" i="1"/>
  <c r="U2020" i="1" s="1"/>
  <c r="E1519" i="1"/>
  <c r="U1519" i="1" s="1"/>
  <c r="E456" i="1"/>
  <c r="U456" i="1" s="1"/>
  <c r="E524" i="1"/>
  <c r="U524" i="1" s="1"/>
  <c r="E1698" i="1"/>
  <c r="U1698" i="1" s="1"/>
  <c r="E1716" i="1"/>
  <c r="U1716" i="1" s="1"/>
  <c r="E770" i="1"/>
  <c r="U770" i="1" s="1"/>
  <c r="E1151" i="1"/>
  <c r="U1151" i="1" s="1"/>
  <c r="E444" i="1"/>
  <c r="U444" i="1" s="1"/>
  <c r="E2077" i="1"/>
  <c r="U2077" i="1" s="1"/>
  <c r="E838" i="1"/>
  <c r="U838" i="1" s="1"/>
  <c r="E571" i="1"/>
  <c r="U571" i="1" s="1"/>
  <c r="E13" i="1"/>
  <c r="U13" i="1" s="1"/>
  <c r="E689" i="1"/>
  <c r="U689" i="1" s="1"/>
  <c r="E1646" i="1"/>
  <c r="U1646" i="1" s="1"/>
  <c r="E1890" i="1"/>
  <c r="U1890" i="1" s="1"/>
  <c r="E773" i="1"/>
  <c r="U773" i="1" s="1"/>
  <c r="E1014" i="1"/>
  <c r="U1014" i="1" s="1"/>
  <c r="E202" i="1"/>
  <c r="U202" i="1" s="1"/>
  <c r="E581" i="1"/>
  <c r="U581" i="1" s="1"/>
  <c r="E1046" i="1"/>
  <c r="U1046" i="1" s="1"/>
  <c r="E1272" i="1"/>
  <c r="U1272" i="1" s="1"/>
  <c r="E1268" i="1"/>
  <c r="U1268" i="1" s="1"/>
  <c r="E1655" i="1"/>
  <c r="U1655" i="1" s="1"/>
  <c r="E2097" i="1"/>
  <c r="U2097" i="1" s="1"/>
  <c r="E908" i="1"/>
  <c r="U908" i="1" s="1"/>
  <c r="E1688" i="1"/>
  <c r="U1688" i="1" s="1"/>
  <c r="E1700" i="1"/>
  <c r="U1700" i="1" s="1"/>
  <c r="E1855" i="1"/>
  <c r="U1855" i="1" s="1"/>
  <c r="E1729" i="1"/>
  <c r="U1729" i="1" s="1"/>
  <c r="E2060" i="1"/>
  <c r="U2060" i="1" s="1"/>
  <c r="E701" i="1"/>
  <c r="U701" i="1" s="1"/>
  <c r="E1281" i="1"/>
  <c r="U1281" i="1" s="1"/>
  <c r="E938" i="1"/>
  <c r="U938" i="1" s="1"/>
  <c r="E780" i="1"/>
  <c r="U780" i="1" s="1"/>
  <c r="E45" i="1"/>
  <c r="U45" i="1" s="1"/>
  <c r="E1977" i="1"/>
  <c r="U1977" i="1" s="1"/>
  <c r="E1238" i="1"/>
  <c r="U1238" i="1" s="1"/>
  <c r="E1626" i="1"/>
  <c r="U1626" i="1" s="1"/>
  <c r="E1104" i="1"/>
  <c r="U1104" i="1" s="1"/>
  <c r="E167" i="1"/>
  <c r="U167" i="1" s="1"/>
  <c r="E587" i="1"/>
  <c r="U587" i="1" s="1"/>
  <c r="E730" i="1"/>
  <c r="U730" i="1" s="1"/>
  <c r="E1184" i="1"/>
  <c r="U1184" i="1" s="1"/>
  <c r="E708" i="1"/>
  <c r="U708" i="1" s="1"/>
  <c r="E2058" i="1"/>
  <c r="U2058" i="1" s="1"/>
  <c r="E882" i="1"/>
  <c r="U882" i="1" s="1"/>
  <c r="E954" i="1"/>
  <c r="U954" i="1" s="1"/>
  <c r="E1388" i="1"/>
  <c r="U1388" i="1" s="1"/>
  <c r="E1708" i="1"/>
  <c r="U1708" i="1" s="1"/>
  <c r="E409" i="1"/>
  <c r="U409" i="1" s="1"/>
  <c r="E2008" i="1"/>
  <c r="U2008" i="1" s="1"/>
  <c r="E1972" i="1"/>
  <c r="U1972" i="1" s="1"/>
  <c r="E1185" i="1"/>
  <c r="U1185" i="1" s="1"/>
  <c r="E1611" i="1"/>
  <c r="U1611" i="1" s="1"/>
  <c r="E535" i="1"/>
  <c r="U535" i="1" s="1"/>
  <c r="E788" i="1"/>
  <c r="U788" i="1" s="1"/>
  <c r="E482" i="1"/>
  <c r="U482" i="1" s="1"/>
  <c r="E1437" i="1"/>
  <c r="U1437" i="1" s="1"/>
  <c r="E546" i="1"/>
  <c r="U546" i="1" s="1"/>
  <c r="E289" i="1"/>
  <c r="U289" i="1" s="1"/>
  <c r="E1391" i="1"/>
  <c r="U1391" i="1" s="1"/>
  <c r="E1399" i="1"/>
  <c r="U1399" i="1" s="1"/>
  <c r="E200" i="1"/>
  <c r="U200" i="1" s="1"/>
  <c r="E2017" i="1"/>
  <c r="U2017" i="1" s="1"/>
  <c r="E1376" i="1"/>
  <c r="U1376" i="1" s="1"/>
  <c r="E1869" i="1"/>
  <c r="U1869" i="1" s="1"/>
  <c r="E2067" i="1"/>
  <c r="U2067" i="1" s="1"/>
  <c r="E1885" i="1"/>
  <c r="U1885" i="1" s="1"/>
  <c r="E1208" i="1"/>
  <c r="U1208" i="1" s="1"/>
  <c r="E672" i="1"/>
  <c r="U672" i="1" s="1"/>
  <c r="E1524" i="1"/>
  <c r="U1524" i="1" s="1"/>
  <c r="E315" i="1"/>
  <c r="U315" i="1" s="1"/>
  <c r="E1189" i="1"/>
  <c r="U1189" i="1" s="1"/>
  <c r="E57" i="1"/>
  <c r="U57" i="1" s="1"/>
  <c r="E99" i="1"/>
  <c r="U99" i="1" s="1"/>
  <c r="E480" i="1"/>
  <c r="U480" i="1" s="1"/>
  <c r="E143" i="1"/>
  <c r="U143" i="1" s="1"/>
  <c r="E621" i="1"/>
  <c r="U621" i="1" s="1"/>
  <c r="E210" i="1"/>
  <c r="U210" i="1" s="1"/>
  <c r="E1641" i="1"/>
  <c r="U1641" i="1" s="1"/>
  <c r="E1390" i="1"/>
  <c r="U1390" i="1" s="1"/>
  <c r="E521" i="1"/>
  <c r="U521" i="1" s="1"/>
  <c r="E1224" i="1"/>
  <c r="U1224" i="1" s="1"/>
  <c r="E346" i="1"/>
  <c r="U346" i="1" s="1"/>
  <c r="E263" i="1"/>
  <c r="U263" i="1" s="1"/>
  <c r="E1502" i="1"/>
  <c r="U1502" i="1" s="1"/>
  <c r="E375" i="1"/>
  <c r="U375" i="1" s="1"/>
  <c r="E1798" i="1"/>
  <c r="U1798" i="1" s="1"/>
  <c r="E1415" i="1"/>
  <c r="U1415" i="1" s="1"/>
  <c r="E1027" i="1"/>
  <c r="U1027" i="1" s="1"/>
  <c r="E1654" i="1"/>
  <c r="U1654" i="1" s="1"/>
  <c r="E896" i="1"/>
  <c r="U896" i="1" s="1"/>
  <c r="E899" i="1"/>
  <c r="U899" i="1" s="1"/>
  <c r="E1702" i="1"/>
  <c r="U1702" i="1" s="1"/>
  <c r="E439" i="1"/>
  <c r="U439" i="1" s="1"/>
  <c r="E798" i="1"/>
  <c r="U798" i="1" s="1"/>
  <c r="E1460" i="1"/>
  <c r="U1460" i="1" s="1"/>
  <c r="E1645" i="1"/>
  <c r="U1645" i="1" s="1"/>
  <c r="E260" i="1"/>
  <c r="U260" i="1" s="1"/>
  <c r="E349" i="1"/>
  <c r="U349" i="1" s="1"/>
  <c r="E1649" i="1"/>
  <c r="U1649" i="1" s="1"/>
  <c r="E2049" i="1"/>
  <c r="U2049" i="1" s="1"/>
  <c r="E417" i="1"/>
  <c r="U417" i="1" s="1"/>
  <c r="E829" i="1"/>
  <c r="U829" i="1" s="1"/>
  <c r="E1909" i="1"/>
  <c r="U1909" i="1" s="1"/>
  <c r="E880" i="1"/>
  <c r="U880" i="1" s="1"/>
  <c r="E1158" i="1"/>
  <c r="U1158" i="1" s="1"/>
  <c r="E478" i="1"/>
  <c r="U478" i="1" s="1"/>
  <c r="E1697" i="1"/>
  <c r="U1697" i="1" s="1"/>
  <c r="E1157" i="1"/>
  <c r="U1157" i="1" s="1"/>
  <c r="E1792" i="1"/>
  <c r="U1792" i="1" s="1"/>
  <c r="E89" i="1"/>
  <c r="U89" i="1" s="1"/>
  <c r="E474" i="1"/>
  <c r="U474" i="1" s="1"/>
  <c r="E558" i="1"/>
  <c r="U558" i="1" s="1"/>
  <c r="E664" i="1"/>
  <c r="U664" i="1" s="1"/>
  <c r="E1227" i="1"/>
  <c r="U1227" i="1" s="1"/>
  <c r="E163" i="1"/>
  <c r="U163" i="1" s="1"/>
  <c r="E1960" i="1"/>
  <c r="U1960" i="1" s="1"/>
  <c r="E420" i="1"/>
  <c r="U420" i="1" s="1"/>
  <c r="E1685" i="1"/>
  <c r="U1685" i="1" s="1"/>
  <c r="E1439" i="1"/>
  <c r="U1439" i="1" s="1"/>
  <c r="E1023" i="1"/>
  <c r="U1023" i="1" s="1"/>
  <c r="E467" i="1"/>
  <c r="U467" i="1" s="1"/>
  <c r="E340" i="1"/>
  <c r="U340" i="1" s="1"/>
  <c r="E887" i="1"/>
  <c r="U887" i="1" s="1"/>
  <c r="E1276" i="1"/>
  <c r="U1276" i="1" s="1"/>
  <c r="E117" i="1"/>
  <c r="U117" i="1" s="1"/>
  <c r="E1624" i="1"/>
  <c r="U1624" i="1" s="1"/>
  <c r="E421" i="1"/>
  <c r="U421" i="1" s="1"/>
  <c r="E836" i="1"/>
  <c r="U836" i="1" s="1"/>
  <c r="E1332" i="1"/>
  <c r="U1332" i="1" s="1"/>
  <c r="E2131" i="1"/>
  <c r="U2131" i="1" s="1"/>
  <c r="E1172" i="1"/>
  <c r="U1172" i="1" s="1"/>
  <c r="E1544" i="1"/>
  <c r="U1544" i="1" s="1"/>
  <c r="E1899" i="1"/>
  <c r="U1899" i="1" s="1"/>
  <c r="E1955" i="1"/>
  <c r="U1955" i="1" s="1"/>
  <c r="E1387" i="1"/>
  <c r="U1387" i="1" s="1"/>
  <c r="E831" i="1"/>
  <c r="U831" i="1" s="1"/>
  <c r="E345" i="1"/>
  <c r="U345" i="1" s="1"/>
  <c r="E1743" i="1"/>
  <c r="U1743" i="1" s="1"/>
  <c r="E1222" i="1"/>
  <c r="U1222" i="1" s="1"/>
  <c r="E1305" i="1"/>
  <c r="U1305" i="1" s="1"/>
  <c r="E1036" i="1"/>
  <c r="U1036" i="1" s="1"/>
  <c r="E405" i="1"/>
  <c r="U405" i="1" s="1"/>
  <c r="E955" i="1"/>
  <c r="U955" i="1" s="1"/>
  <c r="E323" i="1"/>
  <c r="U323" i="1" s="1"/>
  <c r="E1025" i="1"/>
  <c r="U1025" i="1" s="1"/>
  <c r="E842" i="1"/>
  <c r="U842" i="1" s="1"/>
  <c r="E1191" i="1"/>
  <c r="U1191" i="1" s="1"/>
  <c r="E376" i="1"/>
  <c r="U376" i="1" s="1"/>
  <c r="E160" i="1"/>
  <c r="U160" i="1" s="1"/>
  <c r="E778" i="1"/>
  <c r="U778" i="1" s="1"/>
  <c r="E385" i="1"/>
  <c r="U385" i="1" s="1"/>
  <c r="E1999" i="1"/>
  <c r="U1999" i="1" s="1"/>
  <c r="E187" i="1"/>
  <c r="U187" i="1" s="1"/>
  <c r="E1730" i="1"/>
  <c r="U1730" i="1" s="1"/>
  <c r="E1592" i="1"/>
  <c r="U1592" i="1" s="1"/>
  <c r="E2011" i="1"/>
  <c r="U2011" i="1" s="1"/>
  <c r="E66" i="1"/>
  <c r="U66" i="1" s="1"/>
  <c r="E310" i="1"/>
  <c r="U310" i="1" s="1"/>
  <c r="E177" i="1"/>
  <c r="U177" i="1" s="1"/>
  <c r="E321" i="1"/>
  <c r="U321" i="1" s="1"/>
  <c r="E1100" i="1"/>
  <c r="U1100" i="1" s="1"/>
  <c r="E159" i="1"/>
  <c r="U159" i="1" s="1"/>
  <c r="E52" i="1"/>
  <c r="U52" i="1" s="1"/>
  <c r="E1058" i="1"/>
  <c r="U1058" i="1" s="1"/>
  <c r="E1754" i="1"/>
  <c r="U1754" i="1" s="1"/>
  <c r="E738" i="1"/>
  <c r="U738" i="1" s="1"/>
  <c r="E41" i="1"/>
  <c r="U41" i="1" s="1"/>
  <c r="E269" i="1"/>
  <c r="U269" i="1" s="1"/>
  <c r="E291" i="1"/>
  <c r="U291" i="1" s="1"/>
  <c r="E141" i="1"/>
  <c r="U141" i="1" s="1"/>
  <c r="E215" i="1"/>
  <c r="U215" i="1" s="1"/>
  <c r="E476" i="1"/>
  <c r="U476" i="1" s="1"/>
  <c r="E599" i="1"/>
  <c r="U599" i="1" s="1"/>
  <c r="E1571" i="1"/>
  <c r="U1571" i="1" s="1"/>
  <c r="E814" i="1"/>
  <c r="U814" i="1" s="1"/>
  <c r="E1018" i="1"/>
  <c r="U1018" i="1" s="1"/>
  <c r="E290" i="1"/>
  <c r="U290" i="1" s="1"/>
  <c r="E1082" i="1"/>
  <c r="U1082" i="1" s="1"/>
  <c r="E1849" i="1"/>
  <c r="U1849" i="1" s="1"/>
  <c r="E2124" i="1"/>
  <c r="U2124" i="1" s="1"/>
  <c r="E693" i="1"/>
  <c r="U693" i="1" s="1"/>
  <c r="E961" i="1"/>
  <c r="U961" i="1" s="1"/>
  <c r="E1420" i="1"/>
  <c r="U1420" i="1" s="1"/>
  <c r="E1766" i="1"/>
  <c r="U1766" i="1" s="1"/>
  <c r="E1122" i="1"/>
  <c r="U1122" i="1" s="1"/>
  <c r="E1910" i="1"/>
  <c r="U1910" i="1" s="1"/>
  <c r="E1408" i="1"/>
  <c r="U1408" i="1" s="1"/>
  <c r="E1327" i="1"/>
  <c r="U1327" i="1" s="1"/>
  <c r="E1126" i="1"/>
  <c r="U1126" i="1" s="1"/>
  <c r="E1123" i="1"/>
  <c r="U1123" i="1" s="1"/>
  <c r="E1589" i="1"/>
  <c r="U1589" i="1" s="1"/>
  <c r="E313" i="1"/>
  <c r="U313" i="1" s="1"/>
  <c r="E1367" i="1"/>
  <c r="U1367" i="1" s="1"/>
  <c r="E1650" i="1"/>
  <c r="E1753" i="1"/>
  <c r="U1753" i="1" s="1"/>
  <c r="E1446" i="1"/>
  <c r="U1446" i="1" s="1"/>
  <c r="E1980" i="1"/>
  <c r="U1980" i="1" s="1"/>
  <c r="E2055" i="1"/>
  <c r="U2055" i="1" s="1"/>
  <c r="E840" i="1"/>
  <c r="U840" i="1" s="1"/>
  <c r="E820" i="1"/>
  <c r="U820" i="1" s="1"/>
  <c r="E1000" i="1"/>
  <c r="U1000" i="1" s="1"/>
  <c r="E501" i="1"/>
  <c r="U501" i="1" s="1"/>
  <c r="E2040" i="1"/>
  <c r="U2040" i="1" s="1"/>
  <c r="E133" i="1"/>
  <c r="U133" i="1" s="1"/>
  <c r="E1919" i="1"/>
  <c r="U1919" i="1" s="1"/>
  <c r="E702" i="1"/>
  <c r="U702" i="1" s="1"/>
  <c r="E1829" i="1"/>
  <c r="U1829" i="1" s="1"/>
  <c r="E255" i="1"/>
  <c r="U255" i="1" s="1"/>
  <c r="E1042" i="1"/>
  <c r="U1042" i="1" s="1"/>
  <c r="E1943" i="1"/>
  <c r="U1943" i="1" s="1"/>
  <c r="E824" i="1"/>
  <c r="U824" i="1" s="1"/>
  <c r="E2116" i="1"/>
  <c r="U2116" i="1" s="1"/>
  <c r="E477" i="1"/>
  <c r="U477" i="1" s="1"/>
  <c r="E750" i="1"/>
  <c r="U750" i="1" s="1"/>
  <c r="E1687" i="1"/>
  <c r="U1687" i="1" s="1"/>
  <c r="E1337" i="1"/>
  <c r="U1337" i="1" s="1"/>
  <c r="E2120" i="1"/>
  <c r="U2120" i="1" s="1"/>
  <c r="E657" i="1"/>
  <c r="U657" i="1" s="1"/>
  <c r="E1445" i="1"/>
  <c r="U1445" i="1" s="1"/>
  <c r="E915" i="1"/>
  <c r="U915" i="1" s="1"/>
  <c r="E91" i="1"/>
  <c r="U91" i="1" s="1"/>
  <c r="E1503" i="1"/>
  <c r="U1503" i="1" s="1"/>
  <c r="E21" i="1"/>
  <c r="U21" i="1" s="1"/>
  <c r="E796" i="1"/>
  <c r="U796" i="1" s="1"/>
  <c r="E1635" i="1"/>
  <c r="U1635" i="1" s="1"/>
  <c r="E1193" i="1"/>
  <c r="U1193" i="1" s="1"/>
  <c r="E547" i="1"/>
  <c r="U547" i="1" s="1"/>
  <c r="E1173" i="1"/>
  <c r="U1173" i="1" s="1"/>
  <c r="E1975" i="1"/>
  <c r="U1975" i="1" s="1"/>
  <c r="E1767" i="1"/>
  <c r="U1767" i="1" s="1"/>
  <c r="E448" i="1"/>
  <c r="U448" i="1" s="1"/>
  <c r="E753" i="1"/>
  <c r="U753" i="1" s="1"/>
  <c r="E922" i="1"/>
  <c r="U922" i="1" s="1"/>
  <c r="E1773" i="1"/>
  <c r="U1773" i="1" s="1"/>
  <c r="E343" i="1"/>
  <c r="U343" i="1" s="1"/>
  <c r="E78" i="1"/>
  <c r="U78" i="1" s="1"/>
  <c r="E2039" i="1"/>
  <c r="U2039" i="1" s="1"/>
  <c r="E1951" i="1"/>
  <c r="U1951" i="1" s="1"/>
  <c r="E246" i="1"/>
  <c r="U246" i="1" s="1"/>
  <c r="E397" i="1"/>
  <c r="U397" i="1" s="1"/>
  <c r="E822" i="1"/>
  <c r="U822" i="1" s="1"/>
  <c r="E122" i="1"/>
  <c r="U122" i="1" s="1"/>
  <c r="E756" i="1"/>
  <c r="U756" i="1" s="1"/>
  <c r="E1682" i="1"/>
  <c r="U1682" i="1" s="1"/>
  <c r="E576" i="1"/>
  <c r="U576" i="1" s="1"/>
  <c r="E760" i="1"/>
  <c r="U760" i="1" s="1"/>
  <c r="E29" i="1"/>
  <c r="U29" i="1" s="1"/>
  <c r="E1686" i="1"/>
  <c r="U1686" i="1" s="1"/>
  <c r="E852" i="1"/>
  <c r="U852" i="1" s="1"/>
  <c r="E473" i="1"/>
  <c r="U473" i="1" s="1"/>
  <c r="E1402" i="1"/>
  <c r="U1402" i="1" s="1"/>
  <c r="E1325" i="1"/>
  <c r="U1325" i="1" s="1"/>
  <c r="E236" i="1"/>
  <c r="U236" i="1" s="1"/>
  <c r="E1269" i="1"/>
  <c r="U1269" i="1" s="1"/>
  <c r="E807" i="1"/>
  <c r="U807" i="1" s="1"/>
  <c r="E229" i="1"/>
  <c r="U229" i="1" s="1"/>
  <c r="E1696" i="1"/>
  <c r="U1696" i="1" s="1"/>
  <c r="E33" i="1"/>
  <c r="U33" i="1" s="1"/>
  <c r="E636" i="1"/>
  <c r="U636" i="1" s="1"/>
  <c r="E1070" i="1"/>
  <c r="U1070" i="1" s="1"/>
  <c r="E1210" i="1"/>
  <c r="U1210" i="1" s="1"/>
  <c r="E98" i="1"/>
  <c r="U98" i="1" s="1"/>
  <c r="E1703" i="1"/>
  <c r="U1703" i="1" s="1"/>
  <c r="E1469" i="1"/>
  <c r="U1469" i="1" s="1"/>
  <c r="E1478" i="1"/>
  <c r="U1478" i="1" s="1"/>
  <c r="E1525" i="1"/>
  <c r="U1525" i="1" s="1"/>
  <c r="E1115" i="1"/>
  <c r="U1115" i="1" s="1"/>
  <c r="E22" i="1"/>
  <c r="U22" i="1" s="1"/>
  <c r="E233" i="1"/>
  <c r="U233" i="1" s="1"/>
  <c r="E1427" i="1"/>
  <c r="U1427" i="1" s="1"/>
  <c r="E1229" i="1"/>
  <c r="U1229" i="1" s="1"/>
  <c r="E711" i="1"/>
  <c r="U711" i="1" s="1"/>
  <c r="E2098" i="1"/>
  <c r="U2098" i="1" s="1"/>
  <c r="E386" i="1"/>
  <c r="U386" i="1" s="1"/>
  <c r="E256" i="1"/>
  <c r="U256" i="1" s="1"/>
  <c r="E300" i="1"/>
  <c r="U300" i="1" s="1"/>
  <c r="E1336" i="1"/>
  <c r="U1336" i="1" s="1"/>
  <c r="E1135" i="1"/>
  <c r="U1135" i="1" s="1"/>
  <c r="E2110" i="1"/>
  <c r="U2110" i="1" s="1"/>
  <c r="E1287" i="1"/>
  <c r="U1287" i="1" s="1"/>
  <c r="E1144" i="1"/>
  <c r="U1144" i="1" s="1"/>
  <c r="E186" i="1"/>
  <c r="U186" i="1" s="1"/>
  <c r="E214" i="1"/>
  <c r="U214" i="1" s="1"/>
  <c r="E63" i="1"/>
  <c r="U63" i="1" s="1"/>
  <c r="E245" i="1"/>
  <c r="U245" i="1" s="1"/>
  <c r="E2118" i="1"/>
  <c r="U2118" i="1" s="1"/>
  <c r="E772" i="1"/>
  <c r="U772" i="1" s="1"/>
  <c r="E1978" i="1"/>
  <c r="U1978" i="1" s="1"/>
  <c r="E1552" i="1"/>
  <c r="U1552" i="1" s="1"/>
  <c r="E901" i="1"/>
  <c r="U901" i="1" s="1"/>
  <c r="E640" i="1"/>
  <c r="U640" i="1" s="1"/>
  <c r="E743" i="1"/>
  <c r="U743" i="1" s="1"/>
  <c r="E2019" i="1"/>
  <c r="U2019" i="1" s="1"/>
  <c r="E1902" i="1"/>
  <c r="U1902" i="1" s="1"/>
  <c r="E1844" i="1"/>
  <c r="U1844" i="1" s="1"/>
  <c r="E1930" i="1"/>
  <c r="U1930" i="1" s="1"/>
  <c r="E1751" i="1"/>
  <c r="U1751" i="1" s="1"/>
  <c r="E670" i="1"/>
  <c r="U670" i="1" s="1"/>
  <c r="E363" i="1"/>
  <c r="U363" i="1" s="1"/>
  <c r="E1258" i="1"/>
  <c r="U1258" i="1" s="1"/>
  <c r="E660" i="1"/>
  <c r="U660" i="1" s="1"/>
  <c r="E1710" i="1"/>
  <c r="U1710" i="1" s="1"/>
  <c r="E44" i="1"/>
  <c r="U44" i="1" s="1"/>
  <c r="E1381" i="1"/>
  <c r="U1381" i="1" s="1"/>
  <c r="E326" i="1"/>
  <c r="U326" i="1" s="1"/>
  <c r="E119" i="1"/>
  <c r="U119" i="1" s="1"/>
  <c r="E285" i="1"/>
  <c r="U285" i="1" s="1"/>
  <c r="E1982" i="1"/>
  <c r="U1982" i="1" s="1"/>
  <c r="E751" i="1"/>
  <c r="U751" i="1" s="1"/>
  <c r="E1863" i="1"/>
  <c r="U1863" i="1" s="1"/>
  <c r="E2123" i="1"/>
  <c r="U2123" i="1" s="1"/>
  <c r="E2014" i="1"/>
  <c r="U2014" i="1" s="1"/>
  <c r="E172" i="1"/>
  <c r="U172" i="1" s="1"/>
  <c r="E185" i="1"/>
  <c r="U185" i="1" s="1"/>
  <c r="E1657" i="1"/>
  <c r="U1657" i="1" s="1"/>
  <c r="E965" i="1"/>
  <c r="U965" i="1" s="1"/>
  <c r="E95" i="1"/>
  <c r="U95" i="1" s="1"/>
  <c r="E1068" i="1"/>
  <c r="U1068" i="1" s="1"/>
  <c r="E1300" i="1"/>
  <c r="U1300" i="1" s="1"/>
  <c r="E1091" i="1"/>
  <c r="U1091" i="1" s="1"/>
  <c r="E453" i="1"/>
  <c r="U453" i="1" s="1"/>
  <c r="E1102" i="1"/>
  <c r="U1102" i="1" s="1"/>
  <c r="E463" i="1"/>
  <c r="U463" i="1" s="1"/>
  <c r="E1207" i="1"/>
  <c r="U1207" i="1" s="1"/>
  <c r="E1617" i="1"/>
  <c r="U1617" i="1" s="1"/>
  <c r="E1432" i="1"/>
  <c r="U1432" i="1" s="1"/>
  <c r="E1952" i="1"/>
  <c r="U1952" i="1" s="1"/>
  <c r="E1066" i="1"/>
  <c r="U1066" i="1" s="1"/>
  <c r="E1806" i="1"/>
  <c r="U1806" i="1" s="1"/>
  <c r="E403" i="1"/>
  <c r="U403" i="1" s="1"/>
  <c r="E1234" i="1"/>
  <c r="U1234" i="1" s="1"/>
  <c r="E496" i="1"/>
  <c r="U496" i="1" s="1"/>
  <c r="E97" i="1"/>
  <c r="U97" i="1" s="1"/>
  <c r="E316" i="1"/>
  <c r="U316" i="1" s="1"/>
  <c r="E102" i="1"/>
  <c r="U102" i="1" s="1"/>
  <c r="E925" i="1"/>
  <c r="U925" i="1" s="1"/>
  <c r="E1777" i="1"/>
  <c r="U1777" i="1" s="1"/>
  <c r="E138" i="1"/>
  <c r="U138" i="1" s="1"/>
  <c r="E275" i="1"/>
  <c r="U275" i="1" s="1"/>
  <c r="E286" i="1"/>
  <c r="U286" i="1" s="1"/>
  <c r="E659" i="1"/>
  <c r="U659" i="1" s="1"/>
  <c r="E806" i="1"/>
  <c r="U806" i="1" s="1"/>
  <c r="E2106" i="1"/>
  <c r="U2106" i="1" s="1"/>
  <c r="E532" i="1"/>
  <c r="U532" i="1" s="1"/>
  <c r="E1929" i="1"/>
  <c r="U1929" i="1" s="1"/>
  <c r="E1585" i="1"/>
  <c r="U1585" i="1" s="1"/>
  <c r="E959" i="1"/>
  <c r="U959" i="1" s="1"/>
  <c r="E1160" i="1"/>
  <c r="U1160" i="1" s="1"/>
  <c r="E2101" i="1"/>
  <c r="U2101" i="1" s="1"/>
  <c r="E374" i="1"/>
  <c r="U374" i="1" s="1"/>
  <c r="E259" i="1"/>
  <c r="U259" i="1" s="1"/>
  <c r="E685" i="1"/>
  <c r="U685" i="1" s="1"/>
  <c r="E978" i="1"/>
  <c r="U978" i="1" s="1"/>
  <c r="E79" i="1"/>
  <c r="U79" i="1" s="1"/>
  <c r="E1864" i="1"/>
  <c r="U1864" i="1" s="1"/>
  <c r="E555" i="1"/>
  <c r="U555" i="1" s="1"/>
  <c r="E1846" i="1"/>
  <c r="U1846" i="1" s="1"/>
  <c r="E1320" i="1"/>
  <c r="U1320" i="1" s="1"/>
  <c r="E883" i="1"/>
  <c r="U883" i="1" s="1"/>
  <c r="E557" i="1"/>
  <c r="U557" i="1" s="1"/>
  <c r="E2125" i="1"/>
  <c r="U2125" i="1" s="1"/>
  <c r="E1582" i="1"/>
  <c r="U1582" i="1" s="1"/>
  <c r="E987" i="1"/>
  <c r="U987" i="1" s="1"/>
  <c r="E995" i="1"/>
  <c r="U995" i="1" s="1"/>
  <c r="E779" i="1"/>
  <c r="U779" i="1" s="1"/>
  <c r="E1489" i="1"/>
  <c r="U1489" i="1" s="1"/>
  <c r="E981" i="1"/>
  <c r="U981" i="1" s="1"/>
  <c r="E1728" i="1"/>
  <c r="U1728" i="1" s="1"/>
  <c r="E1737" i="1"/>
  <c r="U1737" i="1" s="1"/>
  <c r="E905" i="1"/>
  <c r="U905" i="1" s="1"/>
  <c r="E676" i="1"/>
  <c r="U676" i="1" s="1"/>
  <c r="E1862" i="1"/>
  <c r="U1862" i="1" s="1"/>
  <c r="E1857" i="1"/>
  <c r="U1857" i="1" s="1"/>
  <c r="E931" i="1"/>
  <c r="U931" i="1" s="1"/>
  <c r="E1558" i="1"/>
  <c r="U1558" i="1" s="1"/>
  <c r="E1304" i="1"/>
  <c r="U1304" i="1" s="1"/>
  <c r="E1284" i="1"/>
  <c r="U1284" i="1" s="1"/>
  <c r="E1749" i="1"/>
  <c r="U1749" i="1" s="1"/>
  <c r="E2132" i="1"/>
  <c r="U2132" i="1" s="1"/>
  <c r="E309" i="1"/>
  <c r="U309" i="1" s="1"/>
  <c r="E605" i="1"/>
  <c r="U605" i="1" s="1"/>
  <c r="E663" i="1"/>
  <c r="U663" i="1" s="1"/>
  <c r="E970" i="1"/>
  <c r="U970" i="1" s="1"/>
  <c r="E638" i="1"/>
  <c r="U638" i="1" s="1"/>
  <c r="E136" i="1"/>
  <c r="U136" i="1" s="1"/>
  <c r="E723" i="1"/>
  <c r="U723" i="1" s="1"/>
  <c r="E1570" i="1"/>
  <c r="U1570" i="1" s="1"/>
  <c r="E917" i="1"/>
  <c r="U917" i="1" s="1"/>
  <c r="E1181" i="1"/>
  <c r="U1181" i="1" s="1"/>
  <c r="E951" i="1"/>
  <c r="U951" i="1" s="1"/>
  <c r="E1030" i="1"/>
  <c r="U1030" i="1" s="1"/>
  <c r="E297" i="1"/>
  <c r="U297" i="1" s="1"/>
  <c r="E747" i="1"/>
  <c r="U747" i="1" s="1"/>
  <c r="E1731" i="1"/>
  <c r="U1731" i="1" s="1"/>
  <c r="E1990" i="1"/>
  <c r="U1990" i="1" s="1"/>
  <c r="E1225" i="1"/>
  <c r="U1225" i="1" s="1"/>
  <c r="E2104" i="1"/>
  <c r="U2104" i="1" s="1"/>
  <c r="E1458" i="1"/>
  <c r="U1458" i="1" s="1"/>
  <c r="E1346" i="1"/>
  <c r="U1346" i="1" s="1"/>
  <c r="E1335" i="1"/>
  <c r="U1335" i="1" s="1"/>
  <c r="E38" i="1"/>
  <c r="U38" i="1" s="1"/>
  <c r="E1488" i="1"/>
  <c r="U1488" i="1" s="1"/>
  <c r="E1568" i="1"/>
  <c r="U1568" i="1" s="1"/>
  <c r="E1842" i="1"/>
  <c r="U1842" i="1" s="1"/>
  <c r="E1040" i="1"/>
  <c r="U1040" i="1" s="1"/>
  <c r="E1800" i="1"/>
  <c r="U1800" i="1" s="1"/>
  <c r="E826" i="1"/>
  <c r="U826" i="1" s="1"/>
  <c r="E1795" i="1"/>
  <c r="U1795" i="1" s="1"/>
  <c r="E904" i="1"/>
  <c r="U904" i="1" s="1"/>
  <c r="E371" i="1"/>
  <c r="U371" i="1" s="1"/>
  <c r="E2037" i="1"/>
  <c r="U2037" i="1" s="1"/>
  <c r="E1235" i="1"/>
  <c r="U1235" i="1" s="1"/>
  <c r="E1141" i="1"/>
  <c r="U1141" i="1" s="1"/>
  <c r="E451" i="1"/>
  <c r="U451" i="1" s="1"/>
  <c r="E1119" i="1"/>
  <c r="U1119" i="1" s="1"/>
  <c r="E926" i="1"/>
  <c r="U926" i="1" s="1"/>
  <c r="E450" i="1"/>
  <c r="U450" i="1" s="1"/>
  <c r="E943" i="1"/>
  <c r="U943" i="1" s="1"/>
  <c r="E1363" i="1"/>
  <c r="U1363" i="1" s="1"/>
  <c r="E1936" i="1"/>
  <c r="U1936" i="1" s="1"/>
  <c r="E575" i="1"/>
  <c r="U575" i="1" s="1"/>
  <c r="E270" i="1"/>
  <c r="U270" i="1" s="1"/>
  <c r="E50" i="1"/>
  <c r="U50" i="1" s="1"/>
  <c r="E154" i="1"/>
  <c r="U154" i="1" s="1"/>
  <c r="E434" i="1"/>
  <c r="U434" i="1" s="1"/>
  <c r="E768" i="1"/>
  <c r="U768" i="1" s="1"/>
  <c r="E470" i="1"/>
  <c r="U470" i="1" s="1"/>
  <c r="E1206" i="1"/>
  <c r="U1206" i="1" s="1"/>
  <c r="E859" i="1"/>
  <c r="U859" i="1" s="1"/>
  <c r="E1383" i="1"/>
  <c r="U1383" i="1" s="1"/>
  <c r="E1431" i="1"/>
  <c r="U1431" i="1" s="1"/>
  <c r="E512" i="1"/>
  <c r="U512" i="1" s="1"/>
  <c r="E1156" i="1"/>
  <c r="U1156" i="1" s="1"/>
  <c r="E1690" i="1"/>
  <c r="U1690" i="1" s="1"/>
  <c r="E1707" i="1"/>
  <c r="U1707" i="1" s="1"/>
  <c r="E296" i="1"/>
  <c r="U296" i="1" s="1"/>
  <c r="E694" i="1"/>
  <c r="U694" i="1" s="1"/>
  <c r="E971" i="1"/>
  <c r="U971" i="1" s="1"/>
  <c r="E1283" i="1"/>
  <c r="U1283" i="1" s="1"/>
  <c r="E1211" i="1"/>
  <c r="U1211" i="1" s="1"/>
  <c r="E2001" i="1"/>
  <c r="U2001" i="1" s="1"/>
  <c r="E1154" i="1"/>
  <c r="U1154" i="1" s="1"/>
  <c r="E440" i="1"/>
  <c r="U440" i="1" s="1"/>
  <c r="E1308" i="1"/>
  <c r="U1308" i="1" s="1"/>
  <c r="E1312" i="1"/>
  <c r="U1312" i="1" s="1"/>
  <c r="E2102" i="1"/>
  <c r="U2102" i="1" s="1"/>
  <c r="E1152" i="1"/>
  <c r="U1152" i="1" s="1"/>
  <c r="E2072" i="1"/>
  <c r="U2072" i="1" s="1"/>
  <c r="E919" i="1"/>
  <c r="U919" i="1" s="1"/>
  <c r="E1052" i="1"/>
  <c r="U1052" i="1" s="1"/>
  <c r="E338" i="1"/>
  <c r="U338" i="1" s="1"/>
  <c r="E889" i="1"/>
  <c r="U889" i="1" s="1"/>
  <c r="E1444" i="1"/>
  <c r="U1444" i="1" s="1"/>
  <c r="E1032" i="1"/>
  <c r="U1032" i="1" s="1"/>
  <c r="E642" i="1"/>
  <c r="U642" i="1" s="1"/>
  <c r="E1923" i="1"/>
  <c r="U1923" i="1" s="1"/>
  <c r="E816" i="1"/>
  <c r="U816" i="1" s="1"/>
  <c r="E171" i="1"/>
  <c r="U171" i="1" s="1"/>
  <c r="E1505" i="1"/>
  <c r="U1505" i="1" s="1"/>
  <c r="E801" i="1"/>
  <c r="U801" i="1" s="1"/>
  <c r="E382" i="1"/>
  <c r="U382" i="1" s="1"/>
  <c r="E1039" i="1"/>
  <c r="U1039" i="1" s="1"/>
  <c r="E600" i="1"/>
  <c r="U600" i="1" s="1"/>
  <c r="E1473" i="1"/>
  <c r="U1473" i="1" s="1"/>
  <c r="E1483" i="1"/>
  <c r="U1483" i="1" s="1"/>
  <c r="E717" i="1"/>
  <c r="U717" i="1" s="1"/>
  <c r="E627" i="1"/>
  <c r="U627" i="1" s="1"/>
  <c r="E132" i="1"/>
  <c r="U132" i="1" s="1"/>
  <c r="E1662" i="1"/>
  <c r="U1662" i="1" s="1"/>
  <c r="E1116" i="1"/>
  <c r="U1116" i="1" s="1"/>
  <c r="E1621" i="1"/>
  <c r="U1621" i="1" s="1"/>
  <c r="E1948" i="1"/>
  <c r="U1948" i="1" s="1"/>
  <c r="E1275" i="1"/>
  <c r="U1275" i="1" s="1"/>
  <c r="E1338" i="1"/>
  <c r="U1338" i="1" s="1"/>
  <c r="E1557" i="1"/>
  <c r="U1557" i="1" s="1"/>
  <c r="E1508" i="1"/>
  <c r="U1508" i="1" s="1"/>
  <c r="E1361" i="1"/>
  <c r="U1361" i="1" s="1"/>
  <c r="E23" i="1"/>
  <c r="U23" i="1" s="1"/>
  <c r="E466" i="1"/>
  <c r="U466" i="1" s="1"/>
  <c r="E1965" i="1"/>
  <c r="U1965" i="1" s="1"/>
  <c r="E268" i="1"/>
  <c r="U268" i="1" s="1"/>
  <c r="E794" i="1"/>
  <c r="U794" i="1" s="1"/>
  <c r="E226" i="1"/>
  <c r="U226" i="1" s="1"/>
  <c r="E1398" i="1"/>
  <c r="U1398" i="1" s="1"/>
  <c r="E1128" i="1"/>
  <c r="U1128" i="1" s="1"/>
  <c r="E208" i="1"/>
  <c r="U208" i="1" s="1"/>
  <c r="E1553" i="1"/>
  <c r="U1553" i="1" s="1"/>
  <c r="E175" i="1"/>
  <c r="U175" i="1" s="1"/>
  <c r="E366" i="1"/>
  <c r="U366" i="1" s="1"/>
  <c r="E37" i="1"/>
  <c r="U37" i="1" s="1"/>
  <c r="E1438" i="1"/>
  <c r="U1438" i="1" s="1"/>
  <c r="E1642" i="1"/>
  <c r="U1642" i="1" s="1"/>
  <c r="E1421" i="1"/>
  <c r="U1421" i="1" s="1"/>
  <c r="E96" i="1"/>
  <c r="U96" i="1" s="1"/>
  <c r="E1416" i="1"/>
  <c r="U1416" i="1" s="1"/>
  <c r="E932" i="1"/>
  <c r="U932" i="1" s="1"/>
  <c r="E1271" i="1"/>
  <c r="U1271" i="1" s="1"/>
  <c r="E1295" i="1"/>
  <c r="U1295" i="1" s="1"/>
  <c r="E1722" i="1"/>
  <c r="U1722" i="1" s="1"/>
  <c r="E988" i="1"/>
  <c r="U988" i="1" s="1"/>
  <c r="E317" i="1"/>
  <c r="U317" i="1" s="1"/>
  <c r="E2018" i="1"/>
  <c r="U2018" i="1" s="1"/>
  <c r="E230" i="1"/>
  <c r="U230" i="1" s="1"/>
  <c r="E724" i="1"/>
  <c r="U724" i="1" s="1"/>
  <c r="E825" i="1"/>
  <c r="U825" i="1" s="1"/>
  <c r="E805" i="1"/>
  <c r="U805" i="1" s="1"/>
  <c r="E1513" i="1"/>
  <c r="U1513" i="1" s="1"/>
  <c r="E1245" i="1"/>
  <c r="U1245" i="1" s="1"/>
  <c r="E428" i="1"/>
  <c r="U428" i="1" s="1"/>
  <c r="E1481" i="1"/>
  <c r="U1481" i="1" s="1"/>
  <c r="E1113" i="1"/>
  <c r="U1113" i="1" s="1"/>
  <c r="E2085" i="1"/>
  <c r="U2085" i="1" s="1"/>
  <c r="E564" i="1"/>
  <c r="U564" i="1" s="1"/>
  <c r="E1240" i="1"/>
  <c r="U1240" i="1" s="1"/>
  <c r="E1010" i="1"/>
  <c r="U1010" i="1" s="1"/>
  <c r="E1884" i="1"/>
  <c r="U1884" i="1" s="1"/>
  <c r="E18" i="1"/>
  <c r="U18" i="1" s="1"/>
  <c r="E1493" i="1"/>
  <c r="U1493" i="1" s="1"/>
  <c r="E786" i="1"/>
  <c r="U786" i="1" s="1"/>
  <c r="E891" i="1"/>
  <c r="U891" i="1" s="1"/>
  <c r="E459" i="1"/>
  <c r="U459" i="1" s="1"/>
  <c r="E1517" i="1"/>
  <c r="U1517" i="1" s="1"/>
  <c r="E516" i="1"/>
  <c r="U516" i="1" s="1"/>
  <c r="E1316" i="1"/>
  <c r="U1316" i="1" s="1"/>
  <c r="E1253" i="1"/>
  <c r="U1253" i="1" s="1"/>
  <c r="E705" i="1"/>
  <c r="U705" i="1" s="1"/>
  <c r="E460" i="1"/>
  <c r="U460" i="1" s="1"/>
  <c r="E719" i="1"/>
  <c r="U719" i="1" s="1"/>
  <c r="E201" i="1"/>
  <c r="U201" i="1" s="1"/>
  <c r="E1531" i="1"/>
  <c r="U1531" i="1" s="1"/>
  <c r="E199" i="1"/>
  <c r="U199" i="1" s="1"/>
  <c r="E1835" i="1"/>
  <c r="U1835" i="1" s="1"/>
  <c r="E735" i="1"/>
  <c r="U735" i="1" s="1"/>
  <c r="W819" i="1" l="1"/>
  <c r="X819" i="1" s="1"/>
  <c r="W786" i="1"/>
  <c r="X786" i="1" s="1"/>
  <c r="W201" i="1"/>
  <c r="X201" i="1" s="1"/>
  <c r="W18" i="1"/>
  <c r="X18" i="1" s="1"/>
  <c r="W825" i="1"/>
  <c r="X825" i="1" s="1"/>
  <c r="W1421" i="1"/>
  <c r="X1421" i="1" s="1"/>
  <c r="W268" i="1"/>
  <c r="X268" i="1" s="1"/>
  <c r="W1662" i="1"/>
  <c r="X1662" i="1" s="1"/>
  <c r="W816" i="1"/>
  <c r="X816" i="1" s="1"/>
  <c r="W1312" i="1"/>
  <c r="X1312" i="1" s="1"/>
  <c r="W1156" i="1"/>
  <c r="X1156" i="1" s="1"/>
  <c r="W575" i="1"/>
  <c r="X575" i="1" s="1"/>
  <c r="W904" i="1"/>
  <c r="X904" i="1" s="1"/>
  <c r="W136" i="1"/>
  <c r="X136" i="1" s="1"/>
  <c r="W1857" i="1"/>
  <c r="X1857" i="1" s="1"/>
  <c r="W1777" i="1"/>
  <c r="X1777" i="1" s="1"/>
  <c r="W1617" i="1"/>
  <c r="X1617" i="1" s="1"/>
  <c r="W172" i="1"/>
  <c r="X172" i="1" s="1"/>
  <c r="W660" i="1"/>
  <c r="X660" i="1" s="1"/>
  <c r="W1552" i="1"/>
  <c r="X1552" i="1" s="1"/>
  <c r="W1336" i="1"/>
  <c r="X1336" i="1" s="1"/>
  <c r="W1478" i="1"/>
  <c r="X1478" i="1" s="1"/>
  <c r="W236" i="1"/>
  <c r="X236" i="1" s="1"/>
  <c r="W822" i="1"/>
  <c r="X822" i="1" s="1"/>
  <c r="W1919" i="1"/>
  <c r="X1919" i="1" s="1"/>
  <c r="W1367" i="1"/>
  <c r="X1367" i="1" s="1"/>
  <c r="W693" i="1"/>
  <c r="X693" i="1" s="1"/>
  <c r="W291" i="1"/>
  <c r="X291" i="1" s="1"/>
  <c r="W66" i="1"/>
  <c r="X66" i="1" s="1"/>
  <c r="W1025" i="1"/>
  <c r="X1025" i="1" s="1"/>
  <c r="W1899" i="1"/>
  <c r="X1899" i="1" s="1"/>
  <c r="W467" i="1"/>
  <c r="X467" i="1" s="1"/>
  <c r="W1792" i="1"/>
  <c r="X1792" i="1" s="1"/>
  <c r="W260" i="1"/>
  <c r="X260" i="1" s="1"/>
  <c r="W375" i="1"/>
  <c r="X375" i="1" s="1"/>
  <c r="W99" i="1"/>
  <c r="X99" i="1" s="1"/>
  <c r="W200" i="1"/>
  <c r="X200" i="1" s="1"/>
  <c r="W1104" i="1"/>
  <c r="X1104" i="1" s="1"/>
  <c r="W1700" i="1"/>
  <c r="X1700" i="1" s="1"/>
  <c r="W1890" i="1"/>
  <c r="X1890" i="1" s="1"/>
  <c r="W524" i="1"/>
  <c r="X524" i="1" s="1"/>
  <c r="W716" i="1"/>
  <c r="X716" i="1" s="1"/>
  <c r="W266" i="1"/>
  <c r="X266" i="1" s="1"/>
  <c r="W687" i="1"/>
  <c r="X687" i="1" s="1"/>
  <c r="W653" i="1"/>
  <c r="X653" i="1" s="1"/>
  <c r="W969" i="1"/>
  <c r="X969" i="1" s="1"/>
  <c r="W329" i="1"/>
  <c r="X329" i="1" s="1"/>
  <c r="W1735" i="1"/>
  <c r="X1735" i="1" s="1"/>
  <c r="W1026" i="1"/>
  <c r="X1026" i="1" s="1"/>
  <c r="W928" i="1"/>
  <c r="X928" i="1" s="1"/>
  <c r="W2114" i="1"/>
  <c r="X2114" i="1" s="1"/>
  <c r="W1975" i="1"/>
  <c r="X1975" i="1" s="1"/>
  <c r="W2101" i="1"/>
  <c r="X2101" i="1" s="1"/>
  <c r="W2125" i="1"/>
  <c r="X2125" i="1" s="1"/>
  <c r="W2008" i="1"/>
  <c r="X2008" i="1" s="1"/>
  <c r="W1995" i="1"/>
  <c r="X1995" i="1" s="1"/>
  <c r="W300" i="1"/>
  <c r="X300" i="1" s="1"/>
  <c r="W1884" i="1"/>
  <c r="X1884" i="1" s="1"/>
  <c r="W1642" i="1"/>
  <c r="X1642" i="1" s="1"/>
  <c r="W132" i="1"/>
  <c r="X132" i="1" s="1"/>
  <c r="W1308" i="1"/>
  <c r="X1308" i="1" s="1"/>
  <c r="W1936" i="1"/>
  <c r="X1936" i="1" s="1"/>
  <c r="W1225" i="1"/>
  <c r="X1225" i="1" s="1"/>
  <c r="W638" i="1"/>
  <c r="X638" i="1" s="1"/>
  <c r="W557" i="1"/>
  <c r="X557" i="1" s="1"/>
  <c r="W1207" i="1"/>
  <c r="X1207" i="1" s="1"/>
  <c r="W1325" i="1"/>
  <c r="X1325" i="1" s="1"/>
  <c r="W719" i="1"/>
  <c r="X719" i="1" s="1"/>
  <c r="W724" i="1"/>
  <c r="X724" i="1" s="1"/>
  <c r="W1965" i="1"/>
  <c r="X1965" i="1" s="1"/>
  <c r="W1923" i="1"/>
  <c r="X1923" i="1" s="1"/>
  <c r="W512" i="1"/>
  <c r="X512" i="1" s="1"/>
  <c r="W1795" i="1"/>
  <c r="X1795" i="1" s="1"/>
  <c r="W1862" i="1"/>
  <c r="X1862" i="1" s="1"/>
  <c r="W1160" i="1"/>
  <c r="X1160" i="1" s="1"/>
  <c r="W925" i="1"/>
  <c r="X925" i="1" s="1"/>
  <c r="W1258" i="1"/>
  <c r="X1258" i="1" s="1"/>
  <c r="W1978" i="1"/>
  <c r="X1978" i="1" s="1"/>
  <c r="W1469" i="1"/>
  <c r="X1469" i="1" s="1"/>
  <c r="W1481" i="1"/>
  <c r="X1481" i="1" s="1"/>
  <c r="W1039" i="1"/>
  <c r="X1039" i="1" s="1"/>
  <c r="W451" i="1"/>
  <c r="X451" i="1" s="1"/>
  <c r="W1489" i="1"/>
  <c r="X1489" i="1" s="1"/>
  <c r="W119" i="1"/>
  <c r="X119" i="1" s="1"/>
  <c r="W760" i="1"/>
  <c r="X760" i="1" s="1"/>
  <c r="W2055" i="1"/>
  <c r="X2055" i="1" s="1"/>
  <c r="W1624" i="1"/>
  <c r="X1624" i="1" s="1"/>
  <c r="W1885" i="1"/>
  <c r="X1885" i="1" s="1"/>
  <c r="W444" i="1"/>
  <c r="X444" i="1" s="1"/>
  <c r="W1913" i="1"/>
  <c r="X1913" i="1" s="1"/>
  <c r="W83" i="1"/>
  <c r="X83" i="1" s="1"/>
  <c r="W1581" i="1"/>
  <c r="X1581" i="1" s="1"/>
  <c r="W718" i="1"/>
  <c r="X718" i="1" s="1"/>
  <c r="W1474" i="1"/>
  <c r="X1474" i="1" s="1"/>
  <c r="W2030" i="1"/>
  <c r="X2030" i="1" s="1"/>
  <c r="W1006" i="1"/>
  <c r="X1006" i="1" s="1"/>
  <c r="W1588" i="1"/>
  <c r="X1588" i="1" s="1"/>
  <c r="W612" i="1"/>
  <c r="X612" i="1" s="1"/>
  <c r="W666" i="1"/>
  <c r="X666" i="1" s="1"/>
  <c r="W1423" i="1"/>
  <c r="X1423" i="1" s="1"/>
  <c r="W1056" i="1"/>
  <c r="X1056" i="1" s="1"/>
  <c r="W47" i="1"/>
  <c r="X47" i="1" s="1"/>
  <c r="W164" i="1"/>
  <c r="X164" i="1" s="1"/>
  <c r="W208" i="1"/>
  <c r="X208" i="1" s="1"/>
  <c r="W768" i="1"/>
  <c r="X768" i="1" s="1"/>
  <c r="W1749" i="1"/>
  <c r="X1749" i="1" s="1"/>
  <c r="W403" i="1"/>
  <c r="X403" i="1" s="1"/>
  <c r="W186" i="1"/>
  <c r="X186" i="1" s="1"/>
  <c r="W1773" i="1"/>
  <c r="X1773" i="1" s="1"/>
  <c r="W1910" i="1"/>
  <c r="X1910" i="1" s="1"/>
  <c r="W778" i="1"/>
  <c r="X778" i="1" s="1"/>
  <c r="W829" i="1"/>
  <c r="X829" i="1" s="1"/>
  <c r="W788" i="1"/>
  <c r="X788" i="1" s="1"/>
  <c r="W1046" i="1"/>
  <c r="X1046" i="1" s="1"/>
  <c r="W191" i="1"/>
  <c r="X191" i="1" s="1"/>
  <c r="W1362" i="1"/>
  <c r="X1362" i="1" s="1"/>
  <c r="W303" i="1"/>
  <c r="X303" i="1" s="1"/>
  <c r="W1101" i="1"/>
  <c r="X1101" i="1" s="1"/>
  <c r="W324" i="1"/>
  <c r="X324" i="1" s="1"/>
  <c r="W134" i="1"/>
  <c r="X134" i="1" s="1"/>
  <c r="W491" i="1"/>
  <c r="X491" i="1" s="1"/>
  <c r="W247" i="1"/>
  <c r="X247" i="1" s="1"/>
  <c r="W449" i="1"/>
  <c r="X449" i="1" s="1"/>
  <c r="W192" i="1"/>
  <c r="X192" i="1" s="1"/>
  <c r="W1613" i="1"/>
  <c r="X1613" i="1" s="1"/>
  <c r="W907" i="1"/>
  <c r="X907" i="1" s="1"/>
  <c r="W754" i="1"/>
  <c r="X754" i="1" s="1"/>
  <c r="W1088" i="1"/>
  <c r="X1088" i="1" s="1"/>
  <c r="W1453" i="1"/>
  <c r="X1453" i="1" s="1"/>
  <c r="W559" i="1"/>
  <c r="X559" i="1" s="1"/>
  <c r="W1404" i="1"/>
  <c r="X1404" i="1" s="1"/>
  <c r="W1516" i="1"/>
  <c r="X1516" i="1" s="1"/>
  <c r="W1758" i="1"/>
  <c r="X1758" i="1" s="1"/>
  <c r="W1706" i="1"/>
  <c r="X1706" i="1" s="1"/>
  <c r="W990" i="1"/>
  <c r="X990" i="1" s="1"/>
  <c r="W1341" i="1"/>
  <c r="X1341" i="1" s="1"/>
  <c r="W1638" i="1"/>
  <c r="X1638" i="1" s="1"/>
  <c r="W1097" i="1"/>
  <c r="X1097" i="1" s="1"/>
  <c r="W1295" i="1"/>
  <c r="X1295" i="1" s="1"/>
  <c r="W1052" i="1"/>
  <c r="X1052" i="1" s="1"/>
  <c r="W1488" i="1"/>
  <c r="X1488" i="1" s="1"/>
  <c r="W79" i="1"/>
  <c r="X79" i="1" s="1"/>
  <c r="W1068" i="1"/>
  <c r="X1068" i="1" s="1"/>
  <c r="W1427" i="1"/>
  <c r="X1427" i="1" s="1"/>
  <c r="W1503" i="1"/>
  <c r="X1503" i="1" s="1"/>
  <c r="W1571" i="1"/>
  <c r="X1571" i="1" s="1"/>
  <c r="W1743" i="1"/>
  <c r="X1743" i="1" s="1"/>
  <c r="W896" i="1"/>
  <c r="X896" i="1" s="1"/>
  <c r="W708" i="1"/>
  <c r="X708" i="1" s="1"/>
  <c r="W88" i="1"/>
  <c r="X88" i="1" s="1"/>
  <c r="W913" i="1"/>
  <c r="X913" i="1" s="1"/>
  <c r="W1326" i="1"/>
  <c r="X1326" i="1" s="1"/>
  <c r="W390" i="1"/>
  <c r="X390" i="1" s="1"/>
  <c r="W1351" i="1"/>
  <c r="X1351" i="1" s="1"/>
  <c r="W394" i="1"/>
  <c r="X394" i="1" s="1"/>
  <c r="W624" i="1"/>
  <c r="X624" i="1" s="1"/>
  <c r="W862" i="1"/>
  <c r="X862" i="1" s="1"/>
  <c r="W399" i="1"/>
  <c r="X399" i="1" s="1"/>
  <c r="W306" i="1"/>
  <c r="X306" i="1" s="1"/>
  <c r="W1939" i="1"/>
  <c r="X1939" i="1" s="1"/>
  <c r="W1035" i="1"/>
  <c r="X1035" i="1" s="1"/>
  <c r="W80" i="1"/>
  <c r="X80" i="1" s="1"/>
  <c r="W789" i="1"/>
  <c r="X789" i="1" s="1"/>
  <c r="W1188" i="1"/>
  <c r="X1188" i="1" s="1"/>
  <c r="W678" i="1"/>
  <c r="X678" i="1" s="1"/>
  <c r="W830" i="1"/>
  <c r="X830" i="1" s="1"/>
  <c r="W709" i="1"/>
  <c r="X709" i="1" s="1"/>
  <c r="W503" i="1"/>
  <c r="X503" i="1" s="1"/>
  <c r="W1659" i="1"/>
  <c r="X1659" i="1" s="1"/>
  <c r="W280" i="1"/>
  <c r="X280" i="1" s="1"/>
  <c r="W1053" i="1"/>
  <c r="X1053" i="1" s="1"/>
  <c r="W1083" i="1"/>
  <c r="X1083" i="1" s="1"/>
  <c r="W1963" i="1"/>
  <c r="X1963" i="1" s="1"/>
  <c r="W1836" i="1"/>
  <c r="X1836" i="1" s="1"/>
  <c r="W1583" i="1"/>
  <c r="X1583" i="1" s="1"/>
  <c r="W1517" i="1"/>
  <c r="X1517" i="1" s="1"/>
  <c r="W1338" i="1"/>
  <c r="X1338" i="1" s="1"/>
  <c r="W971" i="1"/>
  <c r="X971" i="1" s="1"/>
  <c r="W951" i="1"/>
  <c r="X951" i="1" s="1"/>
  <c r="W806" i="1"/>
  <c r="X806" i="1" s="1"/>
  <c r="W1902" i="1"/>
  <c r="X1902" i="1" s="1"/>
  <c r="W33" i="1"/>
  <c r="X33" i="1" s="1"/>
  <c r="W1943" i="1"/>
  <c r="X1943" i="1" s="1"/>
  <c r="W159" i="1"/>
  <c r="X159" i="1" s="1"/>
  <c r="W1227" i="1"/>
  <c r="X1227" i="1" s="1"/>
  <c r="W1641" i="1"/>
  <c r="X1641" i="1" s="1"/>
  <c r="W1281" i="1"/>
  <c r="X1281" i="1" s="1"/>
  <c r="W174" i="1"/>
  <c r="X174" i="1" s="1"/>
  <c r="W688" i="1"/>
  <c r="X688" i="1" s="1"/>
  <c r="W1752" i="1"/>
  <c r="X1752" i="1" s="1"/>
  <c r="W1636" i="1"/>
  <c r="X1636" i="1" s="1"/>
  <c r="W1634" i="1"/>
  <c r="X1634" i="1" s="1"/>
  <c r="W1310" i="1"/>
  <c r="X1310" i="1" s="1"/>
  <c r="W1069" i="1"/>
  <c r="X1069" i="1" s="1"/>
  <c r="W529" i="1"/>
  <c r="X529" i="1" s="1"/>
  <c r="W1412" i="1"/>
  <c r="X1412" i="1" s="1"/>
  <c r="W540" i="1"/>
  <c r="X540" i="1" s="1"/>
  <c r="W1759" i="1"/>
  <c r="X1759" i="1" s="1"/>
  <c r="W1577" i="1"/>
  <c r="X1577" i="1" s="1"/>
  <c r="W1520" i="1"/>
  <c r="X1520" i="1" s="1"/>
  <c r="W903" i="1"/>
  <c r="X903" i="1" s="1"/>
  <c r="W1256" i="1"/>
  <c r="X1256" i="1" s="1"/>
  <c r="W279" i="1"/>
  <c r="X279" i="1" s="1"/>
  <c r="W334" i="1"/>
  <c r="X334" i="1" s="1"/>
  <c r="W354" i="1"/>
  <c r="X354" i="1" s="1"/>
  <c r="W813" i="1"/>
  <c r="X813" i="1" s="1"/>
  <c r="W107" i="1"/>
  <c r="X107" i="1" s="1"/>
  <c r="W790" i="1"/>
  <c r="X790" i="1" s="1"/>
  <c r="W1364" i="1"/>
  <c r="X1364" i="1" s="1"/>
  <c r="W1922" i="1"/>
  <c r="X1922" i="1" s="1"/>
  <c r="W225" i="1"/>
  <c r="X225" i="1" s="1"/>
  <c r="W207" i="1"/>
  <c r="X207" i="1" s="1"/>
  <c r="W397" i="1"/>
  <c r="X397" i="1" s="1"/>
  <c r="W1337" i="1"/>
  <c r="X1337" i="1" s="1"/>
  <c r="W133" i="1"/>
  <c r="X133" i="1" s="1"/>
  <c r="W2124" i="1"/>
  <c r="X2124" i="1" s="1"/>
  <c r="W2011" i="1"/>
  <c r="X2011" i="1" s="1"/>
  <c r="W1544" i="1"/>
  <c r="X1544" i="1" s="1"/>
  <c r="W1023" i="1"/>
  <c r="X1023" i="1" s="1"/>
  <c r="W1645" i="1"/>
  <c r="X1645" i="1" s="1"/>
  <c r="W57" i="1"/>
  <c r="X57" i="1" s="1"/>
  <c r="W409" i="1"/>
  <c r="X409" i="1" s="1"/>
  <c r="W1688" i="1"/>
  <c r="X1688" i="1" s="1"/>
  <c r="W1646" i="1"/>
  <c r="X1646" i="1" s="1"/>
  <c r="W1043" i="1"/>
  <c r="X1043" i="1" s="1"/>
  <c r="W220" i="1"/>
  <c r="X220" i="1" s="1"/>
  <c r="W2088" i="1"/>
  <c r="X2088" i="1" s="1"/>
  <c r="W442" i="1"/>
  <c r="X442" i="1" s="1"/>
  <c r="W1541" i="1"/>
  <c r="X1541" i="1" s="1"/>
  <c r="W2023" i="1"/>
  <c r="X2023" i="1" s="1"/>
  <c r="W90" i="1"/>
  <c r="X90" i="1" s="1"/>
  <c r="W641" i="1"/>
  <c r="X641" i="1" s="1"/>
  <c r="W637" i="1"/>
  <c r="X637" i="1" s="1"/>
  <c r="W1358" i="1"/>
  <c r="X1358" i="1" s="1"/>
  <c r="W1213" i="1"/>
  <c r="X1213" i="1" s="1"/>
  <c r="W635" i="1"/>
  <c r="X635" i="1" s="1"/>
  <c r="W1921" i="1"/>
  <c r="X1921" i="1" s="1"/>
  <c r="W1956" i="1"/>
  <c r="X1956" i="1" s="1"/>
  <c r="W258" i="1"/>
  <c r="X258" i="1" s="1"/>
  <c r="W940" i="1"/>
  <c r="X940" i="1" s="1"/>
  <c r="W1117" i="1"/>
  <c r="X1117" i="1" s="1"/>
  <c r="W1878" i="1"/>
  <c r="X1878" i="1" s="1"/>
  <c r="W103" i="1"/>
  <c r="X103" i="1" s="1"/>
  <c r="W1162" i="1"/>
  <c r="X1162" i="1" s="1"/>
  <c r="W1479" i="1"/>
  <c r="X1479" i="1" s="1"/>
  <c r="W1099" i="1"/>
  <c r="X1099" i="1" s="1"/>
  <c r="W235" i="1"/>
  <c r="X235" i="1" s="1"/>
  <c r="W1405" i="1"/>
  <c r="X1405" i="1" s="1"/>
  <c r="W465" i="1"/>
  <c r="X465" i="1" s="1"/>
  <c r="W1057" i="1"/>
  <c r="X1057" i="1" s="1"/>
  <c r="W1085" i="1"/>
  <c r="X1085" i="1" s="1"/>
  <c r="W377" i="1"/>
  <c r="X377" i="1" s="1"/>
  <c r="W1301" i="1"/>
  <c r="X1301" i="1" s="1"/>
  <c r="W1949" i="1"/>
  <c r="X1949" i="1" s="1"/>
  <c r="W379" i="1"/>
  <c r="X379" i="1" s="1"/>
  <c r="W36" i="1"/>
  <c r="X36" i="1" s="1"/>
  <c r="W131" i="1"/>
  <c r="X131" i="1" s="1"/>
  <c r="W312" i="1"/>
  <c r="X312" i="1" s="1"/>
  <c r="W726" i="1"/>
  <c r="X726" i="1" s="1"/>
  <c r="W1535" i="1"/>
  <c r="X1535" i="1" s="1"/>
  <c r="W1808" i="1"/>
  <c r="X1808" i="1" s="1"/>
  <c r="W253" i="1"/>
  <c r="X253" i="1" s="1"/>
  <c r="W1652" i="1"/>
  <c r="X1652" i="1" s="1"/>
  <c r="W1218" i="1"/>
  <c r="X1218" i="1" s="1"/>
  <c r="W553" i="1"/>
  <c r="X553" i="1" s="1"/>
  <c r="W1403" i="1"/>
  <c r="X1403" i="1" s="1"/>
  <c r="W468" i="1"/>
  <c r="X468" i="1" s="1"/>
  <c r="W232" i="1"/>
  <c r="X232" i="1" s="1"/>
  <c r="W1961" i="1"/>
  <c r="X1961" i="1" s="1"/>
  <c r="W964" i="1"/>
  <c r="X964" i="1" s="1"/>
  <c r="W749" i="1"/>
  <c r="X749" i="1" s="1"/>
  <c r="W237" i="1"/>
  <c r="X237" i="1" s="1"/>
  <c r="W1720" i="1"/>
  <c r="X1720" i="1" s="1"/>
  <c r="W1756" i="1"/>
  <c r="X1756" i="1" s="1"/>
  <c r="W594" i="1"/>
  <c r="X594" i="1" s="1"/>
  <c r="W109" i="1"/>
  <c r="X109" i="1" s="1"/>
  <c r="W46" i="1"/>
  <c r="X46" i="1" s="1"/>
  <c r="W1076" i="1"/>
  <c r="X1076" i="1" s="1"/>
  <c r="W20" i="1"/>
  <c r="X20" i="1" s="1"/>
  <c r="W1145" i="1"/>
  <c r="X1145" i="1" s="1"/>
  <c r="W929" i="1"/>
  <c r="X929" i="1" s="1"/>
  <c r="W1596" i="1"/>
  <c r="X1596" i="1" s="1"/>
  <c r="W288" i="1"/>
  <c r="X288" i="1" s="1"/>
  <c r="W413" i="1"/>
  <c r="X413" i="1" s="1"/>
  <c r="W583" i="1"/>
  <c r="X583" i="1" s="1"/>
  <c r="W35" i="1"/>
  <c r="X35" i="1" s="1"/>
  <c r="W1344" i="1"/>
  <c r="X1344" i="1" s="1"/>
  <c r="W1665" i="1"/>
  <c r="X1665" i="1" s="1"/>
  <c r="W1249" i="1"/>
  <c r="X1249" i="1" s="1"/>
  <c r="W1521" i="1"/>
  <c r="X1521" i="1" s="1"/>
  <c r="W1482" i="1"/>
  <c r="X1482" i="1" s="1"/>
  <c r="W1103" i="1"/>
  <c r="X1103" i="1" s="1"/>
  <c r="W1692" i="1"/>
  <c r="X1692" i="1" s="1"/>
  <c r="W368" i="1"/>
  <c r="X368" i="1" s="1"/>
  <c r="W1684" i="1"/>
  <c r="X1684" i="1" s="1"/>
  <c r="W1430" i="1"/>
  <c r="X1430" i="1" s="1"/>
  <c r="W254" i="1"/>
  <c r="X254" i="1" s="1"/>
  <c r="W1173" i="1"/>
  <c r="X1173" i="1" s="1"/>
  <c r="W313" i="1"/>
  <c r="X313" i="1" s="1"/>
  <c r="W269" i="1"/>
  <c r="X269" i="1" s="1"/>
  <c r="W323" i="1"/>
  <c r="X323" i="1" s="1"/>
  <c r="W1157" i="1"/>
  <c r="X1157" i="1" s="1"/>
  <c r="W1502" i="1"/>
  <c r="X1502" i="1" s="1"/>
  <c r="W1399" i="1"/>
  <c r="X1399" i="1" s="1"/>
  <c r="W1626" i="1"/>
  <c r="X1626" i="1" s="1"/>
  <c r="W456" i="1"/>
  <c r="X456" i="1" s="1"/>
  <c r="W1664" i="1"/>
  <c r="X1664" i="1" s="1"/>
  <c r="W2069" i="1"/>
  <c r="X2069" i="1" s="1"/>
  <c r="W1872" i="1"/>
  <c r="X1872" i="1" s="1"/>
  <c r="W867" i="1"/>
  <c r="X867" i="1" s="1"/>
  <c r="W1988" i="1"/>
  <c r="X1988" i="1" s="1"/>
  <c r="W933" i="1"/>
  <c r="X933" i="1" s="1"/>
  <c r="W4" i="1"/>
  <c r="X4" i="1" s="1"/>
  <c r="W1979" i="1"/>
  <c r="X1979" i="1" s="1"/>
  <c r="W1803" i="1"/>
  <c r="X1803" i="1" s="1"/>
  <c r="W240" i="1"/>
  <c r="X240" i="1" s="1"/>
  <c r="W43" i="1"/>
  <c r="X43" i="1" s="1"/>
  <c r="W1171" i="1"/>
  <c r="X1171" i="1" s="1"/>
  <c r="W2034" i="1"/>
  <c r="X2034" i="1" s="1"/>
  <c r="W380" i="1"/>
  <c r="X380" i="1" s="1"/>
  <c r="W223" i="1"/>
  <c r="X223" i="1" s="1"/>
  <c r="W1060" i="1"/>
  <c r="X1060" i="1" s="1"/>
  <c r="W1496" i="1"/>
  <c r="X1496" i="1" s="1"/>
  <c r="W616" i="1"/>
  <c r="X616" i="1" s="1"/>
  <c r="W231" i="1"/>
  <c r="X231" i="1" s="1"/>
  <c r="W950" i="1"/>
  <c r="X950" i="1" s="1"/>
  <c r="W1220" i="1"/>
  <c r="X1220" i="1" s="1"/>
  <c r="W48" i="1"/>
  <c r="X48" i="1" s="1"/>
  <c r="W251" i="1"/>
  <c r="X251" i="1" s="1"/>
  <c r="W1270" i="1"/>
  <c r="X1270" i="1" s="1"/>
  <c r="W1976" i="1"/>
  <c r="X1976" i="1" s="1"/>
  <c r="W1669" i="1"/>
  <c r="X1669" i="1" s="1"/>
  <c r="W1349" i="1"/>
  <c r="X1349" i="1" s="1"/>
  <c r="W353" i="1"/>
  <c r="X353" i="1" s="1"/>
  <c r="W180" i="1"/>
  <c r="X180" i="1" s="1"/>
  <c r="W1434" i="1"/>
  <c r="X1434" i="1" s="1"/>
  <c r="W895" i="1"/>
  <c r="X895" i="1" s="1"/>
  <c r="W1599" i="1"/>
  <c r="X1599" i="1" s="1"/>
  <c r="W101" i="1"/>
  <c r="X101" i="1" s="1"/>
  <c r="W488" i="1"/>
  <c r="X488" i="1" s="1"/>
  <c r="W281" i="1"/>
  <c r="X281" i="1" s="1"/>
  <c r="W623" i="1"/>
  <c r="X623" i="1" s="1"/>
  <c r="W973" i="1"/>
  <c r="X973" i="1" s="1"/>
  <c r="W509" i="1"/>
  <c r="X509" i="1" s="1"/>
  <c r="W1780" i="1"/>
  <c r="X1780" i="1" s="1"/>
  <c r="W884" i="1"/>
  <c r="X884" i="1" s="1"/>
  <c r="W1801" i="1"/>
  <c r="X1801" i="1" s="1"/>
  <c r="W869" i="1"/>
  <c r="X869" i="1" s="1"/>
  <c r="W39" i="1"/>
  <c r="X39" i="1" s="1"/>
  <c r="W742" i="1"/>
  <c r="X742" i="1" s="1"/>
  <c r="W1254" i="1"/>
  <c r="X1254" i="1" s="1"/>
  <c r="W1584" i="1"/>
  <c r="X1584" i="1" s="1"/>
  <c r="W837" i="1"/>
  <c r="X837" i="1" s="1"/>
  <c r="W106" i="1"/>
  <c r="X106" i="1" s="1"/>
  <c r="W2105" i="1"/>
  <c r="X2105" i="1" s="1"/>
  <c r="W979" i="1"/>
  <c r="X979" i="1" s="1"/>
  <c r="W1487" i="1"/>
  <c r="X1487" i="1" s="1"/>
  <c r="W1741" i="1"/>
  <c r="X1741" i="1" s="1"/>
  <c r="W1724" i="1"/>
  <c r="X1724" i="1" s="1"/>
  <c r="W2127" i="1"/>
  <c r="X2127" i="1" s="1"/>
  <c r="W647" i="1"/>
  <c r="X647" i="1" s="1"/>
  <c r="W993" i="1"/>
  <c r="X993" i="1" s="1"/>
  <c r="W650" i="1"/>
  <c r="X650" i="1" s="1"/>
  <c r="W148" i="1"/>
  <c r="X148" i="1" s="1"/>
  <c r="W891" i="1"/>
  <c r="X891" i="1" s="1"/>
  <c r="W932" i="1"/>
  <c r="X932" i="1" s="1"/>
  <c r="W1948" i="1"/>
  <c r="X1948" i="1" s="1"/>
  <c r="W801" i="1"/>
  <c r="X801" i="1" s="1"/>
  <c r="W296" i="1"/>
  <c r="X296" i="1" s="1"/>
  <c r="W154" i="1"/>
  <c r="X154" i="1" s="1"/>
  <c r="W1235" i="1"/>
  <c r="X1235" i="1" s="1"/>
  <c r="W1335" i="1"/>
  <c r="X1335" i="1" s="1"/>
  <c r="W917" i="1"/>
  <c r="X917" i="1" s="1"/>
  <c r="W995" i="1"/>
  <c r="X995" i="1" s="1"/>
  <c r="W286" i="1"/>
  <c r="X286" i="1" s="1"/>
  <c r="W1066" i="1"/>
  <c r="X1066" i="1" s="1"/>
  <c r="W1381" i="1"/>
  <c r="X1381" i="1" s="1"/>
  <c r="W1287" i="1"/>
  <c r="X1287" i="1" s="1"/>
  <c r="W229" i="1"/>
  <c r="X229" i="1" s="1"/>
  <c r="W1682" i="1"/>
  <c r="X1682" i="1" s="1"/>
  <c r="W255" i="1"/>
  <c r="X255" i="1" s="1"/>
  <c r="W1766" i="1"/>
  <c r="X1766" i="1" s="1"/>
  <c r="W321" i="1"/>
  <c r="X321" i="1" s="1"/>
  <c r="W376" i="1"/>
  <c r="X376" i="1" s="1"/>
  <c r="W1276" i="1"/>
  <c r="X1276" i="1" s="1"/>
  <c r="W621" i="1"/>
  <c r="X621" i="1" s="1"/>
  <c r="W1611" i="1"/>
  <c r="X1611" i="1" s="1"/>
  <c r="W651" i="1"/>
  <c r="X651" i="1" s="1"/>
  <c r="W1573" i="1"/>
  <c r="X1573" i="1" s="1"/>
  <c r="W618" i="1"/>
  <c r="X618" i="1" s="1"/>
  <c r="W1178" i="1"/>
  <c r="X1178" i="1" s="1"/>
  <c r="W1342" i="1"/>
  <c r="X1342" i="1" s="1"/>
  <c r="W673" i="1"/>
  <c r="X673" i="1" s="1"/>
  <c r="W1098" i="1"/>
  <c r="X1098" i="1" s="1"/>
  <c r="W1120" i="1"/>
  <c r="X1120" i="1" s="1"/>
  <c r="W157" i="1"/>
  <c r="X157" i="1" s="1"/>
  <c r="W414" i="1"/>
  <c r="X414" i="1" s="1"/>
  <c r="W1522" i="1"/>
  <c r="X1522" i="1" s="1"/>
  <c r="W1169" i="1"/>
  <c r="X1169" i="1" s="1"/>
  <c r="W518" i="1"/>
  <c r="X518" i="1" s="1"/>
  <c r="W1572" i="1"/>
  <c r="X1572" i="1" s="1"/>
  <c r="W1417" i="1"/>
  <c r="X1417" i="1" s="1"/>
  <c r="W238" i="1"/>
  <c r="X238" i="1" s="1"/>
  <c r="W1768" i="1"/>
  <c r="X1768" i="1" s="1"/>
  <c r="W1811" i="1"/>
  <c r="X1811" i="1" s="1"/>
  <c r="W389" i="1"/>
  <c r="X389" i="1" s="1"/>
  <c r="W1044" i="1"/>
  <c r="X1044" i="1" s="1"/>
  <c r="W1406" i="1"/>
  <c r="X1406" i="1" s="1"/>
  <c r="W761" i="1"/>
  <c r="X761" i="1" s="1"/>
  <c r="W1357" i="1"/>
  <c r="X1357" i="1" s="1"/>
  <c r="W6" i="1"/>
  <c r="X6" i="1" s="1"/>
  <c r="W124" i="1"/>
  <c r="X124" i="1" s="1"/>
  <c r="W25" i="1"/>
  <c r="X25" i="1" s="1"/>
  <c r="W146" i="1"/>
  <c r="X146" i="1" s="1"/>
  <c r="W1016" i="1"/>
  <c r="X1016" i="1" s="1"/>
  <c r="W1874" i="1"/>
  <c r="X1874" i="1" s="1"/>
  <c r="W892" i="1"/>
  <c r="X892" i="1" s="1"/>
  <c r="W320" i="1"/>
  <c r="X320" i="1" s="1"/>
  <c r="W19" i="1"/>
  <c r="X19" i="1" s="1"/>
  <c r="W1466" i="1"/>
  <c r="X1466" i="1" s="1"/>
  <c r="W1820" i="1"/>
  <c r="X1820" i="1" s="1"/>
  <c r="W469" i="1"/>
  <c r="X469" i="1" s="1"/>
  <c r="W1079" i="1"/>
  <c r="X1079" i="1" s="1"/>
  <c r="W161" i="1"/>
  <c r="X161" i="1" s="1"/>
  <c r="W295" i="1"/>
  <c r="X295" i="1" s="1"/>
  <c r="W1107" i="1"/>
  <c r="X1107" i="1" s="1"/>
  <c r="W355" i="1"/>
  <c r="X355" i="1" s="1"/>
  <c r="W1674" i="1"/>
  <c r="X1674" i="1" s="1"/>
  <c r="W725" i="1"/>
  <c r="X725" i="1" s="1"/>
  <c r="W384" i="1"/>
  <c r="X384" i="1" s="1"/>
  <c r="W1389" i="1"/>
  <c r="X1389" i="1" s="1"/>
  <c r="W1132" i="1"/>
  <c r="X1132" i="1" s="1"/>
  <c r="W1556" i="1"/>
  <c r="X1556" i="1" s="1"/>
  <c r="W1545" i="1"/>
  <c r="X1545" i="1" s="1"/>
  <c r="W817" i="1"/>
  <c r="X817" i="1" s="1"/>
  <c r="W675" i="1"/>
  <c r="X675" i="1" s="1"/>
  <c r="W1538" i="1"/>
  <c r="X1538" i="1" s="1"/>
  <c r="W1380" i="1"/>
  <c r="X1380" i="1" s="1"/>
  <c r="W1202" i="1"/>
  <c r="X1202" i="1" s="1"/>
  <c r="W1861" i="1"/>
  <c r="X1861" i="1" s="1"/>
  <c r="W1049" i="1"/>
  <c r="X1049" i="1" s="1"/>
  <c r="W1273" i="1"/>
  <c r="X1273" i="1" s="1"/>
  <c r="W1455" i="1"/>
  <c r="X1455" i="1" s="1"/>
  <c r="W1110" i="1"/>
  <c r="X1110" i="1" s="1"/>
  <c r="W1794" i="1"/>
  <c r="X1794" i="1" s="1"/>
  <c r="W1666" i="1"/>
  <c r="X1666" i="1" s="1"/>
  <c r="W1231" i="1"/>
  <c r="X1231" i="1" s="1"/>
  <c r="W1140" i="1"/>
  <c r="X1140" i="1" s="1"/>
  <c r="W1237" i="1"/>
  <c r="X1237" i="1" s="1"/>
  <c r="W2015" i="1"/>
  <c r="X2015" i="1" s="1"/>
  <c r="W12" i="1"/>
  <c r="X12" i="1" s="1"/>
  <c r="W520" i="1"/>
  <c r="X520" i="1" s="1"/>
  <c r="W665" i="1"/>
  <c r="X665" i="1" s="1"/>
  <c r="W1788" i="1"/>
  <c r="X1788" i="1" s="1"/>
  <c r="W1297" i="1"/>
  <c r="X1297" i="1" s="1"/>
  <c r="W34" i="1"/>
  <c r="X34" i="1" s="1"/>
  <c r="W872" i="1"/>
  <c r="X872" i="1" s="1"/>
  <c r="W1248" i="1"/>
  <c r="X1248" i="1" s="1"/>
  <c r="W1515" i="1"/>
  <c r="X1515" i="1" s="1"/>
  <c r="W714" i="1"/>
  <c r="X714" i="1" s="1"/>
  <c r="W568" i="1"/>
  <c r="X568" i="1" s="1"/>
  <c r="W356" i="1"/>
  <c r="X356" i="1" s="1"/>
  <c r="W391" i="1"/>
  <c r="X391" i="1" s="1"/>
  <c r="W1898" i="1"/>
  <c r="X1898" i="1" s="1"/>
  <c r="W1278" i="1"/>
  <c r="X1278" i="1" s="1"/>
  <c r="W1895" i="1"/>
  <c r="X1895" i="1" s="1"/>
  <c r="W1793" i="1"/>
  <c r="X1793" i="1" s="1"/>
  <c r="W739" i="1"/>
  <c r="X739" i="1" s="1"/>
  <c r="W620" i="1"/>
  <c r="X620" i="1" s="1"/>
  <c r="W1468" i="1"/>
  <c r="X1468" i="1" s="1"/>
  <c r="W1663" i="1"/>
  <c r="X1663" i="1" s="1"/>
  <c r="W1534" i="1"/>
  <c r="X1534" i="1" s="1"/>
  <c r="W741" i="1"/>
  <c r="X741" i="1" s="1"/>
  <c r="W1809" i="1"/>
  <c r="X1809" i="1" s="1"/>
  <c r="W1425" i="1"/>
  <c r="X1425" i="1" s="1"/>
  <c r="W1924" i="1"/>
  <c r="X1924" i="1" s="1"/>
  <c r="W2057" i="1"/>
  <c r="X2057" i="1" s="1"/>
  <c r="W1900" i="1"/>
  <c r="X1900" i="1" s="1"/>
  <c r="W1957" i="1"/>
  <c r="X1957" i="1" s="1"/>
  <c r="W606" i="1"/>
  <c r="X606" i="1" s="1"/>
  <c r="W31" i="1"/>
  <c r="X31" i="1" s="1"/>
  <c r="W144" i="1"/>
  <c r="X144" i="1" s="1"/>
  <c r="W1292" i="1"/>
  <c r="X1292" i="1" s="1"/>
  <c r="W149" i="1"/>
  <c r="X149" i="1" s="1"/>
  <c r="W1693" i="1"/>
  <c r="X1693" i="1" s="1"/>
  <c r="W262" i="1"/>
  <c r="X262" i="1" s="1"/>
  <c r="W745" i="1"/>
  <c r="X745" i="1" s="1"/>
  <c r="W7" i="1"/>
  <c r="X7" i="1" s="1"/>
  <c r="W1852" i="1"/>
  <c r="X1852" i="1" s="1"/>
  <c r="W373" i="1"/>
  <c r="X373" i="1" s="1"/>
  <c r="W278" i="1"/>
  <c r="X278" i="1" s="1"/>
  <c r="W947" i="1"/>
  <c r="X947" i="1" s="1"/>
  <c r="W493" i="1"/>
  <c r="X493" i="1" s="1"/>
  <c r="W847" i="1"/>
  <c r="X847" i="1" s="1"/>
  <c r="W533" i="1"/>
  <c r="X533" i="1" s="1"/>
  <c r="W1812" i="1"/>
  <c r="X1812" i="1" s="1"/>
  <c r="W1569" i="1"/>
  <c r="X1569" i="1" s="1"/>
  <c r="W199" i="1"/>
  <c r="X199" i="1" s="1"/>
  <c r="W1513" i="1"/>
  <c r="X1513" i="1" s="1"/>
  <c r="W445" i="1"/>
  <c r="X445" i="1" s="1"/>
  <c r="W1755" i="1"/>
  <c r="X1755" i="1" s="1"/>
  <c r="W75" i="1"/>
  <c r="X75" i="1" s="1"/>
  <c r="W1705" i="1"/>
  <c r="X1705" i="1" s="1"/>
  <c r="W1527" i="1"/>
  <c r="X1527" i="1" s="1"/>
  <c r="W1015" i="1"/>
  <c r="X1015" i="1" s="1"/>
  <c r="W1711" i="1"/>
  <c r="X1711" i="1" s="1"/>
  <c r="W592" i="1"/>
  <c r="X592" i="1" s="1"/>
  <c r="W1775" i="1"/>
  <c r="X1775" i="1" s="1"/>
  <c r="W1718" i="1"/>
  <c r="X1718" i="1" s="1"/>
  <c r="W1461" i="1"/>
  <c r="X1461" i="1" s="1"/>
  <c r="W1071" i="1"/>
  <c r="X1071" i="1" s="1"/>
  <c r="W2029" i="1"/>
  <c r="X2029" i="1" s="1"/>
  <c r="W360" i="1"/>
  <c r="X360" i="1" s="1"/>
  <c r="W302" i="1"/>
  <c r="X302" i="1" s="1"/>
  <c r="W9" i="1"/>
  <c r="X9" i="1" s="1"/>
  <c r="W1465" i="1"/>
  <c r="X1465" i="1" s="1"/>
  <c r="W1830" i="1"/>
  <c r="X1830" i="1" s="1"/>
  <c r="W1656" i="1"/>
  <c r="X1656" i="1" s="1"/>
  <c r="W530" i="1"/>
  <c r="X530" i="1" s="1"/>
  <c r="W1037" i="1"/>
  <c r="X1037" i="1" s="1"/>
  <c r="W1355" i="1"/>
  <c r="X1355" i="1" s="1"/>
  <c r="W497" i="1"/>
  <c r="X497" i="1" s="1"/>
  <c r="W607" i="1"/>
  <c r="X607" i="1" s="1"/>
  <c r="W424" i="1"/>
  <c r="X424" i="1" s="1"/>
  <c r="W1410" i="1"/>
  <c r="X1410" i="1" s="1"/>
  <c r="W935" i="1"/>
  <c r="X935" i="1" s="1"/>
  <c r="W1526" i="1"/>
  <c r="X1526" i="1" s="1"/>
  <c r="W974" i="1"/>
  <c r="X974" i="1" s="1"/>
  <c r="W1958" i="1"/>
  <c r="X1958" i="1" s="1"/>
  <c r="W1765" i="1"/>
  <c r="X1765" i="1" s="1"/>
  <c r="W909" i="1"/>
  <c r="X909" i="1" s="1"/>
  <c r="W1668" i="1"/>
  <c r="X1668" i="1" s="1"/>
  <c r="W252" i="1"/>
  <c r="X252" i="1" s="1"/>
  <c r="W1490" i="1"/>
  <c r="X1490" i="1" s="1"/>
  <c r="W1247" i="1"/>
  <c r="X1247" i="1" s="1"/>
  <c r="W809" i="1"/>
  <c r="X809" i="1" s="1"/>
  <c r="W1770" i="1"/>
  <c r="X1770" i="1" s="1"/>
  <c r="W833" i="1"/>
  <c r="X833" i="1" s="1"/>
  <c r="W735" i="1"/>
  <c r="X735" i="1" s="1"/>
  <c r="W459" i="1"/>
  <c r="X459" i="1" s="1"/>
  <c r="W428" i="1"/>
  <c r="X428" i="1" s="1"/>
  <c r="W1271" i="1"/>
  <c r="X1271" i="1" s="1"/>
  <c r="W1128" i="1"/>
  <c r="X1128" i="1" s="1"/>
  <c r="W1275" i="1"/>
  <c r="X1275" i="1" s="1"/>
  <c r="W382" i="1"/>
  <c r="X382" i="1" s="1"/>
  <c r="W919" i="1"/>
  <c r="X919" i="1" s="1"/>
  <c r="W1835" i="1"/>
  <c r="X1835" i="1" s="1"/>
  <c r="W1245" i="1"/>
  <c r="X1245" i="1" s="1"/>
  <c r="W1398" i="1"/>
  <c r="X1398" i="1" s="1"/>
  <c r="W1304" i="1"/>
  <c r="X1304" i="1" s="1"/>
  <c r="W685" i="1"/>
  <c r="X685" i="1" s="1"/>
  <c r="W965" i="1"/>
  <c r="X965" i="1" s="1"/>
  <c r="W743" i="1"/>
  <c r="X743" i="1" s="1"/>
  <c r="W22" i="1"/>
  <c r="X22" i="1" s="1"/>
  <c r="W753" i="1"/>
  <c r="X753" i="1" s="1"/>
  <c r="W915" i="1"/>
  <c r="X915" i="1" s="1"/>
  <c r="W1446" i="1"/>
  <c r="X1446" i="1" s="1"/>
  <c r="W476" i="1"/>
  <c r="X476" i="1" s="1"/>
  <c r="W831" i="1"/>
  <c r="X831" i="1" s="1"/>
  <c r="W558" i="1"/>
  <c r="X558" i="1" s="1"/>
  <c r="W1027" i="1"/>
  <c r="X1027" i="1" s="1"/>
  <c r="W1869" i="1"/>
  <c r="X1869" i="1" s="1"/>
  <c r="W730" i="1"/>
  <c r="X730" i="1" s="1"/>
  <c r="W202" i="1"/>
  <c r="X202" i="1" s="1"/>
  <c r="W770" i="1"/>
  <c r="X770" i="1" s="1"/>
  <c r="W1894" i="1"/>
  <c r="X1894" i="1" s="1"/>
  <c r="W1802" i="1"/>
  <c r="X1802" i="1" s="1"/>
  <c r="W1932" i="1"/>
  <c r="X1932" i="1" s="1"/>
  <c r="W674" i="1"/>
  <c r="X674" i="1" s="1"/>
  <c r="W1908" i="1"/>
  <c r="X1908" i="1" s="1"/>
  <c r="W314" i="1"/>
  <c r="X314" i="1" s="1"/>
  <c r="W367" i="1"/>
  <c r="X367" i="1" s="1"/>
  <c r="W791" i="1"/>
  <c r="X791" i="1" s="1"/>
  <c r="W1200" i="1"/>
  <c r="X1200" i="1" s="1"/>
  <c r="W1651" i="1"/>
  <c r="X1651" i="1" s="1"/>
  <c r="W489" i="1"/>
  <c r="X489" i="1" s="1"/>
  <c r="W1828" i="1"/>
  <c r="X1828" i="1" s="1"/>
  <c r="W284" i="1"/>
  <c r="X284" i="1" s="1"/>
  <c r="W1934" i="1"/>
  <c r="X1934" i="1" s="1"/>
  <c r="W1804" i="1"/>
  <c r="X1804" i="1" s="1"/>
  <c r="W1348" i="1"/>
  <c r="X1348" i="1" s="1"/>
  <c r="W282" i="1"/>
  <c r="X282" i="1" s="1"/>
  <c r="W1347" i="1"/>
  <c r="X1347" i="1" s="1"/>
  <c r="W1343" i="1"/>
  <c r="X1343" i="1" s="1"/>
  <c r="W1416" i="1"/>
  <c r="X1416" i="1" s="1"/>
  <c r="W226" i="1"/>
  <c r="X226" i="1" s="1"/>
  <c r="W1621" i="1"/>
  <c r="X1621" i="1" s="1"/>
  <c r="W1505" i="1"/>
  <c r="X1505" i="1" s="1"/>
  <c r="W1152" i="1"/>
  <c r="X1152" i="1" s="1"/>
  <c r="W1707" i="1"/>
  <c r="X1707" i="1" s="1"/>
  <c r="W50" i="1"/>
  <c r="X50" i="1" s="1"/>
  <c r="W1346" i="1"/>
  <c r="X1346" i="1" s="1"/>
  <c r="W1570" i="1"/>
  <c r="X1570" i="1" s="1"/>
  <c r="W1558" i="1"/>
  <c r="X1558" i="1" s="1"/>
  <c r="W987" i="1"/>
  <c r="X987" i="1" s="1"/>
  <c r="W259" i="1"/>
  <c r="X259" i="1" s="1"/>
  <c r="W275" i="1"/>
  <c r="X275" i="1" s="1"/>
  <c r="W1952" i="1"/>
  <c r="X1952" i="1" s="1"/>
  <c r="W1657" i="1"/>
  <c r="X1657" i="1" s="1"/>
  <c r="W44" i="1"/>
  <c r="X44" i="1" s="1"/>
  <c r="W640" i="1"/>
  <c r="X640" i="1" s="1"/>
  <c r="W1115" i="1"/>
  <c r="X1115" i="1" s="1"/>
  <c r="W807" i="1"/>
  <c r="X807" i="1" s="1"/>
  <c r="W756" i="1"/>
  <c r="X756" i="1" s="1"/>
  <c r="W448" i="1"/>
  <c r="X448" i="1" s="1"/>
  <c r="W1445" i="1"/>
  <c r="X1445" i="1" s="1"/>
  <c r="W1829" i="1"/>
  <c r="X1829" i="1" s="1"/>
  <c r="W1753" i="1"/>
  <c r="X1753" i="1" s="1"/>
  <c r="W1420" i="1"/>
  <c r="X1420" i="1" s="1"/>
  <c r="W215" i="1"/>
  <c r="X215" i="1" s="1"/>
  <c r="W177" i="1"/>
  <c r="X177" i="1" s="1"/>
  <c r="W1191" i="1"/>
  <c r="X1191" i="1" s="1"/>
  <c r="W1387" i="1"/>
  <c r="X1387" i="1" s="1"/>
  <c r="W887" i="1"/>
  <c r="X887" i="1" s="1"/>
  <c r="W474" i="1"/>
  <c r="X474" i="1" s="1"/>
  <c r="W1649" i="1"/>
  <c r="X1649" i="1" s="1"/>
  <c r="W1415" i="1"/>
  <c r="X1415" i="1" s="1"/>
  <c r="W143" i="1"/>
  <c r="X143" i="1" s="1"/>
  <c r="W1376" i="1"/>
  <c r="X1376" i="1" s="1"/>
  <c r="W1185" i="1"/>
  <c r="X1185" i="1" s="1"/>
  <c r="W587" i="1"/>
  <c r="X587" i="1" s="1"/>
  <c r="W1729" i="1"/>
  <c r="X1729" i="1" s="1"/>
  <c r="W1014" i="1"/>
  <c r="X1014" i="1" s="1"/>
  <c r="W1716" i="1"/>
  <c r="X1716" i="1" s="1"/>
  <c r="W1334" i="1"/>
  <c r="X1334" i="1" s="1"/>
  <c r="W1704" i="1"/>
  <c r="X1704" i="1" s="1"/>
  <c r="W1938" i="1"/>
  <c r="X1938" i="1" s="1"/>
  <c r="W344" i="1"/>
  <c r="X344" i="1" s="1"/>
  <c r="W727" i="1"/>
  <c r="X727" i="1" s="1"/>
  <c r="W821" i="1"/>
  <c r="X821" i="1" s="1"/>
  <c r="W1424" i="1"/>
  <c r="X1424" i="1" s="1"/>
  <c r="W526" i="1"/>
  <c r="X526" i="1" s="1"/>
  <c r="W396" i="1"/>
  <c r="X396" i="1" s="1"/>
  <c r="W562" i="1"/>
  <c r="X562" i="1" s="1"/>
  <c r="W1653" i="1"/>
  <c r="X1653" i="1" s="1"/>
  <c r="W1143" i="1"/>
  <c r="X1143" i="1" s="1"/>
  <c r="W1868" i="1"/>
  <c r="X1868" i="1" s="1"/>
  <c r="W1106" i="1"/>
  <c r="X1106" i="1" s="1"/>
  <c r="W802" i="1"/>
  <c r="X802" i="1" s="1"/>
  <c r="W51" i="1"/>
  <c r="X51" i="1" s="1"/>
  <c r="W271" i="1"/>
  <c r="X271" i="1" s="1"/>
  <c r="W1733" i="1"/>
  <c r="X1733" i="1" s="1"/>
  <c r="W513" i="1"/>
  <c r="X513" i="1" s="1"/>
  <c r="W472" i="1"/>
  <c r="X472" i="1" s="1"/>
  <c r="W734" i="1"/>
  <c r="X734" i="1" s="1"/>
  <c r="W1719" i="1"/>
  <c r="X1719" i="1" s="1"/>
  <c r="W777" i="1"/>
  <c r="X777" i="1" s="1"/>
  <c r="W1215" i="1"/>
  <c r="X1215" i="1" s="1"/>
  <c r="W1148" i="1"/>
  <c r="X1148" i="1" s="1"/>
  <c r="W936" i="1"/>
  <c r="X936" i="1" s="1"/>
  <c r="W746" i="1"/>
  <c r="X746" i="1" s="1"/>
  <c r="W731" i="1"/>
  <c r="X731" i="1" s="1"/>
  <c r="W1530" i="1"/>
  <c r="X1530" i="1" s="1"/>
  <c r="W1947" i="1"/>
  <c r="X1947" i="1" s="1"/>
  <c r="W104" i="1"/>
  <c r="X104" i="1" s="1"/>
  <c r="W2007" i="1"/>
  <c r="X2007" i="1" s="1"/>
  <c r="W241" i="1"/>
  <c r="X241" i="1" s="1"/>
  <c r="W1953" i="1"/>
  <c r="X1953" i="1" s="1"/>
  <c r="W1518" i="1"/>
  <c r="X1518" i="1" s="1"/>
  <c r="W1845" i="1"/>
  <c r="X1845" i="1" s="1"/>
  <c r="W1567" i="1"/>
  <c r="X1567" i="1" s="1"/>
  <c r="W548" i="1"/>
  <c r="X548" i="1" s="1"/>
  <c r="W586" i="1"/>
  <c r="X586" i="1" s="1"/>
  <c r="W1411" i="1"/>
  <c r="X1411" i="1" s="1"/>
  <c r="W1860" i="1"/>
  <c r="X1860" i="1" s="1"/>
  <c r="W1373" i="1"/>
  <c r="X1373" i="1" s="1"/>
  <c r="W609" i="1"/>
  <c r="X609" i="1" s="1"/>
  <c r="W1799" i="1"/>
  <c r="X1799" i="1" s="1"/>
  <c r="W1374" i="1"/>
  <c r="X1374" i="1" s="1"/>
  <c r="W705" i="1"/>
  <c r="X705" i="1" s="1"/>
  <c r="W1240" i="1"/>
  <c r="X1240" i="1" s="1"/>
  <c r="W2018" i="1"/>
  <c r="X2018" i="1" s="1"/>
  <c r="W37" i="1"/>
  <c r="X37" i="1" s="1"/>
  <c r="W23" i="1"/>
  <c r="X23" i="1" s="1"/>
  <c r="W717" i="1"/>
  <c r="X717" i="1" s="1"/>
  <c r="W1032" i="1"/>
  <c r="X1032" i="1" s="1"/>
  <c r="W1154" i="1"/>
  <c r="X1154" i="1" s="1"/>
  <c r="W1383" i="1"/>
  <c r="X1383" i="1" s="1"/>
  <c r="W943" i="1"/>
  <c r="X943" i="1" s="1"/>
  <c r="W1800" i="1"/>
  <c r="X1800" i="1" s="1"/>
  <c r="W1731" i="1"/>
  <c r="X1731" i="1" s="1"/>
  <c r="W663" i="1"/>
  <c r="X663" i="1" s="1"/>
  <c r="W905" i="1"/>
  <c r="X905" i="1" s="1"/>
  <c r="W1320" i="1"/>
  <c r="X1320" i="1" s="1"/>
  <c r="W1585" i="1"/>
  <c r="X1585" i="1" s="1"/>
  <c r="W316" i="1"/>
  <c r="X316" i="1" s="1"/>
  <c r="W1102" i="1"/>
  <c r="X1102" i="1" s="1"/>
  <c r="W1863" i="1"/>
  <c r="X1863" i="1" s="1"/>
  <c r="W670" i="1"/>
  <c r="X670" i="1" s="1"/>
  <c r="W386" i="1"/>
  <c r="X386" i="1" s="1"/>
  <c r="W98" i="1"/>
  <c r="X98" i="1" s="1"/>
  <c r="W473" i="1"/>
  <c r="X473" i="1" s="1"/>
  <c r="W1951" i="1"/>
  <c r="X1951" i="1" s="1"/>
  <c r="W1193" i="1"/>
  <c r="X1193" i="1" s="1"/>
  <c r="W750" i="1"/>
  <c r="X750" i="1" s="1"/>
  <c r="W501" i="1"/>
  <c r="X501" i="1" s="1"/>
  <c r="W1123" i="1"/>
  <c r="X1123" i="1" s="1"/>
  <c r="W1082" i="1"/>
  <c r="X1082" i="1" s="1"/>
  <c r="W738" i="1"/>
  <c r="X738" i="1" s="1"/>
  <c r="W1730" i="1"/>
  <c r="X1730" i="1" s="1"/>
  <c r="W405" i="1"/>
  <c r="X405" i="1" s="1"/>
  <c r="W2131" i="1"/>
  <c r="X2131" i="1" s="1"/>
  <c r="W1685" i="1"/>
  <c r="X1685" i="1" s="1"/>
  <c r="W478" i="1"/>
  <c r="X478" i="1" s="1"/>
  <c r="W798" i="1"/>
  <c r="X798" i="1" s="1"/>
  <c r="W346" i="1"/>
  <c r="X346" i="1" s="1"/>
  <c r="W315" i="1"/>
  <c r="X315" i="1" s="1"/>
  <c r="W289" i="1"/>
  <c r="X289" i="1" s="1"/>
  <c r="W1388" i="1"/>
  <c r="X1388" i="1" s="1"/>
  <c r="W1977" i="1"/>
  <c r="X1977" i="1" s="1"/>
  <c r="W2097" i="1"/>
  <c r="X2097" i="1" s="1"/>
  <c r="W13" i="1"/>
  <c r="X13" i="1" s="1"/>
  <c r="W2020" i="1"/>
  <c r="X2020" i="1" s="1"/>
  <c r="W412" i="1"/>
  <c r="X412" i="1" s="1"/>
  <c r="W153" i="1"/>
  <c r="X153" i="1" s="1"/>
  <c r="W1967" i="1"/>
  <c r="X1967" i="1" s="1"/>
  <c r="W588" i="1"/>
  <c r="X588" i="1" s="1"/>
  <c r="W1209" i="1"/>
  <c r="X1209" i="1" s="1"/>
  <c r="W875" i="1"/>
  <c r="X875" i="1" s="1"/>
  <c r="W680" i="1"/>
  <c r="X680" i="1" s="1"/>
  <c r="W227" i="1"/>
  <c r="X227" i="1" s="1"/>
  <c r="W1443" i="1"/>
  <c r="X1443" i="1" s="1"/>
  <c r="W1840" i="1"/>
  <c r="X1840" i="1" s="1"/>
  <c r="W1917" i="1"/>
  <c r="X1917" i="1" s="1"/>
  <c r="W1379" i="1"/>
  <c r="X1379" i="1" s="1"/>
  <c r="W1821" i="1"/>
  <c r="X1821" i="1" s="1"/>
  <c r="W458" i="1"/>
  <c r="X458" i="1" s="1"/>
  <c r="W452" i="1"/>
  <c r="X452" i="1" s="1"/>
  <c r="W1219" i="1"/>
  <c r="X1219" i="1" s="1"/>
  <c r="W455" i="1"/>
  <c r="X455" i="1" s="1"/>
  <c r="W918" i="1"/>
  <c r="X918" i="1" s="1"/>
  <c r="W1784" i="1"/>
  <c r="X1784" i="1" s="1"/>
  <c r="W1163" i="1"/>
  <c r="X1163" i="1" s="1"/>
  <c r="W631" i="1"/>
  <c r="X631" i="1" s="1"/>
  <c r="W433" i="1"/>
  <c r="X433" i="1" s="1"/>
  <c r="W123" i="1"/>
  <c r="X123" i="1" s="1"/>
  <c r="W219" i="1"/>
  <c r="X219" i="1" s="1"/>
  <c r="W415" i="1"/>
  <c r="X415" i="1" s="1"/>
  <c r="W1996" i="1"/>
  <c r="X1996" i="1" s="1"/>
  <c r="W2100" i="1"/>
  <c r="X2100" i="1" s="1"/>
  <c r="W49" i="1"/>
  <c r="X49" i="1" s="1"/>
  <c r="W514" i="1"/>
  <c r="X514" i="1" s="1"/>
  <c r="W1244" i="1"/>
  <c r="X1244" i="1" s="1"/>
  <c r="W176" i="1"/>
  <c r="X176" i="1" s="1"/>
  <c r="W1321" i="1"/>
  <c r="X1321" i="1" s="1"/>
  <c r="W347" i="1"/>
  <c r="X347" i="1" s="1"/>
  <c r="W1543" i="1"/>
  <c r="X1543" i="1" s="1"/>
  <c r="W1679" i="1"/>
  <c r="X1679" i="1" s="1"/>
  <c r="W2006" i="1"/>
  <c r="X2006" i="1" s="1"/>
  <c r="W77" i="1"/>
  <c r="X77" i="1" s="1"/>
  <c r="W1484" i="1"/>
  <c r="X1484" i="1" s="1"/>
  <c r="W864" i="1"/>
  <c r="X864" i="1" s="1"/>
  <c r="W1012" i="1"/>
  <c r="X1012" i="1" s="1"/>
  <c r="W1959" i="1"/>
  <c r="X1959" i="1" s="1"/>
  <c r="W1918" i="1"/>
  <c r="X1918" i="1" s="1"/>
  <c r="W135" i="1"/>
  <c r="X135" i="1" s="1"/>
  <c r="W111" i="1"/>
  <c r="X111" i="1" s="1"/>
  <c r="W1386" i="1"/>
  <c r="X1386" i="1" s="1"/>
  <c r="W1966" i="1"/>
  <c r="X1966" i="1" s="1"/>
  <c r="W1767" i="1"/>
  <c r="X1767" i="1" s="1"/>
  <c r="W364" i="1"/>
  <c r="X364" i="1" s="1"/>
  <c r="W941" i="1"/>
  <c r="X941" i="1" s="1"/>
  <c r="W1241" i="1"/>
  <c r="X1241" i="1" s="1"/>
  <c r="W787" i="1"/>
  <c r="X787" i="1" s="1"/>
  <c r="W1174" i="1"/>
  <c r="X1174" i="1" s="1"/>
  <c r="W447" i="1"/>
  <c r="X447" i="1" s="1"/>
  <c r="W1168" i="1"/>
  <c r="X1168" i="1" s="1"/>
  <c r="W851" i="1"/>
  <c r="X851" i="1" s="1"/>
  <c r="W1551" i="1"/>
  <c r="X1551" i="1" s="1"/>
  <c r="W1723" i="1"/>
  <c r="X1723" i="1" s="1"/>
  <c r="W1739" i="1"/>
  <c r="X1739" i="1" s="1"/>
  <c r="W543" i="1"/>
  <c r="X543" i="1" s="1"/>
  <c r="W1805" i="1"/>
  <c r="X1805" i="1" s="1"/>
  <c r="W342" i="1"/>
  <c r="X342" i="1" s="1"/>
  <c r="W584" i="1"/>
  <c r="X584" i="1" s="1"/>
  <c r="W190" i="1"/>
  <c r="X190" i="1" s="1"/>
  <c r="W495" i="1"/>
  <c r="X495" i="1" s="1"/>
  <c r="W1441" i="1"/>
  <c r="X1441" i="1" s="1"/>
  <c r="W198" i="1"/>
  <c r="X198" i="1" s="1"/>
  <c r="W1395" i="1"/>
  <c r="X1395" i="1" s="1"/>
  <c r="W1506" i="1"/>
  <c r="X1506" i="1" s="1"/>
  <c r="W145" i="1"/>
  <c r="X145" i="1" s="1"/>
  <c r="W1597" i="1"/>
  <c r="X1597" i="1" s="1"/>
  <c r="W1732" i="1"/>
  <c r="X1732" i="1" s="1"/>
  <c r="W923" i="1"/>
  <c r="X923" i="1" s="1"/>
  <c r="W812" i="1"/>
  <c r="X812" i="1" s="1"/>
  <c r="W82" i="1"/>
  <c r="X82" i="1" s="1"/>
  <c r="W1787" i="1"/>
  <c r="X1787" i="1" s="1"/>
  <c r="W1317" i="1"/>
  <c r="X1317" i="1" s="1"/>
  <c r="W757" i="1"/>
  <c r="X757" i="1" s="1"/>
  <c r="W1121" i="1"/>
  <c r="X1121" i="1" s="1"/>
  <c r="W1998" i="1"/>
  <c r="X1998" i="1" s="1"/>
  <c r="W487" i="1"/>
  <c r="X487" i="1" s="1"/>
  <c r="W441" i="1"/>
  <c r="X441" i="1" s="1"/>
  <c r="W595" i="1"/>
  <c r="X595" i="1" s="1"/>
  <c r="W528" i="1"/>
  <c r="X528" i="1" s="1"/>
  <c r="W1974" i="1"/>
  <c r="X1974" i="1" s="1"/>
  <c r="W1125" i="1"/>
  <c r="X1125" i="1" s="1"/>
  <c r="W294" i="1"/>
  <c r="X294" i="1" s="1"/>
  <c r="W1054" i="1"/>
  <c r="X1054" i="1" s="1"/>
  <c r="W1968" i="1"/>
  <c r="X1968" i="1" s="1"/>
  <c r="W633" i="1"/>
  <c r="X633" i="1" s="1"/>
  <c r="W178" i="1"/>
  <c r="X178" i="1" s="1"/>
  <c r="W118" i="1"/>
  <c r="X118" i="1" s="1"/>
  <c r="W64" i="1"/>
  <c r="X64" i="1" s="1"/>
  <c r="W2059" i="1"/>
  <c r="X2059" i="1" s="1"/>
  <c r="W769" i="1"/>
  <c r="X769" i="1" s="1"/>
  <c r="W755" i="1"/>
  <c r="X755" i="1" s="1"/>
  <c r="W998" i="1"/>
  <c r="X998" i="1" s="1"/>
  <c r="W1266" i="1"/>
  <c r="X1266" i="1" s="1"/>
  <c r="W579" i="1"/>
  <c r="X579" i="1" s="1"/>
  <c r="W949" i="1"/>
  <c r="X949" i="1" s="1"/>
  <c r="W695" i="1"/>
  <c r="X695" i="1" s="1"/>
  <c r="W436" i="1"/>
  <c r="X436" i="1" s="1"/>
  <c r="W1892" i="1"/>
  <c r="X1892" i="1" s="1"/>
  <c r="W1449" i="1"/>
  <c r="X1449" i="1" s="1"/>
  <c r="W644" i="1"/>
  <c r="X644" i="1" s="1"/>
  <c r="W1644" i="1"/>
  <c r="X1644" i="1" s="1"/>
  <c r="W1559" i="1"/>
  <c r="X1559" i="1" s="1"/>
  <c r="W549" i="1"/>
  <c r="X549" i="1" s="1"/>
  <c r="W590" i="1"/>
  <c r="X590" i="1" s="1"/>
  <c r="W1081" i="1"/>
  <c r="X1081" i="1" s="1"/>
  <c r="W569" i="1"/>
  <c r="X569" i="1" s="1"/>
  <c r="W1633" i="1"/>
  <c r="X1633" i="1" s="1"/>
  <c r="W1574" i="1"/>
  <c r="X1574" i="1" s="1"/>
  <c r="W2042" i="1"/>
  <c r="X2042" i="1" s="1"/>
  <c r="W105" i="1"/>
  <c r="X105" i="1" s="1"/>
  <c r="W1587" i="1"/>
  <c r="X1587" i="1" s="1"/>
  <c r="W848" i="1"/>
  <c r="X848" i="1" s="1"/>
  <c r="W1595" i="1"/>
  <c r="X1595" i="1" s="1"/>
  <c r="W823" i="1"/>
  <c r="X823" i="1" s="1"/>
  <c r="W142" i="1"/>
  <c r="X142" i="1" s="1"/>
  <c r="W73" i="1"/>
  <c r="X73" i="1" s="1"/>
  <c r="W2095" i="1"/>
  <c r="X2095" i="1" s="1"/>
  <c r="W2115" i="1"/>
  <c r="X2115" i="1" s="1"/>
  <c r="W1394" i="1"/>
  <c r="X1394" i="1" s="1"/>
  <c r="W921" i="1"/>
  <c r="X921" i="1" s="1"/>
  <c r="W810" i="1"/>
  <c r="X810" i="1" s="1"/>
  <c r="W437" i="1"/>
  <c r="X437" i="1" s="1"/>
  <c r="W1931" i="1"/>
  <c r="X1931" i="1" s="1"/>
  <c r="W408" i="1"/>
  <c r="X408" i="1" s="1"/>
  <c r="W845" i="1"/>
  <c r="X845" i="1" s="1"/>
  <c r="W348" i="1"/>
  <c r="X348" i="1" s="1"/>
  <c r="W1137" i="1"/>
  <c r="X1137" i="1" s="1"/>
  <c r="W846" i="1"/>
  <c r="X846" i="1" s="1"/>
  <c r="W2117" i="1"/>
  <c r="X2117" i="1" s="1"/>
  <c r="W1253" i="1"/>
  <c r="X1253" i="1" s="1"/>
  <c r="W1483" i="1"/>
  <c r="X1483" i="1" s="1"/>
  <c r="W450" i="1"/>
  <c r="X450" i="1" s="1"/>
  <c r="W1737" i="1"/>
  <c r="X1737" i="1" s="1"/>
  <c r="W751" i="1"/>
  <c r="X751" i="1" s="1"/>
  <c r="W2039" i="1"/>
  <c r="X2039" i="1" s="1"/>
  <c r="W1126" i="1"/>
  <c r="X1126" i="1" s="1"/>
  <c r="W1332" i="1"/>
  <c r="X1332" i="1" s="1"/>
  <c r="W1524" i="1"/>
  <c r="X1524" i="1" s="1"/>
  <c r="W1655" i="1"/>
  <c r="X1655" i="1" s="1"/>
  <c r="W962" i="1"/>
  <c r="X962" i="1" s="1"/>
  <c r="W1791" i="1"/>
  <c r="X1791" i="1" s="1"/>
  <c r="W1005" i="1"/>
  <c r="X1005" i="1" s="1"/>
  <c r="W194" i="1"/>
  <c r="X194" i="1" s="1"/>
  <c r="W879" i="1"/>
  <c r="X879" i="1" s="1"/>
  <c r="W1781" i="1"/>
  <c r="X1781" i="1" s="1"/>
  <c r="W1294" i="1"/>
  <c r="X1294" i="1" s="1"/>
  <c r="W1457" i="1"/>
  <c r="X1457" i="1" s="1"/>
  <c r="W1709" i="1"/>
  <c r="X1709" i="1" s="1"/>
  <c r="W628" i="1"/>
  <c r="X628" i="1" s="1"/>
  <c r="W1467" i="1"/>
  <c r="X1467" i="1" s="1"/>
  <c r="W873" i="1"/>
  <c r="X873" i="1" s="1"/>
  <c r="W2041" i="1"/>
  <c r="X2041" i="1" s="1"/>
  <c r="W1628" i="1"/>
  <c r="X1628" i="1" s="1"/>
  <c r="W1217" i="1"/>
  <c r="X1217" i="1" s="1"/>
  <c r="W1190" i="1"/>
  <c r="X1190" i="1" s="1"/>
  <c r="W1243" i="1"/>
  <c r="X1243" i="1" s="1"/>
  <c r="W129" i="1"/>
  <c r="X129" i="1" s="1"/>
  <c r="W1022" i="1"/>
  <c r="X1022" i="1" s="1"/>
  <c r="W1112" i="1"/>
  <c r="X1112" i="1" s="1"/>
  <c r="W492" i="1"/>
  <c r="X492" i="1" s="1"/>
  <c r="W1124" i="1"/>
  <c r="X1124" i="1" s="1"/>
  <c r="W1463" i="1"/>
  <c r="X1463" i="1" s="1"/>
  <c r="W1442" i="1"/>
  <c r="X1442" i="1" s="1"/>
  <c r="W1785" i="1"/>
  <c r="X1785" i="1" s="1"/>
  <c r="W1108" i="1"/>
  <c r="X1108" i="1" s="1"/>
  <c r="W963" i="1"/>
  <c r="X963" i="1" s="1"/>
  <c r="W40" i="1"/>
  <c r="X40" i="1" s="1"/>
  <c r="W1579" i="1"/>
  <c r="X1579" i="1" s="1"/>
  <c r="W2016" i="1"/>
  <c r="X2016" i="1" s="1"/>
  <c r="W748" i="1"/>
  <c r="X748" i="1" s="1"/>
  <c r="W897" i="1"/>
  <c r="X897" i="1" s="1"/>
  <c r="W1242" i="1"/>
  <c r="X1242" i="1" s="1"/>
  <c r="W1619" i="1"/>
  <c r="X1619" i="1" s="1"/>
  <c r="W737" i="1"/>
  <c r="X737" i="1" s="1"/>
  <c r="W16" i="1"/>
  <c r="X16" i="1" s="1"/>
  <c r="W1133" i="1"/>
  <c r="X1133" i="1" s="1"/>
  <c r="W1699" i="1"/>
  <c r="X1699" i="1" s="1"/>
  <c r="W2082" i="1"/>
  <c r="X2082" i="1" s="1"/>
  <c r="W1508" i="1"/>
  <c r="X1508" i="1" s="1"/>
  <c r="W1206" i="1"/>
  <c r="X1206" i="1" s="1"/>
  <c r="W309" i="1"/>
  <c r="X309" i="1" s="1"/>
  <c r="W496" i="1"/>
  <c r="X496" i="1" s="1"/>
  <c r="W711" i="1"/>
  <c r="X711" i="1" s="1"/>
  <c r="W796" i="1"/>
  <c r="X796" i="1" s="1"/>
  <c r="W1018" i="1"/>
  <c r="X1018" i="1" s="1"/>
  <c r="W1960" i="1"/>
  <c r="X1960" i="1" s="1"/>
  <c r="W1437" i="1"/>
  <c r="X1437" i="1" s="1"/>
  <c r="W86" i="1"/>
  <c r="X86" i="1" s="1"/>
  <c r="W1216" i="1"/>
  <c r="X1216" i="1" s="1"/>
  <c r="W1028" i="1"/>
  <c r="X1028" i="1" s="1"/>
  <c r="W766" i="1"/>
  <c r="X766" i="1" s="1"/>
  <c r="W827" i="1"/>
  <c r="X827" i="1" s="1"/>
  <c r="W1397" i="1"/>
  <c r="X1397" i="1" s="1"/>
  <c r="W93" i="1"/>
  <c r="X93" i="1" s="1"/>
  <c r="W519" i="1"/>
  <c r="X519" i="1" s="1"/>
  <c r="W400" i="1"/>
  <c r="X400" i="1" s="1"/>
  <c r="W1528" i="1"/>
  <c r="X1528" i="1" s="1"/>
  <c r="W430" i="1"/>
  <c r="X430" i="1" s="1"/>
  <c r="W1887" i="1"/>
  <c r="X1887" i="1" s="1"/>
  <c r="W419" i="1"/>
  <c r="X419" i="1" s="1"/>
  <c r="W318" i="1"/>
  <c r="X318" i="1" s="1"/>
  <c r="W1382" i="1"/>
  <c r="X1382" i="1" s="1"/>
  <c r="W854" i="1"/>
  <c r="X854" i="1" s="1"/>
  <c r="W1876" i="1"/>
  <c r="X1876" i="1" s="1"/>
  <c r="W894" i="1"/>
  <c r="X894" i="1" s="1"/>
  <c r="W1991" i="1"/>
  <c r="X1991" i="1" s="1"/>
  <c r="W71" i="1"/>
  <c r="X71" i="1" s="1"/>
  <c r="W988" i="1"/>
  <c r="X988" i="1" s="1"/>
  <c r="W1473" i="1"/>
  <c r="X1473" i="1" s="1"/>
  <c r="W297" i="1"/>
  <c r="X297" i="1" s="1"/>
  <c r="W532" i="1"/>
  <c r="X532" i="1" s="1"/>
  <c r="W1982" i="1"/>
  <c r="X1982" i="1" s="1"/>
  <c r="W1686" i="1"/>
  <c r="X1686" i="1" s="1"/>
  <c r="W820" i="1"/>
  <c r="X820" i="1" s="1"/>
  <c r="W1999" i="1"/>
  <c r="X1999" i="1" s="1"/>
  <c r="W1702" i="1"/>
  <c r="X1702" i="1" s="1"/>
  <c r="W882" i="1"/>
  <c r="X882" i="1" s="1"/>
  <c r="W838" i="1"/>
  <c r="X838" i="1" s="1"/>
  <c r="W446" i="1"/>
  <c r="X446" i="1" s="1"/>
  <c r="W1825" i="1"/>
  <c r="X1825" i="1" s="1"/>
  <c r="W728" i="1"/>
  <c r="X728" i="1" s="1"/>
  <c r="W24" i="1"/>
  <c r="X24" i="1" s="1"/>
  <c r="W902" i="1"/>
  <c r="X902" i="1" s="1"/>
  <c r="W646" i="1"/>
  <c r="X646" i="1" s="1"/>
  <c r="W1873" i="1"/>
  <c r="X1873" i="1" s="1"/>
  <c r="W655" i="1"/>
  <c r="X655" i="1" s="1"/>
  <c r="W1009" i="1"/>
  <c r="X1009" i="1" s="1"/>
  <c r="W1130" i="1"/>
  <c r="X1130" i="1" s="1"/>
  <c r="W431" i="1"/>
  <c r="X431" i="1" s="1"/>
  <c r="W953" i="1"/>
  <c r="X953" i="1" s="1"/>
  <c r="W327" i="1"/>
  <c r="X327" i="1" s="1"/>
  <c r="W1199" i="1"/>
  <c r="X1199" i="1" s="1"/>
  <c r="W622" i="1"/>
  <c r="X622" i="1" s="1"/>
  <c r="W865" i="1"/>
  <c r="X865" i="1" s="1"/>
  <c r="W2119" i="1"/>
  <c r="X2119" i="1" s="1"/>
  <c r="W511" i="1"/>
  <c r="X511" i="1" s="1"/>
  <c r="W110" i="1"/>
  <c r="X110" i="1" s="1"/>
  <c r="W205" i="1"/>
  <c r="X205" i="1" s="1"/>
  <c r="W1769" i="1"/>
  <c r="X1769" i="1" s="1"/>
  <c r="W1501" i="1"/>
  <c r="X1501" i="1" s="1"/>
  <c r="W1361" i="1"/>
  <c r="X1361" i="1" s="1"/>
  <c r="W859" i="1"/>
  <c r="X859" i="1" s="1"/>
  <c r="W747" i="1"/>
  <c r="X747" i="1" s="1"/>
  <c r="W97" i="1"/>
  <c r="X97" i="1" s="1"/>
  <c r="W1751" i="1"/>
  <c r="X1751" i="1" s="1"/>
  <c r="W1210" i="1"/>
  <c r="X1210" i="1" s="1"/>
  <c r="W1000" i="1"/>
  <c r="X1000" i="1" s="1"/>
  <c r="W1754" i="1"/>
  <c r="X1754" i="1" s="1"/>
  <c r="W1158" i="1"/>
  <c r="X1158" i="1" s="1"/>
  <c r="W546" i="1"/>
  <c r="X546" i="1" s="1"/>
  <c r="W571" i="1"/>
  <c r="X571" i="1" s="1"/>
  <c r="W336" i="1"/>
  <c r="X336" i="1" s="1"/>
  <c r="W828" i="1"/>
  <c r="X828" i="1" s="1"/>
  <c r="W843" i="1"/>
  <c r="X843" i="1" s="1"/>
  <c r="W1713" i="1"/>
  <c r="X1713" i="1" s="1"/>
  <c r="W1940" i="1"/>
  <c r="X1940" i="1" s="1"/>
  <c r="W1747" i="1"/>
  <c r="X1747" i="1" s="1"/>
  <c r="W490" i="1"/>
  <c r="X490" i="1" s="1"/>
  <c r="W1002" i="1"/>
  <c r="X1002" i="1" s="1"/>
  <c r="W504" i="1"/>
  <c r="X504" i="1" s="1"/>
  <c r="W1576" i="1"/>
  <c r="X1576" i="1" s="1"/>
  <c r="W1561" i="1"/>
  <c r="X1561" i="1" s="1"/>
  <c r="W2096" i="1"/>
  <c r="X2096" i="1" s="1"/>
  <c r="W784" i="1"/>
  <c r="X784" i="1" s="1"/>
  <c r="W1658" i="1"/>
  <c r="X1658" i="1" s="1"/>
  <c r="W811" i="1"/>
  <c r="X811" i="1" s="1"/>
  <c r="W2024" i="1"/>
  <c r="X2024" i="1" s="1"/>
  <c r="W1345" i="1"/>
  <c r="X1345" i="1" s="1"/>
  <c r="W1554" i="1"/>
  <c r="X1554" i="1" s="1"/>
  <c r="W333" i="1"/>
  <c r="X333" i="1" s="1"/>
  <c r="W968" i="1"/>
  <c r="X968" i="1" s="1"/>
  <c r="W1598" i="1"/>
  <c r="X1598" i="1" s="1"/>
  <c r="W952" i="1"/>
  <c r="X952" i="1" s="1"/>
  <c r="W1832" i="1"/>
  <c r="X1832" i="1" s="1"/>
  <c r="W475" i="1"/>
  <c r="X475" i="1" s="1"/>
  <c r="W234" i="1"/>
  <c r="X234" i="1" s="1"/>
  <c r="W1776" i="1"/>
  <c r="X1776" i="1" s="1"/>
  <c r="W17" i="1"/>
  <c r="X17" i="1" s="1"/>
  <c r="W1090" i="1"/>
  <c r="X1090" i="1" s="1"/>
  <c r="W889" i="1"/>
  <c r="X889" i="1" s="1"/>
  <c r="W1842" i="1"/>
  <c r="X1842" i="1" s="1"/>
  <c r="W555" i="1"/>
  <c r="X555" i="1" s="1"/>
  <c r="W1930" i="1"/>
  <c r="X1930" i="1" s="1"/>
  <c r="W1070" i="1"/>
  <c r="X1070" i="1" s="1"/>
  <c r="W2116" i="1"/>
  <c r="X2116" i="1" s="1"/>
  <c r="W1058" i="1"/>
  <c r="X1058" i="1" s="1"/>
  <c r="W836" i="1"/>
  <c r="X836" i="1" s="1"/>
  <c r="W521" i="1"/>
  <c r="X521" i="1" s="1"/>
  <c r="W1268" i="1"/>
  <c r="X1268" i="1" s="1"/>
  <c r="W28" i="1"/>
  <c r="X28" i="1" s="1"/>
  <c r="W1789" i="1"/>
  <c r="X1789" i="1" s="1"/>
  <c r="W248" i="1"/>
  <c r="X248" i="1" s="1"/>
  <c r="W100" i="1"/>
  <c r="X100" i="1" s="1"/>
  <c r="W566" i="1"/>
  <c r="X566" i="1" s="1"/>
  <c r="W1418" i="1"/>
  <c r="X1418" i="1" s="1"/>
  <c r="W1600" i="1"/>
  <c r="X1600" i="1" s="1"/>
  <c r="W985" i="1"/>
  <c r="X985" i="1" s="1"/>
  <c r="W1843" i="1"/>
  <c r="X1843" i="1" s="1"/>
  <c r="W115" i="1"/>
  <c r="X115" i="1" s="1"/>
  <c r="W70" i="1"/>
  <c r="X70" i="1" s="1"/>
  <c r="W1239" i="1"/>
  <c r="X1239" i="1" s="1"/>
  <c r="W1839" i="1"/>
  <c r="X1839" i="1" s="1"/>
  <c r="W565" i="1"/>
  <c r="X565" i="1" s="1"/>
  <c r="W1790" i="1"/>
  <c r="X1790" i="1" s="1"/>
  <c r="W835" i="1"/>
  <c r="X835" i="1" s="1"/>
  <c r="W1059" i="1"/>
  <c r="X1059" i="1" s="1"/>
  <c r="W2012" i="1"/>
  <c r="X2012" i="1" s="1"/>
  <c r="W804" i="1"/>
  <c r="X804" i="1" s="1"/>
  <c r="W1187" i="1"/>
  <c r="X1187" i="1" s="1"/>
  <c r="W331" i="1"/>
  <c r="X331" i="1" s="1"/>
  <c r="W2118" i="1"/>
  <c r="X2118" i="1" s="1"/>
  <c r="W317" i="1"/>
  <c r="X317" i="1" s="1"/>
  <c r="W1444" i="1"/>
  <c r="X1444" i="1" s="1"/>
  <c r="W1040" i="1"/>
  <c r="X1040" i="1" s="1"/>
  <c r="W1846" i="1"/>
  <c r="X1846" i="1" s="1"/>
  <c r="W453" i="1"/>
  <c r="X453" i="1" s="1"/>
  <c r="W477" i="1"/>
  <c r="X477" i="1" s="1"/>
  <c r="W187" i="1"/>
  <c r="X187" i="1" s="1"/>
  <c r="W439" i="1"/>
  <c r="X439" i="1" s="1"/>
  <c r="W954" i="1"/>
  <c r="X954" i="1" s="1"/>
  <c r="W697" i="1"/>
  <c r="X697" i="1" s="1"/>
  <c r="W60" i="1"/>
  <c r="X60" i="1" s="1"/>
  <c r="W632" i="1"/>
  <c r="X632" i="1" s="1"/>
  <c r="W1546" i="1"/>
  <c r="X1546" i="1" s="1"/>
  <c r="W479" i="1"/>
  <c r="X479" i="1" s="1"/>
  <c r="W1034" i="1"/>
  <c r="X1034" i="1" s="1"/>
  <c r="W505" i="1"/>
  <c r="X505" i="1" s="1"/>
  <c r="W1870" i="1"/>
  <c r="X1870" i="1" s="1"/>
  <c r="W1150" i="1"/>
  <c r="X1150" i="1" s="1"/>
  <c r="W1392" i="1"/>
  <c r="X1392" i="1" s="1"/>
  <c r="W1906" i="1"/>
  <c r="X1906" i="1" s="1"/>
  <c r="W1889" i="1"/>
  <c r="X1889" i="1" s="1"/>
  <c r="W1279" i="1"/>
  <c r="X1279" i="1" s="1"/>
  <c r="W72" i="1"/>
  <c r="X72" i="1" s="1"/>
  <c r="W1509" i="1"/>
  <c r="X1509" i="1" s="1"/>
  <c r="W1826" i="1"/>
  <c r="X1826" i="1" s="1"/>
  <c r="W585" i="1"/>
  <c r="X585" i="1" s="1"/>
  <c r="W1816" i="1"/>
  <c r="X1816" i="1" s="1"/>
  <c r="W1701" i="1"/>
  <c r="X1701" i="1" s="1"/>
  <c r="W1299" i="1"/>
  <c r="X1299" i="1" s="1"/>
  <c r="W792" i="1"/>
  <c r="X792" i="1" s="1"/>
  <c r="W1807" i="1"/>
  <c r="X1807" i="1" s="1"/>
  <c r="W2112" i="1"/>
  <c r="X2112" i="1" s="1"/>
  <c r="W1179" i="1"/>
  <c r="X1179" i="1" s="1"/>
  <c r="W999" i="1"/>
  <c r="X999" i="1" s="1"/>
  <c r="W423" i="1"/>
  <c r="X423" i="1" s="1"/>
  <c r="W1760" i="1"/>
  <c r="X1760" i="1" s="1"/>
  <c r="W2056" i="1"/>
  <c r="X2056" i="1" s="1"/>
  <c r="W1945" i="1"/>
  <c r="X1945" i="1" s="1"/>
  <c r="W1095" i="1"/>
  <c r="X1095" i="1" s="1"/>
  <c r="W1041" i="1"/>
  <c r="X1041" i="1" s="1"/>
  <c r="W1259" i="1"/>
  <c r="X1259" i="1" s="1"/>
  <c r="W2091" i="1"/>
  <c r="X2091" i="1" s="1"/>
  <c r="W797" i="1"/>
  <c r="X797" i="1" s="1"/>
  <c r="W1810" i="1"/>
  <c r="X1810" i="1" s="1"/>
  <c r="W204" i="1"/>
  <c r="X204" i="1" s="1"/>
  <c r="W927" i="1"/>
  <c r="X927" i="1" s="1"/>
  <c r="W1067" i="1"/>
  <c r="X1067" i="1" s="1"/>
  <c r="W181" i="1"/>
  <c r="X181" i="1" s="1"/>
  <c r="W1072" i="1"/>
  <c r="X1072" i="1" s="1"/>
  <c r="W213" i="1"/>
  <c r="X213" i="1" s="1"/>
  <c r="W2083" i="1"/>
  <c r="X2083" i="1" s="1"/>
  <c r="W1494" i="1"/>
  <c r="X1494" i="1" s="1"/>
  <c r="W1607" i="1"/>
  <c r="X1607" i="1" s="1"/>
  <c r="W1901" i="1"/>
  <c r="X1901" i="1" s="1"/>
  <c r="W1316" i="1"/>
  <c r="X1316" i="1" s="1"/>
  <c r="W175" i="1"/>
  <c r="X175" i="1" s="1"/>
  <c r="W1211" i="1"/>
  <c r="X1211" i="1" s="1"/>
  <c r="W926" i="1"/>
  <c r="X926" i="1" s="1"/>
  <c r="W1728" i="1"/>
  <c r="X1728" i="1" s="1"/>
  <c r="W1091" i="1"/>
  <c r="X1091" i="1" s="1"/>
  <c r="W63" i="1"/>
  <c r="X63" i="1" s="1"/>
  <c r="W78" i="1"/>
  <c r="X78" i="1" s="1"/>
  <c r="W1327" i="1"/>
  <c r="X1327" i="1" s="1"/>
  <c r="W1305" i="1"/>
  <c r="X1305" i="1" s="1"/>
  <c r="W880" i="1"/>
  <c r="X880" i="1" s="1"/>
  <c r="W672" i="1"/>
  <c r="X672" i="1" s="1"/>
  <c r="W780" i="1"/>
  <c r="X780" i="1" s="1"/>
  <c r="W626" i="1"/>
  <c r="X626" i="1" s="1"/>
  <c r="W1339" i="1"/>
  <c r="X1339" i="1" s="1"/>
  <c r="W556" i="1"/>
  <c r="X556" i="1" s="1"/>
  <c r="W242" i="1"/>
  <c r="X242" i="1" s="1"/>
  <c r="W264" i="1"/>
  <c r="X264" i="1" s="1"/>
  <c r="W1486" i="1"/>
  <c r="X1486" i="1" s="1"/>
  <c r="W2045" i="1"/>
  <c r="X2045" i="1" s="1"/>
  <c r="W15" i="1"/>
  <c r="X15" i="1" s="1"/>
  <c r="W912" i="1"/>
  <c r="X912" i="1" s="1"/>
  <c r="W1159" i="1"/>
  <c r="X1159" i="1" s="1"/>
  <c r="W1369" i="1"/>
  <c r="X1369" i="1" s="1"/>
  <c r="W1647" i="1"/>
  <c r="X1647" i="1" s="1"/>
  <c r="W500" i="1"/>
  <c r="X500" i="1" s="1"/>
  <c r="W1359" i="1"/>
  <c r="X1359" i="1" s="1"/>
  <c r="W2000" i="1"/>
  <c r="X2000" i="1" s="1"/>
  <c r="W2032" i="1"/>
  <c r="X2032" i="1" s="1"/>
  <c r="W782" i="1"/>
  <c r="X782" i="1" s="1"/>
  <c r="W1712" i="1"/>
  <c r="X1712" i="1" s="1"/>
  <c r="W818" i="1"/>
  <c r="X818" i="1" s="1"/>
  <c r="W92" i="1"/>
  <c r="X92" i="1" s="1"/>
  <c r="W876" i="1"/>
  <c r="X876" i="1" s="1"/>
  <c r="W1618" i="1"/>
  <c r="X1618" i="1" s="1"/>
  <c r="W799" i="1"/>
  <c r="X799" i="1" s="1"/>
  <c r="W2053" i="1"/>
  <c r="X2053" i="1" s="1"/>
  <c r="W1296" i="1"/>
  <c r="X1296" i="1" s="1"/>
  <c r="W169" i="1"/>
  <c r="X169" i="1" s="1"/>
  <c r="W1606" i="1"/>
  <c r="X1606" i="1" s="1"/>
  <c r="W249" i="1"/>
  <c r="X249" i="1" s="1"/>
  <c r="W1329" i="1"/>
  <c r="X1329" i="1" s="1"/>
  <c r="W1736" i="1"/>
  <c r="X1736" i="1" s="1"/>
  <c r="W1632" i="1"/>
  <c r="X1632" i="1" s="1"/>
  <c r="W1648" i="1"/>
  <c r="X1648" i="1" s="1"/>
  <c r="W564" i="1"/>
  <c r="X564" i="1" s="1"/>
  <c r="W366" i="1"/>
  <c r="X366" i="1" s="1"/>
  <c r="W2001" i="1"/>
  <c r="X2001" i="1" s="1"/>
  <c r="W605" i="1"/>
  <c r="X605" i="1" s="1"/>
  <c r="W1929" i="1"/>
  <c r="X1929" i="1" s="1"/>
  <c r="W245" i="1"/>
  <c r="X245" i="1" s="1"/>
  <c r="W852" i="1"/>
  <c r="X852" i="1" s="1"/>
  <c r="W1635" i="1"/>
  <c r="X1635" i="1" s="1"/>
  <c r="W290" i="1"/>
  <c r="X290" i="1" s="1"/>
  <c r="W1036" i="1"/>
  <c r="X1036" i="1" s="1"/>
  <c r="W420" i="1"/>
  <c r="X420" i="1" s="1"/>
  <c r="W1224" i="1"/>
  <c r="X1224" i="1" s="1"/>
  <c r="W45" i="1"/>
  <c r="X45" i="1" s="1"/>
  <c r="W1681" i="1"/>
  <c r="X1681" i="1" s="1"/>
  <c r="W1880" i="1"/>
  <c r="X1880" i="1" s="1"/>
  <c r="W1822" i="1"/>
  <c r="X1822" i="1" s="1"/>
  <c r="W1161" i="1"/>
  <c r="X1161" i="1" s="1"/>
  <c r="W849" i="1"/>
  <c r="X849" i="1" s="1"/>
  <c r="W1198" i="1"/>
  <c r="X1198" i="1" s="1"/>
  <c r="W1003" i="1"/>
  <c r="X1003" i="1" s="1"/>
  <c r="W42" i="1"/>
  <c r="X42" i="1" s="1"/>
  <c r="W193" i="1"/>
  <c r="X193" i="1" s="1"/>
  <c r="W1715" i="1"/>
  <c r="X1715" i="1" s="1"/>
  <c r="W222" i="1"/>
  <c r="X222" i="1" s="1"/>
  <c r="W1616" i="1"/>
  <c r="X1616" i="1" s="1"/>
  <c r="W1356" i="1"/>
  <c r="X1356" i="1" s="1"/>
  <c r="W914" i="1"/>
  <c r="X914" i="1" s="1"/>
  <c r="W427" i="1"/>
  <c r="X427" i="1" s="1"/>
  <c r="W1823" i="1"/>
  <c r="X1823" i="1" s="1"/>
  <c r="W1114" i="1"/>
  <c r="X1114" i="1" s="1"/>
  <c r="W1591" i="1"/>
  <c r="X1591" i="1" s="1"/>
  <c r="W877" i="1"/>
  <c r="X877" i="1" s="1"/>
  <c r="W460" i="1"/>
  <c r="X460" i="1" s="1"/>
  <c r="W1010" i="1"/>
  <c r="X1010" i="1" s="1"/>
  <c r="W230" i="1"/>
  <c r="X230" i="1" s="1"/>
  <c r="W1438" i="1"/>
  <c r="X1438" i="1" s="1"/>
  <c r="W466" i="1"/>
  <c r="X466" i="1" s="1"/>
  <c r="W627" i="1"/>
  <c r="X627" i="1" s="1"/>
  <c r="W642" i="1"/>
  <c r="X642" i="1" s="1"/>
  <c r="W440" i="1"/>
  <c r="X440" i="1" s="1"/>
  <c r="W1431" i="1"/>
  <c r="X1431" i="1" s="1"/>
  <c r="W1363" i="1"/>
  <c r="X1363" i="1" s="1"/>
  <c r="W826" i="1"/>
  <c r="X826" i="1" s="1"/>
  <c r="W1990" i="1"/>
  <c r="X1990" i="1" s="1"/>
  <c r="W970" i="1"/>
  <c r="X970" i="1" s="1"/>
  <c r="W676" i="1"/>
  <c r="X676" i="1" s="1"/>
  <c r="W883" i="1"/>
  <c r="X883" i="1" s="1"/>
  <c r="W959" i="1"/>
  <c r="X959" i="1" s="1"/>
  <c r="W102" i="1"/>
  <c r="X102" i="1" s="1"/>
  <c r="W463" i="1"/>
  <c r="X463" i="1" s="1"/>
  <c r="W363" i="1"/>
  <c r="X363" i="1" s="1"/>
  <c r="W772" i="1"/>
  <c r="X772" i="1" s="1"/>
  <c r="W256" i="1"/>
  <c r="X256" i="1" s="1"/>
  <c r="W1703" i="1"/>
  <c r="X1703" i="1" s="1"/>
  <c r="W1402" i="1"/>
  <c r="X1402" i="1" s="1"/>
  <c r="W246" i="1"/>
  <c r="X246" i="1" s="1"/>
  <c r="W547" i="1"/>
  <c r="X547" i="1" s="1"/>
  <c r="W1687" i="1"/>
  <c r="X1687" i="1" s="1"/>
  <c r="W2040" i="1"/>
  <c r="X2040" i="1" s="1"/>
  <c r="W1589" i="1"/>
  <c r="X1589" i="1" s="1"/>
  <c r="W1849" i="1"/>
  <c r="X1849" i="1" s="1"/>
  <c r="W41" i="1"/>
  <c r="X41" i="1" s="1"/>
  <c r="W1592" i="1"/>
  <c r="X1592" i="1" s="1"/>
  <c r="W955" i="1"/>
  <c r="X955" i="1" s="1"/>
  <c r="W1172" i="1"/>
  <c r="X1172" i="1" s="1"/>
  <c r="W1439" i="1"/>
  <c r="X1439" i="1" s="1"/>
  <c r="W1697" i="1"/>
  <c r="X1697" i="1" s="1"/>
  <c r="W1460" i="1"/>
  <c r="X1460" i="1" s="1"/>
  <c r="W263" i="1"/>
  <c r="X263" i="1" s="1"/>
  <c r="W1189" i="1"/>
  <c r="X1189" i="1" s="1"/>
  <c r="W1391" i="1"/>
  <c r="X1391" i="1" s="1"/>
  <c r="W1708" i="1"/>
  <c r="X1708" i="1" s="1"/>
  <c r="W1238" i="1"/>
  <c r="X1238" i="1" s="1"/>
  <c r="W908" i="1"/>
  <c r="X908" i="1" s="1"/>
  <c r="W689" i="1"/>
  <c r="X689" i="1" s="1"/>
  <c r="W1519" i="1"/>
  <c r="X1519" i="1" s="1"/>
  <c r="W1512" i="1"/>
  <c r="X1512" i="1" s="1"/>
  <c r="W383" i="1"/>
  <c r="X383" i="1" s="1"/>
  <c r="W980" i="1"/>
  <c r="X980" i="1" s="1"/>
  <c r="W1250" i="1"/>
  <c r="X1250" i="1" s="1"/>
  <c r="W1282" i="1"/>
  <c r="X1282" i="1" s="1"/>
  <c r="W203" i="1"/>
  <c r="X203" i="1" s="1"/>
  <c r="W2084" i="1"/>
  <c r="X2084" i="1" s="1"/>
  <c r="W173" i="1"/>
  <c r="X173" i="1" s="1"/>
  <c r="W301" i="1"/>
  <c r="X301" i="1" s="1"/>
  <c r="W1883" i="1"/>
  <c r="X1883" i="1" s="1"/>
  <c r="W1277" i="1"/>
  <c r="X1277" i="1" s="1"/>
  <c r="W1177" i="1"/>
  <c r="X1177" i="1" s="1"/>
  <c r="W1866" i="1"/>
  <c r="X1866" i="1" s="1"/>
  <c r="W580" i="1"/>
  <c r="X580" i="1" s="1"/>
  <c r="W1262" i="1"/>
  <c r="X1262" i="1" s="1"/>
  <c r="W1004" i="1"/>
  <c r="X1004" i="1" s="1"/>
  <c r="W1136" i="1"/>
  <c r="X1136" i="1" s="1"/>
  <c r="W1927" i="1"/>
  <c r="X1927" i="1" s="1"/>
  <c r="W603" i="1"/>
  <c r="X603" i="1" s="1"/>
  <c r="W507" i="1"/>
  <c r="X507" i="1" s="1"/>
  <c r="W610" i="1"/>
  <c r="X610" i="1" s="1"/>
  <c r="W68" i="1"/>
  <c r="X68" i="1" s="1"/>
  <c r="W1031" i="1"/>
  <c r="X1031" i="1" s="1"/>
  <c r="W1994" i="1"/>
  <c r="X1994" i="1" s="1"/>
  <c r="W1548" i="1"/>
  <c r="X1548" i="1" s="1"/>
  <c r="W2090" i="1"/>
  <c r="X2090" i="1" s="1"/>
  <c r="W989" i="1"/>
  <c r="X989" i="1" s="1"/>
  <c r="W958" i="1"/>
  <c r="X958" i="1" s="1"/>
  <c r="W1914" i="1"/>
  <c r="X1914" i="1" s="1"/>
  <c r="W1764" i="1"/>
  <c r="X1764" i="1" s="1"/>
  <c r="W1683" i="1"/>
  <c r="X1683" i="1" s="1"/>
  <c r="W1061" i="1"/>
  <c r="X1061" i="1" s="1"/>
  <c r="W1858" i="1"/>
  <c r="X1858" i="1" s="1"/>
  <c r="W1129" i="1"/>
  <c r="X1129" i="1" s="1"/>
  <c r="W152" i="1"/>
  <c r="X152" i="1" s="1"/>
  <c r="W634" i="1"/>
  <c r="X634" i="1" s="1"/>
  <c r="W1451" i="1"/>
  <c r="X1451" i="1" s="1"/>
  <c r="W1073" i="1"/>
  <c r="X1073" i="1" s="1"/>
  <c r="W1734" i="1"/>
  <c r="X1734" i="1" s="1"/>
  <c r="W1672" i="1"/>
  <c r="X1672" i="1" s="1"/>
  <c r="W1134" i="1"/>
  <c r="X1134" i="1" s="1"/>
  <c r="W1867" i="1"/>
  <c r="X1867" i="1" s="1"/>
  <c r="W1274" i="1"/>
  <c r="X1274" i="1" s="1"/>
  <c r="W1089" i="1"/>
  <c r="X1089" i="1" s="1"/>
  <c r="W67" i="1"/>
  <c r="X67" i="1" s="1"/>
  <c r="W977" i="1"/>
  <c r="X977" i="1" s="1"/>
  <c r="W1197" i="1"/>
  <c r="X1197" i="1" s="1"/>
  <c r="W325" i="1"/>
  <c r="X325" i="1" s="1"/>
  <c r="W498" i="1"/>
  <c r="X498" i="1" s="1"/>
  <c r="W1916" i="1"/>
  <c r="X1916" i="1" s="1"/>
  <c r="W76" i="1"/>
  <c r="X76" i="1" s="1"/>
  <c r="W1827" i="1"/>
  <c r="X1827" i="1" s="1"/>
  <c r="W983" i="1"/>
  <c r="X983" i="1" s="1"/>
  <c r="W1612" i="1"/>
  <c r="X1612" i="1" s="1"/>
  <c r="W712" i="1"/>
  <c r="X712" i="1" s="1"/>
  <c r="W2130" i="1"/>
  <c r="X2130" i="1" s="1"/>
  <c r="W140" i="1"/>
  <c r="X140" i="1" s="1"/>
  <c r="W1033" i="1"/>
  <c r="X1033" i="1" s="1"/>
  <c r="W464" i="1"/>
  <c r="X464" i="1" s="1"/>
  <c r="W311" i="1"/>
  <c r="X311" i="1" s="1"/>
  <c r="W1824" i="1"/>
  <c r="X1824" i="1" s="1"/>
  <c r="W2081" i="1"/>
  <c r="X2081" i="1" s="1"/>
  <c r="W1477" i="1"/>
  <c r="X1477" i="1" s="1"/>
  <c r="W629" i="1"/>
  <c r="X629" i="1" s="1"/>
  <c r="W1230" i="1"/>
  <c r="X1230" i="1" s="1"/>
  <c r="W212" i="1"/>
  <c r="X212" i="1" s="1"/>
  <c r="W1236" i="1"/>
  <c r="X1236" i="1" s="1"/>
  <c r="W1087" i="1"/>
  <c r="X1087" i="1" s="1"/>
  <c r="W1689" i="1"/>
  <c r="X1689" i="1" s="1"/>
  <c r="W162" i="1"/>
  <c r="X162" i="1" s="1"/>
  <c r="W775" i="1"/>
  <c r="X775" i="1" s="1"/>
  <c r="W1328" i="1"/>
  <c r="X1328" i="1" s="1"/>
  <c r="W1475" i="1"/>
  <c r="X1475" i="1" s="1"/>
  <c r="W615" i="1"/>
  <c r="X615" i="1" s="1"/>
  <c r="W1452" i="1"/>
  <c r="X1452" i="1" s="1"/>
  <c r="W1290" i="1"/>
  <c r="X1290" i="1" s="1"/>
  <c r="W850" i="1"/>
  <c r="X850" i="1" s="1"/>
  <c r="W1981" i="1"/>
  <c r="X1981" i="1" s="1"/>
  <c r="W534" i="1"/>
  <c r="X534" i="1" s="1"/>
  <c r="W839" i="1"/>
  <c r="X839" i="1" s="1"/>
  <c r="W683" i="1"/>
  <c r="X683" i="1" s="1"/>
  <c r="W1142" i="1"/>
  <c r="X1142" i="1" s="1"/>
  <c r="W2022" i="1"/>
  <c r="X2022" i="1" s="1"/>
  <c r="W1797" i="1"/>
  <c r="X1797" i="1" s="1"/>
  <c r="W1815" i="1"/>
  <c r="X1815" i="1" s="1"/>
  <c r="W510" i="1"/>
  <c r="X510" i="1" s="1"/>
  <c r="W239" i="1"/>
  <c r="X239" i="1" s="1"/>
  <c r="W654" i="1"/>
  <c r="X654" i="1" s="1"/>
  <c r="W1911" i="1"/>
  <c r="X1911" i="1" s="1"/>
  <c r="W250" i="1"/>
  <c r="X250" i="1" s="1"/>
  <c r="W1195" i="1"/>
  <c r="X1195" i="1" s="1"/>
  <c r="W1726" i="1"/>
  <c r="X1726" i="1" s="1"/>
  <c r="W523" i="1"/>
  <c r="X523" i="1" s="1"/>
  <c r="W69" i="1"/>
  <c r="X69" i="1" s="1"/>
  <c r="W170" i="1"/>
  <c r="X170" i="1" s="1"/>
  <c r="W494" i="1"/>
  <c r="X494" i="1" s="1"/>
  <c r="W570" i="1"/>
  <c r="X570" i="1" s="1"/>
  <c r="W762" i="1"/>
  <c r="X762" i="1" s="1"/>
  <c r="W1105" i="1"/>
  <c r="X1105" i="1" s="1"/>
  <c r="W1973" i="1"/>
  <c r="X1973" i="1" s="1"/>
  <c r="W781" i="1"/>
  <c r="X781" i="1" s="1"/>
  <c r="W920" i="1"/>
  <c r="X920" i="1" s="1"/>
  <c r="W713" i="1"/>
  <c r="X713" i="1" s="1"/>
  <c r="W740" i="1"/>
  <c r="X740" i="1" s="1"/>
  <c r="W1529" i="1"/>
  <c r="X1529" i="1" s="1"/>
  <c r="W1865" i="1"/>
  <c r="X1865" i="1" s="1"/>
  <c r="W924" i="1"/>
  <c r="X924" i="1" s="1"/>
  <c r="W1315" i="1"/>
  <c r="X1315" i="1" s="1"/>
  <c r="W1695" i="1"/>
  <c r="X1695" i="1" s="1"/>
  <c r="W1962" i="1"/>
  <c r="X1962" i="1" s="1"/>
  <c r="W2107" i="1"/>
  <c r="X2107" i="1" s="1"/>
  <c r="W1170" i="1"/>
  <c r="X1170" i="1" s="1"/>
  <c r="W293" i="1"/>
  <c r="X293" i="1" s="1"/>
  <c r="W14" i="1"/>
  <c r="X14" i="1" s="1"/>
  <c r="W1896" i="1"/>
  <c r="X1896" i="1" s="1"/>
  <c r="W2108" i="1"/>
  <c r="X2108" i="1" s="1"/>
  <c r="W2021" i="1"/>
  <c r="X2021" i="1" s="1"/>
  <c r="W984" i="1"/>
  <c r="X984" i="1" s="1"/>
  <c r="W56" i="1"/>
  <c r="X56" i="1" s="1"/>
  <c r="W1925" i="1"/>
  <c r="X1925" i="1" s="1"/>
  <c r="W1017" i="1"/>
  <c r="X1017" i="1" s="1"/>
  <c r="W1673" i="1"/>
  <c r="X1673" i="1" s="1"/>
  <c r="W667" i="1"/>
  <c r="X667" i="1" s="1"/>
  <c r="W1608" i="1"/>
  <c r="X1608" i="1" s="1"/>
  <c r="W1926" i="1"/>
  <c r="X1926" i="1" s="1"/>
  <c r="W156" i="1"/>
  <c r="X156" i="1" s="1"/>
  <c r="W179" i="1"/>
  <c r="X179" i="1" s="1"/>
  <c r="W1510" i="1"/>
  <c r="X1510" i="1" s="1"/>
  <c r="W1127" i="1"/>
  <c r="X1127" i="1" s="1"/>
  <c r="W150" i="1"/>
  <c r="X150" i="1" s="1"/>
  <c r="W1492" i="1"/>
  <c r="X1492" i="1" s="1"/>
  <c r="W1694" i="1"/>
  <c r="X1694" i="1" s="1"/>
  <c r="W3" i="1"/>
  <c r="X3" i="1" s="1"/>
  <c r="W1252" i="1"/>
  <c r="X1252" i="1" s="1"/>
  <c r="W700" i="1"/>
  <c r="X700" i="1" s="1"/>
  <c r="W2033" i="1"/>
  <c r="X2033" i="1" s="1"/>
  <c r="W392" i="1"/>
  <c r="X392" i="1" s="1"/>
  <c r="W1365" i="1"/>
  <c r="X1365" i="1" s="1"/>
  <c r="W765" i="1"/>
  <c r="X765" i="1" s="1"/>
  <c r="W206" i="1"/>
  <c r="X206" i="1" s="1"/>
  <c r="W715" i="1"/>
  <c r="X715" i="1" s="1"/>
  <c r="W1615" i="1"/>
  <c r="X1615" i="1" s="1"/>
  <c r="W1448" i="1"/>
  <c r="X1448" i="1" s="1"/>
  <c r="W1298" i="1"/>
  <c r="X1298" i="1" s="1"/>
  <c r="W1013" i="1"/>
  <c r="X1013" i="1" s="1"/>
  <c r="W1370" i="1"/>
  <c r="X1370" i="1" s="1"/>
  <c r="W1986" i="1"/>
  <c r="X1986" i="1" s="1"/>
  <c r="W1847" i="1"/>
  <c r="X1847" i="1" s="1"/>
  <c r="W853" i="1"/>
  <c r="X853" i="1" s="1"/>
  <c r="W1971" i="1"/>
  <c r="X1971" i="1" s="1"/>
  <c r="W1744" i="1"/>
  <c r="X1744" i="1" s="1"/>
  <c r="W1001" i="1"/>
  <c r="X1001" i="1" s="1"/>
  <c r="W1265" i="1"/>
  <c r="X1265" i="1" s="1"/>
  <c r="W1065" i="1"/>
  <c r="X1065" i="1" s="1"/>
  <c r="W1413" i="1"/>
  <c r="X1413" i="1" s="1"/>
  <c r="W692" i="1"/>
  <c r="X692" i="1" s="1"/>
  <c r="W1146" i="1"/>
  <c r="X1146" i="1" s="1"/>
  <c r="W1414" i="1"/>
  <c r="X1414" i="1" s="1"/>
  <c r="W1075" i="1"/>
  <c r="X1075" i="1" s="1"/>
  <c r="W1409" i="1"/>
  <c r="X1409" i="1" s="1"/>
  <c r="W1854" i="1"/>
  <c r="X1854" i="1" s="1"/>
  <c r="W1774" i="1"/>
  <c r="X1774" i="1" s="1"/>
  <c r="W454" i="1"/>
  <c r="X454" i="1" s="1"/>
  <c r="W398" i="1"/>
  <c r="X398" i="1" s="1"/>
  <c r="W182" i="1"/>
  <c r="X182" i="1" s="1"/>
  <c r="W1021" i="1"/>
  <c r="X1021" i="1" s="1"/>
  <c r="W1533" i="1"/>
  <c r="X1533" i="1" s="1"/>
  <c r="W378" i="1"/>
  <c r="X378" i="1" s="1"/>
  <c r="W516" i="1"/>
  <c r="X516" i="1" s="1"/>
  <c r="W1113" i="1"/>
  <c r="X1113" i="1" s="1"/>
  <c r="W1722" i="1"/>
  <c r="X1722" i="1" s="1"/>
  <c r="W1553" i="1"/>
  <c r="X1553" i="1" s="1"/>
  <c r="W1557" i="1"/>
  <c r="X1557" i="1" s="1"/>
  <c r="W600" i="1"/>
  <c r="X600" i="1" s="1"/>
  <c r="W338" i="1"/>
  <c r="X338" i="1" s="1"/>
  <c r="W1283" i="1"/>
  <c r="X1283" i="1" s="1"/>
  <c r="W470" i="1"/>
  <c r="X470" i="1" s="1"/>
  <c r="W1119" i="1"/>
  <c r="X1119" i="1" s="1"/>
  <c r="W1568" i="1"/>
  <c r="X1568" i="1" s="1"/>
  <c r="W1030" i="1"/>
  <c r="X1030" i="1" s="1"/>
  <c r="W981" i="1"/>
  <c r="X981" i="1" s="1"/>
  <c r="W1864" i="1"/>
  <c r="X1864" i="1" s="1"/>
  <c r="W1234" i="1"/>
  <c r="X1234" i="1" s="1"/>
  <c r="W1300" i="1"/>
  <c r="X1300" i="1" s="1"/>
  <c r="W285" i="1"/>
  <c r="X285" i="1" s="1"/>
  <c r="W1844" i="1"/>
  <c r="X1844" i="1" s="1"/>
  <c r="W214" i="1"/>
  <c r="X214" i="1" s="1"/>
  <c r="W1229" i="1"/>
  <c r="X1229" i="1" s="1"/>
  <c r="W636" i="1"/>
  <c r="X636" i="1" s="1"/>
  <c r="W29" i="1"/>
  <c r="X29" i="1" s="1"/>
  <c r="W343" i="1"/>
  <c r="X343" i="1" s="1"/>
  <c r="W21" i="1"/>
  <c r="X21" i="1" s="1"/>
  <c r="W824" i="1"/>
  <c r="X824" i="1" s="1"/>
  <c r="W840" i="1"/>
  <c r="X840" i="1" s="1"/>
  <c r="W1408" i="1"/>
  <c r="X1408" i="1" s="1"/>
  <c r="W814" i="1"/>
  <c r="X814" i="1" s="1"/>
  <c r="W52" i="1"/>
  <c r="X52" i="1" s="1"/>
  <c r="W385" i="1"/>
  <c r="X385" i="1" s="1"/>
  <c r="W1222" i="1"/>
  <c r="X1222" i="1" s="1"/>
  <c r="W421" i="1"/>
  <c r="X421" i="1" s="1"/>
  <c r="W163" i="1"/>
  <c r="X163" i="1" s="1"/>
  <c r="W1909" i="1"/>
  <c r="X1909" i="1" s="1"/>
  <c r="W899" i="1"/>
  <c r="X899" i="1" s="1"/>
  <c r="W1390" i="1"/>
  <c r="X1390" i="1" s="1"/>
  <c r="W1208" i="1"/>
  <c r="X1208" i="1" s="1"/>
  <c r="W482" i="1"/>
  <c r="X482" i="1" s="1"/>
  <c r="W2058" i="1"/>
  <c r="X2058" i="1" s="1"/>
  <c r="W938" i="1"/>
  <c r="X938" i="1" s="1"/>
  <c r="W1272" i="1"/>
  <c r="X1272" i="1" s="1"/>
  <c r="W2077" i="1"/>
  <c r="X2077" i="1" s="1"/>
  <c r="W2066" i="1"/>
  <c r="X2066" i="1" s="1"/>
  <c r="W1426" i="1"/>
  <c r="X1426" i="1" s="1"/>
  <c r="W1007" i="1"/>
  <c r="X1007" i="1" s="1"/>
  <c r="W61" i="1"/>
  <c r="X61" i="1" s="1"/>
  <c r="W1280" i="1"/>
  <c r="X1280" i="1" s="1"/>
  <c r="W267" i="1"/>
  <c r="X267" i="1" s="1"/>
  <c r="W2028" i="1"/>
  <c r="X2028" i="1" s="1"/>
  <c r="W1428" i="1"/>
  <c r="X1428" i="1" s="1"/>
  <c r="W485" i="1"/>
  <c r="X485" i="1" s="1"/>
  <c r="W1905" i="1"/>
  <c r="X1905" i="1" s="1"/>
  <c r="W593" i="1"/>
  <c r="X593" i="1" s="1"/>
  <c r="W661" i="1"/>
  <c r="X661" i="1" s="1"/>
  <c r="W1182" i="1"/>
  <c r="X1182" i="1" s="1"/>
  <c r="W1796" i="1"/>
  <c r="X1796" i="1" s="1"/>
  <c r="W885" i="1"/>
  <c r="X885" i="1" s="1"/>
  <c r="W996" i="1"/>
  <c r="X996" i="1" s="1"/>
  <c r="W1915" i="1"/>
  <c r="X1915" i="1" s="1"/>
  <c r="W1630" i="1"/>
  <c r="X1630" i="1" s="1"/>
  <c r="W1675" i="1"/>
  <c r="X1675" i="1" s="1"/>
  <c r="W209" i="1"/>
  <c r="X209" i="1" s="1"/>
  <c r="W710" i="1"/>
  <c r="X710" i="1" s="1"/>
  <c r="W1677" i="1"/>
  <c r="X1677" i="1" s="1"/>
  <c r="W217" i="1"/>
  <c r="X217" i="1" s="1"/>
  <c r="W277" i="1"/>
  <c r="X277" i="1" s="1"/>
  <c r="W11" i="1"/>
  <c r="X11" i="1" s="1"/>
  <c r="W1261" i="1"/>
  <c r="X1261" i="1" s="1"/>
  <c r="W1778" i="1"/>
  <c r="X1778" i="1" s="1"/>
  <c r="W1970" i="1"/>
  <c r="X1970" i="1" s="1"/>
  <c r="W1771" i="1"/>
  <c r="X1771" i="1" s="1"/>
  <c r="W1536" i="1"/>
  <c r="X1536" i="1" s="1"/>
  <c r="W531" i="1"/>
  <c r="X531" i="1" s="1"/>
  <c r="W1323" i="1"/>
  <c r="X1323" i="1" s="1"/>
  <c r="W691" i="1"/>
  <c r="X691" i="1" s="1"/>
  <c r="W304" i="1"/>
  <c r="X304" i="1" s="1"/>
  <c r="W844" i="1"/>
  <c r="X844" i="1" s="1"/>
  <c r="W362" i="1"/>
  <c r="X362" i="1" s="1"/>
  <c r="W166" i="1"/>
  <c r="X166" i="1" s="1"/>
  <c r="W287" i="1"/>
  <c r="X287" i="1" s="1"/>
  <c r="W1848" i="1"/>
  <c r="X1848" i="1" s="1"/>
  <c r="W335" i="1"/>
  <c r="X335" i="1" s="1"/>
  <c r="W1401" i="1"/>
  <c r="X1401" i="1" s="1"/>
  <c r="W906" i="1"/>
  <c r="X906" i="1" s="1"/>
  <c r="W1331" i="1"/>
  <c r="X1331" i="1" s="1"/>
  <c r="W257" i="1"/>
  <c r="X257" i="1" s="1"/>
  <c r="W58" i="1"/>
  <c r="X58" i="1" s="1"/>
  <c r="W1881" i="1"/>
  <c r="X1881" i="1" s="1"/>
  <c r="W763" i="1"/>
  <c r="X763" i="1" s="1"/>
  <c r="W1353" i="1"/>
  <c r="X1353" i="1" s="1"/>
  <c r="W795" i="1"/>
  <c r="X795" i="1" s="1"/>
  <c r="W407" i="1"/>
  <c r="X407" i="1" s="1"/>
  <c r="W1566" i="1"/>
  <c r="X1566" i="1" s="1"/>
  <c r="W228" i="1"/>
  <c r="X228" i="1" s="1"/>
  <c r="W1853" i="1"/>
  <c r="X1853" i="1" s="1"/>
  <c r="W582" i="1"/>
  <c r="X582" i="1" s="1"/>
  <c r="W1985" i="1"/>
  <c r="X1985" i="1" s="1"/>
  <c r="W2046" i="1"/>
  <c r="X2046" i="1" s="1"/>
  <c r="W332" i="1"/>
  <c r="X332" i="1" s="1"/>
  <c r="W1131" i="1"/>
  <c r="X1131" i="1" s="1"/>
  <c r="W1507" i="1"/>
  <c r="X1507" i="1" s="1"/>
  <c r="W1385" i="1"/>
  <c r="X1385" i="1" s="1"/>
  <c r="W1194" i="1"/>
  <c r="X1194" i="1" s="1"/>
  <c r="W1620" i="1"/>
  <c r="X1620" i="1" s="1"/>
  <c r="W32" i="1"/>
  <c r="X32" i="1" s="1"/>
  <c r="W2113" i="1"/>
  <c r="X2113" i="1" s="1"/>
  <c r="W26" i="1"/>
  <c r="X26" i="1" s="1"/>
  <c r="W1375" i="1"/>
  <c r="X1375" i="1" s="1"/>
  <c r="W1435" i="1"/>
  <c r="X1435" i="1" s="1"/>
  <c r="W1987" i="1"/>
  <c r="X1987" i="1" s="1"/>
  <c r="W1750" i="1"/>
  <c r="X1750" i="1" s="1"/>
  <c r="W1941" i="1"/>
  <c r="X1941" i="1" s="1"/>
  <c r="W544" i="1"/>
  <c r="X544" i="1" s="1"/>
  <c r="W1882" i="1"/>
  <c r="X1882" i="1" s="1"/>
  <c r="W87" i="1"/>
  <c r="X87" i="1" s="1"/>
  <c r="W1322" i="1"/>
  <c r="X1322" i="1" s="1"/>
  <c r="W65" i="1"/>
  <c r="X65" i="1" s="1"/>
  <c r="W1891" i="1"/>
  <c r="X1891" i="1" s="1"/>
  <c r="W481" i="1"/>
  <c r="X481" i="1" s="1"/>
  <c r="W1564" i="1"/>
  <c r="X1564" i="1" s="1"/>
  <c r="W625" i="1"/>
  <c r="X625" i="1" s="1"/>
  <c r="W265" i="1"/>
  <c r="X265" i="1" s="1"/>
  <c r="W878" i="1"/>
  <c r="X878" i="1" s="1"/>
  <c r="W916" i="1"/>
  <c r="X916" i="1" s="1"/>
  <c r="W216" i="1"/>
  <c r="X216" i="1" s="1"/>
  <c r="W155" i="1"/>
  <c r="X155" i="1" s="1"/>
  <c r="W966" i="1"/>
  <c r="X966" i="1" s="1"/>
  <c r="W416" i="1"/>
  <c r="X416" i="1" s="1"/>
  <c r="W991" i="1"/>
  <c r="X991" i="1" s="1"/>
  <c r="W1074" i="1"/>
  <c r="X1074" i="1" s="1"/>
  <c r="W662" i="1"/>
  <c r="X662" i="1" s="1"/>
  <c r="W1946" i="1"/>
  <c r="X1946" i="1" s="1"/>
  <c r="W759" i="1"/>
  <c r="X759" i="1" s="1"/>
  <c r="W1897" i="1"/>
  <c r="X1897" i="1" s="1"/>
  <c r="W960" i="1"/>
  <c r="X960" i="1" s="1"/>
  <c r="W1997" i="1"/>
  <c r="X1997" i="1" s="1"/>
  <c r="W720" i="1"/>
  <c r="X720" i="1" s="1"/>
  <c r="W1497" i="1"/>
  <c r="X1497" i="1" s="1"/>
  <c r="W707" i="1"/>
  <c r="X707" i="1" s="1"/>
  <c r="W1360" i="1"/>
  <c r="X1360" i="1" s="1"/>
  <c r="W486" i="1"/>
  <c r="X486" i="1" s="1"/>
  <c r="W1738" i="1"/>
  <c r="X1738" i="1" s="1"/>
  <c r="W1757" i="1"/>
  <c r="X1757" i="1" s="1"/>
  <c r="W1092" i="1"/>
  <c r="X1092" i="1" s="1"/>
  <c r="W1563" i="1"/>
  <c r="X1563" i="1" s="1"/>
  <c r="W527" i="1"/>
  <c r="X527" i="1" s="1"/>
  <c r="W1831" i="1"/>
  <c r="X1831" i="1" s="1"/>
  <c r="W322" i="1"/>
  <c r="X322" i="1" s="1"/>
  <c r="W1192" i="1"/>
  <c r="X1192" i="1" s="1"/>
  <c r="W611" i="1"/>
  <c r="X611" i="1" s="1"/>
  <c r="W1456" i="1"/>
  <c r="X1456" i="1" s="1"/>
  <c r="W1772" i="1"/>
  <c r="X1772" i="1" s="1"/>
  <c r="W2005" i="1"/>
  <c r="X2005" i="1" s="1"/>
  <c r="W1291" i="1"/>
  <c r="X1291" i="1" s="1"/>
  <c r="W1436" i="1"/>
  <c r="X1436" i="1" s="1"/>
  <c r="W866" i="1"/>
  <c r="X866" i="1" s="1"/>
  <c r="W1742" i="1"/>
  <c r="X1742" i="1" s="1"/>
  <c r="W1306" i="1"/>
  <c r="X1306" i="1" s="1"/>
  <c r="W1330" i="1"/>
  <c r="X1330" i="1" s="1"/>
  <c r="W1472" i="1"/>
  <c r="X1472" i="1" s="1"/>
  <c r="W307" i="1"/>
  <c r="X307" i="1" s="1"/>
  <c r="W127" i="1"/>
  <c r="X127" i="1" s="1"/>
  <c r="W776" i="1"/>
  <c r="X776" i="1" s="1"/>
  <c r="W1047" i="1"/>
  <c r="X1047" i="1" s="1"/>
  <c r="W1942" i="1"/>
  <c r="X1942" i="1" s="1"/>
  <c r="W337" i="1"/>
  <c r="X337" i="1" s="1"/>
  <c r="W1221" i="1"/>
  <c r="X1221" i="1" s="1"/>
  <c r="W120" i="1"/>
  <c r="X120" i="1" s="1"/>
  <c r="W2080" i="1"/>
  <c r="X2080" i="1" s="1"/>
  <c r="W2092" i="1"/>
  <c r="X2092" i="1" s="1"/>
  <c r="W694" i="1"/>
  <c r="X694" i="1" s="1"/>
  <c r="W434" i="1"/>
  <c r="X434" i="1" s="1"/>
  <c r="W1141" i="1"/>
  <c r="X1141" i="1" s="1"/>
  <c r="W38" i="1"/>
  <c r="X38" i="1" s="1"/>
  <c r="W1181" i="1"/>
  <c r="X1181" i="1" s="1"/>
  <c r="W1284" i="1"/>
  <c r="X1284" i="1" s="1"/>
  <c r="W779" i="1"/>
  <c r="X779" i="1" s="1"/>
  <c r="W978" i="1"/>
  <c r="X978" i="1" s="1"/>
  <c r="W659" i="1"/>
  <c r="X659" i="1" s="1"/>
  <c r="W1806" i="1"/>
  <c r="X1806" i="1" s="1"/>
  <c r="W95" i="1"/>
  <c r="X95" i="1" s="1"/>
  <c r="W326" i="1"/>
  <c r="X326" i="1" s="1"/>
  <c r="W2019" i="1"/>
  <c r="X2019" i="1" s="1"/>
  <c r="W1144" i="1"/>
  <c r="X1144" i="1" s="1"/>
  <c r="W233" i="1"/>
  <c r="X233" i="1" s="1"/>
  <c r="W1696" i="1"/>
  <c r="X1696" i="1" s="1"/>
  <c r="W576" i="1"/>
  <c r="X576" i="1" s="1"/>
  <c r="W922" i="1"/>
  <c r="X922" i="1" s="1"/>
  <c r="W91" i="1"/>
  <c r="X91" i="1" s="1"/>
  <c r="W1042" i="1"/>
  <c r="X1042" i="1" s="1"/>
  <c r="W1980" i="1"/>
  <c r="X1980" i="1" s="1"/>
  <c r="W1122" i="1"/>
  <c r="X1122" i="1" s="1"/>
  <c r="W599" i="1"/>
  <c r="X599" i="1" s="1"/>
  <c r="W1100" i="1"/>
  <c r="X1100" i="1" s="1"/>
  <c r="W160" i="1"/>
  <c r="X160" i="1" s="1"/>
  <c r="W345" i="1"/>
  <c r="X345" i="1" s="1"/>
  <c r="W117" i="1"/>
  <c r="X117" i="1" s="1"/>
  <c r="W664" i="1"/>
  <c r="X664" i="1" s="1"/>
  <c r="W417" i="1"/>
  <c r="X417" i="1" s="1"/>
  <c r="W1654" i="1"/>
  <c r="X1654" i="1" s="1"/>
  <c r="W210" i="1"/>
  <c r="X210" i="1" s="1"/>
  <c r="W2067" i="1"/>
  <c r="X2067" i="1" s="1"/>
  <c r="W535" i="1"/>
  <c r="X535" i="1" s="1"/>
  <c r="W1184" i="1"/>
  <c r="X1184" i="1" s="1"/>
  <c r="W701" i="1"/>
  <c r="X701" i="1" s="1"/>
  <c r="W581" i="1"/>
  <c r="X581" i="1" s="1"/>
  <c r="W1151" i="1"/>
  <c r="X1151" i="1" s="1"/>
  <c r="W1609" i="1"/>
  <c r="X1609" i="1" s="1"/>
  <c r="W183" i="1"/>
  <c r="X183" i="1" s="1"/>
  <c r="W1850" i="1"/>
  <c r="X1850" i="1" s="1"/>
  <c r="W1264" i="1"/>
  <c r="X1264" i="1" s="1"/>
  <c r="W1903" i="1"/>
  <c r="X1903" i="1" s="1"/>
  <c r="W1625" i="1"/>
  <c r="X1625" i="1" s="1"/>
  <c r="W630" i="1"/>
  <c r="X630" i="1" s="1"/>
  <c r="W1761" i="1"/>
  <c r="X1761" i="1" s="1"/>
  <c r="W1186" i="1"/>
  <c r="X1186" i="1" s="1"/>
  <c r="W1459" i="1"/>
  <c r="X1459" i="1" s="1"/>
  <c r="W1246" i="1"/>
  <c r="X1246" i="1" s="1"/>
  <c r="W942" i="1"/>
  <c r="X942" i="1" s="1"/>
  <c r="W85" i="1"/>
  <c r="X85" i="1" s="1"/>
  <c r="W2054" i="1"/>
  <c r="X2054" i="1" s="1"/>
  <c r="W619" i="1"/>
  <c r="X619" i="1" s="1"/>
  <c r="W139" i="1"/>
  <c r="X139" i="1" s="1"/>
  <c r="W330" i="1"/>
  <c r="X330" i="1" s="1"/>
  <c r="W1838" i="1"/>
  <c r="X1838" i="1" s="1"/>
  <c r="W944" i="1"/>
  <c r="X944" i="1" s="1"/>
  <c r="W1540" i="1"/>
  <c r="X1540" i="1" s="1"/>
  <c r="W1228" i="1"/>
  <c r="X1228" i="1" s="1"/>
  <c r="W1786" i="1"/>
  <c r="X1786" i="1" s="1"/>
  <c r="W729" i="1"/>
  <c r="X729" i="1" s="1"/>
  <c r="W888" i="1"/>
  <c r="X888" i="1" s="1"/>
  <c r="W871" i="1"/>
  <c r="X871" i="1" s="1"/>
  <c r="W1841" i="1"/>
  <c r="X1841" i="1" s="1"/>
  <c r="W1024" i="1"/>
  <c r="X1024" i="1" s="1"/>
  <c r="W1318" i="1"/>
  <c r="X1318" i="1" s="1"/>
  <c r="W244" i="1"/>
  <c r="X244" i="1" s="1"/>
  <c r="W1714" i="1"/>
  <c r="X1714" i="1" s="1"/>
  <c r="W2068" i="1"/>
  <c r="X2068" i="1" s="1"/>
  <c r="W1153" i="1"/>
  <c r="X1153" i="1" s="1"/>
  <c r="W1314" i="1"/>
  <c r="X1314" i="1" s="1"/>
  <c r="W645" i="1"/>
  <c r="X645" i="1" s="1"/>
  <c r="W1969" i="1"/>
  <c r="X1969" i="1" s="1"/>
  <c r="W341" i="1"/>
  <c r="X341" i="1" s="1"/>
  <c r="W639" i="1"/>
  <c r="X639" i="1" s="1"/>
  <c r="W1629" i="1"/>
  <c r="X1629" i="1" s="1"/>
  <c r="W2047" i="1"/>
  <c r="X2047" i="1" s="1"/>
  <c r="W1856" i="1"/>
  <c r="X1856" i="1" s="1"/>
  <c r="W930" i="1"/>
  <c r="X930" i="1" s="1"/>
  <c r="W967" i="1"/>
  <c r="X967" i="1" s="1"/>
  <c r="W1407" i="1"/>
  <c r="X1407" i="1" s="1"/>
  <c r="W1293" i="1"/>
  <c r="X1293" i="1" s="1"/>
  <c r="W1440" i="1"/>
  <c r="X1440" i="1" s="1"/>
  <c r="W589" i="1"/>
  <c r="X589" i="1" s="1"/>
  <c r="W462" i="1"/>
  <c r="X462" i="1" s="1"/>
  <c r="W681" i="1"/>
  <c r="X681" i="1" s="1"/>
  <c r="W1212" i="1"/>
  <c r="X1212" i="1" s="1"/>
  <c r="W1504" i="1"/>
  <c r="X1504" i="1" s="1"/>
  <c r="W1167" i="1"/>
  <c r="X1167" i="1" s="1"/>
  <c r="W860" i="1"/>
  <c r="X860" i="1" s="1"/>
  <c r="W800" i="1"/>
  <c r="X800" i="1" s="1"/>
  <c r="W1176" i="1"/>
  <c r="X1176" i="1" s="1"/>
  <c r="W1324" i="1"/>
  <c r="X1324" i="1" s="1"/>
  <c r="W1678" i="1"/>
  <c r="X1678" i="1" s="1"/>
  <c r="W59" i="1"/>
  <c r="X59" i="1" s="1"/>
  <c r="W1879" i="1"/>
  <c r="X1879" i="1" s="1"/>
  <c r="W1400" i="1"/>
  <c r="X1400" i="1" s="1"/>
  <c r="W422" i="1"/>
  <c r="X422" i="1" s="1"/>
  <c r="W1476" i="1"/>
  <c r="X1476" i="1" s="1"/>
  <c r="W2009" i="1"/>
  <c r="X2009" i="1" s="1"/>
  <c r="W1627" i="1"/>
  <c r="X1627" i="1" s="1"/>
  <c r="W972" i="1"/>
  <c r="X972" i="1" s="1"/>
  <c r="W856" i="1"/>
  <c r="X856" i="1" s="1"/>
  <c r="W975" i="1"/>
  <c r="X975" i="1" s="1"/>
  <c r="W1511" i="1"/>
  <c r="X1511" i="1" s="1"/>
  <c r="W351" i="1"/>
  <c r="X351" i="1" s="1"/>
  <c r="W388" i="1"/>
  <c r="X388" i="1" s="1"/>
  <c r="W537" i="1"/>
  <c r="X537" i="1" s="1"/>
  <c r="W1549" i="1"/>
  <c r="X1549" i="1" s="1"/>
  <c r="W893" i="1"/>
  <c r="X893" i="1" s="1"/>
  <c r="W1639" i="1"/>
  <c r="X1639" i="1" s="1"/>
  <c r="W1875" i="1"/>
  <c r="X1875" i="1" s="1"/>
  <c r="W1255" i="1"/>
  <c r="X1255" i="1" s="1"/>
  <c r="W137" i="1"/>
  <c r="X137" i="1" s="1"/>
  <c r="W1257" i="1"/>
  <c r="X1257" i="1" s="1"/>
  <c r="W1691" i="1"/>
  <c r="X1691" i="1" s="1"/>
  <c r="W1183" i="1"/>
  <c r="X1183" i="1" s="1"/>
  <c r="W957" i="1"/>
  <c r="X957" i="1" s="1"/>
  <c r="W1610" i="1"/>
  <c r="X1610" i="1" s="1"/>
  <c r="W1471" i="1"/>
  <c r="X1471" i="1" s="1"/>
  <c r="W1937" i="1"/>
  <c r="X1937" i="1" s="1"/>
  <c r="W722" i="1"/>
  <c r="X722" i="1" s="1"/>
  <c r="W1928" i="1"/>
  <c r="X1928" i="1" s="1"/>
  <c r="W1029" i="1"/>
  <c r="X1029" i="1" s="1"/>
  <c r="W188" i="1"/>
  <c r="X188" i="1" s="1"/>
  <c r="W165" i="1"/>
  <c r="X165" i="1" s="1"/>
  <c r="W539" i="1"/>
  <c r="X539" i="1" s="1"/>
  <c r="W1378" i="1"/>
  <c r="X1378" i="1" s="1"/>
  <c r="W298" i="1"/>
  <c r="X298" i="1" s="1"/>
  <c r="W1893" i="1"/>
  <c r="X1893" i="1" s="1"/>
  <c r="W1604" i="1"/>
  <c r="X1604" i="1" s="1"/>
  <c r="W986" i="1"/>
  <c r="X986" i="1" s="1"/>
  <c r="W1590" i="1"/>
  <c r="X1590" i="1" s="1"/>
  <c r="W1267" i="1"/>
  <c r="X1267" i="1" s="1"/>
  <c r="W1717" i="1"/>
  <c r="X1717" i="1" s="1"/>
  <c r="W1165" i="1"/>
  <c r="X1165" i="1" s="1"/>
  <c r="W429" i="1"/>
  <c r="X429" i="1" s="1"/>
  <c r="W54" i="1"/>
  <c r="X54" i="1" s="1"/>
  <c r="W591" i="1"/>
  <c r="X591" i="1" s="1"/>
  <c r="W1989" i="1"/>
  <c r="X1989" i="1" s="1"/>
  <c r="W706" i="1"/>
  <c r="X706" i="1" s="1"/>
  <c r="W1094" i="1"/>
  <c r="X1094" i="1" s="1"/>
  <c r="W2" i="1"/>
  <c r="X2" i="1" s="1"/>
  <c r="W1063" i="1"/>
  <c r="X1063" i="1" s="1"/>
  <c r="W2093" i="1"/>
  <c r="X2093" i="1" s="1"/>
  <c r="W432" i="1"/>
  <c r="X432" i="1" s="1"/>
  <c r="W1920" i="1"/>
  <c r="X1920" i="1" s="1"/>
  <c r="W736" i="1"/>
  <c r="X736" i="1" s="1"/>
  <c r="W536" i="1"/>
  <c r="X536" i="1" s="1"/>
  <c r="W1309" i="1"/>
  <c r="X1309" i="1" s="1"/>
  <c r="W1671" i="1"/>
  <c r="X1671" i="1" s="1"/>
  <c r="W574" i="1"/>
  <c r="X574" i="1" s="1"/>
  <c r="W1302" i="1"/>
  <c r="X1302" i="1" s="1"/>
  <c r="W601" i="1"/>
  <c r="X601" i="1" s="1"/>
  <c r="W1491" i="1"/>
  <c r="X1491" i="1" s="1"/>
  <c r="W863" i="1"/>
  <c r="X863" i="1" s="1"/>
  <c r="W113" i="1"/>
  <c r="X113" i="1" s="1"/>
  <c r="W1093" i="1"/>
  <c r="X1093" i="1" s="1"/>
  <c r="W305" i="1"/>
  <c r="X305" i="1" s="1"/>
  <c r="W1011" i="1"/>
  <c r="X1011" i="1" s="1"/>
  <c r="W752" i="1"/>
  <c r="X752" i="1" s="1"/>
  <c r="W1983" i="1"/>
  <c r="X1983" i="1" s="1"/>
  <c r="W2035" i="1"/>
  <c r="X2035" i="1" s="1"/>
  <c r="W292" i="1"/>
  <c r="X292" i="1" s="1"/>
  <c r="W597" i="1"/>
  <c r="X597" i="1" s="1"/>
  <c r="W614" i="1"/>
  <c r="X614" i="1" s="1"/>
  <c r="W1614" i="1"/>
  <c r="X1614" i="1" s="1"/>
  <c r="W1196" i="1"/>
  <c r="X1196" i="1" s="1"/>
  <c r="W890" i="1"/>
  <c r="X890" i="1" s="1"/>
  <c r="W1601" i="1"/>
  <c r="X1601" i="1" s="1"/>
  <c r="W147" i="1"/>
  <c r="X147" i="1" s="1"/>
  <c r="W648" i="1"/>
  <c r="X648" i="1" s="1"/>
  <c r="W910" i="1"/>
  <c r="X910" i="1" s="1"/>
  <c r="W1263" i="1"/>
  <c r="X1263" i="1" s="1"/>
  <c r="W1539" i="1"/>
  <c r="X1539" i="1" s="1"/>
  <c r="W1542" i="1"/>
  <c r="X1542" i="1" s="1"/>
  <c r="W1912" i="1"/>
  <c r="X1912" i="1" s="1"/>
  <c r="W679" i="1"/>
  <c r="X679" i="1" s="1"/>
  <c r="W682" i="1"/>
  <c r="X682" i="1" s="1"/>
  <c r="W2010" i="1"/>
  <c r="X2010" i="1" s="1"/>
  <c r="W1470" i="1"/>
  <c r="X1470" i="1" s="1"/>
  <c r="W1313" i="1"/>
  <c r="X1313" i="1" s="1"/>
  <c r="W1605" i="1"/>
  <c r="X1605" i="1" s="1"/>
  <c r="W1851" i="1"/>
  <c r="X1851" i="1" s="1"/>
  <c r="W425" i="1"/>
  <c r="X425" i="1" s="1"/>
  <c r="W668" i="1"/>
  <c r="X668" i="1" s="1"/>
  <c r="W483" i="1"/>
  <c r="X483" i="1" s="1"/>
  <c r="W27" i="1"/>
  <c r="X27" i="1" s="1"/>
  <c r="W1480" i="1"/>
  <c r="X1480" i="1" s="1"/>
  <c r="W793" i="1"/>
  <c r="X793" i="1" s="1"/>
  <c r="W499" i="1"/>
  <c r="X499" i="1" s="1"/>
  <c r="W2052" i="1"/>
  <c r="X2052" i="1" s="1"/>
  <c r="W1384" i="1"/>
  <c r="X1384" i="1" s="1"/>
  <c r="W1139" i="1"/>
  <c r="X1139" i="1" s="1"/>
  <c r="W649" i="1"/>
  <c r="X649" i="1" s="1"/>
  <c r="W1038" i="1"/>
  <c r="X1038" i="1" s="1"/>
  <c r="W168" i="1"/>
  <c r="X168" i="1" s="1"/>
  <c r="W1340" i="1"/>
  <c r="X1340" i="1" s="1"/>
  <c r="W1064" i="1"/>
  <c r="X1064" i="1" s="1"/>
  <c r="W552" i="1"/>
  <c r="X552" i="1" s="1"/>
  <c r="W457" i="1"/>
  <c r="X457" i="1" s="1"/>
  <c r="W196" i="1"/>
  <c r="X196" i="1" s="1"/>
  <c r="W395" i="1"/>
  <c r="X395" i="1" s="1"/>
  <c r="W53" i="1"/>
  <c r="X53" i="1" s="1"/>
  <c r="W561" i="1"/>
  <c r="X561" i="1" s="1"/>
  <c r="W1993" i="1"/>
  <c r="X1993" i="1" s="1"/>
  <c r="W1498" i="1"/>
  <c r="X1498" i="1" s="1"/>
  <c r="W1164" i="1"/>
  <c r="X1164" i="1" s="1"/>
  <c r="W125" i="1"/>
  <c r="X125" i="1" s="1"/>
  <c r="W2103" i="1"/>
  <c r="X2103" i="1" s="1"/>
  <c r="W211" i="1"/>
  <c r="X211" i="1" s="1"/>
  <c r="W696" i="1"/>
  <c r="X696" i="1" s="1"/>
  <c r="W517" i="1"/>
  <c r="X517" i="1" s="1"/>
  <c r="W1285" i="1"/>
  <c r="X1285" i="1" s="1"/>
  <c r="W1251" i="1"/>
  <c r="X1251" i="1" s="1"/>
  <c r="W732" i="1"/>
  <c r="X732" i="1" s="1"/>
  <c r="W189" i="1"/>
  <c r="X189" i="1" s="1"/>
  <c r="W1096" i="1"/>
  <c r="X1096" i="1" s="1"/>
  <c r="W411" i="1"/>
  <c r="X411" i="1" s="1"/>
  <c r="W426" i="1"/>
  <c r="X426" i="1" s="1"/>
  <c r="W1643" i="1"/>
  <c r="X1643" i="1" s="1"/>
  <c r="W1623" i="1"/>
  <c r="X1623" i="1" s="1"/>
  <c r="W1205" i="1"/>
  <c r="X1205" i="1" s="1"/>
  <c r="W299" i="1"/>
  <c r="X299" i="1" s="1"/>
  <c r="W2043" i="1"/>
  <c r="X2043" i="1" s="1"/>
  <c r="W1740" i="1"/>
  <c r="X1740" i="1" s="1"/>
  <c r="W785" i="1"/>
  <c r="X785" i="1" s="1"/>
  <c r="W858" i="1"/>
  <c r="X858" i="1" s="1"/>
  <c r="W1333" i="1"/>
  <c r="X1333" i="1" s="1"/>
  <c r="W1077" i="1"/>
  <c r="X1077" i="1" s="1"/>
  <c r="W114" i="1"/>
  <c r="X114" i="1" s="1"/>
  <c r="W1950" i="1"/>
  <c r="X1950" i="1" s="1"/>
  <c r="W841" i="1"/>
  <c r="X841" i="1" s="1"/>
  <c r="W108" i="1"/>
  <c r="X108" i="1" s="1"/>
  <c r="W577" i="1"/>
  <c r="X577" i="1" s="1"/>
  <c r="W158" i="1"/>
  <c r="X158" i="1" s="1"/>
  <c r="W578" i="1"/>
  <c r="X578" i="1" s="1"/>
  <c r="W359" i="1"/>
  <c r="X359" i="1" s="1"/>
  <c r="W1147" i="1"/>
  <c r="X1147" i="1" s="1"/>
  <c r="W658" i="1"/>
  <c r="X658" i="1" s="1"/>
  <c r="W2078" i="1"/>
  <c r="X2078" i="1" s="1"/>
  <c r="W1593" i="1"/>
  <c r="X1593" i="1" s="1"/>
  <c r="W934" i="1"/>
  <c r="X934" i="1" s="1"/>
  <c r="W1166" i="1"/>
  <c r="X1166" i="1" s="1"/>
  <c r="W1019" i="1"/>
  <c r="X1019" i="1" s="1"/>
  <c r="W1118" i="1"/>
  <c r="X1118" i="1" s="1"/>
  <c r="W387" i="1"/>
  <c r="X387" i="1" s="1"/>
  <c r="W608" i="1"/>
  <c r="X608" i="1" s="1"/>
  <c r="W1447" i="1"/>
  <c r="X1447" i="1" s="1"/>
  <c r="W1992" i="1"/>
  <c r="X1992" i="1" s="1"/>
  <c r="W435" i="1"/>
  <c r="X435" i="1" s="1"/>
  <c r="W560" i="1"/>
  <c r="X560" i="1" s="1"/>
  <c r="W1904" i="1"/>
  <c r="X1904" i="1" s="1"/>
  <c r="W1560" i="1"/>
  <c r="X1560" i="1" s="1"/>
  <c r="W1531" i="1"/>
  <c r="X1531" i="1" s="1"/>
  <c r="W1493" i="1"/>
  <c r="X1493" i="1" s="1"/>
  <c r="W805" i="1"/>
  <c r="X805" i="1" s="1"/>
  <c r="W96" i="1"/>
  <c r="X96" i="1" s="1"/>
  <c r="W794" i="1"/>
  <c r="X794" i="1" s="1"/>
  <c r="W1116" i="1"/>
  <c r="X1116" i="1" s="1"/>
  <c r="W171" i="1"/>
  <c r="X171" i="1" s="1"/>
  <c r="W2102" i="1"/>
  <c r="X2102" i="1" s="1"/>
  <c r="W1690" i="1"/>
  <c r="X1690" i="1" s="1"/>
  <c r="W270" i="1"/>
  <c r="X270" i="1" s="1"/>
  <c r="W371" i="1"/>
  <c r="X371" i="1" s="1"/>
  <c r="W1458" i="1"/>
  <c r="X1458" i="1" s="1"/>
  <c r="W723" i="1"/>
  <c r="X723" i="1" s="1"/>
  <c r="W931" i="1"/>
  <c r="X931" i="1" s="1"/>
  <c r="W1582" i="1"/>
  <c r="X1582" i="1" s="1"/>
  <c r="W374" i="1"/>
  <c r="X374" i="1" s="1"/>
  <c r="W138" i="1"/>
  <c r="X138" i="1" s="1"/>
  <c r="W1432" i="1"/>
  <c r="X1432" i="1" s="1"/>
  <c r="W185" i="1"/>
  <c r="X185" i="1" s="1"/>
  <c r="W1710" i="1"/>
  <c r="X1710" i="1" s="1"/>
  <c r="W901" i="1"/>
  <c r="X901" i="1" s="1"/>
  <c r="W1135" i="1"/>
  <c r="X1135" i="1" s="1"/>
  <c r="W1525" i="1"/>
  <c r="X1525" i="1" s="1"/>
  <c r="W1269" i="1"/>
  <c r="X1269" i="1" s="1"/>
  <c r="W122" i="1"/>
  <c r="X122" i="1" s="1"/>
  <c r="W657" i="1"/>
  <c r="X657" i="1" s="1"/>
  <c r="W702" i="1"/>
  <c r="X702" i="1" s="1"/>
  <c r="W961" i="1"/>
  <c r="X961" i="1" s="1"/>
  <c r="W141" i="1"/>
  <c r="X141" i="1" s="1"/>
  <c r="W310" i="1"/>
  <c r="X310" i="1" s="1"/>
  <c r="W842" i="1"/>
  <c r="X842" i="1" s="1"/>
  <c r="W1955" i="1"/>
  <c r="X1955" i="1" s="1"/>
  <c r="W340" i="1"/>
  <c r="X340" i="1" s="1"/>
  <c r="W89" i="1"/>
  <c r="X89" i="1" s="1"/>
  <c r="W349" i="1"/>
  <c r="X349" i="1" s="1"/>
  <c r="W1798" i="1"/>
  <c r="X1798" i="1" s="1"/>
  <c r="W480" i="1"/>
  <c r="X480" i="1" s="1"/>
  <c r="W2017" i="1"/>
  <c r="X2017" i="1" s="1"/>
  <c r="W1972" i="1"/>
  <c r="X1972" i="1" s="1"/>
  <c r="W167" i="1"/>
  <c r="X167" i="1" s="1"/>
  <c r="W1855" i="1"/>
  <c r="X1855" i="1" s="1"/>
  <c r="W773" i="1"/>
  <c r="X773" i="1" s="1"/>
  <c r="W1698" i="1"/>
  <c r="X1698" i="1" s="1"/>
  <c r="W2070" i="1"/>
  <c r="X2070" i="1" s="1"/>
  <c r="W1575" i="1"/>
  <c r="X1575" i="1" s="1"/>
  <c r="W596" i="1"/>
  <c r="X596" i="1" s="1"/>
  <c r="W677" i="1"/>
  <c r="X677" i="1" s="1"/>
  <c r="W410" i="1"/>
  <c r="X410" i="1" s="1"/>
  <c r="W1232" i="1"/>
  <c r="X1232" i="1" s="1"/>
  <c r="W328" i="1"/>
  <c r="X328" i="1" s="1"/>
  <c r="W1580" i="1"/>
  <c r="X1580" i="1" s="1"/>
  <c r="W541" i="1"/>
  <c r="X541" i="1" s="1"/>
  <c r="W1631" i="1"/>
  <c r="X1631" i="1" s="1"/>
  <c r="W573" i="1"/>
  <c r="X573" i="1" s="1"/>
  <c r="W1637" i="1"/>
  <c r="X1637" i="1" s="1"/>
  <c r="W1109" i="1"/>
  <c r="X1109" i="1" s="1"/>
  <c r="W1155" i="1"/>
  <c r="X1155" i="1" s="1"/>
  <c r="W1550" i="1"/>
  <c r="X1550" i="1" s="1"/>
  <c r="W2065" i="1"/>
  <c r="X2065" i="1" s="1"/>
  <c r="W550" i="1"/>
  <c r="X550" i="1" s="1"/>
  <c r="W184" i="1"/>
  <c r="X184" i="1" s="1"/>
  <c r="W1500" i="1"/>
  <c r="X1500" i="1" s="1"/>
  <c r="W8" i="1"/>
  <c r="X8" i="1" s="1"/>
  <c r="W554" i="1"/>
  <c r="X554" i="1" s="1"/>
  <c r="W273" i="1"/>
  <c r="X273" i="1" s="1"/>
  <c r="W274" i="1"/>
  <c r="X274" i="1" s="1"/>
  <c r="W151" i="1"/>
  <c r="X151" i="1" s="1"/>
  <c r="W381" i="1"/>
  <c r="X381" i="1" s="1"/>
  <c r="W1562" i="1"/>
  <c r="X1562" i="1" s="1"/>
  <c r="W948" i="1"/>
  <c r="X948" i="1" s="1"/>
  <c r="W1762" i="1"/>
  <c r="X1762" i="1" s="1"/>
  <c r="W1354" i="1"/>
  <c r="X1354" i="1" s="1"/>
  <c r="W652" i="1"/>
  <c r="X652" i="1" s="1"/>
  <c r="W1214" i="1"/>
  <c r="X1214" i="1" s="1"/>
  <c r="W243" i="1"/>
  <c r="X243" i="1" s="1"/>
  <c r="W1537" i="1"/>
  <c r="X1537" i="1" s="1"/>
  <c r="W643" i="1"/>
  <c r="X643" i="1" s="1"/>
  <c r="W130" i="1"/>
  <c r="X130" i="1" s="1"/>
  <c r="W508" i="1"/>
  <c r="X508" i="1" s="1"/>
  <c r="W1368" i="1"/>
  <c r="X1368" i="1" s="1"/>
  <c r="W1020" i="1"/>
  <c r="X1020" i="1" s="1"/>
  <c r="W1464" i="1"/>
  <c r="X1464" i="1" s="1"/>
  <c r="W1667" i="1"/>
  <c r="X1667" i="1" s="1"/>
  <c r="W418" i="1"/>
  <c r="X418" i="1" s="1"/>
  <c r="W2126" i="1"/>
  <c r="X2126" i="1" s="1"/>
  <c r="W1149" i="1"/>
  <c r="X1149" i="1" s="1"/>
  <c r="W1622" i="1"/>
  <c r="X1622" i="1" s="1"/>
  <c r="W1670" i="1"/>
  <c r="X1670" i="1" s="1"/>
  <c r="W1303" i="1"/>
  <c r="X1303" i="1" s="1"/>
  <c r="W1565" i="1"/>
  <c r="X1565" i="1" s="1"/>
  <c r="W197" i="1"/>
  <c r="X197" i="1" s="1"/>
  <c r="W874" i="1"/>
  <c r="X874" i="1" s="1"/>
  <c r="W1933" i="1"/>
  <c r="X1933" i="1" s="1"/>
  <c r="W352" i="1"/>
  <c r="X352" i="1" s="1"/>
  <c r="W832" i="1"/>
  <c r="X832" i="1" s="1"/>
  <c r="W276" i="1"/>
  <c r="X276" i="1" s="1"/>
  <c r="W946" i="1"/>
  <c r="X946" i="1" s="1"/>
  <c r="W598" i="1"/>
  <c r="X598" i="1" s="1"/>
  <c r="W1578" i="1"/>
  <c r="X1578" i="1" s="1"/>
  <c r="W774" i="1"/>
  <c r="X774" i="1" s="1"/>
  <c r="W121" i="1"/>
  <c r="X121" i="1" s="1"/>
  <c r="W1603" i="1"/>
  <c r="X1603" i="1" s="1"/>
  <c r="W218" i="1"/>
  <c r="X218" i="1" s="1"/>
  <c r="W506" i="1"/>
  <c r="X506" i="1" s="1"/>
  <c r="W1286" i="1"/>
  <c r="X1286" i="1" s="1"/>
  <c r="W74" i="1"/>
  <c r="X74" i="1" s="1"/>
  <c r="W1078" i="1"/>
  <c r="X1078" i="1" s="1"/>
  <c r="W1745" i="1"/>
  <c r="X1745" i="1" s="1"/>
  <c r="W1495" i="1"/>
  <c r="X1495" i="1" s="1"/>
  <c r="W992" i="1"/>
  <c r="X992" i="1" s="1"/>
  <c r="W868" i="1"/>
  <c r="X868" i="1" s="1"/>
  <c r="W1782" i="1"/>
  <c r="X1782" i="1" s="1"/>
  <c r="W1352" i="1"/>
  <c r="X1352" i="1" s="1"/>
  <c r="W767" i="1"/>
  <c r="X767" i="1" s="1"/>
  <c r="W1763" i="1"/>
  <c r="X1763" i="1" s="1"/>
  <c r="W1371" i="1"/>
  <c r="X1371" i="1" s="1"/>
  <c r="W545" i="1"/>
  <c r="X545" i="1" s="1"/>
  <c r="W1680" i="1"/>
  <c r="X1680" i="1" s="1"/>
  <c r="W1944" i="1"/>
  <c r="X1944" i="1" s="1"/>
  <c r="W857" i="1"/>
  <c r="X857" i="1" s="1"/>
  <c r="W1859" i="1"/>
  <c r="X1859" i="1" s="1"/>
  <c r="W1725" i="1"/>
  <c r="X1725" i="1" s="1"/>
  <c r="W272" i="1"/>
  <c r="X272" i="1" s="1"/>
  <c r="W350" i="1"/>
  <c r="X350" i="1" s="1"/>
  <c r="W1499" i="1"/>
  <c r="X1499" i="1" s="1"/>
  <c r="W1307" i="1"/>
  <c r="X1307" i="1" s="1"/>
  <c r="W361" i="1"/>
  <c r="X361" i="1" s="1"/>
  <c r="W55" i="1"/>
  <c r="X55" i="1" s="1"/>
  <c r="W1201" i="1"/>
  <c r="X1201" i="1" s="1"/>
  <c r="W94" i="1"/>
  <c r="X94" i="1" s="1"/>
  <c r="W764" i="1"/>
  <c r="X764" i="1" s="1"/>
  <c r="W551" i="1"/>
  <c r="X551" i="1" s="1"/>
  <c r="W704" i="1"/>
  <c r="X704" i="1" s="1"/>
  <c r="W1080" i="1"/>
  <c r="X1080" i="1" s="1"/>
  <c r="W484" i="1"/>
  <c r="X484" i="1" s="1"/>
  <c r="W1396" i="1"/>
  <c r="X1396" i="1" s="1"/>
  <c r="W112" i="1"/>
  <c r="X112" i="1" s="1"/>
  <c r="W116" i="1"/>
  <c r="X116" i="1" s="1"/>
  <c r="W1203" i="1"/>
  <c r="X1203" i="1" s="1"/>
  <c r="W1180" i="1"/>
  <c r="X1180" i="1" s="1"/>
  <c r="W1871" i="1"/>
  <c r="X1871" i="1" s="1"/>
  <c r="W522" i="1"/>
  <c r="X522" i="1" s="1"/>
  <c r="W525" i="1"/>
  <c r="X525" i="1" s="1"/>
  <c r="W1350" i="1"/>
  <c r="X1350" i="1" s="1"/>
  <c r="W1433" i="1"/>
  <c r="X1433" i="1" s="1"/>
  <c r="W261" i="1"/>
  <c r="X261" i="1" s="1"/>
  <c r="W1814" i="1"/>
  <c r="X1814" i="1" s="1"/>
  <c r="W1594" i="1"/>
  <c r="X1594" i="1" s="1"/>
  <c r="W572" i="1"/>
  <c r="X572" i="1" s="1"/>
  <c r="W1111" i="1"/>
  <c r="X1111" i="1" s="1"/>
  <c r="W319" i="1"/>
  <c r="X319" i="1" s="1"/>
  <c r="W911" i="1"/>
  <c r="X911" i="1" s="1"/>
  <c r="W224" i="1"/>
  <c r="X224" i="1" s="1"/>
  <c r="W2003" i="1"/>
  <c r="X2003" i="1" s="1"/>
  <c r="W1450" i="1"/>
  <c r="X1450" i="1" s="1"/>
  <c r="W1555" i="1"/>
  <c r="X1555" i="1" s="1"/>
  <c r="W128" i="1"/>
  <c r="X128" i="1" s="1"/>
  <c r="W976" i="1"/>
  <c r="X976" i="1" s="1"/>
  <c r="W870" i="1"/>
  <c r="X870" i="1" s="1"/>
  <c r="W1175" i="1"/>
  <c r="X1175" i="1" s="1"/>
  <c r="W1422" i="1"/>
  <c r="X1422" i="1" s="1"/>
  <c r="W997" i="1"/>
  <c r="X997" i="1" s="1"/>
  <c r="W2071" i="1"/>
  <c r="X2071" i="1" s="1"/>
  <c r="W84" i="1"/>
  <c r="X84" i="1" s="1"/>
  <c r="W1748" i="1"/>
  <c r="X1748" i="1" s="1"/>
  <c r="W1523" i="1"/>
  <c r="X1523" i="1" s="1"/>
  <c r="W1393" i="1"/>
  <c r="X1393" i="1" s="1"/>
  <c r="W10" i="1"/>
  <c r="X10" i="1" s="1"/>
  <c r="W438" i="1"/>
  <c r="X438" i="1" s="1"/>
  <c r="W602" i="1"/>
  <c r="X602" i="1" s="1"/>
  <c r="W443" i="1"/>
  <c r="X443" i="1" s="1"/>
  <c r="W803" i="1"/>
  <c r="X803" i="1" s="1"/>
  <c r="W339" i="1"/>
  <c r="X339" i="1" s="1"/>
  <c r="W881" i="1"/>
  <c r="X881" i="1" s="1"/>
  <c r="W62" i="1"/>
  <c r="X62" i="1" s="1"/>
  <c r="W703" i="1"/>
  <c r="X703" i="1" s="1"/>
  <c r="W567" i="1"/>
  <c r="X567" i="1" s="1"/>
  <c r="W393" i="1"/>
  <c r="X393" i="1" s="1"/>
  <c r="W604" i="1"/>
  <c r="X604" i="1" s="1"/>
  <c r="W357" i="1"/>
  <c r="X357" i="1" s="1"/>
  <c r="W1721" i="1"/>
  <c r="X1721" i="1" s="1"/>
  <c r="W1311" i="1"/>
  <c r="X1311" i="1" s="1"/>
  <c r="W30" i="1"/>
  <c r="X30" i="1" s="1"/>
  <c r="W563" i="1"/>
  <c r="X563" i="1" s="1"/>
  <c r="W898" i="1"/>
  <c r="X898" i="1" s="1"/>
  <c r="W1485" i="1"/>
  <c r="X1485" i="1" s="1"/>
  <c r="W502" i="1"/>
  <c r="X502" i="1" s="1"/>
  <c r="W1055" i="1"/>
  <c r="X1055" i="1" s="1"/>
  <c r="W886" i="1"/>
  <c r="X886" i="1" s="1"/>
  <c r="W1288" i="1"/>
  <c r="X1288" i="1" s="1"/>
  <c r="W783" i="1"/>
  <c r="X783" i="1" s="1"/>
  <c r="W402" i="1"/>
  <c r="X402" i="1" s="1"/>
  <c r="W2079" i="1"/>
  <c r="X2079" i="1" s="1"/>
  <c r="W406" i="1"/>
  <c r="X406" i="1" s="1"/>
  <c r="W1084" i="1"/>
  <c r="X1084" i="1" s="1"/>
  <c r="W834" i="1"/>
  <c r="X834" i="1" s="1"/>
  <c r="W1377" i="1"/>
  <c r="X1377" i="1" s="1"/>
  <c r="W1050" i="1"/>
  <c r="X1050" i="1" s="1"/>
  <c r="W815" i="1"/>
  <c r="X815" i="1" s="1"/>
  <c r="W1886" i="1"/>
  <c r="X1886" i="1" s="1"/>
  <c r="W698" i="1"/>
  <c r="X698" i="1" s="1"/>
  <c r="W982" i="1"/>
  <c r="X982" i="1" s="1"/>
  <c r="W1454" i="1"/>
  <c r="X1454" i="1" s="1"/>
  <c r="W370" i="1"/>
  <c r="X370" i="1" s="1"/>
  <c r="W1419" i="1"/>
  <c r="X1419" i="1" s="1"/>
  <c r="W861" i="1"/>
  <c r="X861" i="1" s="1"/>
  <c r="W699" i="1"/>
  <c r="X699" i="1" s="1"/>
  <c r="W1223" i="1"/>
  <c r="X1223" i="1" s="1"/>
  <c r="W1366" i="1"/>
  <c r="X1366" i="1" s="1"/>
  <c r="W617" i="1"/>
  <c r="X617" i="1" s="1"/>
  <c r="W1935" i="1"/>
  <c r="X1935" i="1" s="1"/>
  <c r="W744" i="1"/>
  <c r="X744" i="1" s="1"/>
  <c r="W1045" i="1"/>
  <c r="X1045" i="1" s="1"/>
  <c r="W369" i="1"/>
  <c r="X369" i="1" s="1"/>
  <c r="W1837" i="1"/>
  <c r="X1837" i="1" s="1"/>
  <c r="W1514" i="1"/>
  <c r="X1514" i="1" s="1"/>
  <c r="W308" i="1"/>
  <c r="X308" i="1" s="1"/>
  <c r="W656" i="1"/>
  <c r="X656" i="1" s="1"/>
  <c r="W994" i="1"/>
  <c r="X994" i="1" s="1"/>
  <c r="W365" i="1"/>
  <c r="X365" i="1" s="1"/>
  <c r="W1462" i="1"/>
  <c r="X1462" i="1" s="1"/>
  <c r="W945" i="1"/>
  <c r="X945" i="1" s="1"/>
  <c r="W1907" i="1"/>
  <c r="X1907" i="1" s="1"/>
  <c r="W5" i="1"/>
  <c r="X5" i="1" s="1"/>
  <c r="W461" i="1"/>
  <c r="X461" i="1" s="1"/>
  <c r="W1640" i="1"/>
  <c r="X1640" i="1" s="1"/>
  <c r="W937" i="1"/>
  <c r="X937" i="1" s="1"/>
  <c r="W195" i="1"/>
  <c r="X195" i="1" s="1"/>
  <c r="W401" i="1"/>
  <c r="X401" i="1" s="1"/>
  <c r="W733" i="1"/>
  <c r="X733" i="1" s="1"/>
  <c r="W771" i="1"/>
  <c r="X771" i="1" s="1"/>
  <c r="W1226" i="1"/>
  <c r="X1226" i="1" s="1"/>
  <c r="W669" i="1"/>
  <c r="X669" i="1" s="1"/>
  <c r="W542" i="1"/>
  <c r="X542" i="1" s="1"/>
  <c r="W1676" i="1"/>
  <c r="X1676" i="1" s="1"/>
  <c r="W1833" i="1"/>
  <c r="X1833" i="1" s="1"/>
  <c r="W1586" i="1"/>
  <c r="X1586" i="1" s="1"/>
  <c r="W1086" i="1"/>
  <c r="X1086" i="1" s="1"/>
  <c r="W221" i="1"/>
  <c r="X221" i="1" s="1"/>
  <c r="W1818" i="1"/>
  <c r="X1818" i="1" s="1"/>
  <c r="W855" i="1"/>
  <c r="X855" i="1" s="1"/>
  <c r="W939" i="1"/>
  <c r="X939" i="1" s="1"/>
  <c r="W1819" i="1"/>
  <c r="X1819" i="1" s="1"/>
  <c r="W1260" i="1"/>
  <c r="X1260" i="1" s="1"/>
  <c r="W372" i="1"/>
  <c r="X372" i="1" s="1"/>
  <c r="W1233" i="1"/>
  <c r="X1233" i="1" s="1"/>
  <c r="W690" i="1"/>
  <c r="X690" i="1" s="1"/>
  <c r="W1746" i="1"/>
  <c r="X1746" i="1" s="1"/>
  <c r="W1834" i="1"/>
  <c r="X1834" i="1" s="1"/>
  <c r="W515" i="1"/>
  <c r="X515" i="1" s="1"/>
  <c r="W538" i="1"/>
  <c r="X538" i="1" s="1"/>
  <c r="W1877" i="1"/>
  <c r="X1877" i="1" s="1"/>
  <c r="W613" i="1"/>
  <c r="X613" i="1" s="1"/>
  <c r="W1289" i="1"/>
  <c r="X1289" i="1" s="1"/>
  <c r="W1051" i="1"/>
  <c r="X1051" i="1" s="1"/>
  <c r="W1602" i="1"/>
  <c r="X1602" i="1" s="1"/>
  <c r="W1008" i="1"/>
  <c r="X1008" i="1" s="1"/>
  <c r="W1048" i="1"/>
  <c r="X1048" i="1" s="1"/>
  <c r="W1779" i="1"/>
  <c r="X1779" i="1" s="1"/>
  <c r="W758" i="1"/>
  <c r="X758" i="1" s="1"/>
  <c r="W1532" i="1"/>
  <c r="X1532" i="1" s="1"/>
  <c r="W2031" i="1"/>
  <c r="X2031" i="1" s="1"/>
  <c r="W956" i="1"/>
  <c r="X956" i="1" s="1"/>
  <c r="W900" i="1"/>
  <c r="X900" i="1" s="1"/>
  <c r="W358" i="1"/>
  <c r="X358" i="1" s="1"/>
  <c r="W404" i="1"/>
  <c r="X404" i="1" s="1"/>
  <c r="W1372" i="1"/>
  <c r="X1372" i="1" s="1"/>
  <c r="W1138" i="1"/>
  <c r="X1138" i="1" s="1"/>
  <c r="W1547" i="1"/>
  <c r="X1547" i="1" s="1"/>
  <c r="W671" i="1"/>
  <c r="X671" i="1" s="1"/>
  <c r="W684" i="1"/>
  <c r="X684" i="1" s="1"/>
  <c r="W1888" i="1"/>
  <c r="X1888" i="1" s="1"/>
  <c r="W721" i="1"/>
  <c r="X721" i="1" s="1"/>
  <c r="W686" i="1"/>
  <c r="X686" i="1" s="1"/>
  <c r="W1783" i="1"/>
  <c r="X1783" i="1" s="1"/>
  <c r="W1661" i="1"/>
  <c r="X1661" i="1" s="1"/>
  <c r="W1727" i="1"/>
  <c r="X1727" i="1" s="1"/>
  <c r="W1319" i="1"/>
  <c r="X1319" i="1" s="1"/>
  <c r="W81" i="1"/>
  <c r="X81" i="1" s="1"/>
  <c r="W283" i="1"/>
  <c r="X283" i="1" s="1"/>
  <c r="W471" i="1"/>
  <c r="X471" i="1" s="1"/>
  <c r="W1984" i="1"/>
  <c r="X1984" i="1" s="1"/>
  <c r="W1817" i="1"/>
  <c r="X1817" i="1" s="1"/>
  <c r="W1062" i="1"/>
  <c r="X1062" i="1" s="1"/>
  <c r="W126" i="1"/>
  <c r="X126" i="1" s="1"/>
  <c r="W1429" i="1"/>
  <c r="X1429" i="1" s="1"/>
  <c r="W808" i="1"/>
  <c r="X808" i="1" s="1"/>
  <c r="W2061" i="1"/>
  <c r="X2061" i="1" s="1"/>
  <c r="W2072" i="1"/>
  <c r="X2072" i="1" s="1"/>
  <c r="W2049" i="1"/>
  <c r="X2049" i="1" s="1"/>
  <c r="W2060" i="1"/>
  <c r="X2060" i="1" s="1"/>
  <c r="W2038" i="1"/>
  <c r="X2038" i="1" s="1"/>
  <c r="W1954" i="1"/>
  <c r="X1954" i="1" s="1"/>
  <c r="W2075" i="1"/>
  <c r="X2075" i="1" s="1"/>
  <c r="W2129" i="1"/>
  <c r="X2129" i="1" s="1"/>
  <c r="W2037" i="1"/>
  <c r="X2037" i="1" s="1"/>
  <c r="W2110" i="1"/>
  <c r="X2110" i="1" s="1"/>
  <c r="W2044" i="1"/>
  <c r="X2044" i="1" s="1"/>
  <c r="W1964" i="1"/>
  <c r="X1964" i="1" s="1"/>
  <c r="W2099" i="1"/>
  <c r="X2099" i="1" s="1"/>
  <c r="W2109" i="1"/>
  <c r="X2109" i="1" s="1"/>
  <c r="W2048" i="1"/>
  <c r="X2048" i="1" s="1"/>
  <c r="W2036" i="1"/>
  <c r="X2036" i="1" s="1"/>
  <c r="W2063" i="1"/>
  <c r="X2063" i="1" s="1"/>
  <c r="W2111" i="1"/>
  <c r="X2111" i="1" s="1"/>
  <c r="W2062" i="1"/>
  <c r="X2062" i="1" s="1"/>
  <c r="W2073" i="1"/>
  <c r="X2073" i="1" s="1"/>
  <c r="W2013" i="1"/>
  <c r="X2013" i="1" s="1"/>
  <c r="W2104" i="1"/>
  <c r="X2104" i="1" s="1"/>
  <c r="W2120" i="1"/>
  <c r="X2120" i="1" s="1"/>
  <c r="W2051" i="1"/>
  <c r="X2051" i="1" s="1"/>
  <c r="W2122" i="1"/>
  <c r="X2122" i="1" s="1"/>
  <c r="W2094" i="1"/>
  <c r="X2094" i="1" s="1"/>
  <c r="W2027" i="1"/>
  <c r="X2027" i="1" s="1"/>
  <c r="W2098" i="1"/>
  <c r="X2098" i="1" s="1"/>
  <c r="W2133" i="1"/>
  <c r="X2133" i="1" s="1"/>
  <c r="W2134" i="1"/>
  <c r="X2134" i="1" s="1"/>
  <c r="W2014" i="1"/>
  <c r="X2014" i="1" s="1"/>
  <c r="W2121" i="1"/>
  <c r="X2121" i="1" s="1"/>
  <c r="W2123" i="1"/>
  <c r="X2123" i="1" s="1"/>
  <c r="W2050" i="1"/>
  <c r="X2050" i="1" s="1"/>
  <c r="W2074" i="1"/>
  <c r="X2074" i="1" s="1"/>
  <c r="W2085" i="1"/>
  <c r="X2085" i="1" s="1"/>
  <c r="W2132" i="1"/>
  <c r="X2132" i="1" s="1"/>
  <c r="W2106" i="1"/>
  <c r="X2106" i="1" s="1"/>
  <c r="W2026" i="1"/>
  <c r="X2026" i="1" s="1"/>
  <c r="W2087" i="1"/>
  <c r="X2087" i="1" s="1"/>
  <c r="W2025" i="1"/>
  <c r="X2025" i="1" s="1"/>
  <c r="W2086" i="1"/>
  <c r="X2086" i="1" s="1"/>
  <c r="W2002" i="1"/>
  <c r="X2002" i="1" s="1"/>
  <c r="W2076" i="1"/>
  <c r="X2076" i="1" s="1"/>
  <c r="W2128" i="1"/>
  <c r="X2128" i="1" s="1"/>
  <c r="S1517" i="1"/>
  <c r="S428" i="1"/>
  <c r="S175" i="1"/>
  <c r="S1473" i="1"/>
  <c r="S926" i="1"/>
  <c r="S297" i="1"/>
  <c r="S1728" i="1"/>
  <c r="S532" i="1"/>
  <c r="S1091" i="1"/>
  <c r="S1930" i="1"/>
  <c r="S756" i="1"/>
  <c r="S1829" i="1"/>
  <c r="S215" i="1"/>
  <c r="S421" i="1"/>
  <c r="S1390" i="1"/>
  <c r="S938" i="1"/>
  <c r="S1426" i="1"/>
  <c r="S267" i="1"/>
  <c r="S1905" i="1"/>
  <c r="S1796" i="1"/>
  <c r="S1630" i="1"/>
  <c r="S1719" i="1"/>
  <c r="S505" i="1"/>
  <c r="S104" i="1"/>
  <c r="S1356" i="1"/>
  <c r="S1411" i="1"/>
  <c r="S1889" i="1"/>
  <c r="S953" i="1"/>
  <c r="S1816" i="1"/>
  <c r="S1204" i="1"/>
  <c r="S2134" i="1"/>
  <c r="S2082" i="1"/>
  <c r="S1699" i="1"/>
  <c r="S1901" i="1"/>
  <c r="S1133" i="1"/>
  <c r="S1607" i="1"/>
  <c r="S16" i="1"/>
  <c r="S1494" i="1"/>
  <c r="S737" i="1"/>
  <c r="S2083" i="1"/>
  <c r="S1619" i="1"/>
  <c r="S213" i="1"/>
  <c r="S1072" i="1"/>
  <c r="S1242" i="1"/>
  <c r="S181" i="1"/>
  <c r="S1813" i="1"/>
  <c r="S846" i="1"/>
  <c r="S2099" i="1"/>
  <c r="S1137" i="1"/>
  <c r="S348" i="1"/>
  <c r="S845" i="1"/>
  <c r="S408" i="1"/>
  <c r="S1931" i="1"/>
  <c r="S437" i="1"/>
  <c r="S810" i="1"/>
  <c r="S921" i="1"/>
  <c r="S1394" i="1"/>
  <c r="S2115" i="1"/>
  <c r="S2095" i="1"/>
  <c r="S73" i="1"/>
  <c r="S142" i="1"/>
  <c r="S823" i="1"/>
  <c r="S1595" i="1"/>
  <c r="S848" i="1"/>
  <c r="S1587" i="1"/>
  <c r="S105" i="1"/>
  <c r="S2042" i="1"/>
  <c r="S1574" i="1"/>
  <c r="S1633" i="1"/>
  <c r="S569" i="1"/>
  <c r="S1081" i="1"/>
  <c r="S590" i="1"/>
  <c r="S549" i="1"/>
  <c r="S1559" i="1"/>
  <c r="S1644" i="1"/>
  <c r="S644" i="1"/>
  <c r="S1449" i="1"/>
  <c r="S1892" i="1"/>
  <c r="S436" i="1"/>
  <c r="S695" i="1"/>
  <c r="S949" i="1"/>
  <c r="S579" i="1"/>
  <c r="S1266" i="1"/>
  <c r="S998" i="1"/>
  <c r="S378" i="1"/>
  <c r="S1533" i="1"/>
  <c r="S1021" i="1"/>
  <c r="S182" i="1"/>
  <c r="S398" i="1"/>
  <c r="S454" i="1"/>
  <c r="S1774" i="1"/>
  <c r="S1854" i="1"/>
  <c r="S1409" i="1"/>
  <c r="S1075" i="1"/>
  <c r="S1414" i="1"/>
  <c r="S1146" i="1"/>
  <c r="S692" i="1"/>
  <c r="S1413" i="1"/>
  <c r="S2074" i="1"/>
  <c r="S1065" i="1"/>
  <c r="S1265" i="1"/>
  <c r="S1001" i="1"/>
  <c r="S1744" i="1"/>
  <c r="S1971" i="1"/>
  <c r="S853" i="1"/>
  <c r="S1847" i="1"/>
  <c r="S1986" i="1"/>
  <c r="S1370" i="1"/>
  <c r="S1013" i="1"/>
  <c r="S1298" i="1"/>
  <c r="S1448" i="1"/>
  <c r="S1615" i="1"/>
  <c r="S715" i="1"/>
  <c r="S206" i="1"/>
  <c r="S765" i="1"/>
  <c r="S1365" i="1"/>
  <c r="S392" i="1"/>
  <c r="S2033" i="1"/>
  <c r="S700" i="1"/>
  <c r="S1252" i="1"/>
  <c r="S3" i="1"/>
  <c r="S1694" i="1"/>
  <c r="S1492" i="1"/>
  <c r="S150" i="1"/>
  <c r="S148" i="1"/>
  <c r="S254" i="1"/>
  <c r="S650" i="1"/>
  <c r="S1430" i="1"/>
  <c r="S993" i="1"/>
  <c r="S1684" i="1"/>
  <c r="S647" i="1"/>
  <c r="S368" i="1"/>
  <c r="S2127" i="1"/>
  <c r="S1692" i="1"/>
  <c r="S2117" i="1"/>
  <c r="S1724" i="1"/>
  <c r="S1103" i="1"/>
  <c r="S1741" i="1"/>
  <c r="S1482" i="1"/>
  <c r="S2121" i="1"/>
  <c r="S1487" i="1"/>
  <c r="S1521" i="1"/>
  <c r="S979" i="1"/>
  <c r="S1249" i="1"/>
  <c r="S2105" i="1"/>
  <c r="S1665" i="1"/>
  <c r="S1344" i="1"/>
  <c r="S106" i="1"/>
  <c r="S35" i="1"/>
  <c r="S837" i="1"/>
  <c r="S583" i="1"/>
  <c r="S1584" i="1"/>
  <c r="S413" i="1"/>
  <c r="S288" i="1"/>
  <c r="S1254" i="1"/>
  <c r="S1596" i="1"/>
  <c r="S742" i="1"/>
  <c r="S929" i="1"/>
  <c r="S39" i="1"/>
  <c r="S1145" i="1"/>
  <c r="S20" i="1"/>
  <c r="S869" i="1"/>
  <c r="S1076" i="1"/>
  <c r="S1801" i="1"/>
  <c r="S808" i="1"/>
  <c r="S1429" i="1"/>
  <c r="S126" i="1"/>
  <c r="S1062" i="1"/>
  <c r="S1817" i="1"/>
  <c r="S1984" i="1"/>
  <c r="S471" i="1"/>
  <c r="S283" i="1"/>
  <c r="S81" i="1"/>
  <c r="S1319" i="1"/>
  <c r="S1727" i="1"/>
  <c r="S1661" i="1"/>
  <c r="S1783" i="1"/>
  <c r="S686" i="1"/>
  <c r="S721" i="1"/>
  <c r="S1888" i="1"/>
  <c r="S684" i="1"/>
  <c r="S671" i="1"/>
  <c r="S1547" i="1"/>
  <c r="S1138" i="1"/>
  <c r="S1372" i="1"/>
  <c r="S404" i="1"/>
  <c r="S358" i="1"/>
  <c r="S900" i="1"/>
  <c r="S956" i="1"/>
  <c r="S2031" i="1"/>
  <c r="S1532" i="1"/>
  <c r="S758" i="1"/>
  <c r="S1779" i="1"/>
  <c r="S1048" i="1"/>
  <c r="S1008" i="1"/>
  <c r="S1602" i="1"/>
  <c r="S1051" i="1"/>
  <c r="S1289" i="1"/>
  <c r="S613" i="1"/>
  <c r="S1877" i="1"/>
  <c r="S538" i="1"/>
  <c r="S515" i="1"/>
  <c r="S1834" i="1"/>
  <c r="S1746" i="1"/>
  <c r="S690" i="1"/>
  <c r="S1233" i="1"/>
  <c r="S372" i="1"/>
  <c r="S1260" i="1"/>
  <c r="S1819" i="1"/>
  <c r="S939" i="1"/>
  <c r="S855" i="1"/>
  <c r="S1818" i="1"/>
  <c r="S221" i="1"/>
  <c r="S1086" i="1"/>
  <c r="S1586" i="1"/>
  <c r="S1833" i="1"/>
  <c r="S1676" i="1"/>
  <c r="S542" i="1"/>
  <c r="S669" i="1"/>
  <c r="S2027" i="1"/>
  <c r="S1226" i="1"/>
  <c r="S771" i="1"/>
  <c r="S733" i="1"/>
  <c r="S401" i="1"/>
  <c r="S195" i="1"/>
  <c r="S937" i="1"/>
  <c r="S1640" i="1"/>
  <c r="S461" i="1"/>
  <c r="S5" i="1"/>
  <c r="S1907" i="1"/>
  <c r="S945" i="1"/>
  <c r="S1462" i="1"/>
  <c r="S365" i="1"/>
  <c r="S994" i="1"/>
  <c r="S656" i="1"/>
  <c r="S308" i="1"/>
  <c r="S1514" i="1"/>
  <c r="S1837" i="1"/>
  <c r="S369" i="1"/>
  <c r="S1045" i="1"/>
  <c r="S744" i="1"/>
  <c r="S1935" i="1"/>
  <c r="S617" i="1"/>
  <c r="S1366" i="1"/>
  <c r="S1223" i="1"/>
  <c r="S699" i="1"/>
  <c r="S861" i="1"/>
  <c r="S1419" i="1"/>
  <c r="S370" i="1"/>
  <c r="S1393" i="1"/>
  <c r="S1523" i="1"/>
  <c r="S1748" i="1"/>
  <c r="S84" i="1"/>
  <c r="S2071" i="1"/>
  <c r="S997" i="1"/>
  <c r="S1422" i="1"/>
  <c r="S1175" i="1"/>
  <c r="S870" i="1"/>
  <c r="S976" i="1"/>
  <c r="S128" i="1"/>
  <c r="S1555" i="1"/>
  <c r="S1450" i="1"/>
  <c r="S2003" i="1"/>
  <c r="S224" i="1"/>
  <c r="S911" i="1"/>
  <c r="S319" i="1"/>
  <c r="S1111" i="1"/>
  <c r="S572" i="1"/>
  <c r="S1594" i="1"/>
  <c r="S1814" i="1"/>
  <c r="S261" i="1"/>
  <c r="S1433" i="1"/>
  <c r="S1350" i="1"/>
  <c r="S2073" i="1"/>
  <c r="S525" i="1"/>
  <c r="S522" i="1"/>
  <c r="S1871" i="1"/>
  <c r="S1180" i="1"/>
  <c r="S1203" i="1"/>
  <c r="S116" i="1"/>
  <c r="S112" i="1"/>
  <c r="S1396" i="1"/>
  <c r="S484" i="1"/>
  <c r="S1080" i="1"/>
  <c r="S704" i="1"/>
  <c r="S551" i="1"/>
  <c r="S764" i="1"/>
  <c r="S94" i="1"/>
  <c r="S1201" i="1"/>
  <c r="S2114" i="1"/>
  <c r="S55" i="1"/>
  <c r="S1374" i="1"/>
  <c r="S361" i="1"/>
  <c r="S1307" i="1"/>
  <c r="S1499" i="1"/>
  <c r="S350" i="1"/>
  <c r="S272" i="1"/>
  <c r="S2062" i="1"/>
  <c r="S1725" i="1"/>
  <c r="S1859" i="1"/>
  <c r="S857" i="1"/>
  <c r="S1944" i="1"/>
  <c r="S1680" i="1"/>
  <c r="S545" i="1"/>
  <c r="S1371" i="1"/>
  <c r="S1763" i="1"/>
  <c r="S767" i="1"/>
  <c r="S1352" i="1"/>
  <c r="S1782" i="1"/>
  <c r="S2111" i="1"/>
  <c r="S868" i="1"/>
  <c r="S992" i="1"/>
  <c r="S1495" i="1"/>
  <c r="S1745" i="1"/>
  <c r="S1078" i="1"/>
  <c r="S2063" i="1"/>
  <c r="S74" i="1"/>
  <c r="S1286" i="1"/>
  <c r="S506" i="1"/>
  <c r="S218" i="1"/>
  <c r="S1603" i="1"/>
  <c r="S121" i="1"/>
  <c r="S774" i="1"/>
  <c r="S1578" i="1"/>
  <c r="S598" i="1"/>
  <c r="S2089" i="1"/>
  <c r="S946" i="1"/>
  <c r="S276" i="1"/>
  <c r="S832" i="1"/>
  <c r="S352" i="1"/>
  <c r="S1933" i="1"/>
  <c r="S874" i="1"/>
  <c r="S197" i="1"/>
  <c r="S1565" i="1"/>
  <c r="S1799" i="1"/>
  <c r="S1560" i="1"/>
  <c r="S1904" i="1"/>
  <c r="S560" i="1"/>
  <c r="S435" i="1"/>
  <c r="S1992" i="1"/>
  <c r="S1447" i="1"/>
  <c r="S608" i="1"/>
  <c r="S387" i="1"/>
  <c r="S1118" i="1"/>
  <c r="S1019" i="1"/>
  <c r="S1166" i="1"/>
  <c r="S1660" i="1"/>
  <c r="S934" i="1"/>
  <c r="S1593" i="1"/>
  <c r="S2078" i="1"/>
  <c r="S658" i="1"/>
  <c r="S1147" i="1"/>
  <c r="S359" i="1"/>
  <c r="S578" i="1"/>
  <c r="S158" i="1"/>
  <c r="S1964" i="1"/>
  <c r="S577" i="1"/>
  <c r="S108" i="1"/>
  <c r="S841" i="1"/>
  <c r="S1950" i="1"/>
  <c r="S2064" i="1"/>
  <c r="S114" i="1"/>
  <c r="S1077" i="1"/>
  <c r="S1333" i="1"/>
  <c r="S858" i="1"/>
  <c r="S785" i="1"/>
  <c r="S1740" i="1"/>
  <c r="S2043" i="1"/>
  <c r="S299" i="1"/>
  <c r="S1205" i="1"/>
  <c r="S1623" i="1"/>
  <c r="S1643" i="1"/>
  <c r="S426" i="1"/>
  <c r="S411" i="1"/>
  <c r="S1096" i="1"/>
  <c r="S2004" i="1"/>
  <c r="S189" i="1"/>
  <c r="S732" i="1"/>
  <c r="S1251" i="1"/>
  <c r="S1285" i="1"/>
  <c r="S517" i="1"/>
  <c r="S696" i="1"/>
  <c r="S211" i="1"/>
  <c r="S2103" i="1"/>
  <c r="S125" i="1"/>
  <c r="S1164" i="1"/>
  <c r="S1498" i="1"/>
  <c r="S1993" i="1"/>
  <c r="S561" i="1"/>
  <c r="S53" i="1"/>
  <c r="S395" i="1"/>
  <c r="S196" i="1"/>
  <c r="S457" i="1"/>
  <c r="S552" i="1"/>
  <c r="S1064" i="1"/>
  <c r="S1340" i="1"/>
  <c r="S168" i="1"/>
  <c r="S1038" i="1"/>
  <c r="S2044" i="1"/>
  <c r="S649" i="1"/>
  <c r="S1139" i="1"/>
  <c r="S1384" i="1"/>
  <c r="S2052" i="1"/>
  <c r="S499" i="1"/>
  <c r="S793" i="1"/>
  <c r="S1480" i="1"/>
  <c r="S27" i="1"/>
  <c r="S483" i="1"/>
  <c r="S668" i="1"/>
  <c r="S425" i="1"/>
  <c r="S1851" i="1"/>
  <c r="S1605" i="1"/>
  <c r="S1313" i="1"/>
  <c r="S1470" i="1"/>
  <c r="S2010" i="1"/>
  <c r="S682" i="1"/>
  <c r="S679" i="1"/>
  <c r="S1912" i="1"/>
  <c r="S1542" i="1"/>
  <c r="S1569" i="1"/>
  <c r="S1812" i="1"/>
  <c r="S2013" i="1"/>
  <c r="S533" i="1"/>
  <c r="S847" i="1"/>
  <c r="S493" i="1"/>
  <c r="S947" i="1"/>
  <c r="S278" i="1"/>
  <c r="S373" i="1"/>
  <c r="S1852" i="1"/>
  <c r="S7" i="1"/>
  <c r="S745" i="1"/>
  <c r="S262" i="1"/>
  <c r="S1693" i="1"/>
  <c r="S149" i="1"/>
  <c r="S1292" i="1"/>
  <c r="S144" i="1"/>
  <c r="S31" i="1"/>
  <c r="S606" i="1"/>
  <c r="S1957" i="1"/>
  <c r="S1900" i="1"/>
  <c r="S2057" i="1"/>
  <c r="S1924" i="1"/>
  <c r="S1425" i="1"/>
  <c r="S1809" i="1"/>
  <c r="S741" i="1"/>
  <c r="S1534" i="1"/>
  <c r="S1663" i="1"/>
  <c r="S1468" i="1"/>
  <c r="S620" i="1"/>
  <c r="S739" i="1"/>
  <c r="S1793" i="1"/>
  <c r="S1895" i="1"/>
  <c r="S1278" i="1"/>
  <c r="S1898" i="1"/>
  <c r="S391" i="1"/>
  <c r="S356" i="1"/>
  <c r="S568" i="1"/>
  <c r="S714" i="1"/>
  <c r="S1515" i="1"/>
  <c r="S1248" i="1"/>
  <c r="S872" i="1"/>
  <c r="S34" i="1"/>
  <c r="S1297" i="1"/>
  <c r="S1788" i="1"/>
  <c r="S665" i="1"/>
  <c r="S520" i="1"/>
  <c r="S12" i="1"/>
  <c r="S2015" i="1"/>
  <c r="S1237" i="1"/>
  <c r="S1140" i="1"/>
  <c r="S1231" i="1"/>
  <c r="S1666" i="1"/>
  <c r="S1794" i="1"/>
  <c r="S1110" i="1"/>
  <c r="S1455" i="1"/>
  <c r="S1273" i="1"/>
  <c r="S1049" i="1"/>
  <c r="S1861" i="1"/>
  <c r="S1202" i="1"/>
  <c r="S1380" i="1"/>
  <c r="S1538" i="1"/>
  <c r="S675" i="1"/>
  <c r="S817" i="1"/>
  <c r="S1545" i="1"/>
  <c r="S1556" i="1"/>
  <c r="S1132" i="1"/>
  <c r="S1389" i="1"/>
  <c r="S384" i="1"/>
  <c r="S725" i="1"/>
  <c r="S1674" i="1"/>
  <c r="S355" i="1"/>
  <c r="S1107" i="1"/>
  <c r="S295" i="1"/>
  <c r="S161" i="1"/>
  <c r="S1079" i="1"/>
  <c r="S469" i="1"/>
  <c r="S1820" i="1"/>
  <c r="S1466" i="1"/>
  <c r="S19" i="1"/>
  <c r="S320" i="1"/>
  <c r="S892" i="1"/>
  <c r="S1343" i="1"/>
  <c r="S1874" i="1"/>
  <c r="S1016" i="1"/>
  <c r="S1601" i="1"/>
  <c r="S890" i="1"/>
  <c r="S1196" i="1"/>
  <c r="S1614" i="1"/>
  <c r="S614" i="1"/>
  <c r="S597" i="1"/>
  <c r="S292" i="1"/>
  <c r="S2035" i="1"/>
  <c r="S1983" i="1"/>
  <c r="S752" i="1"/>
  <c r="S1011" i="1"/>
  <c r="S305" i="1"/>
  <c r="S1093" i="1"/>
  <c r="S113" i="1"/>
  <c r="S863" i="1"/>
  <c r="S1491" i="1"/>
  <c r="S601" i="1"/>
  <c r="S1302" i="1"/>
  <c r="S574" i="1"/>
  <c r="S1671" i="1"/>
  <c r="S1309" i="1"/>
  <c r="S536" i="1"/>
  <c r="S736" i="1"/>
  <c r="S1920" i="1"/>
  <c r="S432" i="1"/>
  <c r="S2093" i="1"/>
  <c r="S1063" i="1"/>
  <c r="S2" i="1"/>
  <c r="S1094" i="1"/>
  <c r="S706" i="1"/>
  <c r="S1989" i="1"/>
  <c r="S591" i="1"/>
  <c r="S54" i="1"/>
  <c r="S429" i="1"/>
  <c r="S1165" i="1"/>
  <c r="S1717" i="1"/>
  <c r="S1267" i="1"/>
  <c r="S1590" i="1"/>
  <c r="S986" i="1"/>
  <c r="S1604" i="1"/>
  <c r="S1893" i="1"/>
  <c r="S298" i="1"/>
  <c r="S1378" i="1"/>
  <c r="S539" i="1"/>
  <c r="S165" i="1"/>
  <c r="S188" i="1"/>
  <c r="S1029" i="1"/>
  <c r="S1928" i="1"/>
  <c r="S722" i="1"/>
  <c r="S1937" i="1"/>
  <c r="S1471" i="1"/>
  <c r="S1610" i="1"/>
  <c r="S957" i="1"/>
  <c r="S1183" i="1"/>
  <c r="S1691" i="1"/>
  <c r="S1257" i="1"/>
  <c r="S137" i="1"/>
  <c r="S1255" i="1"/>
  <c r="S1875" i="1"/>
  <c r="S1639" i="1"/>
  <c r="S893" i="1"/>
  <c r="S1549" i="1"/>
  <c r="S537" i="1"/>
  <c r="S388" i="1"/>
  <c r="S351" i="1"/>
  <c r="S1511" i="1"/>
  <c r="S975" i="1"/>
  <c r="S856" i="1"/>
  <c r="S972" i="1"/>
  <c r="S1627" i="1"/>
  <c r="S2009" i="1"/>
  <c r="S1476" i="1"/>
  <c r="S422" i="1"/>
  <c r="S2109" i="1"/>
  <c r="S1400" i="1"/>
  <c r="S1879" i="1"/>
  <c r="S59" i="1"/>
  <c r="S1678" i="1"/>
  <c r="S1324" i="1"/>
  <c r="S1176" i="1"/>
  <c r="S800" i="1"/>
  <c r="S860" i="1"/>
  <c r="S1167" i="1"/>
  <c r="S1504" i="1"/>
  <c r="S1212" i="1"/>
  <c r="S833" i="1"/>
  <c r="S1770" i="1"/>
  <c r="S809" i="1"/>
  <c r="S1247" i="1"/>
  <c r="S1490" i="1"/>
  <c r="S252" i="1"/>
  <c r="S1668" i="1"/>
  <c r="S909" i="1"/>
  <c r="S1765" i="1"/>
  <c r="S1958" i="1"/>
  <c r="S974" i="1"/>
  <c r="S1526" i="1"/>
  <c r="S935" i="1"/>
  <c r="S1410" i="1"/>
  <c r="S424" i="1"/>
  <c r="S607" i="1"/>
  <c r="S497" i="1"/>
  <c r="S1355" i="1"/>
  <c r="S1037" i="1"/>
  <c r="S530" i="1"/>
  <c r="S1656" i="1"/>
  <c r="S1830" i="1"/>
  <c r="S1465" i="1"/>
  <c r="S9" i="1"/>
  <c r="S302" i="1"/>
  <c r="S360" i="1"/>
  <c r="S2029" i="1"/>
  <c r="S1071" i="1"/>
  <c r="S1461" i="1"/>
  <c r="S1718" i="1"/>
  <c r="S1775" i="1"/>
  <c r="S592" i="1"/>
  <c r="S1711" i="1"/>
  <c r="S1015" i="1"/>
  <c r="S1527" i="1"/>
  <c r="S1705" i="1"/>
  <c r="S75" i="1"/>
  <c r="S1755" i="1"/>
  <c r="S445" i="1"/>
  <c r="S819" i="1"/>
  <c r="S164" i="1"/>
  <c r="S1097" i="1"/>
  <c r="S1583" i="1"/>
  <c r="S207" i="1"/>
  <c r="S2129" i="1"/>
  <c r="S1836" i="1"/>
  <c r="S225" i="1"/>
  <c r="S1638" i="1"/>
  <c r="S1963" i="1"/>
  <c r="S1922" i="1"/>
  <c r="S1083" i="1"/>
  <c r="S1341" i="1"/>
  <c r="S1364" i="1"/>
  <c r="S1053" i="1"/>
  <c r="S990" i="1"/>
  <c r="S790" i="1"/>
  <c r="S107" i="1"/>
  <c r="S280" i="1"/>
  <c r="S1706" i="1"/>
  <c r="S813" i="1"/>
  <c r="S1659" i="1"/>
  <c r="S1758" i="1"/>
  <c r="S354" i="1"/>
  <c r="S503" i="1"/>
  <c r="S1516" i="1"/>
  <c r="S334" i="1"/>
  <c r="S709" i="1"/>
  <c r="S47" i="1"/>
  <c r="S1404" i="1"/>
  <c r="S279" i="1"/>
  <c r="S830" i="1"/>
  <c r="S1256" i="1"/>
  <c r="S559" i="1"/>
  <c r="S678" i="1"/>
  <c r="S1056" i="1"/>
  <c r="S1188" i="1"/>
  <c r="S1453" i="1"/>
  <c r="S903" i="1"/>
  <c r="S2092" i="1"/>
  <c r="S789" i="1"/>
  <c r="S1088" i="1"/>
  <c r="S1520" i="1"/>
  <c r="S1423" i="1"/>
  <c r="S80" i="1"/>
  <c r="S754" i="1"/>
  <c r="S120" i="1"/>
  <c r="S1221" i="1"/>
  <c r="S337" i="1"/>
  <c r="S1942" i="1"/>
  <c r="S1047" i="1"/>
  <c r="S776" i="1"/>
  <c r="S127" i="1"/>
  <c r="S307" i="1"/>
  <c r="S1472" i="1"/>
  <c r="S1330" i="1"/>
  <c r="S1306" i="1"/>
  <c r="S1742" i="1"/>
  <c r="S866" i="1"/>
  <c r="S1436" i="1"/>
  <c r="S1291" i="1"/>
  <c r="S2005" i="1"/>
  <c r="S1772" i="1"/>
  <c r="S1456" i="1"/>
  <c r="S611" i="1"/>
  <c r="S1192" i="1"/>
  <c r="S322" i="1"/>
  <c r="S1831" i="1"/>
  <c r="S527" i="1"/>
  <c r="S1563" i="1"/>
  <c r="S1092" i="1"/>
  <c r="S1757" i="1"/>
  <c r="S1738" i="1"/>
  <c r="S486" i="1"/>
  <c r="S1360" i="1"/>
  <c r="S707" i="1"/>
  <c r="S1497" i="1"/>
  <c r="S720" i="1"/>
  <c r="S1997" i="1"/>
  <c r="S960" i="1"/>
  <c r="S1897" i="1"/>
  <c r="S759" i="1"/>
  <c r="S1946" i="1"/>
  <c r="S662" i="1"/>
  <c r="S1074" i="1"/>
  <c r="S991" i="1"/>
  <c r="S416" i="1"/>
  <c r="S2128" i="1"/>
  <c r="S966" i="1"/>
  <c r="S155" i="1"/>
  <c r="S216" i="1"/>
  <c r="S916" i="1"/>
  <c r="S878" i="1"/>
  <c r="S265" i="1"/>
  <c r="S625" i="1"/>
  <c r="S1564" i="1"/>
  <c r="S481" i="1"/>
  <c r="S1891" i="1"/>
  <c r="S65" i="1"/>
  <c r="S1322" i="1"/>
  <c r="S87" i="1"/>
  <c r="S2076" i="1"/>
  <c r="S1882" i="1"/>
  <c r="S544" i="1"/>
  <c r="S1941" i="1"/>
  <c r="S1750" i="1"/>
  <c r="S1987" i="1"/>
  <c r="S1435" i="1"/>
  <c r="S1375" i="1"/>
  <c r="S26" i="1"/>
  <c r="S2002" i="1"/>
  <c r="S2113" i="1"/>
  <c r="S2086" i="1"/>
  <c r="S32" i="1"/>
  <c r="S1620" i="1"/>
  <c r="S1194" i="1"/>
  <c r="S2025" i="1"/>
  <c r="S1385" i="1"/>
  <c r="S1507" i="1"/>
  <c r="S2087" i="1"/>
  <c r="S1131" i="1"/>
  <c r="S332" i="1"/>
  <c r="S2046" i="1"/>
  <c r="S1985" i="1"/>
  <c r="S582" i="1"/>
  <c r="S1853" i="1"/>
  <c r="S228" i="1"/>
  <c r="S1566" i="1"/>
  <c r="S407" i="1"/>
  <c r="S795" i="1"/>
  <c r="S1353" i="1"/>
  <c r="S683" i="1"/>
  <c r="S1689" i="1"/>
  <c r="S17" i="1"/>
  <c r="S40" i="1"/>
  <c r="S963" i="1"/>
  <c r="S1785" i="1"/>
  <c r="S1632" i="1"/>
  <c r="S178" i="1"/>
  <c r="S1756" i="1"/>
  <c r="S333" i="1"/>
  <c r="S984" i="1"/>
  <c r="S1187" i="1"/>
  <c r="S1121" i="1"/>
  <c r="S1599" i="1"/>
  <c r="S1243" i="1"/>
  <c r="S924" i="1"/>
  <c r="S782" i="1"/>
  <c r="S198" i="1"/>
  <c r="S1808" i="1"/>
  <c r="S839" i="1"/>
  <c r="S1087" i="1"/>
  <c r="S2081" i="1"/>
  <c r="S2130" i="1"/>
  <c r="S1916" i="1"/>
  <c r="S755" i="1"/>
  <c r="S1442" i="1"/>
  <c r="S1926" i="1"/>
  <c r="S169" i="1"/>
  <c r="S1125" i="1"/>
  <c r="S281" i="1"/>
  <c r="S1112" i="1"/>
  <c r="S293" i="1"/>
  <c r="S818" i="1"/>
  <c r="S812" i="1"/>
  <c r="S553" i="1"/>
  <c r="S1299" i="1"/>
  <c r="S920" i="1"/>
  <c r="S835" i="1"/>
  <c r="S342" i="1"/>
  <c r="S312" i="1"/>
  <c r="S1826" i="1"/>
  <c r="S250" i="1"/>
  <c r="S1839" i="1"/>
  <c r="S941" i="1"/>
  <c r="S364" i="1"/>
  <c r="S1966" i="1"/>
  <c r="S1386" i="1"/>
  <c r="S111" i="1"/>
  <c r="S135" i="1"/>
  <c r="S1918" i="1"/>
  <c r="S1959" i="1"/>
  <c r="S1012" i="1"/>
  <c r="S864" i="1"/>
  <c r="S1484" i="1"/>
  <c r="S77" i="1"/>
  <c r="S2006" i="1"/>
  <c r="S1679" i="1"/>
  <c r="S1543" i="1"/>
  <c r="S347" i="1"/>
  <c r="S1321" i="1"/>
  <c r="S176" i="1"/>
  <c r="S1244" i="1"/>
  <c r="S514" i="1"/>
  <c r="S49" i="1"/>
  <c r="S2100" i="1"/>
  <c r="S1996" i="1"/>
  <c r="S415" i="1"/>
  <c r="S219" i="1"/>
  <c r="S123" i="1"/>
  <c r="S433" i="1"/>
  <c r="S631" i="1"/>
  <c r="S1163" i="1"/>
  <c r="S1784" i="1"/>
  <c r="S918" i="1"/>
  <c r="S455" i="1"/>
  <c r="S1219" i="1"/>
  <c r="S452" i="1"/>
  <c r="S458" i="1"/>
  <c r="S1821" i="1"/>
  <c r="S1379" i="1"/>
  <c r="S1917" i="1"/>
  <c r="S1840" i="1"/>
  <c r="S1443" i="1"/>
  <c r="S227" i="1"/>
  <c r="S680" i="1"/>
  <c r="S875" i="1"/>
  <c r="S1209" i="1"/>
  <c r="S588" i="1"/>
  <c r="S1967" i="1"/>
  <c r="S153" i="1"/>
  <c r="S412" i="1"/>
  <c r="S2020" i="1"/>
  <c r="S13" i="1"/>
  <c r="S2097" i="1"/>
  <c r="S1977" i="1"/>
  <c r="S1388" i="1"/>
  <c r="S289" i="1"/>
  <c r="S315" i="1"/>
  <c r="S346" i="1"/>
  <c r="S798" i="1"/>
  <c r="S478" i="1"/>
  <c r="S1685" i="1"/>
  <c r="S2131" i="1"/>
  <c r="S405" i="1"/>
  <c r="S534" i="1"/>
  <c r="S897" i="1"/>
  <c r="S2016" i="1"/>
  <c r="S234" i="1"/>
  <c r="S1832" i="1"/>
  <c r="S1995" i="1"/>
  <c r="S64" i="1"/>
  <c r="S594" i="1"/>
  <c r="S968" i="1"/>
  <c r="S1925" i="1"/>
  <c r="S1618" i="1"/>
  <c r="S487" i="1"/>
  <c r="S101" i="1"/>
  <c r="S1981" i="1"/>
  <c r="S1236" i="1"/>
  <c r="S1824" i="1"/>
  <c r="S712" i="1"/>
  <c r="S498" i="1"/>
  <c r="S1945" i="1"/>
  <c r="S179" i="1"/>
  <c r="S249" i="1"/>
  <c r="S1054" i="1"/>
  <c r="S623" i="1"/>
  <c r="S1554" i="1"/>
  <c r="S1896" i="1"/>
  <c r="S92" i="1"/>
  <c r="S1787" i="1"/>
  <c r="S1403" i="1"/>
  <c r="S1190" i="1"/>
  <c r="S740" i="1"/>
  <c r="S865" i="1"/>
  <c r="S190" i="1"/>
  <c r="S726" i="1"/>
  <c r="S585" i="1"/>
  <c r="S1726" i="1"/>
  <c r="S327" i="1"/>
  <c r="S787" i="1"/>
  <c r="S950" i="1"/>
  <c r="S377" i="1"/>
  <c r="S231" i="1"/>
  <c r="S1085" i="1"/>
  <c r="S1057" i="1"/>
  <c r="S616" i="1"/>
  <c r="S465" i="1"/>
  <c r="S1496" i="1"/>
  <c r="S1405" i="1"/>
  <c r="S235" i="1"/>
  <c r="S1060" i="1"/>
  <c r="S1099" i="1"/>
  <c r="S223" i="1"/>
  <c r="S1479" i="1"/>
  <c r="S1162" i="1"/>
  <c r="S380" i="1"/>
  <c r="S103" i="1"/>
  <c r="S2034" i="1"/>
  <c r="S1878" i="1"/>
  <c r="S1171" i="1"/>
  <c r="S1117" i="1"/>
  <c r="S940" i="1"/>
  <c r="S43" i="1"/>
  <c r="S258" i="1"/>
  <c r="S240" i="1"/>
  <c r="S1956" i="1"/>
  <c r="S1803" i="1"/>
  <c r="S1921" i="1"/>
  <c r="S1979" i="1"/>
  <c r="S635" i="1"/>
  <c r="S1213" i="1"/>
  <c r="S4" i="1"/>
  <c r="S1358" i="1"/>
  <c r="S933" i="1"/>
  <c r="S637" i="1"/>
  <c r="S641" i="1"/>
  <c r="S1988" i="1"/>
  <c r="S90" i="1"/>
  <c r="S2023" i="1"/>
  <c r="S867" i="1"/>
  <c r="S1541" i="1"/>
  <c r="S1872" i="1"/>
  <c r="S442" i="1"/>
  <c r="S2069" i="1"/>
  <c r="S2088" i="1"/>
  <c r="S220" i="1"/>
  <c r="S1664" i="1"/>
  <c r="S1043" i="1"/>
  <c r="S456" i="1"/>
  <c r="S1646" i="1"/>
  <c r="S1688" i="1"/>
  <c r="S1626" i="1"/>
  <c r="S409" i="1"/>
  <c r="S1399" i="1"/>
  <c r="S57" i="1"/>
  <c r="S1502" i="1"/>
  <c r="S1645" i="1"/>
  <c r="S1157" i="1"/>
  <c r="S1023" i="1"/>
  <c r="S1544" i="1"/>
  <c r="S323" i="1"/>
  <c r="S2011" i="1"/>
  <c r="S1290" i="1"/>
  <c r="S212" i="1"/>
  <c r="S311" i="1"/>
  <c r="S1612" i="1"/>
  <c r="S325" i="1"/>
  <c r="S1127" i="1"/>
  <c r="S1736" i="1"/>
  <c r="S633" i="1"/>
  <c r="S973" i="1"/>
  <c r="S999" i="1"/>
  <c r="S1452" i="1"/>
  <c r="S1067" i="1"/>
  <c r="S1776" i="1"/>
  <c r="S2091" i="1"/>
  <c r="S1108" i="1"/>
  <c r="S46" i="1"/>
  <c r="S2056" i="1"/>
  <c r="S1608" i="1"/>
  <c r="S1296" i="1"/>
  <c r="S1974" i="1"/>
  <c r="S615" i="1"/>
  <c r="S1230" i="1"/>
  <c r="S464" i="1"/>
  <c r="S983" i="1"/>
  <c r="S1197" i="1"/>
  <c r="S1648" i="1"/>
  <c r="S118" i="1"/>
  <c r="S509" i="1"/>
  <c r="S1124" i="1"/>
  <c r="S56" i="1"/>
  <c r="S71" i="1"/>
  <c r="S1998" i="1"/>
  <c r="S232" i="1"/>
  <c r="S2024" i="1"/>
  <c r="S1315" i="1"/>
  <c r="S2012" i="1"/>
  <c r="S1395" i="1"/>
  <c r="S253" i="1"/>
  <c r="S2041" i="1"/>
  <c r="S494" i="1"/>
  <c r="S1359" i="1"/>
  <c r="S851" i="1"/>
  <c r="S379" i="1"/>
  <c r="S628" i="1"/>
  <c r="S146" i="1"/>
  <c r="S25" i="1"/>
  <c r="S124" i="1"/>
  <c r="S6" i="1"/>
  <c r="S1357" i="1"/>
  <c r="S1347" i="1"/>
  <c r="S761" i="1"/>
  <c r="S282" i="1"/>
  <c r="S1406" i="1"/>
  <c r="S1348" i="1"/>
  <c r="S1044" i="1"/>
  <c r="S1804" i="1"/>
  <c r="S1934" i="1"/>
  <c r="S389" i="1"/>
  <c r="S1811" i="1"/>
  <c r="S2075" i="1"/>
  <c r="S1768" i="1"/>
  <c r="S1954" i="1"/>
  <c r="S238" i="1"/>
  <c r="S284" i="1"/>
  <c r="S1417" i="1"/>
  <c r="S1828" i="1"/>
  <c r="S1572" i="1"/>
  <c r="S489" i="1"/>
  <c r="S518" i="1"/>
  <c r="S1169" i="1"/>
  <c r="S2038" i="1"/>
  <c r="S1651" i="1"/>
  <c r="S1522" i="1"/>
  <c r="S1475" i="1"/>
  <c r="S748" i="1"/>
  <c r="S1810" i="1"/>
  <c r="S475" i="1"/>
  <c r="S952" i="1"/>
  <c r="S1598" i="1"/>
  <c r="S156" i="1"/>
  <c r="S1606" i="1"/>
  <c r="S294" i="1"/>
  <c r="S237" i="1"/>
  <c r="S1179" i="1"/>
  <c r="S14" i="1"/>
  <c r="S110" i="1"/>
  <c r="S82" i="1"/>
  <c r="S1434" i="1"/>
  <c r="S1217" i="1"/>
  <c r="S713" i="1"/>
  <c r="S2032" i="1"/>
  <c r="S584" i="1"/>
  <c r="S1976" i="1"/>
  <c r="S2096" i="1"/>
  <c r="S1195" i="1"/>
  <c r="S500" i="1"/>
  <c r="S1241" i="1"/>
  <c r="S681" i="1"/>
  <c r="S462" i="1"/>
  <c r="S589" i="1"/>
  <c r="S1440" i="1"/>
  <c r="S1293" i="1"/>
  <c r="S1407" i="1"/>
  <c r="S967" i="1"/>
  <c r="S930" i="1"/>
  <c r="S1856" i="1"/>
  <c r="S2047" i="1"/>
  <c r="S1629" i="1"/>
  <c r="S639" i="1"/>
  <c r="S341" i="1"/>
  <c r="S1969" i="1"/>
  <c r="S645" i="1"/>
  <c r="S1314" i="1"/>
  <c r="S1153" i="1"/>
  <c r="S2068" i="1"/>
  <c r="S1714" i="1"/>
  <c r="S244" i="1"/>
  <c r="S1318" i="1"/>
  <c r="S1024" i="1"/>
  <c r="S1841" i="1"/>
  <c r="S871" i="1"/>
  <c r="S888" i="1"/>
  <c r="S729" i="1"/>
  <c r="S1786" i="1"/>
  <c r="S1228" i="1"/>
  <c r="S1540" i="1"/>
  <c r="S944" i="1"/>
  <c r="S1838" i="1"/>
  <c r="S330" i="1"/>
  <c r="S139" i="1"/>
  <c r="S619" i="1"/>
  <c r="S2054" i="1"/>
  <c r="S85" i="1"/>
  <c r="S942" i="1"/>
  <c r="S1246" i="1"/>
  <c r="S1459" i="1"/>
  <c r="S1186" i="1"/>
  <c r="S1761" i="1"/>
  <c r="S630" i="1"/>
  <c r="S1625" i="1"/>
  <c r="S1903" i="1"/>
  <c r="S1264" i="1"/>
  <c r="S1850" i="1"/>
  <c r="S183" i="1"/>
  <c r="S1609" i="1"/>
  <c r="S1151" i="1"/>
  <c r="S581" i="1"/>
  <c r="S701" i="1"/>
  <c r="S1184" i="1"/>
  <c r="S535" i="1"/>
  <c r="S2067" i="1"/>
  <c r="S210" i="1"/>
  <c r="S1654" i="1"/>
  <c r="S417" i="1"/>
  <c r="S664" i="1"/>
  <c r="S117" i="1"/>
  <c r="S345" i="1"/>
  <c r="S160" i="1"/>
  <c r="S1100" i="1"/>
  <c r="S1142" i="1"/>
  <c r="S140" i="1"/>
  <c r="S884" i="1"/>
  <c r="S2053" i="1"/>
  <c r="S876" i="1"/>
  <c r="S2107" i="1"/>
  <c r="S1732" i="1"/>
  <c r="S1652" i="1"/>
  <c r="S1669" i="1"/>
  <c r="S543" i="1"/>
  <c r="S1382" i="1"/>
  <c r="S654" i="1"/>
  <c r="S1303" i="1"/>
  <c r="S1239" i="1"/>
  <c r="S1149" i="1"/>
  <c r="S419" i="1"/>
  <c r="S1667" i="1"/>
  <c r="S1130" i="1"/>
  <c r="S1020" i="1"/>
  <c r="S1009" i="1"/>
  <c r="S130" i="1"/>
  <c r="S912" i="1"/>
  <c r="S243" i="1"/>
  <c r="S985" i="1"/>
  <c r="S1354" i="1"/>
  <c r="S1873" i="1"/>
  <c r="S1562" i="1"/>
  <c r="S646" i="1"/>
  <c r="S2048" i="1"/>
  <c r="S93" i="1"/>
  <c r="S554" i="1"/>
  <c r="S902" i="1"/>
  <c r="S881" i="1"/>
  <c r="S791" i="1"/>
  <c r="S100" i="1"/>
  <c r="S602" i="1"/>
  <c r="S314" i="1"/>
  <c r="S728" i="1"/>
  <c r="S928" i="1"/>
  <c r="S674" i="1"/>
  <c r="S1825" i="1"/>
  <c r="S969" i="1"/>
  <c r="S1802" i="1"/>
  <c r="S28" i="1"/>
  <c r="S266" i="1"/>
  <c r="S651" i="1"/>
  <c r="S838" i="1"/>
  <c r="S1700" i="1"/>
  <c r="S730" i="1"/>
  <c r="S1437" i="1"/>
  <c r="S99" i="1"/>
  <c r="S1027" i="1"/>
  <c r="S880" i="1"/>
  <c r="S467" i="1"/>
  <c r="S831" i="1"/>
  <c r="S1999" i="1"/>
  <c r="S738" i="1"/>
  <c r="S1082" i="1"/>
  <c r="S1123" i="1"/>
  <c r="S501" i="1"/>
  <c r="S750" i="1"/>
  <c r="S1193" i="1"/>
  <c r="S1951" i="1"/>
  <c r="S473" i="1"/>
  <c r="S98" i="1"/>
  <c r="S386" i="1"/>
  <c r="S2118" i="1"/>
  <c r="S670" i="1"/>
  <c r="S1863" i="1"/>
  <c r="S1102" i="1"/>
  <c r="S316" i="1"/>
  <c r="S1585" i="1"/>
  <c r="S1320" i="1"/>
  <c r="S905" i="1"/>
  <c r="S663" i="1"/>
  <c r="S1731" i="1"/>
  <c r="S1800" i="1"/>
  <c r="S943" i="1"/>
  <c r="S1383" i="1"/>
  <c r="S1154" i="1"/>
  <c r="S1032" i="1"/>
  <c r="S717" i="1"/>
  <c r="S23" i="1"/>
  <c r="S37" i="1"/>
  <c r="S2018" i="1"/>
  <c r="S850" i="1"/>
  <c r="S797" i="1"/>
  <c r="S109" i="1"/>
  <c r="S799" i="1"/>
  <c r="S2112" i="1"/>
  <c r="S468" i="1"/>
  <c r="S2119" i="1"/>
  <c r="S894" i="1"/>
  <c r="S1876" i="1"/>
  <c r="S170" i="1"/>
  <c r="S1467" i="1"/>
  <c r="S1949" i="1"/>
  <c r="S1539" i="1"/>
  <c r="S1576" i="1"/>
  <c r="S648" i="1"/>
  <c r="S427" i="1"/>
  <c r="S1373" i="1"/>
  <c r="S504" i="1"/>
  <c r="S586" i="1"/>
  <c r="S1002" i="1"/>
  <c r="S1845" i="1"/>
  <c r="S1150" i="1"/>
  <c r="S241" i="1"/>
  <c r="S222" i="1"/>
  <c r="S1947" i="1"/>
  <c r="S1747" i="1"/>
  <c r="S746" i="1"/>
  <c r="S193" i="1"/>
  <c r="S1215" i="1"/>
  <c r="S1034" i="1"/>
  <c r="S734" i="1"/>
  <c r="S1003" i="1"/>
  <c r="S184" i="1"/>
  <c r="S1581" i="1"/>
  <c r="S194" i="1"/>
  <c r="S1155" i="1"/>
  <c r="S83" i="1"/>
  <c r="S1005" i="1"/>
  <c r="S1631" i="1"/>
  <c r="S1326" i="1"/>
  <c r="S1791" i="1"/>
  <c r="S1232" i="1"/>
  <c r="S913" i="1"/>
  <c r="S962" i="1"/>
  <c r="S1575" i="1"/>
  <c r="S88" i="1"/>
  <c r="S571" i="1"/>
  <c r="S1855" i="1"/>
  <c r="S708" i="1"/>
  <c r="S546" i="1"/>
  <c r="S480" i="1"/>
  <c r="S896" i="1"/>
  <c r="S1158" i="1"/>
  <c r="S340" i="1"/>
  <c r="S1743" i="1"/>
  <c r="S187" i="1"/>
  <c r="S41" i="1"/>
  <c r="S1849" i="1"/>
  <c r="S1589" i="1"/>
  <c r="S2040" i="1"/>
  <c r="S1687" i="1"/>
  <c r="S547" i="1"/>
  <c r="S246" i="1"/>
  <c r="S1402" i="1"/>
  <c r="S1703" i="1"/>
  <c r="S256" i="1"/>
  <c r="S772" i="1"/>
  <c r="S363" i="1"/>
  <c r="S2123" i="1"/>
  <c r="S463" i="1"/>
  <c r="S102" i="1"/>
  <c r="S959" i="1"/>
  <c r="S883" i="1"/>
  <c r="S676" i="1"/>
  <c r="S970" i="1"/>
  <c r="S1990" i="1"/>
  <c r="S826" i="1"/>
  <c r="S1363" i="1"/>
  <c r="S1431" i="1"/>
  <c r="S440" i="1"/>
  <c r="S642" i="1"/>
  <c r="S627" i="1"/>
  <c r="S466" i="1"/>
  <c r="S1438" i="1"/>
  <c r="S230" i="1"/>
  <c r="S775" i="1"/>
  <c r="S1259" i="1"/>
  <c r="S1329" i="1"/>
  <c r="S492" i="1"/>
  <c r="S205" i="1"/>
  <c r="S1962" i="1"/>
  <c r="S1865" i="1"/>
  <c r="S1349" i="1"/>
  <c r="S1535" i="1"/>
  <c r="S1739" i="1"/>
  <c r="S565" i="1"/>
  <c r="S239" i="1"/>
  <c r="S763" i="1"/>
  <c r="S698" i="1"/>
  <c r="S257" i="1"/>
  <c r="S1050" i="1"/>
  <c r="S1401" i="1"/>
  <c r="S1084" i="1"/>
  <c r="S1848" i="1"/>
  <c r="S402" i="1"/>
  <c r="S362" i="1"/>
  <c r="S886" i="1"/>
  <c r="S691" i="1"/>
  <c r="S1485" i="1"/>
  <c r="S1536" i="1"/>
  <c r="S30" i="1"/>
  <c r="S1778" i="1"/>
  <c r="S357" i="1"/>
  <c r="S277" i="1"/>
  <c r="S2094" i="1"/>
  <c r="S710" i="1"/>
  <c r="S62" i="1"/>
  <c r="S414" i="1"/>
  <c r="S827" i="1"/>
  <c r="S443" i="1"/>
  <c r="S1120" i="1"/>
  <c r="S766" i="1"/>
  <c r="S10" i="1"/>
  <c r="S673" i="1"/>
  <c r="S1028" i="1"/>
  <c r="S329" i="1"/>
  <c r="S1178" i="1"/>
  <c r="S1216" i="1"/>
  <c r="S687" i="1"/>
  <c r="S1573" i="1"/>
  <c r="S86" i="1"/>
  <c r="S1890" i="1"/>
  <c r="S2060" i="1"/>
  <c r="S882" i="1"/>
  <c r="S200" i="1"/>
  <c r="S621" i="1"/>
  <c r="S1702" i="1"/>
  <c r="S1792" i="1"/>
  <c r="S1276" i="1"/>
  <c r="S1305" i="1"/>
  <c r="S1592" i="1"/>
  <c r="S291" i="1"/>
  <c r="S693" i="1"/>
  <c r="S1367" i="1"/>
  <c r="S1919" i="1"/>
  <c r="S2120" i="1"/>
  <c r="S1975" i="1"/>
  <c r="S822" i="1"/>
  <c r="S236" i="1"/>
  <c r="S1478" i="1"/>
  <c r="S1336" i="1"/>
  <c r="S1552" i="1"/>
  <c r="S660" i="1"/>
  <c r="S172" i="1"/>
  <c r="S1617" i="1"/>
  <c r="S1777" i="1"/>
  <c r="S2101" i="1"/>
  <c r="S2125" i="1"/>
  <c r="S1857" i="1"/>
  <c r="S136" i="1"/>
  <c r="S2104" i="1"/>
  <c r="S904" i="1"/>
  <c r="S575" i="1"/>
  <c r="S1156" i="1"/>
  <c r="S1312" i="1"/>
  <c r="S816" i="1"/>
  <c r="S1662" i="1"/>
  <c r="S268" i="1"/>
  <c r="S1421" i="1"/>
  <c r="S825" i="1"/>
  <c r="S162" i="1"/>
  <c r="S76" i="1"/>
  <c r="S1760" i="1"/>
  <c r="S528" i="1"/>
  <c r="S1022" i="1"/>
  <c r="S895" i="1"/>
  <c r="S180" i="1"/>
  <c r="S1701" i="1"/>
  <c r="S2000" i="1"/>
  <c r="S69" i="1"/>
  <c r="S1561" i="1"/>
  <c r="S1220" i="1"/>
  <c r="S318" i="1"/>
  <c r="S1622" i="1"/>
  <c r="S1369" i="1"/>
  <c r="S418" i="1"/>
  <c r="S1159" i="1"/>
  <c r="S1464" i="1"/>
  <c r="S115" i="1"/>
  <c r="S508" i="1"/>
  <c r="S430" i="1"/>
  <c r="S1537" i="1"/>
  <c r="S1528" i="1"/>
  <c r="S652" i="1"/>
  <c r="S400" i="1"/>
  <c r="S948" i="1"/>
  <c r="S519" i="1"/>
  <c r="S151" i="1"/>
  <c r="S1418" i="1"/>
  <c r="S273" i="1"/>
  <c r="S566" i="1"/>
  <c r="S1500" i="1"/>
  <c r="S1634" i="1"/>
  <c r="S1198" i="1"/>
  <c r="S1550" i="1"/>
  <c r="S1636" i="1"/>
  <c r="S849" i="1"/>
  <c r="S573" i="1"/>
  <c r="S1752" i="1"/>
  <c r="S632" i="1"/>
  <c r="S328" i="1"/>
  <c r="S688" i="1"/>
  <c r="S60" i="1"/>
  <c r="S596" i="1"/>
  <c r="S174" i="1"/>
  <c r="S1681" i="1"/>
  <c r="S773" i="1"/>
  <c r="S1281" i="1"/>
  <c r="S954" i="1"/>
  <c r="S2017" i="1"/>
  <c r="S1641" i="1"/>
  <c r="S439" i="1"/>
  <c r="S89" i="1"/>
  <c r="S1624" i="1"/>
  <c r="S1036" i="1"/>
  <c r="S66" i="1"/>
  <c r="S141" i="1"/>
  <c r="S961" i="1"/>
  <c r="S1650" i="1"/>
  <c r="S702" i="1"/>
  <c r="S657" i="1"/>
  <c r="S1767" i="1"/>
  <c r="S122" i="1"/>
  <c r="S1269" i="1"/>
  <c r="S1525" i="1"/>
  <c r="S1135" i="1"/>
  <c r="S901" i="1"/>
  <c r="S1710" i="1"/>
  <c r="S185" i="1"/>
  <c r="S1432" i="1"/>
  <c r="S138" i="1"/>
  <c r="S374" i="1"/>
  <c r="S1582" i="1"/>
  <c r="S931" i="1"/>
  <c r="S723" i="1"/>
  <c r="S1458" i="1"/>
  <c r="S371" i="1"/>
  <c r="S270" i="1"/>
  <c r="S1690" i="1"/>
  <c r="S2102" i="1"/>
  <c r="S171" i="1"/>
  <c r="S1116" i="1"/>
  <c r="S794" i="1"/>
  <c r="S96" i="1"/>
  <c r="S805" i="1"/>
  <c r="S1493" i="1"/>
  <c r="S629" i="1"/>
  <c r="S331" i="1"/>
  <c r="S423" i="1"/>
  <c r="S2021" i="1"/>
  <c r="S757" i="1"/>
  <c r="S1695" i="1"/>
  <c r="S1529" i="1"/>
  <c r="S781" i="1"/>
  <c r="S570" i="1"/>
  <c r="S1723" i="1"/>
  <c r="S48" i="1"/>
  <c r="S510" i="1"/>
  <c r="S1797" i="1"/>
  <c r="S666" i="1"/>
  <c r="S1089" i="1"/>
  <c r="S1613" i="1"/>
  <c r="S1134" i="1"/>
  <c r="S1939" i="1"/>
  <c r="S1073" i="1"/>
  <c r="S1588" i="1"/>
  <c r="S152" i="1"/>
  <c r="S2080" i="1"/>
  <c r="S1061" i="1"/>
  <c r="S247" i="1"/>
  <c r="S1914" i="1"/>
  <c r="S862" i="1"/>
  <c r="S2090" i="1"/>
  <c r="S1474" i="1"/>
  <c r="S1031" i="1"/>
  <c r="S1310" i="1"/>
  <c r="S507" i="1"/>
  <c r="S1200" i="1"/>
  <c r="S264" i="1"/>
  <c r="S803" i="1"/>
  <c r="S367" i="1"/>
  <c r="S242" i="1"/>
  <c r="S438" i="1"/>
  <c r="S1908" i="1"/>
  <c r="S556" i="1"/>
  <c r="S1735" i="1"/>
  <c r="S1932" i="1"/>
  <c r="S1339" i="1"/>
  <c r="S2051" i="1"/>
  <c r="S1894" i="1"/>
  <c r="S626" i="1"/>
  <c r="S524" i="1"/>
  <c r="S202" i="1"/>
  <c r="S780" i="1"/>
  <c r="S2008" i="1"/>
  <c r="S1869" i="1"/>
  <c r="S521" i="1"/>
  <c r="S260" i="1"/>
  <c r="S558" i="1"/>
  <c r="S836" i="1"/>
  <c r="S1025" i="1"/>
  <c r="S177" i="1"/>
  <c r="S476" i="1"/>
  <c r="S1766" i="1"/>
  <c r="S1446" i="1"/>
  <c r="S255" i="1"/>
  <c r="S915" i="1"/>
  <c r="S753" i="1"/>
  <c r="S1682" i="1"/>
  <c r="S229" i="1"/>
  <c r="S22" i="1"/>
  <c r="S1287" i="1"/>
  <c r="S743" i="1"/>
  <c r="S1381" i="1"/>
  <c r="S965" i="1"/>
  <c r="S1066" i="1"/>
  <c r="S286" i="1"/>
  <c r="S685" i="1"/>
  <c r="S995" i="1"/>
  <c r="S1304" i="1"/>
  <c r="S917" i="1"/>
  <c r="S1335" i="1"/>
  <c r="S1235" i="1"/>
  <c r="S154" i="1"/>
  <c r="S296" i="1"/>
  <c r="S2072" i="1"/>
  <c r="S801" i="1"/>
  <c r="S1948" i="1"/>
  <c r="S1398" i="1"/>
  <c r="S932" i="1"/>
  <c r="S927" i="1"/>
  <c r="S1095" i="1"/>
  <c r="S1968" i="1"/>
  <c r="S749" i="1"/>
  <c r="S2050" i="1"/>
  <c r="S1712" i="1"/>
  <c r="S1218" i="1"/>
  <c r="S1628" i="1"/>
  <c r="S622" i="1"/>
  <c r="S523" i="1"/>
  <c r="S1509" i="1"/>
  <c r="S1301" i="1"/>
  <c r="S982" i="1"/>
  <c r="S58" i="1"/>
  <c r="S815" i="1"/>
  <c r="S906" i="1"/>
  <c r="S834" i="1"/>
  <c r="S2026" i="1"/>
  <c r="S2079" i="1"/>
  <c r="S166" i="1"/>
  <c r="S1288" i="1"/>
  <c r="S304" i="1"/>
  <c r="S502" i="1"/>
  <c r="S531" i="1"/>
  <c r="S563" i="1"/>
  <c r="S1970" i="1"/>
  <c r="S1721" i="1"/>
  <c r="S11" i="1"/>
  <c r="S393" i="1"/>
  <c r="S1677" i="1"/>
  <c r="S703" i="1"/>
  <c r="S394" i="1"/>
  <c r="S1713" i="1"/>
  <c r="S2065" i="1"/>
  <c r="S1101" i="1"/>
  <c r="S1546" i="1"/>
  <c r="S1637" i="1"/>
  <c r="S303" i="1"/>
  <c r="S1161" i="1"/>
  <c r="S1580" i="1"/>
  <c r="S1362" i="1"/>
  <c r="S336" i="1"/>
  <c r="S677" i="1"/>
  <c r="S191" i="1"/>
  <c r="S697" i="1"/>
  <c r="S1698" i="1"/>
  <c r="S1046" i="1"/>
  <c r="S45" i="1"/>
  <c r="S1972" i="1"/>
  <c r="S1885" i="1"/>
  <c r="S1224" i="1"/>
  <c r="S349" i="1"/>
  <c r="S1227" i="1"/>
  <c r="S1332" i="1"/>
  <c r="S842" i="1"/>
  <c r="S321" i="1"/>
  <c r="S599" i="1"/>
  <c r="S1122" i="1"/>
  <c r="S1980" i="1"/>
  <c r="S1042" i="1"/>
  <c r="S91" i="1"/>
  <c r="S922" i="1"/>
  <c r="S576" i="1"/>
  <c r="S1696" i="1"/>
  <c r="S1477" i="1"/>
  <c r="S1501" i="1"/>
  <c r="S667" i="1"/>
  <c r="S441" i="1"/>
  <c r="S129" i="1"/>
  <c r="S792" i="1"/>
  <c r="S1506" i="1"/>
  <c r="S495" i="1"/>
  <c r="S784" i="1"/>
  <c r="S131" i="1"/>
  <c r="S447" i="1"/>
  <c r="S1647" i="1"/>
  <c r="S1670" i="1"/>
  <c r="S431" i="1"/>
  <c r="S2126" i="1"/>
  <c r="S70" i="1"/>
  <c r="S2036" i="1"/>
  <c r="S1887" i="1"/>
  <c r="S1368" i="1"/>
  <c r="S1843" i="1"/>
  <c r="S643" i="1"/>
  <c r="S655" i="1"/>
  <c r="S1214" i="1"/>
  <c r="S15" i="1"/>
  <c r="S1762" i="1"/>
  <c r="S1600" i="1"/>
  <c r="S381" i="1"/>
  <c r="S2045" i="1"/>
  <c r="S274" i="1"/>
  <c r="S1486" i="1"/>
  <c r="S8" i="1"/>
  <c r="S1675" i="1"/>
  <c r="S1136" i="1"/>
  <c r="S51" i="1"/>
  <c r="S885" i="1"/>
  <c r="S1866" i="1"/>
  <c r="S1143" i="1"/>
  <c r="S593" i="1"/>
  <c r="S301" i="1"/>
  <c r="S526" i="1"/>
  <c r="S2028" i="1"/>
  <c r="S1282" i="1"/>
  <c r="S344" i="1"/>
  <c r="S1007" i="1"/>
  <c r="S1512" i="1"/>
  <c r="S1716" i="1"/>
  <c r="S1272" i="1"/>
  <c r="S1238" i="1"/>
  <c r="S1185" i="1"/>
  <c r="S1208" i="1"/>
  <c r="S263" i="1"/>
  <c r="S1649" i="1"/>
  <c r="S163" i="1"/>
  <c r="S1172" i="1"/>
  <c r="S1191" i="1"/>
  <c r="S159" i="1"/>
  <c r="S1571" i="1"/>
  <c r="S1910" i="1"/>
  <c r="S2055" i="1"/>
  <c r="S1943" i="1"/>
  <c r="S1503" i="1"/>
  <c r="S1773" i="1"/>
  <c r="S760" i="1"/>
  <c r="S204" i="1"/>
  <c r="S769" i="1"/>
  <c r="S1673" i="1"/>
  <c r="S2108" i="1"/>
  <c r="S1317" i="1"/>
  <c r="S923" i="1"/>
  <c r="S353" i="1"/>
  <c r="S1973" i="1"/>
  <c r="S1805" i="1"/>
  <c r="S1199" i="1"/>
  <c r="S1911" i="1"/>
  <c r="S1114" i="1"/>
  <c r="S1263" i="1"/>
  <c r="S1823" i="1"/>
  <c r="S147" i="1"/>
  <c r="S1709" i="1"/>
  <c r="S1860" i="1"/>
  <c r="S1392" i="1"/>
  <c r="S548" i="1"/>
  <c r="S1457" i="1"/>
  <c r="S1518" i="1"/>
  <c r="S490" i="1"/>
  <c r="S2007" i="1"/>
  <c r="S1294" i="1"/>
  <c r="S1530" i="1"/>
  <c r="S1715" i="1"/>
  <c r="S936" i="1"/>
  <c r="S1781" i="1"/>
  <c r="S777" i="1"/>
  <c r="S42" i="1"/>
  <c r="S472" i="1"/>
  <c r="S1397" i="1"/>
  <c r="S339" i="1"/>
  <c r="S157" i="1"/>
  <c r="S24" i="1"/>
  <c r="S2122" i="1"/>
  <c r="S1098" i="1"/>
  <c r="S248" i="1"/>
  <c r="S1026" i="1"/>
  <c r="S1342" i="1"/>
  <c r="S1789" i="1"/>
  <c r="S653" i="1"/>
  <c r="S618" i="1"/>
  <c r="S446" i="1"/>
  <c r="S716" i="1"/>
  <c r="S770" i="1"/>
  <c r="S1268" i="1"/>
  <c r="S1104" i="1"/>
  <c r="S1611" i="1"/>
  <c r="S672" i="1"/>
  <c r="S375" i="1"/>
  <c r="S2049" i="1"/>
  <c r="S1960" i="1"/>
  <c r="S1899" i="1"/>
  <c r="S376" i="1"/>
  <c r="S52" i="1"/>
  <c r="S814" i="1"/>
  <c r="S1408" i="1"/>
  <c r="S840" i="1"/>
  <c r="S824" i="1"/>
  <c r="S21" i="1"/>
  <c r="S343" i="1"/>
  <c r="S29" i="1"/>
  <c r="S636" i="1"/>
  <c r="S1229" i="1"/>
  <c r="S214" i="1"/>
  <c r="S1844" i="1"/>
  <c r="S285" i="1"/>
  <c r="S1300" i="1"/>
  <c r="S1234" i="1"/>
  <c r="S2106" i="1"/>
  <c r="S1864" i="1"/>
  <c r="S981" i="1"/>
  <c r="S2132" i="1"/>
  <c r="S1030" i="1"/>
  <c r="S1568" i="1"/>
  <c r="S1119" i="1"/>
  <c r="S470" i="1"/>
  <c r="S1283" i="1"/>
  <c r="S338" i="1"/>
  <c r="S600" i="1"/>
  <c r="S1557" i="1"/>
  <c r="S1553" i="1"/>
  <c r="S1481" i="1"/>
  <c r="S1483" i="1"/>
  <c r="S450" i="1"/>
  <c r="S1737" i="1"/>
  <c r="S453" i="1"/>
  <c r="S2098" i="1"/>
  <c r="S1018" i="1"/>
  <c r="S1798" i="1"/>
  <c r="S2070" i="1"/>
  <c r="S541" i="1"/>
  <c r="S550" i="1"/>
  <c r="S610" i="1"/>
  <c r="S1764" i="1"/>
  <c r="S1017" i="1"/>
  <c r="S1211" i="1"/>
  <c r="S711" i="1"/>
  <c r="S1463" i="1"/>
  <c r="S735" i="1"/>
  <c r="S459" i="1"/>
  <c r="S1245" i="1"/>
  <c r="S208" i="1"/>
  <c r="S1039" i="1"/>
  <c r="S971" i="1"/>
  <c r="S451" i="1"/>
  <c r="S951" i="1"/>
  <c r="S1489" i="1"/>
  <c r="S806" i="1"/>
  <c r="S1068" i="1"/>
  <c r="S1902" i="1"/>
  <c r="S1427" i="1"/>
  <c r="S397" i="1"/>
  <c r="S133" i="1"/>
  <c r="S269" i="1"/>
  <c r="S887" i="1"/>
  <c r="S143" i="1"/>
  <c r="S1729" i="1"/>
  <c r="S1704" i="1"/>
  <c r="S821" i="1"/>
  <c r="S562" i="1"/>
  <c r="S1106" i="1"/>
  <c r="S1733" i="1"/>
  <c r="S68" i="1"/>
  <c r="S491" i="1"/>
  <c r="S1683" i="1"/>
  <c r="S306" i="1"/>
  <c r="S1672" i="1"/>
  <c r="S1035" i="1"/>
  <c r="S72" i="1"/>
  <c r="S762" i="1"/>
  <c r="S511" i="1"/>
  <c r="S1780" i="1"/>
  <c r="S1759" i="1"/>
  <c r="S1835" i="1"/>
  <c r="S891" i="1"/>
  <c r="S1513" i="1"/>
  <c r="S1128" i="1"/>
  <c r="S382" i="1"/>
  <c r="S694" i="1"/>
  <c r="S1141" i="1"/>
  <c r="S1181" i="1"/>
  <c r="S779" i="1"/>
  <c r="S659" i="1"/>
  <c r="S95" i="1"/>
  <c r="S2019" i="1"/>
  <c r="S233" i="1"/>
  <c r="S2039" i="1"/>
  <c r="S1000" i="1"/>
  <c r="S1754" i="1"/>
  <c r="S1439" i="1"/>
  <c r="S1189" i="1"/>
  <c r="S908" i="1"/>
  <c r="S383" i="1"/>
  <c r="S203" i="1"/>
  <c r="S1883" i="1"/>
  <c r="S580" i="1"/>
  <c r="S1927" i="1"/>
  <c r="S217" i="1"/>
  <c r="S1311" i="1"/>
  <c r="S1323" i="1"/>
  <c r="S783" i="1"/>
  <c r="S335" i="1"/>
  <c r="S1886" i="1"/>
  <c r="S1174" i="1"/>
  <c r="S1105" i="1"/>
  <c r="S1807" i="1"/>
  <c r="S1510" i="1"/>
  <c r="S1734" i="1"/>
  <c r="S199" i="1"/>
  <c r="S786" i="1"/>
  <c r="S724" i="1"/>
  <c r="S226" i="1"/>
  <c r="S1505" i="1"/>
  <c r="S1707" i="1"/>
  <c r="S2037" i="1"/>
  <c r="S1570" i="1"/>
  <c r="S987" i="1"/>
  <c r="S275" i="1"/>
  <c r="S1657" i="1"/>
  <c r="S640" i="1"/>
  <c r="S1115" i="1"/>
  <c r="S78" i="1"/>
  <c r="S820" i="1"/>
  <c r="S1058" i="1"/>
  <c r="S420" i="1"/>
  <c r="S1524" i="1"/>
  <c r="S1655" i="1"/>
  <c r="S1880" i="1"/>
  <c r="S1822" i="1"/>
  <c r="S828" i="1"/>
  <c r="S843" i="1"/>
  <c r="S479" i="1"/>
  <c r="S624" i="1"/>
  <c r="S989" i="1"/>
  <c r="S399" i="1"/>
  <c r="S634" i="1"/>
  <c r="S612" i="1"/>
  <c r="S67" i="1"/>
  <c r="S1591" i="1"/>
  <c r="S1658" i="1"/>
  <c r="S1170" i="1"/>
  <c r="S2059" i="1"/>
  <c r="S1815" i="1"/>
  <c r="S1531" i="1"/>
  <c r="S18" i="1"/>
  <c r="S317" i="1"/>
  <c r="S1965" i="1"/>
  <c r="S1923" i="1"/>
  <c r="S512" i="1"/>
  <c r="S1795" i="1"/>
  <c r="S638" i="1"/>
  <c r="S557" i="1"/>
  <c r="S925" i="1"/>
  <c r="S2014" i="1"/>
  <c r="S1978" i="1"/>
  <c r="S1469" i="1"/>
  <c r="S448" i="1"/>
  <c r="S1753" i="1"/>
  <c r="S310" i="1"/>
  <c r="S474" i="1"/>
  <c r="S1376" i="1"/>
  <c r="S1014" i="1"/>
  <c r="S1938" i="1"/>
  <c r="S1424" i="1"/>
  <c r="S1653" i="1"/>
  <c r="S802" i="1"/>
  <c r="S513" i="1"/>
  <c r="S1940" i="1"/>
  <c r="S731" i="1"/>
  <c r="S1616" i="1"/>
  <c r="S1567" i="1"/>
  <c r="S1906" i="1"/>
  <c r="S910" i="1"/>
  <c r="S1168" i="1"/>
  <c r="S1441" i="1"/>
  <c r="S1345" i="1"/>
  <c r="S1041" i="1"/>
  <c r="S516" i="1"/>
  <c r="S366" i="1"/>
  <c r="S2001" i="1"/>
  <c r="S747" i="1"/>
  <c r="S1929" i="1"/>
  <c r="S1751" i="1"/>
  <c r="S1686" i="1"/>
  <c r="S2116" i="1"/>
  <c r="S1955" i="1"/>
  <c r="S167" i="1"/>
  <c r="S410" i="1"/>
  <c r="S1109" i="1"/>
  <c r="S1069" i="1"/>
  <c r="S449" i="1"/>
  <c r="S1991" i="1"/>
  <c r="S201" i="1"/>
  <c r="S1884" i="1"/>
  <c r="S988" i="1"/>
  <c r="S1361" i="1"/>
  <c r="S1444" i="1"/>
  <c r="S859" i="1"/>
  <c r="S1040" i="1"/>
  <c r="S605" i="1"/>
  <c r="S1846" i="1"/>
  <c r="S97" i="1"/>
  <c r="S751" i="1"/>
  <c r="S245" i="1"/>
  <c r="S1210" i="1"/>
  <c r="S1173" i="1"/>
  <c r="S313" i="1"/>
  <c r="S1730" i="1"/>
  <c r="S1697" i="1"/>
  <c r="S1391" i="1"/>
  <c r="S689" i="1"/>
  <c r="S980" i="1"/>
  <c r="S2084" i="1"/>
  <c r="S1277" i="1"/>
  <c r="S1262" i="1"/>
  <c r="S603" i="1"/>
  <c r="S134" i="1"/>
  <c r="S958" i="1"/>
  <c r="S1006" i="1"/>
  <c r="S1451" i="1"/>
  <c r="S540" i="1"/>
  <c r="S977" i="1"/>
  <c r="S36" i="1"/>
  <c r="S2133" i="1"/>
  <c r="S1961" i="1"/>
  <c r="S1827" i="1"/>
  <c r="S1790" i="1"/>
  <c r="S719" i="1"/>
  <c r="S1010" i="1"/>
  <c r="S1722" i="1"/>
  <c r="S1508" i="1"/>
  <c r="S889" i="1"/>
  <c r="S1206" i="1"/>
  <c r="S1842" i="1"/>
  <c r="S309" i="1"/>
  <c r="S555" i="1"/>
  <c r="S496" i="1"/>
  <c r="S1982" i="1"/>
  <c r="S63" i="1"/>
  <c r="S1070" i="1"/>
  <c r="S1635" i="1"/>
  <c r="S1126" i="1"/>
  <c r="S385" i="1"/>
  <c r="S1909" i="1"/>
  <c r="S482" i="1"/>
  <c r="S2077" i="1"/>
  <c r="S61" i="1"/>
  <c r="S1428" i="1"/>
  <c r="S661" i="1"/>
  <c r="S996" i="1"/>
  <c r="S209" i="1"/>
  <c r="S604" i="1"/>
  <c r="S1771" i="1"/>
  <c r="S1055" i="1"/>
  <c r="S287" i="1"/>
  <c r="S1377" i="1"/>
  <c r="S1881" i="1"/>
  <c r="S251" i="1"/>
  <c r="S877" i="1"/>
  <c r="S488" i="1"/>
  <c r="S1579" i="1"/>
  <c r="S460" i="1"/>
  <c r="S1240" i="1"/>
  <c r="S1295" i="1"/>
  <c r="S1338" i="1"/>
  <c r="S1052" i="1"/>
  <c r="S768" i="1"/>
  <c r="S1488" i="1"/>
  <c r="S1749" i="1"/>
  <c r="S79" i="1"/>
  <c r="S403" i="1"/>
  <c r="S119" i="1"/>
  <c r="S186" i="1"/>
  <c r="S33" i="1"/>
  <c r="S796" i="1"/>
  <c r="S1327" i="1"/>
  <c r="S778" i="1"/>
  <c r="S829" i="1"/>
  <c r="S788" i="1"/>
  <c r="S444" i="1"/>
  <c r="S2061" i="1"/>
  <c r="S1913" i="1"/>
  <c r="S390" i="1"/>
  <c r="S1351" i="1"/>
  <c r="S718" i="1"/>
  <c r="S1994" i="1"/>
  <c r="S2030" i="1"/>
  <c r="S1858" i="1"/>
  <c r="S1412" i="1"/>
  <c r="S1867" i="1"/>
  <c r="S907" i="1"/>
  <c r="S1551" i="1"/>
  <c r="S1059" i="1"/>
  <c r="S964" i="1"/>
  <c r="S1033" i="1"/>
  <c r="S705" i="1"/>
  <c r="S564" i="1"/>
  <c r="S1271" i="1"/>
  <c r="S1275" i="1"/>
  <c r="S919" i="1"/>
  <c r="S434" i="1"/>
  <c r="S38" i="1"/>
  <c r="S1284" i="1"/>
  <c r="S978" i="1"/>
  <c r="S1806" i="1"/>
  <c r="S326" i="1"/>
  <c r="S1144" i="1"/>
  <c r="S807" i="1"/>
  <c r="S1445" i="1"/>
  <c r="S1420" i="1"/>
  <c r="S955" i="1"/>
  <c r="S1460" i="1"/>
  <c r="S1708" i="1"/>
  <c r="S1519" i="1"/>
  <c r="S1250" i="1"/>
  <c r="S173" i="1"/>
  <c r="S1177" i="1"/>
  <c r="S1004" i="1"/>
  <c r="S879" i="1"/>
  <c r="S1148" i="1"/>
  <c r="S1870" i="1"/>
  <c r="S1953" i="1"/>
  <c r="S914" i="1"/>
  <c r="S609" i="1"/>
  <c r="S1279" i="1"/>
  <c r="S1270" i="1"/>
  <c r="S145" i="1"/>
  <c r="S595" i="1"/>
  <c r="S1090" i="1"/>
  <c r="S1253" i="1"/>
  <c r="S2085" i="1"/>
  <c r="S1416" i="1"/>
  <c r="S1621" i="1"/>
  <c r="S1152" i="1"/>
  <c r="S50" i="1"/>
  <c r="S1346" i="1"/>
  <c r="S1558" i="1"/>
  <c r="S259" i="1"/>
  <c r="S1952" i="1"/>
  <c r="S44" i="1"/>
  <c r="S2110" i="1"/>
  <c r="S1325" i="1"/>
  <c r="S1337" i="1"/>
  <c r="S2124" i="1"/>
  <c r="S1222" i="1"/>
  <c r="S899" i="1"/>
  <c r="S2058" i="1"/>
  <c r="S2066" i="1"/>
  <c r="S1280" i="1"/>
  <c r="S485" i="1"/>
  <c r="S1182" i="1"/>
  <c r="S1915" i="1"/>
  <c r="S324" i="1"/>
  <c r="S1548" i="1"/>
  <c r="S529" i="1"/>
  <c r="S1129" i="1"/>
  <c r="S192" i="1"/>
  <c r="S1274" i="1"/>
  <c r="S1577" i="1"/>
  <c r="S854" i="1"/>
  <c r="S1597" i="1"/>
  <c r="S1769" i="1"/>
  <c r="S1328" i="1"/>
  <c r="S1316" i="1"/>
  <c r="S1113" i="1"/>
  <c r="S1642" i="1"/>
  <c r="S132" i="1"/>
  <c r="S1308" i="1"/>
  <c r="S1936" i="1"/>
  <c r="S1225" i="1"/>
  <c r="S1862" i="1"/>
  <c r="S1160" i="1"/>
  <c r="S1207" i="1"/>
  <c r="S1258" i="1"/>
  <c r="S300" i="1"/>
  <c r="S852" i="1"/>
  <c r="S477" i="1"/>
  <c r="S290" i="1"/>
  <c r="S1387" i="1"/>
  <c r="S1415" i="1"/>
  <c r="S587" i="1"/>
  <c r="S1334" i="1"/>
  <c r="S727" i="1"/>
  <c r="S396" i="1"/>
  <c r="S1868" i="1"/>
  <c r="S271" i="1"/>
  <c r="S567" i="1"/>
  <c r="S1261" i="1"/>
  <c r="S898" i="1"/>
  <c r="S844" i="1"/>
  <c r="S406" i="1"/>
  <c r="S1331" i="1"/>
  <c r="S1454" i="1"/>
  <c r="S873" i="1"/>
  <c r="S811" i="1"/>
  <c r="S1720" i="1"/>
  <c r="S2022" i="1"/>
</calcChain>
</file>

<file path=xl/sharedStrings.xml><?xml version="1.0" encoding="utf-8"?>
<sst xmlns="http://schemas.openxmlformats.org/spreadsheetml/2006/main" count="21365" uniqueCount="6494">
  <si>
    <t>Transaction_ID</t>
  </si>
  <si>
    <t>Customer_ID</t>
  </si>
  <si>
    <t>Transaction_Date</t>
  </si>
  <si>
    <t>Transaction_Time</t>
  </si>
  <si>
    <t>Customer_Age</t>
  </si>
  <si>
    <t>Customer_Loyalty_Tier</t>
  </si>
  <si>
    <t>Location</t>
  </si>
  <si>
    <t>Store_ID</t>
  </si>
  <si>
    <t>Product_SKU</t>
  </si>
  <si>
    <t>Product_Category</t>
  </si>
  <si>
    <t>Purchase_Amount</t>
  </si>
  <si>
    <t>Payment_Method</t>
  </si>
  <si>
    <t>Device_Type</t>
  </si>
  <si>
    <t>IP_Address</t>
  </si>
  <si>
    <t>Fraud_Flag</t>
  </si>
  <si>
    <t>Footfall_Count</t>
  </si>
  <si>
    <t>702bdd9b-9c93-41e3-9dbb-a849b2422080</t>
  </si>
  <si>
    <t>119dca0b-8554-4b2d-9bec-e964eaf6af97</t>
  </si>
  <si>
    <t>Silver</t>
  </si>
  <si>
    <t>San Francisco</t>
  </si>
  <si>
    <t>FLAGSHIP-LA</t>
  </si>
  <si>
    <t>NEBULA-SERUM-07</t>
  </si>
  <si>
    <t>Concealer</t>
  </si>
  <si>
    <t>Mobile Payment</t>
  </si>
  <si>
    <t>Desktop</t>
  </si>
  <si>
    <t>239.249.58.237</t>
  </si>
  <si>
    <t>2e64c346-36bc-4acf-bc2b-8b0fdf46abc5</t>
  </si>
  <si>
    <t>299df086-26c4-4708-b6d7-fcaeceb14637</t>
  </si>
  <si>
    <t>Platinum</t>
  </si>
  <si>
    <t>Zurich</t>
  </si>
  <si>
    <t>BOUTIQUE-SHANGHAI</t>
  </si>
  <si>
    <t>STELLAR-FOUND-03</t>
  </si>
  <si>
    <t>Lipstick</t>
  </si>
  <si>
    <t>Credit Card</t>
  </si>
  <si>
    <t>Tablet</t>
  </si>
  <si>
    <t>84.49.227.90</t>
  </si>
  <si>
    <t>29ad1278-70ce-421f-8d81-23816b39f4ac</t>
  </si>
  <si>
    <t>dfa3d24d-b935-49a5-aa1d-7d57a44d8773</t>
  </si>
  <si>
    <t>Milan</t>
  </si>
  <si>
    <t>POPUP-TOKYO</t>
  </si>
  <si>
    <t>SOLAR-BLUSH-04</t>
  </si>
  <si>
    <t>Mascara</t>
  </si>
  <si>
    <t>Gift Card</t>
  </si>
  <si>
    <t>79.207.35.55</t>
  </si>
  <si>
    <t>07dc4894-e0eb-48f1-99a7-1942b1973d9b</t>
  </si>
  <si>
    <t>7a67e184-9369-49ee-aeac-18f5b51b230f</t>
  </si>
  <si>
    <t>Bronze</t>
  </si>
  <si>
    <t>London</t>
  </si>
  <si>
    <t>BOUTIQUE-NYC</t>
  </si>
  <si>
    <t>GALAXIA-SET-08</t>
  </si>
  <si>
    <t>Serum</t>
  </si>
  <si>
    <t>Mobile</t>
  </si>
  <si>
    <t>176.194.167.253</t>
  </si>
  <si>
    <t>ae407054-5543-429c-918a-cdcc42ea9782</t>
  </si>
  <si>
    <t>cf14730a-8f5a-453d-b527-39a278852b27</t>
  </si>
  <si>
    <t>Miami</t>
  </si>
  <si>
    <t>LUNAR-MASC-02</t>
  </si>
  <si>
    <t>166.31.46.111</t>
  </si>
  <si>
    <t>43a8a133-69a0-4d20-bf2a-d6d2b83e0d3d</t>
  </si>
  <si>
    <t>f0b34554-3841-45b1-a27e-62c347855e7d</t>
  </si>
  <si>
    <t>Gold</t>
  </si>
  <si>
    <t>Sydney</t>
  </si>
  <si>
    <t>Eyeliner</t>
  </si>
  <si>
    <t>210.71.0.75</t>
  </si>
  <si>
    <t>51175e91-b199-4b3e-9810-99b533492d2e</t>
  </si>
  <si>
    <t>2d3c1dd3-6844-44f0-ae89-42e7b147b31d</t>
  </si>
  <si>
    <t>FLAGSHIP-ROME</t>
  </si>
  <si>
    <t>170.76.231.149</t>
  </si>
  <si>
    <t>9b5f7324-c8b2-4e36-a888-b0a3aeefd071</t>
  </si>
  <si>
    <t>7f8cf7cb-a367-4120-8be5-dcefd452262c</t>
  </si>
  <si>
    <t>Shanghai</t>
  </si>
  <si>
    <t>BOUTIQUE-DUBAI</t>
  </si>
  <si>
    <t>ORION-CONCEAL-09</t>
  </si>
  <si>
    <t>100.228.100.105</t>
  </si>
  <si>
    <t>d1563d4b-de86-47c5-9df6-bc78259834a8</t>
  </si>
  <si>
    <t>8d7bd046-4a87-4c8c-850e-4d55f4767119</t>
  </si>
  <si>
    <t>ECLIPSE-EYE-10</t>
  </si>
  <si>
    <t>175.162.153.155</t>
  </si>
  <si>
    <t>2ee80052-067d-4ff2-87a6-ec8919d13546</t>
  </si>
  <si>
    <t>3ae3b36f-25bb-48ca-afee-7c524b58e1a0</t>
  </si>
  <si>
    <t>Tokyo</t>
  </si>
  <si>
    <t>236.222.176.45</t>
  </si>
  <si>
    <t>fc5f93c2-a371-4c78-a3eb-ab6c046f0466</t>
  </si>
  <si>
    <t>fcf9043c-2546-40ae-b048-ab272dc47322</t>
  </si>
  <si>
    <t>Dubai</t>
  </si>
  <si>
    <t>CONCESSION-SINGAPORE</t>
  </si>
  <si>
    <t>Laptop</t>
  </si>
  <si>
    <t>150.4.206.65</t>
  </si>
  <si>
    <t>7a7be10d-b2ca-4ae7-a3f1-430d1eaf61fe</t>
  </si>
  <si>
    <t>2dba69e9-e8cc-4cf1-a809-fab0ea8568f3</t>
  </si>
  <si>
    <t>Las Vegas</t>
  </si>
  <si>
    <t>219.150.31.189</t>
  </si>
  <si>
    <t>152955a2-b19a-4670-a9dc-71d7f87930c7</t>
  </si>
  <si>
    <t>2b019bf7-67ca-4a5e-b09a-5b899e4e20bf</t>
  </si>
  <si>
    <t>CELESTE-EYE-05</t>
  </si>
  <si>
    <t>Setting Spray</t>
  </si>
  <si>
    <t>231.27.0.183</t>
  </si>
  <si>
    <t>4ddc2db9-b740-4b4a-bd31-736daf110aee</t>
  </si>
  <si>
    <t>34a9a67a-1a89-4ef4-91f4-4f02773ced09</t>
  </si>
  <si>
    <t>VIP</t>
  </si>
  <si>
    <t>Rome</t>
  </si>
  <si>
    <t>Eyeshadow Palette</t>
  </si>
  <si>
    <t>29.144.15.120</t>
  </si>
  <si>
    <t>0a2ce87a-f9cb-418c-87a8-dc635f9ca46e</t>
  </si>
  <si>
    <t>e7331e5b-a063-481a-9cfe-b8d13a1d7073</t>
  </si>
  <si>
    <t>POPUP-MILAN</t>
  </si>
  <si>
    <t>None</t>
  </si>
  <si>
    <t>111.201.162.195</t>
  </si>
  <si>
    <t>42cb6225-c75b-44cd-8808-031672803880</t>
  </si>
  <si>
    <t>95ebedcd-f361-4e04-9547-fb1c104df1eb</t>
  </si>
  <si>
    <t>CONCESSION-LONDON</t>
  </si>
  <si>
    <t>104.195.222.108</t>
  </si>
  <si>
    <t>18ca8755-d2f5-47aa-8369-66e40a542778</t>
  </si>
  <si>
    <t>dd0ee70b-abef-49bc-8b2b-2afa72e2f58d</t>
  </si>
  <si>
    <t>Blush</t>
  </si>
  <si>
    <t>Debit Card</t>
  </si>
  <si>
    <t>170.88.243.71</t>
  </si>
  <si>
    <t>c3b14f6a-4d08-403e-8936-eef5a89a3ae5</t>
  </si>
  <si>
    <t>5b3ed56d-ae97-4a70-956e-940f17566df5</t>
  </si>
  <si>
    <t>FLAGSHIP-PARIS</t>
  </si>
  <si>
    <t>Foundation</t>
  </si>
  <si>
    <t>49.196.184.213</t>
  </si>
  <si>
    <t>0ddc8ec8-2876-408b-82c8-8fdb3de25d1b</t>
  </si>
  <si>
    <t>ca6dbaf5-b9dd-4954-99b9-6d0064d51107</t>
  </si>
  <si>
    <t>40.147.64.68</t>
  </si>
  <si>
    <t>52b37161-d601-4635-ae3c-ba3a11d1d23e</t>
  </si>
  <si>
    <t>76d93b6d-c64d-482f-9011-24e6951ccf4c</t>
  </si>
  <si>
    <t>AURORA-LIP-01</t>
  </si>
  <si>
    <t>3.36.8.73</t>
  </si>
  <si>
    <t>768805a5-f373-4100-8cc9-aa3b83187294</t>
  </si>
  <si>
    <t>5dd05a7f-ec6f-4208-a120-aee9235f768a</t>
  </si>
  <si>
    <t>Paris</t>
  </si>
  <si>
    <t>COSMIC-HIGHLIGHT-06</t>
  </si>
  <si>
    <t>185.249.223.69</t>
  </si>
  <si>
    <t>8b13ed0c-e1e4-4cb0-9717-babd8b58c8a5</t>
  </si>
  <si>
    <t>dc6dc635-47f7-404d-aa33-eba56816c6e7</t>
  </si>
  <si>
    <t>22.70.212.233</t>
  </si>
  <si>
    <t>1ca6d410-2328-4f10-a71b-a09ec81463e9</t>
  </si>
  <si>
    <t>f90ba2d8-3a5f-47ca-9cd4-ecc2b820ed00</t>
  </si>
  <si>
    <t>229.217.92.232</t>
  </si>
  <si>
    <t>c46db64b-0cc1-4fc0-944b-a312b5d259ed</t>
  </si>
  <si>
    <t>a3e22d40-957f-4a8f-b93b-a41a1a18378d</t>
  </si>
  <si>
    <t>Los Angeles</t>
  </si>
  <si>
    <t>131.217.230.196</t>
  </si>
  <si>
    <t>ab5df119-4148-451b-8566-8a7b02450282</t>
  </si>
  <si>
    <t>5307ff07-e0e3-4888-bf54-251461834025</t>
  </si>
  <si>
    <t>91.115.95.217</t>
  </si>
  <si>
    <t>2c24d961-7108-465f-831f-4b8a8b8e87e5</t>
  </si>
  <si>
    <t>cf7f6da8-a3c7-4e0c-a571-a8c51a55cd98</t>
  </si>
  <si>
    <t>155.3.255.121</t>
  </si>
  <si>
    <t>6779b4a0-3272-4674-8779-739f067d56ea</t>
  </si>
  <si>
    <t>c9f396d5-f170-4e34-827c-baa5b507ab72</t>
  </si>
  <si>
    <t>183.137.210.187</t>
  </si>
  <si>
    <t>ac82c1a4-d5bd-4217-92fc-9be6289492e5</t>
  </si>
  <si>
    <t>6291086b-8d2d-4970-91ac-018dc79edfc6</t>
  </si>
  <si>
    <t>9.19.247.188</t>
  </si>
  <si>
    <t>3ab90b8b-761e-49dd-89ac-6ab38bc12af8</t>
  </si>
  <si>
    <t>97d35805-42ea-43ba-8aa3-819e18558dcb</t>
  </si>
  <si>
    <t>29.246.40.72</t>
  </si>
  <si>
    <t>54b52070-0a83-4ea0-b91b-a703715b546d</t>
  </si>
  <si>
    <t>eaff30ab-d462-4668-9f21-e08e4fd301bf</t>
  </si>
  <si>
    <t>187.143.238.40</t>
  </si>
  <si>
    <t>5306571b-ea4f-49f0-8ecc-1d011b546b35</t>
  </si>
  <si>
    <t>a8887b5a-eb11-4112-aaf9-e897ef8b13d8</t>
  </si>
  <si>
    <t>134.45.125.241</t>
  </si>
  <si>
    <t>caa0f363-9f4b-488b-835a-f549db067b43</t>
  </si>
  <si>
    <t>5f1e9433-7373-4a86-9254-4042f43608d4</t>
  </si>
  <si>
    <t>Singapore</t>
  </si>
  <si>
    <t>Highlighter</t>
  </si>
  <si>
    <t>162.39.159.27</t>
  </si>
  <si>
    <t>f5caa14a-460f-49eb-bd97-0e25421b4fd3</t>
  </si>
  <si>
    <t>2fbc734f-7c1f-4d12-9e7c-854f001f9fff</t>
  </si>
  <si>
    <t>232.175.5.240</t>
  </si>
  <si>
    <t>9b51edf5-174f-4795-aed3-8dc6edfec706</t>
  </si>
  <si>
    <t>6dd8c826-1eb4-494e-98bd-5a7708adcdb0</t>
  </si>
  <si>
    <t>Hong Kong</t>
  </si>
  <si>
    <t>117.240.169.215</t>
  </si>
  <si>
    <t>9bd0408d-efba-4128-950f-98baca2430a0</t>
  </si>
  <si>
    <t>31145497-6030-417f-90f0-4628daf4f50d</t>
  </si>
  <si>
    <t>91.150.148.85</t>
  </si>
  <si>
    <t>77a0c0d8-6b6f-4db0-a0c8-154684c85778</t>
  </si>
  <si>
    <t>f71fc214-4891-40f4-8216-3bacc43bf0c3</t>
  </si>
  <si>
    <t>10.155.133.31</t>
  </si>
  <si>
    <t>5dd201e7-95b9-400a-9d6b-6c9a4cf74640</t>
  </si>
  <si>
    <t>eecf2345-89ba-424e-a469-08b12e75a7de</t>
  </si>
  <si>
    <t>Monte Carlo</t>
  </si>
  <si>
    <t>162.242.86.26</t>
  </si>
  <si>
    <t>6879a052-3853-469d-8931-d97cd16d0db2</t>
  </si>
  <si>
    <t>ff0099d6-ade1-40d4-bfcc-29d468a515f2</t>
  </si>
  <si>
    <t>Monaco</t>
  </si>
  <si>
    <t>169.149.13.146</t>
  </si>
  <si>
    <t>1a704a06-5844-402c-9695-bc192ba53f04</t>
  </si>
  <si>
    <t>fc963ae5-6392-450b-ad1f-017eca01e770</t>
  </si>
  <si>
    <t>125.42.64.39</t>
  </si>
  <si>
    <t>a41f408d-c77f-41e0-85e2-955623a7178c</t>
  </si>
  <si>
    <t>d70a5c2e-004b-4d18-a04e-b5ea312b4cd7</t>
  </si>
  <si>
    <t>218.142.129.67</t>
  </si>
  <si>
    <t>e3c94fa0-5038-4afe-ad3a-8edca0bb0b30</t>
  </si>
  <si>
    <t>f908fbab-c828-47e9-8fac-0180d27d1747</t>
  </si>
  <si>
    <t>158.143.140.131</t>
  </si>
  <si>
    <t>5a40aa0c-f032-411e-8704-4ebfc2c46044</t>
  </si>
  <si>
    <t>33ab78e0-25df-4902-baf5-512fe48cb665</t>
  </si>
  <si>
    <t>4.57.89.77</t>
  </si>
  <si>
    <t>4f67a98b-394f-4398-8432-cc5041450499</t>
  </si>
  <si>
    <t>8e52c52e-5542-4246-8a4f-ab97cbfa5a40</t>
  </si>
  <si>
    <t>169.228.189.89</t>
  </si>
  <si>
    <t>bd2d8ded-d6d8-48d7-bc36-e79f70207db1</t>
  </si>
  <si>
    <t>008348c6-138b-4231-8a28-8386f69c24e8</t>
  </si>
  <si>
    <t>67.120.248.92</t>
  </si>
  <si>
    <t>ab056d37-9dd3-4763-9edd-82d29ffbe708</t>
  </si>
  <si>
    <t>394a6249-995d-4cf8-bc20-6e37a7cd4b22</t>
  </si>
  <si>
    <t>205.16.175.43</t>
  </si>
  <si>
    <t>6e3fcd93-da0b-4769-9f04-a638f5f4e35c</t>
  </si>
  <si>
    <t>ffbea0c8-58db-44a0-b8e2-d96139e4fc8f</t>
  </si>
  <si>
    <t>248.74.78.253</t>
  </si>
  <si>
    <t>97ec2b31-4df6-4fce-842a-cfd9632a75de</t>
  </si>
  <si>
    <t>4d4ee4a7-28db-42c1-a63e-091968aa481b</t>
  </si>
  <si>
    <t>193.211.196.121</t>
  </si>
  <si>
    <t>73fab382-dafc-4dd3-83dd-e05cffea2bf0</t>
  </si>
  <si>
    <t>0c835fd2-1726-4b1b-90a5-a60125d85ff0</t>
  </si>
  <si>
    <t>170.225.85.107</t>
  </si>
  <si>
    <t>ee22f610-fc5d-43d8-a438-a77d93fdb84c</t>
  </si>
  <si>
    <t>a2b347f0-db0c-4cd8-90a8-f48061d3c366</t>
  </si>
  <si>
    <t>148.176.27.135</t>
  </si>
  <si>
    <t>9c9a91b3-734d-482c-9957-7329b4c68bf7</t>
  </si>
  <si>
    <t>461a5075-ae17-4cd8-836f-518f4a5f0b0e</t>
  </si>
  <si>
    <t>194.59.26.85</t>
  </si>
  <si>
    <t>c0f6c760-657e-43fd-a3db-77ecc7c47ed8</t>
  </si>
  <si>
    <t>57a0cc74-10e3-480e-a37f-a700cd7f7553</t>
  </si>
  <si>
    <t>119.204.243.154</t>
  </si>
  <si>
    <t>dffdedb9-0909-4006-b124-2eccec7bc581</t>
  </si>
  <si>
    <t>26096732-bbcc-4990-abdd-a89da010bda4</t>
  </si>
  <si>
    <t>New York</t>
  </si>
  <si>
    <t>122.119.194.199</t>
  </si>
  <si>
    <t>eab81f2f-b919-49e3-a063-e8103f40e7d2</t>
  </si>
  <si>
    <t>1d2db436-1f49-43c7-a331-a07a1d9fe6ae</t>
  </si>
  <si>
    <t>122.134.74.222</t>
  </si>
  <si>
    <t>9fba866a-87ed-445d-b4d0-f27d49cec83c</t>
  </si>
  <si>
    <t>acd95b35-b603-4035-9ed3-c71aaa991ffb</t>
  </si>
  <si>
    <t>Cannes</t>
  </si>
  <si>
    <t>4.147.229.195</t>
  </si>
  <si>
    <t>3e783c47-4b5f-4c37-9ff6-07e44223745a</t>
  </si>
  <si>
    <t>1e06cc86-d616-4479-b647-b34fc53b493a</t>
  </si>
  <si>
    <t>174.161.21.49</t>
  </si>
  <si>
    <t>dbca473a-1974-462d-9ee2-51f1d8a22097</t>
  </si>
  <si>
    <t>cf12b49a-153f-4103-8db3-929438c03136</t>
  </si>
  <si>
    <t>235.181.221.139</t>
  </si>
  <si>
    <t>2167bf58-eddd-4a07-a2a6-a7af002cc7fe</t>
  </si>
  <si>
    <t>aa7bfb04-c8a7-45ba-a3aa-4121f1040fd0</t>
  </si>
  <si>
    <t>86.138.136.50</t>
  </si>
  <si>
    <t>19b76d19-280e-4511-8893-53fe05f495cd</t>
  </si>
  <si>
    <t>f990f467-dd82-4254-9bf9-034b4444de21</t>
  </si>
  <si>
    <t>66.200.236.123</t>
  </si>
  <si>
    <t>6ddd4f7c-0273-4b37-824f-f5e41808b547</t>
  </si>
  <si>
    <t>ef46e331-a041-4ccc-a1d0-d3a36c9e0396</t>
  </si>
  <si>
    <t>188.99.172.92</t>
  </si>
  <si>
    <t>e577a37b-eb4d-4cae-b14a-6b92368f45f8</t>
  </si>
  <si>
    <t>f5bcf0df-9066-4d9f-933b-8ec2f3277c71</t>
  </si>
  <si>
    <t>81.5.4.34</t>
  </si>
  <si>
    <t>b115dc9a-01d8-46af-88ef-2603c9b22a57</t>
  </si>
  <si>
    <t>db0a57cb-fabd-4b0d-8ccd-6ec0ab1ea1fe</t>
  </si>
  <si>
    <t>4.210.50.53</t>
  </si>
  <si>
    <t>b42012a5-4d94-43d7-ac05-ab83c836c7ed</t>
  </si>
  <si>
    <t>b0424357-77dc-444d-a341-9e5e4e54309d</t>
  </si>
  <si>
    <t>176.228.179.112</t>
  </si>
  <si>
    <t>0e35381c-911b-4e10-ba9c-f12df3e0ba0e</t>
  </si>
  <si>
    <t>1fb6ce33-7eaa-4722-8409-3b9b901541a1</t>
  </si>
  <si>
    <t>186.145.128.98</t>
  </si>
  <si>
    <t>a11bbcfd-a12f-434a-8b50-30d3a252583e</t>
  </si>
  <si>
    <t>c342e5f1-662c-46c4-bd64-2c267d4bd8e7</t>
  </si>
  <si>
    <t>9.12.47.29</t>
  </si>
  <si>
    <t>4c353f11-d6a3-4192-905b-951f2a0e76a5</t>
  </si>
  <si>
    <t>0bcc0cf2-98cd-4a48-bc46-b92a5fce3646</t>
  </si>
  <si>
    <t>241.111.62.61</t>
  </si>
  <si>
    <t>e18e1488-4aa6-43fe-805a-99ba3efc9489</t>
  </si>
  <si>
    <t>41f58643-f49f-44b8-9cec-0638fb24f610</t>
  </si>
  <si>
    <t>23.66.192.94</t>
  </si>
  <si>
    <t>adb8b8a1-743c-4d6c-8d19-4210d3667911</t>
  </si>
  <si>
    <t>0f93560b-5005-474e-966b-f9743b90335c</t>
  </si>
  <si>
    <t>230.56.94.129</t>
  </si>
  <si>
    <t>658b0922-05bd-4faa-a13f-4cc167102664</t>
  </si>
  <si>
    <t>0597773a-2a06-47d6-bc9a-6d85d46c7ce2</t>
  </si>
  <si>
    <t>76.239.38.232</t>
  </si>
  <si>
    <t>96bf2e86-b1b5-4366-88da-d0c48ca76906</t>
  </si>
  <si>
    <t>6a7982a8-4cf1-45b9-a6dd-a7fecb327942</t>
  </si>
  <si>
    <t>237.141.218.165</t>
  </si>
  <si>
    <t>5a1e6dbb-0313-4d05-ae74-57a2696bc1db</t>
  </si>
  <si>
    <t>d4fa0e26-eae0-430a-9870-fa0ff5ba7e10</t>
  </si>
  <si>
    <t>66.82.37.141</t>
  </si>
  <si>
    <t>a50eda50-615c-43f8-9853-ebad82c8fc50</t>
  </si>
  <si>
    <t>11d2d86c-dda6-41b8-ab89-6316996ce363</t>
  </si>
  <si>
    <t>199.31.195.198</t>
  </si>
  <si>
    <t>432111e8-d59d-4411-bd7c-6d6b6419d164</t>
  </si>
  <si>
    <t>cd3fabe1-37e3-432d-aa4b-a620cacba236</t>
  </si>
  <si>
    <t>86.30.132.135</t>
  </si>
  <si>
    <t>187b0df8-0e1f-4c11-aa01-0172dcd7e492</t>
  </si>
  <si>
    <t>c2a51b1a-1104-4e9e-ad11-68d2f9eb80ca</t>
  </si>
  <si>
    <t>46.225.35.251</t>
  </si>
  <si>
    <t>f73252fc-5e38-49cb-ae09-1b7163fc88ad</t>
  </si>
  <si>
    <t>5b1ad02e-e70c-487f-adc4-48a0f11bb26b</t>
  </si>
  <si>
    <t>251.102.201.91</t>
  </si>
  <si>
    <t>210a3217-c25c-427b-8ca6-7affc6aaeac0</t>
  </si>
  <si>
    <t>3706178f-00a2-4182-b8de-7a5ccc84a0ad</t>
  </si>
  <si>
    <t>166.251.55.73</t>
  </si>
  <si>
    <t>84598a36-1232-4e4a-84e0-b0c2f4d72602</t>
  </si>
  <si>
    <t>d4cd65d5-f28b-4be0-8db0-8a393b8df8bb</t>
  </si>
  <si>
    <t>139.220.111.54</t>
  </si>
  <si>
    <t>f3e1a9e9-1477-4780-bcf1-79b5a82a08b4</t>
  </si>
  <si>
    <t>d3e84df5-de46-4803-b5a8-cd834da3e06b</t>
  </si>
  <si>
    <t>234.226.132.52</t>
  </si>
  <si>
    <t>9d3b804d-676e-4c94-b2a0-bbf13cad0519</t>
  </si>
  <si>
    <t>91b0a010-11b2-4032-923a-d8ff10b58533</t>
  </si>
  <si>
    <t>Geneva</t>
  </si>
  <si>
    <t>9.37.36.128</t>
  </si>
  <si>
    <t>94b1052c-201e-438c-839f-a8ef761a5ece</t>
  </si>
  <si>
    <t>99f28397-5ced-4874-bc81-cbe0f9d7ca83</t>
  </si>
  <si>
    <t>199.228.9.254</t>
  </si>
  <si>
    <t>50cba75f-5581-4d61-bc3b-b27e3155daaa</t>
  </si>
  <si>
    <t>5313bbd6-baaa-411c-8081-ae83558ac9b1</t>
  </si>
  <si>
    <t>39.0.19.199</t>
  </si>
  <si>
    <t>0aa5d501-7edd-4558-acf1-80203139e701</t>
  </si>
  <si>
    <t>65cb5c83-ad46-4e81-ab95-6479da4b91c2</t>
  </si>
  <si>
    <t>69.77.168.200</t>
  </si>
  <si>
    <t>63d2016e-e8f7-44c0-bafc-cf034c5c4bbb</t>
  </si>
  <si>
    <t>e0de57a8-3ae5-4d5a-9992-eb285a15c585</t>
  </si>
  <si>
    <t>148.1.251.244</t>
  </si>
  <si>
    <t>93f2d91c-4e95-4a16-a3f5-c6dc7465c9ff</t>
  </si>
  <si>
    <t>2df46caf-e75b-4ed2-b597-72203af2fa77</t>
  </si>
  <si>
    <t>112.206.35.115</t>
  </si>
  <si>
    <t>9f3c1f6c-5e50-4e68-b52f-4ca498407d73</t>
  </si>
  <si>
    <t>13d70325-0920-4b59-83bc-280fb02aea4c</t>
  </si>
  <si>
    <t>1.196.246.62</t>
  </si>
  <si>
    <t>11187cec-b922-4e80-ac45-bcc5501812a5</t>
  </si>
  <si>
    <t>ec765755-018a-493d-a13c-a9b8dc99eda9</t>
  </si>
  <si>
    <t>146.183.170.155</t>
  </si>
  <si>
    <t>90f29389-1de3-4e3b-83b0-912904e1cfb5</t>
  </si>
  <si>
    <t>cf571e04-95a8-47f7-84f0-0aeb4dbdfdd9</t>
  </si>
  <si>
    <t>103.28.46.187</t>
  </si>
  <si>
    <t>c79770ed-bb16-48ec-ad18-bea61f716edc</t>
  </si>
  <si>
    <t>613bd62f-3478-4417-90ce-0ef315523e08</t>
  </si>
  <si>
    <t>137.174.41.235</t>
  </si>
  <si>
    <t>ae5fa3c8-9413-4fe4-983e-2faef91cb271</t>
  </si>
  <si>
    <t>c1ea4023-d634-44a1-8736-e1441fdbc231</t>
  </si>
  <si>
    <t>195.148.103.90</t>
  </si>
  <si>
    <t>50dc5adf-f4f4-4c5a-b287-d5760b1be0f7</t>
  </si>
  <si>
    <t>9e253ec5-4f56-44cf-b58d-5b1887126e0c</t>
  </si>
  <si>
    <t>142.20.196.97</t>
  </si>
  <si>
    <t>22043902-1254-4316-b359-6ffd8c2a4828</t>
  </si>
  <si>
    <t>a7613b3e-ded7-4d55-a976-aba846ee63a9</t>
  </si>
  <si>
    <t>77.199.54.183</t>
  </si>
  <si>
    <t>cdd33841-e7b9-4d73-b08e-ecb02e801c10</t>
  </si>
  <si>
    <t>652aff8f-e520-4377-ae1f-0cd1e63ea183</t>
  </si>
  <si>
    <t>125.43.224.97</t>
  </si>
  <si>
    <t>a3d630cc-d604-4ea8-b8c2-1aba6e6d93dd</t>
  </si>
  <si>
    <t>05d6b103-19d0-4477-bdda-d374c9fd301b</t>
  </si>
  <si>
    <t>36.18.98.12</t>
  </si>
  <si>
    <t>f380cddb-80d1-4987-b2cb-82b249648780</t>
  </si>
  <si>
    <t>6b22aeb6-f944-4dd2-83a0-90d3cb1fb2fb</t>
  </si>
  <si>
    <t>185.122.250.199</t>
  </si>
  <si>
    <t>67ac90fd-3b25-46fb-b174-0bab17e5d25c</t>
  </si>
  <si>
    <t>c7ffee57-3de0-4bbc-b037-aa8d146a3a3b</t>
  </si>
  <si>
    <t>17.157.255.230</t>
  </si>
  <si>
    <t>da0a8c73-8495-4c1b-9c92-e2e61971f199</t>
  </si>
  <si>
    <t>5984baaa-3e88-4afa-8082-16799ba2cbac</t>
  </si>
  <si>
    <t>248.8.18.173</t>
  </si>
  <si>
    <t>11bd47c6-ceef-4cd7-812a-bcea15b1638d</t>
  </si>
  <si>
    <t>69a4b762-b8c0-4f15-a6a9-43377f4392c3</t>
  </si>
  <si>
    <t>15.172.21.207</t>
  </si>
  <si>
    <t>728be591-ddf1-47d4-b19e-38220e9a4536</t>
  </si>
  <si>
    <t>70e679e2-3803-4b3e-9f6a-5a02780969ff</t>
  </si>
  <si>
    <t>31.108.234.76</t>
  </si>
  <si>
    <t>a0baa93f-1bfa-44a1-8ab2-6c1841841e56</t>
  </si>
  <si>
    <t>cdc56d58-e8db-478f-a4ef-156e2c613196</t>
  </si>
  <si>
    <t>190.119.36.18</t>
  </si>
  <si>
    <t>85658a57-8468-47ca-9dd7-952b6eb0c7b3</t>
  </si>
  <si>
    <t>8bd25faf-1c7a-4c2e-8e85-38f27a6a7aa7</t>
  </si>
  <si>
    <t>189.72.250.9</t>
  </si>
  <si>
    <t>ceb91753-808b-4837-b17d-2f75b7df47bd</t>
  </si>
  <si>
    <t>1c61d30f-35ca-446f-88b4-04912a33fd24</t>
  </si>
  <si>
    <t>121.23.124.66</t>
  </si>
  <si>
    <t>98f9bc62-7de7-4de7-958b-b60150c3c285</t>
  </si>
  <si>
    <t>ff3301a8-61f9-4c52-9dc2-ee371af43506</t>
  </si>
  <si>
    <t>4.88.25.157</t>
  </si>
  <si>
    <t>921843ff-e5d4-4ceb-bb32-9db73535d82b</t>
  </si>
  <si>
    <t>0d30fed1-5e1d-4f8a-ac6f-1224771d779f</t>
  </si>
  <si>
    <t>211.49.233.87</t>
  </si>
  <si>
    <t>d22867b0-7926-4671-89f6-0ba1d397b646</t>
  </si>
  <si>
    <t>4d76b617-8458-4fb6-a585-183be0baab5e</t>
  </si>
  <si>
    <t>214.32.54.58</t>
  </si>
  <si>
    <t>1d212f46-591a-4b22-ba4c-965af7d08e5f</t>
  </si>
  <si>
    <t>fba8a6df-84a2-4673-aacd-06cc407b7001</t>
  </si>
  <si>
    <t>128.112.32.103</t>
  </si>
  <si>
    <t>1f3c9ada-84af-44da-ae6b-417c80b08240</t>
  </si>
  <si>
    <t>c59b9f3d-d57f-4fef-b355-02303d9031f6</t>
  </si>
  <si>
    <t>110.172.205.166</t>
  </si>
  <si>
    <t>1b277e93-767e-4a27-90cc-f321a3c5b96a</t>
  </si>
  <si>
    <t>0a6adf88-3d6b-439b-b530-09b34bcf2908</t>
  </si>
  <si>
    <t>31.70.164.109</t>
  </si>
  <si>
    <t>68cfbdc4-cd01-498b-977f-157cdce8b17b</t>
  </si>
  <si>
    <t>266ac8ff-d7a6-4d93-b667-91365d62c060</t>
  </si>
  <si>
    <t>196.23.88.171</t>
  </si>
  <si>
    <t>0fc18b1b-0280-432c-80d8-670adafd8e86</t>
  </si>
  <si>
    <t>16a66509-7a69-497f-b481-3e2202d189f7</t>
  </si>
  <si>
    <t>17.61.140.72</t>
  </si>
  <si>
    <t>24fcb55f-a1ae-467b-97f9-0d2878a2ef71</t>
  </si>
  <si>
    <t>e7e35696-32d5-4cdb-afe4-8c3169d4ea6f</t>
  </si>
  <si>
    <t>194.212.86.189</t>
  </si>
  <si>
    <t>309157e0-e871-4547-837d-e1ea2ee0e9bf</t>
  </si>
  <si>
    <t>56fb1bde-ef1a-4b96-ba3e-3a6e0ab14d9a</t>
  </si>
  <si>
    <t>142.84.224.124</t>
  </si>
  <si>
    <t>1d14a3f2-4f04-4dc6-bc54-525f58db1efb</t>
  </si>
  <si>
    <t>3a3eb8a7-7baf-48c5-8e50-95905d5ea5be</t>
  </si>
  <si>
    <t>237.20.68.51</t>
  </si>
  <si>
    <t>8f4396ad-0185-42f0-887e-321d757f999d</t>
  </si>
  <si>
    <t>7dc61ff1-5d99-4f7c-9245-517c8cb5ee7f</t>
  </si>
  <si>
    <t>203.192.80.8</t>
  </si>
  <si>
    <t>39f5d173-89bb-474f-8c43-9160e70a067e</t>
  </si>
  <si>
    <t>5c7b1a01-1642-45a1-8ae8-d1d176c59b03</t>
  </si>
  <si>
    <t>226.249.41.3</t>
  </si>
  <si>
    <t>8876fcff-efe6-480f-b7d9-bda56ef6384e</t>
  </si>
  <si>
    <t>9646eed0-6bd0-4254-b81c-f9eb24edd1c3</t>
  </si>
  <si>
    <t>2.91.45.145</t>
  </si>
  <si>
    <t>4cd07b1c-9fa8-4839-b955-56282806c016</t>
  </si>
  <si>
    <t>812bd525-ad5a-4b1d-b924-86ae7ee54933</t>
  </si>
  <si>
    <t>107.243.64.105</t>
  </si>
  <si>
    <t>47cf89e0-cab2-4b72-a4ee-67c006191ca0</t>
  </si>
  <si>
    <t>a29d8e6d-7500-45ce-b874-315e8d1435ab</t>
  </si>
  <si>
    <t>37.138.230.210</t>
  </si>
  <si>
    <t>86ca39de-0b5a-4d6a-aaae-76bb34e46f36</t>
  </si>
  <si>
    <t>59afb5aa-a559-49b8-9b7b-900b46f15d2c</t>
  </si>
  <si>
    <t>62.89.19.92</t>
  </si>
  <si>
    <t>c5686096-2e0e-4ad9-a846-2725d23c8764</t>
  </si>
  <si>
    <t>59b067c5-3c68-41cd-83e0-76adad2b8c88</t>
  </si>
  <si>
    <t>184.255.45.154</t>
  </si>
  <si>
    <t>9e715d5e-e198-4d0e-9efa-a53641803baa</t>
  </si>
  <si>
    <t>49c485bb-1dd4-43d7-98ed-c6c822a3d84e</t>
  </si>
  <si>
    <t>90.214.2.120</t>
  </si>
  <si>
    <t>b3d32fd8-731f-4aff-8c68-b2d3f2385441</t>
  </si>
  <si>
    <t>f3684992-a0d3-4990-8894-7931f94d02df</t>
  </si>
  <si>
    <t>50.60.48.185</t>
  </si>
  <si>
    <t>682dc40f-f827-4485-b04a-0c211e222ef8</t>
  </si>
  <si>
    <t>cd2b20d4-19d5-435d-b72d-4ce3cb2d6562</t>
  </si>
  <si>
    <t>221.112.237.106</t>
  </si>
  <si>
    <t>4c793917-25db-45e3-8132-e6e3f6905afc</t>
  </si>
  <si>
    <t>2a98eae1-94da-47dd-8dc2-d1c88a9326da</t>
  </si>
  <si>
    <t>71.27.99.57</t>
  </si>
  <si>
    <t>3d4dfd80-969d-4321-9b8c-89b755e24f2b</t>
  </si>
  <si>
    <t>5227ad06-75d5-48ff-99ed-4231fca2920f</t>
  </si>
  <si>
    <t>204.76.242.254</t>
  </si>
  <si>
    <t>13695dd2-8416-445a-bb4e-6e186a7619d4</t>
  </si>
  <si>
    <t>0421f481-0525-4b32-8346-f1127b2fbd7f</t>
  </si>
  <si>
    <t>46.81.22.27</t>
  </si>
  <si>
    <t>861faf44-d734-4e66-9105-cb1adbe0361e</t>
  </si>
  <si>
    <t>3d3ce5b2-f5b7-4fc0-8bbd-a50085c8bd89</t>
  </si>
  <si>
    <t>166.186.145.107</t>
  </si>
  <si>
    <t>9b0c1f84-a641-4c45-9a75-70e93385d6ab</t>
  </si>
  <si>
    <t>b9a08b7c-88da-4b52-8385-3b70d2691791</t>
  </si>
  <si>
    <t>112.128.171.232</t>
  </si>
  <si>
    <t>563481ff-6aa4-4487-8e86-d9cc2b4015f0</t>
  </si>
  <si>
    <t>b30e889d-3052-4ae0-a571-b801286e33af</t>
  </si>
  <si>
    <t>12.53.26.90</t>
  </si>
  <si>
    <t>5fa9e6f9-fe75-4f20-ad99-60c54508ff5c</t>
  </si>
  <si>
    <t>8e919042-af78-45a6-acd9-db3b0fede8cf</t>
  </si>
  <si>
    <t>41.14.248.59</t>
  </si>
  <si>
    <t>3334a0de-d538-4a26-a05b-39001cd7d747</t>
  </si>
  <si>
    <t>9e5f76ee-71a4-49ab-8fe5-3c8b8cfb4110</t>
  </si>
  <si>
    <t>19.120.227.166</t>
  </si>
  <si>
    <t>1dd6264e-b6dc-4ae7-8c45-4c312e6114c0</t>
  </si>
  <si>
    <t>5971c204-1c0d-4c83-9420-adb88604e21b</t>
  </si>
  <si>
    <t>108.101.166.117</t>
  </si>
  <si>
    <t>29241b91-bb5f-47ce-aafa-17fe6eec84bc</t>
  </si>
  <si>
    <t>bce62748-36d4-4654-9af0-d3a820f826e4</t>
  </si>
  <si>
    <t>200.56.166.116</t>
  </si>
  <si>
    <t>ea71777a-67a6-4a3f-b01f-54bb8ba127f4</t>
  </si>
  <si>
    <t>48074c6d-cc06-4630-bbe9-0f55d23f2576</t>
  </si>
  <si>
    <t>26.121.211.102</t>
  </si>
  <si>
    <t>3ad8e2ba-bd62-405a-bb05-07e6dc24239a</t>
  </si>
  <si>
    <t>4b8eafb4-bbf0-404b-8602-009c952db8ba</t>
  </si>
  <si>
    <t>97.112.37.241</t>
  </si>
  <si>
    <t>d90bf1e5-f7ed-4d19-9866-8ca7256d3287</t>
  </si>
  <si>
    <t>5ff5e5aa-44c0-4dfc-a4fc-2c3addb0b8f5</t>
  </si>
  <si>
    <t>150.248.27.223</t>
  </si>
  <si>
    <t>241121f6-8d22-4588-ab01-902829517a11</t>
  </si>
  <si>
    <t>a662ce87-86a1-4dc6-acc1-c81900f99981</t>
  </si>
  <si>
    <t>38.110.232.91</t>
  </si>
  <si>
    <t>be66f47b-619c-4549-a134-b9193f4c2a88</t>
  </si>
  <si>
    <t>e5e46166-c127-4d46-956b-123a5ec4c692</t>
  </si>
  <si>
    <t>100.191.69.234</t>
  </si>
  <si>
    <t>38cfaa96-972a-4e47-879c-d031635f9160</t>
  </si>
  <si>
    <t>eaa6374e-ef6e-4d1c-b40e-39f620633706</t>
  </si>
  <si>
    <t>185.99.183.138</t>
  </si>
  <si>
    <t>31555f36-5f14-4647-b279-888f279cc99f</t>
  </si>
  <si>
    <t>3d4ec728-c9e4-4993-a875-7a06cb8a4300</t>
  </si>
  <si>
    <t>52.171.65.16</t>
  </si>
  <si>
    <t>8f416cfc-86c7-416e-aedf-bf4d5a42d68c</t>
  </si>
  <si>
    <t>a92c4bc1-9a76-4dee-bace-479e2ac760d0</t>
  </si>
  <si>
    <t>178.30.143.69</t>
  </si>
  <si>
    <t>ba76e600-21d0-4e2c-a28f-66ac7e250d61</t>
  </si>
  <si>
    <t>6d273045-c740-468b-b372-d8d801ce4410</t>
  </si>
  <si>
    <t>29.238.234.214</t>
  </si>
  <si>
    <t>0b2510ae-dbce-4957-906b-bac751631c86</t>
  </si>
  <si>
    <t>a8e7b5dc-b305-4c1a-8e6f-69b10809761d</t>
  </si>
  <si>
    <t>44.175.112.151</t>
  </si>
  <si>
    <t>c30a684b-05c5-4b0b-ba1f-34ba9c64b3d3</t>
  </si>
  <si>
    <t>9d542826-1dac-48ab-b486-2c6e816aec68</t>
  </si>
  <si>
    <t>155.80.87.117</t>
  </si>
  <si>
    <t>a6152648-9878-42f6-975f-54cfcf3d7b36</t>
  </si>
  <si>
    <t>080099d5-6fe7-4a8c-ae53-362480708a4c</t>
  </si>
  <si>
    <t>23.210.250.110</t>
  </si>
  <si>
    <t>9e54a52f-96f1-403e-8b4a-1646b9ff86be</t>
  </si>
  <si>
    <t>5b324b9e-1295-4963-bf56-05efe9957ff0</t>
  </si>
  <si>
    <t>152.242.236.142</t>
  </si>
  <si>
    <t>94d62b9b-8d8a-4616-8ef3-b7739caa95d1</t>
  </si>
  <si>
    <t>73592500-6547-44ef-bf9d-e861bb71cf44</t>
  </si>
  <si>
    <t>4.219.126.126</t>
  </si>
  <si>
    <t>46183b5f-84ed-4652-b41c-a15edcceaed9</t>
  </si>
  <si>
    <t>502a4f6f-f003-44c2-8531-5b45ec664d80</t>
  </si>
  <si>
    <t>84.222.113.76</t>
  </si>
  <si>
    <t>76895c02-d387-4570-abd7-ebf1ceb20060</t>
  </si>
  <si>
    <t>448ca2a2-5489-41a2-83c5-d77a80d50d94</t>
  </si>
  <si>
    <t>234.2.213.22</t>
  </si>
  <si>
    <t>1a8d4240-0561-4617-b693-55ffb7a47411</t>
  </si>
  <si>
    <t>251dc952-95c1-4316-aefc-6381afe31601</t>
  </si>
  <si>
    <t>11.240.17.217</t>
  </si>
  <si>
    <t>f31123af-14ba-48c4-aca3-e82a4e27a724</t>
  </si>
  <si>
    <t>94934bf3-a029-4ef5-9f05-d31115815e76</t>
  </si>
  <si>
    <t>136.201.245.50</t>
  </si>
  <si>
    <t>af336251-2aa7-4c62-8f87-0d65f9c23050</t>
  </si>
  <si>
    <t>4cbc1790-e1dc-4ad1-a998-898f2f1856e4</t>
  </si>
  <si>
    <t>116.253.123.42</t>
  </si>
  <si>
    <t>06727fc6-1b9d-4e45-a02c-da96d340fae3</t>
  </si>
  <si>
    <t>2d1ae94f-d89d-4591-9b06-3d7bf0195139</t>
  </si>
  <si>
    <t>143.6.208.111</t>
  </si>
  <si>
    <t>7ed010a7-7759-459f-bc36-a44963f4b725</t>
  </si>
  <si>
    <t>cd65454c-2d4a-4a74-a981-bd24dda03189</t>
  </si>
  <si>
    <t>34.183.151.122</t>
  </si>
  <si>
    <t>a2c9a3f2-923f-4d65-82c3-15adb16304cb</t>
  </si>
  <si>
    <t>640e6453-dbd9-47b4-a118-926ec38d952b</t>
  </si>
  <si>
    <t>166.46.8.245</t>
  </si>
  <si>
    <t>d21d08ff-a21b-4866-929f-5dcd76eb4c62</t>
  </si>
  <si>
    <t>9cadece1-83ce-4a4d-a44d-bc8c08e700cb</t>
  </si>
  <si>
    <t>172.156.82.235</t>
  </si>
  <si>
    <t>81fef45e-2100-4eb7-9e38-ba43005aaefc</t>
  </si>
  <si>
    <t>45e28278-f5a7-4f90-88ad-0eaf3121f730</t>
  </si>
  <si>
    <t>220.12.232.237</t>
  </si>
  <si>
    <t>ea6b9464-d35e-4990-ba1d-07fddefcc21a</t>
  </si>
  <si>
    <t>8a3c1a9d-dac5-4c02-87ad-6c453e363a42</t>
  </si>
  <si>
    <t>198.70.207.94</t>
  </si>
  <si>
    <t>62fe4738-7afd-4601-9804-48fa6aa6a630</t>
  </si>
  <si>
    <t>6fdf3d7c-d3e7-4cc6-8b91-c8561e857ac7</t>
  </si>
  <si>
    <t>203.189.237.0</t>
  </si>
  <si>
    <t>4719c0d9-d7a7-4b27-8bce-c4e81ba1c656</t>
  </si>
  <si>
    <t>1958c130-d68e-48a2-b9ee-c2b3c4538d83</t>
  </si>
  <si>
    <t>221.36.197.170</t>
  </si>
  <si>
    <t>88b280b2-8885-42d6-b77f-faad338d4604</t>
  </si>
  <si>
    <t>7421f655-c34e-4caf-8790-87a39ae96829</t>
  </si>
  <si>
    <t>136.16.151.218</t>
  </si>
  <si>
    <t>d330d435-ba26-4d42-9b8e-86e0652b73a7</t>
  </si>
  <si>
    <t>743b9c2c-4d5f-4ca4-9371-c6dbba82b9f3</t>
  </si>
  <si>
    <t>193.138.106.41</t>
  </si>
  <si>
    <t>3bd19b93-e404-4b88-a81f-e4853196984f</t>
  </si>
  <si>
    <t>c7c94a49-afbb-4b42-98c4-51da99a57e08</t>
  </si>
  <si>
    <t>159.171.28.186</t>
  </si>
  <si>
    <t>d542524c-51fe-4ce4-84ff-fb3179168775</t>
  </si>
  <si>
    <t>8359b93e-e63d-4ad7-902b-41e4035b13ae</t>
  </si>
  <si>
    <t>228.26.56.196</t>
  </si>
  <si>
    <t>4a8811ce-1d99-4427-a35d-82f9094e2750</t>
  </si>
  <si>
    <t>b51d584f-0d75-456a-b6ab-fa40b0abf0de</t>
  </si>
  <si>
    <t>94.238.20.187</t>
  </si>
  <si>
    <t>33d13587-727d-4d73-b997-07aeaf5bf837</t>
  </si>
  <si>
    <t>53e8ee40-2f90-4c4e-a252-c4f92d09b356</t>
  </si>
  <si>
    <t>94.89.34.104</t>
  </si>
  <si>
    <t>736a689c-0a72-4bee-b469-8eb67aeb57ae</t>
  </si>
  <si>
    <t>4e239956-f8ce-41ad-a668-8e00c2a76578</t>
  </si>
  <si>
    <t>36.171.122.58</t>
  </si>
  <si>
    <t>579fcc3b-932a-4da8-8be8-f04e202761d7</t>
  </si>
  <si>
    <t>b2d1d7e4-f926-42ba-916a-a9b4d30d4267</t>
  </si>
  <si>
    <t>167.244.107.115</t>
  </si>
  <si>
    <t>e502db29-db43-4f16-bf4a-c0f0f5a85f5c</t>
  </si>
  <si>
    <t>2e412d5c-93a3-498f-8753-a97fe6af9160</t>
  </si>
  <si>
    <t>83.180.136.216</t>
  </si>
  <si>
    <t>fef4f182-24c2-47c7-9a7c-6e313e307475</t>
  </si>
  <si>
    <t>1dbd16c4-f554-4d77-9966-24cd991afa9f</t>
  </si>
  <si>
    <t>71.27.32.190</t>
  </si>
  <si>
    <t>1bd1581c-dd35-4e35-b54e-b28406bc0b13</t>
  </si>
  <si>
    <t>bbe47637-4ed8-47c0-b65b-f090c0654bfe</t>
  </si>
  <si>
    <t>89.231.248.62</t>
  </si>
  <si>
    <t>c979a9ff-ae68-474f-941d-af4f72a63b8f</t>
  </si>
  <si>
    <t>e2812788-1558-44c0-b36d-359d6d5c98e9</t>
  </si>
  <si>
    <t>121.149.231.188</t>
  </si>
  <si>
    <t>6c094d8f-52e1-4cd1-b0d6-406acb126554</t>
  </si>
  <si>
    <t>cd10c56e-af0c-44a8-8db6-a06743ed5e31</t>
  </si>
  <si>
    <t>205.33.96.234</t>
  </si>
  <si>
    <t>4a4d1070-8c4d-4c97-8eae-abb1dc314c9e</t>
  </si>
  <si>
    <t>94c5814c-72a6-4c33-8a45-c377bcd8f7dc</t>
  </si>
  <si>
    <t>23.41.200.91</t>
  </si>
  <si>
    <t>5a2d6606-a9e7-4db1-9dd1-12f0eb08f1ee</t>
  </si>
  <si>
    <t>2814859b-2f60-41ad-b874-520c520a7577</t>
  </si>
  <si>
    <t>74.39.55.84</t>
  </si>
  <si>
    <t>394c15f4-5188-4de2-9001-9752a5d6076d</t>
  </si>
  <si>
    <t>b94a982f-f162-4a62-8c79-a7d8bfe29b74</t>
  </si>
  <si>
    <t>71.57.75.254</t>
  </si>
  <si>
    <t>2e673a18-cb06-4bec-8cc4-c597e7f4e458</t>
  </si>
  <si>
    <t>9d0f1fd7-824b-438f-9e4c-4c4f7b784f8c</t>
  </si>
  <si>
    <t>39.104.11.150</t>
  </si>
  <si>
    <t>28a7d0de-b2e4-4f29-95fe-98c8f2c5c1c0</t>
  </si>
  <si>
    <t>54ac3849-1f63-47b4-b3ef-5f10e7f8ef61</t>
  </si>
  <si>
    <t>107.67.242.177</t>
  </si>
  <si>
    <t>ae88a2e1-1809-469a-8d50-680e78ac04b3</t>
  </si>
  <si>
    <t>ebb5d401-388a-4103-9833-94c21ac208a7</t>
  </si>
  <si>
    <t>108.227.10.149</t>
  </si>
  <si>
    <t>0a02c93a-7e91-4472-9333-bf2dede35749</t>
  </si>
  <si>
    <t>839a2133-ee7a-45d9-ab79-164d9aa56cb1</t>
  </si>
  <si>
    <t>49.32.11.118</t>
  </si>
  <si>
    <t>cf2da08e-de39-4957-8dd6-5f10b76c0de8</t>
  </si>
  <si>
    <t>c27e4264-c66b-442d-83a4-3cfeabfbe26b</t>
  </si>
  <si>
    <t>214.171.210.175</t>
  </si>
  <si>
    <t>335ada54-a9de-4800-b4cf-381abcd96b6c</t>
  </si>
  <si>
    <t>560dcc0d-e9ee-42cb-84d2-6d613658bbed</t>
  </si>
  <si>
    <t>168.167.248.227</t>
  </si>
  <si>
    <t>c2e6fc2e-dce6-4ebf-83d7-9380063c2710</t>
  </si>
  <si>
    <t>eb7c163d-488f-46ab-b07f-9afbb5a98866</t>
  </si>
  <si>
    <t>118.155.67.156</t>
  </si>
  <si>
    <t>b26cc24c-dd28-456f-988d-26573560a205</t>
  </si>
  <si>
    <t>11ad3f37-22fb-4d21-afab-b9a06fc41bc9</t>
  </si>
  <si>
    <t>44.133.116.247</t>
  </si>
  <si>
    <t>663d8a76-1f6c-42c1-acd0-d2368d155d2b</t>
  </si>
  <si>
    <t>50820871-e68a-4186-9795-cf49512e20fc</t>
  </si>
  <si>
    <t>96.147.24.75</t>
  </si>
  <si>
    <t>d175801d-07dd-4682-ab9f-3c699f862086</t>
  </si>
  <si>
    <t>5bfde3b4-3197-41ef-9058-6c605045109d</t>
  </si>
  <si>
    <t>91.145.233.85</t>
  </si>
  <si>
    <t>67e5b44f-c243-472e-a235-c42b3aa091a5</t>
  </si>
  <si>
    <t>67e2eee7-9b17-4f62-a30e-0a883725e528</t>
  </si>
  <si>
    <t>159.82.146.93</t>
  </si>
  <si>
    <t>880623d4-15f3-49b0-9ab3-6fd88c8ad57d</t>
  </si>
  <si>
    <t>d13e3538-cd09-4370-9ffa-476654a243a8</t>
  </si>
  <si>
    <t>250.89.78.82</t>
  </si>
  <si>
    <t>253ba57b-4ede-4888-8472-af061c43b9fa</t>
  </si>
  <si>
    <t>aa3b43e3-7eaa-4db7-85d4-8aaefcbeaaa8</t>
  </si>
  <si>
    <t>61.59.21.162</t>
  </si>
  <si>
    <t>14504d17-a2b5-4e02-90d3-c12a7f606fcc</t>
  </si>
  <si>
    <t>6effe1c9-e983-4646-af1b-1428a0be60e0</t>
  </si>
  <si>
    <t>148.64.225.133</t>
  </si>
  <si>
    <t>66d57461-2a42-4b5b-aba6-382fe98b95f4</t>
  </si>
  <si>
    <t>1a6e1612-8e89-4396-a3af-647e6cd35471</t>
  </si>
  <si>
    <t>95.94.105.17</t>
  </si>
  <si>
    <t>8e001577-5dd3-4775-8481-41dab867b09e</t>
  </si>
  <si>
    <t>bd5246bf-8151-43f7-bd26-759e370072ff</t>
  </si>
  <si>
    <t>171.162.176.75</t>
  </si>
  <si>
    <t>04d2e622-7f64-4dec-a085-b5e964580670</t>
  </si>
  <si>
    <t>2def35a3-eea4-4046-90b3-5f5105ddee18</t>
  </si>
  <si>
    <t>96.229.83.154</t>
  </si>
  <si>
    <t>b6cb8a69-20bc-4ac3-a079-828ee5b8c858</t>
  </si>
  <si>
    <t>a95c07b3-16d2-4123-b269-b60725a67aba</t>
  </si>
  <si>
    <t>32.12.207.255</t>
  </si>
  <si>
    <t>bc4f04a5-aa0e-49b1-ad32-39eb5f821131</t>
  </si>
  <si>
    <t>8c154c14-f3af-42a3-990f-af67ffd8956a</t>
  </si>
  <si>
    <t>197.74.234.163</t>
  </si>
  <si>
    <t>ae15b685-3bd9-4bf4-be34-b3e043f58315</t>
  </si>
  <si>
    <t>3202dfb2-e187-422a-b214-a64583c64f41</t>
  </si>
  <si>
    <t>40.2.169.151</t>
  </si>
  <si>
    <t>ac214fab-5e76-4a55-8259-9a2b421fc795</t>
  </si>
  <si>
    <t>cfa4a785-8ffa-45c8-831c-88f15af01f28</t>
  </si>
  <si>
    <t>122.148.75.226</t>
  </si>
  <si>
    <t>b08b27f1-96a1-4818-9540-df12a44c0dce</t>
  </si>
  <si>
    <t>25c5ce3c-27dd-4844-851f-14a2bee286a1</t>
  </si>
  <si>
    <t>87.57.245.20</t>
  </si>
  <si>
    <t>9b0931df-aa03-40da-a9c3-7f74518fe0cb</t>
  </si>
  <si>
    <t>eea8f7e3-bc03-4257-8846-cb57caeba7d5</t>
  </si>
  <si>
    <t>36.59.157.12</t>
  </si>
  <si>
    <t>ecef6965-1614-4fe7-b4ef-352c4f9e65a8</t>
  </si>
  <si>
    <t>204762f7-6577-4bb8-bf10-8ee3fd8af006</t>
  </si>
  <si>
    <t>103.112.228.182</t>
  </si>
  <si>
    <t>337fdf80-15ed-4214-82b3-8aa2dcfa7687</t>
  </si>
  <si>
    <t>83b4d3a8-ab4d-4b32-b2c2-b98c3acd101e</t>
  </si>
  <si>
    <t>24.167.28.99</t>
  </si>
  <si>
    <t>96dac936-5460-47e0-93e4-97387bb5352e</t>
  </si>
  <si>
    <t>0ad7048e-5da6-41ba-9013-637a631f3747</t>
  </si>
  <si>
    <t>150.113.142.100</t>
  </si>
  <si>
    <t>c46e34b8-8994-4065-9931-7d9102173206</t>
  </si>
  <si>
    <t>f183039d-92dc-4edb-93b6-9748f94553a4</t>
  </si>
  <si>
    <t>6.42.228.44</t>
  </si>
  <si>
    <t>fbcfd1f3-892b-4951-8e93-2be1b3af35b8</t>
  </si>
  <si>
    <t>4ddd604e-a4bc-4d86-9a0c-1ce01a4f6583</t>
  </si>
  <si>
    <t>250.201.99.251</t>
  </si>
  <si>
    <t>914a4923-3272-4ff1-ba06-c65ef3fee637</t>
  </si>
  <si>
    <t>31433e10-5ceb-4646-8956-6f6c132ee255</t>
  </si>
  <si>
    <t>82.28.184.203</t>
  </si>
  <si>
    <t>a5b590bb-5c4d-41ae-a3ab-6acf00a70c3c</t>
  </si>
  <si>
    <t>4c66c3a7-11b2-4a50-8c2a-162f24bc7d4a</t>
  </si>
  <si>
    <t>38.218.189.197</t>
  </si>
  <si>
    <t>873c4a76-bc07-4af1-8bf1-69db22059a52</t>
  </si>
  <si>
    <t>1f2b7666-45c0-4ebd-a232-7ac2009c1e7d</t>
  </si>
  <si>
    <t>96.6.145.176</t>
  </si>
  <si>
    <t>a0973d23-33f1-4e86-880f-50b945d037ab</t>
  </si>
  <si>
    <t>18e4ca2b-cc09-46db-a4c9-a9ba10aeac8b</t>
  </si>
  <si>
    <t>90.157.228.44</t>
  </si>
  <si>
    <t>0db245ef-d078-4519-a000-9605d7fba2be</t>
  </si>
  <si>
    <t>e1bbf4f9-45e0-4e07-8944-a9b1192d14d5</t>
  </si>
  <si>
    <t>56.227.212.226</t>
  </si>
  <si>
    <t>619a5625-538d-4aa3-aeed-edb8c1cfcd87</t>
  </si>
  <si>
    <t>aa6b2170-1275-466a-8322-458a18893b57</t>
  </si>
  <si>
    <t>74.83.217.212</t>
  </si>
  <si>
    <t>d8c97f41-44c5-4850-a350-6e85d3c246e7</t>
  </si>
  <si>
    <t>e68cb1ad-e7af-45f7-93fc-f11e32f0a9aa</t>
  </si>
  <si>
    <t>36.44.73.106</t>
  </si>
  <si>
    <t>b885404b-0ecc-49c6-a990-c926ac74b9ab</t>
  </si>
  <si>
    <t>499fd1bc-a1f9-433b-a7a2-b20ee66b22e3</t>
  </si>
  <si>
    <t>78.243.171.33</t>
  </si>
  <si>
    <t>b230f530-9d3e-43af-8bd7-b0b3fbfeed5f</t>
  </si>
  <si>
    <t>001d3772-360f-455a-b16d-0faf018d9470</t>
  </si>
  <si>
    <t>239.192.45.3</t>
  </si>
  <si>
    <t>781ffa7d-4493-4b4c-b015-4d61558c4cec</t>
  </si>
  <si>
    <t>d06af170-fec8-4563-b26d-617e9ebf980f</t>
  </si>
  <si>
    <t>105.139.212.89</t>
  </si>
  <si>
    <t>67fe0506-77da-4237-86ba-30f016e993b9</t>
  </si>
  <si>
    <t>83a3c15c-3e65-4c2b-84ed-a64e6bdebe09</t>
  </si>
  <si>
    <t>143.236.70.102</t>
  </si>
  <si>
    <t>5786faf6-4202-4182-be21-13c935936934</t>
  </si>
  <si>
    <t>12ffcac3-3c52-48ba-990a-d34759ad2c68</t>
  </si>
  <si>
    <t>48.195.148.251</t>
  </si>
  <si>
    <t>bfcb358e-fe90-4c39-87c7-b8c192d89119</t>
  </si>
  <si>
    <t>2377695f-5136-40a6-95dc-138c661afaf8</t>
  </si>
  <si>
    <t>11.154.155.252</t>
  </si>
  <si>
    <t>d3bc55cb-cfdd-4c2d-b780-ca5a09d61f94</t>
  </si>
  <si>
    <t>b151be34-e1b2-4da3-97ed-06a7828a49d1</t>
  </si>
  <si>
    <t>144.237.114.13</t>
  </si>
  <si>
    <t>3ca40516-3a96-4b5a-a181-a3b8461b7c56</t>
  </si>
  <si>
    <t>b16c2f34-924f-4cdc-932c-2d9e79c34bc3</t>
  </si>
  <si>
    <t>203.1.78.134</t>
  </si>
  <si>
    <t>5be12ebe-5981-458a-91d3-2e487a81928b</t>
  </si>
  <si>
    <t>ec39b58a-ae90-4938-bf89-b96e2900bf83</t>
  </si>
  <si>
    <t>77.241.63.147</t>
  </si>
  <si>
    <t>9e40610e-441c-467c-aa01-acae8c36539f</t>
  </si>
  <si>
    <t>1c223a60-3351-4e82-8c90-82e9d6390a8d</t>
  </si>
  <si>
    <t>107.91.251.125</t>
  </si>
  <si>
    <t>adf5f5fe-619d-4df5-8c2a-05390ba8c668</t>
  </si>
  <si>
    <t>86466b77-4bbf-4662-a2a6-956eceae1ffb</t>
  </si>
  <si>
    <t>8.61.141.252</t>
  </si>
  <si>
    <t>453d71e0-7442-45fd-8408-c50f9dcf7dc9</t>
  </si>
  <si>
    <t>dd13892f-f171-4ad2-83a5-08a6906cc531</t>
  </si>
  <si>
    <t>255.34.185.246</t>
  </si>
  <si>
    <t>edfea0dd-5f1b-45f2-9cac-3c33b5ae3c8f</t>
  </si>
  <si>
    <t>2d4c4c0e-ea0a-46fa-aefe-04cf4997a5b9</t>
  </si>
  <si>
    <t>145.223.132.243</t>
  </si>
  <si>
    <t>ec0d6760-5c74-4db1-9aa2-09091b77bd70</t>
  </si>
  <si>
    <t>6b1e6cd9-4624-434a-9a1c-f3eb56347068</t>
  </si>
  <si>
    <t>250.61.191.8</t>
  </si>
  <si>
    <t>e26a9d33-3ab1-41ec-a729-05b307a93f74</t>
  </si>
  <si>
    <t>ab4ea0c1-3c8a-4721-b28c-2d46a5d8a837</t>
  </si>
  <si>
    <t>217.132.83.29</t>
  </si>
  <si>
    <t>7b070bea-c353-40bc-a6de-d53ec258003c</t>
  </si>
  <si>
    <t>da752606-af01-46e7-8cac-fa17a0d6c51c</t>
  </si>
  <si>
    <t>38.163.236.69</t>
  </si>
  <si>
    <t>34efce0e-9f20-4a65-b261-ba482a9c663d</t>
  </si>
  <si>
    <t>1585dfaf-d2f1-44f4-9477-a77ba81a5abf</t>
  </si>
  <si>
    <t>92.83.27.139</t>
  </si>
  <si>
    <t>659c5109-c818-4fdf-b975-e5394a6531ab</t>
  </si>
  <si>
    <t>a16d4d24-a43a-4306-90a9-6391683c6140</t>
  </si>
  <si>
    <t>93.214.182.24</t>
  </si>
  <si>
    <t>5f88396f-39cc-4621-85e6-012c9abe5fb9</t>
  </si>
  <si>
    <t>82ad3e5d-7588-4570-8d09-798d3c212590</t>
  </si>
  <si>
    <t>75.149.39.99</t>
  </si>
  <si>
    <t>81b5c228-41db-4051-8576-5d1e48023179</t>
  </si>
  <si>
    <t>f7ab63d0-f3c4-42a4-8cbb-aa44a5fb5d85</t>
  </si>
  <si>
    <t>197.93.48.85</t>
  </si>
  <si>
    <t>eef2b6d8-2257-495a-88e6-45fcbf96ee22</t>
  </si>
  <si>
    <t>3ac72913-17b6-46f6-8479-57d6aec6bf79</t>
  </si>
  <si>
    <t>140.165.161.154</t>
  </si>
  <si>
    <t>deb80104-7f3d-4b2c-8a37-ca5434711a93</t>
  </si>
  <si>
    <t>9896d65a-bae1-49f7-81f6-aed5b45e07d4</t>
  </si>
  <si>
    <t>70.185.49.180</t>
  </si>
  <si>
    <t>73f38d53-0381-44f0-9c93-411b3d11df7f</t>
  </si>
  <si>
    <t>819e23d0-2360-4bf5-a008-8893540e5f06</t>
  </si>
  <si>
    <t>211.73.6.70</t>
  </si>
  <si>
    <t>e93bc8ff-283c-4cc8-9843-587d3b3033f2</t>
  </si>
  <si>
    <t>065c1f9e-2388-49da-b340-26f1b87190f7</t>
  </si>
  <si>
    <t>133.144.190.248</t>
  </si>
  <si>
    <t>6d2a84bf-e1af-4855-82b1-8586045b3981</t>
  </si>
  <si>
    <t>eee313d2-2161-44f8-a903-1b54bdbf4b62</t>
  </si>
  <si>
    <t>106.174.83.52</t>
  </si>
  <si>
    <t>ef8c952f-0cf7-463c-919c-f0c1873905ee</t>
  </si>
  <si>
    <t>e04ef2ca-4546-405e-98fc-b3ce0e8631fb</t>
  </si>
  <si>
    <t>56.79.113.96</t>
  </si>
  <si>
    <t>65fe3d45-1be1-4cbf-bd1a-38109fd9efeb</t>
  </si>
  <si>
    <t>8064de64-7b51-4723-b289-5eb81e7dda97</t>
  </si>
  <si>
    <t>204.58.213.235</t>
  </si>
  <si>
    <t>52faae0c-eb02-4eb6-a100-75778ba860e1</t>
  </si>
  <si>
    <t>6cedc26f-dfa5-4ed3-8f69-1eb688d666cc</t>
  </si>
  <si>
    <t>235.39.59.67</t>
  </si>
  <si>
    <t>646ae6d2-1911-47eb-81d5-74c97b2da5cc</t>
  </si>
  <si>
    <t>2632c054-170c-4e9a-8ca0-0e75cfa8cdd5</t>
  </si>
  <si>
    <t>237.8.245.178</t>
  </si>
  <si>
    <t>ee4ff44a-4fa7-44d4-8955-041445e787bd</t>
  </si>
  <si>
    <t>a42100a7-0601-4b53-b8b5-09f95eff7645</t>
  </si>
  <si>
    <t>80.185.71.226</t>
  </si>
  <si>
    <t>3d1c943a-1f4a-421d-b057-4d731579d87a</t>
  </si>
  <si>
    <t>ddbb6357-1ac8-4431-9e69-eec5ad8ed948</t>
  </si>
  <si>
    <t>228.175.88.155</t>
  </si>
  <si>
    <t>09c28e73-f6d6-4559-8413-785203f4eb69</t>
  </si>
  <si>
    <t>b6dde188-f52b-455b-88ab-b7c6d979ce24</t>
  </si>
  <si>
    <t>8.60.113.65</t>
  </si>
  <si>
    <t>ac588540-cb8d-4e8c-935e-cd0d7f77f53a</t>
  </si>
  <si>
    <t>94afa51f-e65d-46c1-a798-14dc32b61254</t>
  </si>
  <si>
    <t>220.72.116.157</t>
  </si>
  <si>
    <t>c3cffafc-a88c-49cf-b253-6beb9eeb675f</t>
  </si>
  <si>
    <t>3c394395-0375-4a78-9a70-0372dfeee4bb</t>
  </si>
  <si>
    <t>33.107.66.40</t>
  </si>
  <si>
    <t>b0ee9ac8-939f-4c03-9e9c-0c44420ad16c</t>
  </si>
  <si>
    <t>bef502ad-0d81-4d27-8229-9fc6ebc880fe</t>
  </si>
  <si>
    <t>109.57.39.9</t>
  </si>
  <si>
    <t>3d19fb82-6681-4b63-8037-b5bc71172d86</t>
  </si>
  <si>
    <t>bc6d697b-23a5-44c3-a221-e822e456c51d</t>
  </si>
  <si>
    <t>199.247.220.21</t>
  </si>
  <si>
    <t>83fe7f3a-3de1-4172-99f2-53b5aa055e78</t>
  </si>
  <si>
    <t>aaceb042-308f-45a8-9f74-adfc28dd194f</t>
  </si>
  <si>
    <t>51.55.16.30</t>
  </si>
  <si>
    <t>81e53ceb-dbeb-4c6d-981c-2b2040d388b8</t>
  </si>
  <si>
    <t>d48eb1ae-55ca-4db7-b6b4-3723c958e874</t>
  </si>
  <si>
    <t>121.60.129.22</t>
  </si>
  <si>
    <t>84d5b38f-8d14-4b6c-8676-bad80b0089a5</t>
  </si>
  <si>
    <t>4c4900b9-613d-43e2-b154-39f12cf69b51</t>
  </si>
  <si>
    <t>17.154.5.49</t>
  </si>
  <si>
    <t>4a8cd0bf-e1fa-48e2-845b-4c2b0e012145</t>
  </si>
  <si>
    <t>fddc195b-a6d0-4729-b1f9-2d74c684202f</t>
  </si>
  <si>
    <t>201.63.105.102</t>
  </si>
  <si>
    <t>774cb515-375c-4baa-882d-7c61154d08a7</t>
  </si>
  <si>
    <t>98b94fb8-ca38-496d-aaaf-cad4ffffa326</t>
  </si>
  <si>
    <t>48.179.14.46</t>
  </si>
  <si>
    <t>c202785b-3da1-4fb6-b8d8-69941bc7d349</t>
  </si>
  <si>
    <t>083af8b1-54f1-454b-ad14-2bc698a658c4</t>
  </si>
  <si>
    <t>38.142.178.180</t>
  </si>
  <si>
    <t>719566b4-b1ba-4438-aa53-4b326fcf61bd</t>
  </si>
  <si>
    <t>18df562b-9937-4ca9-b1af-8f076dce5224</t>
  </si>
  <si>
    <t>42.123.34.50</t>
  </si>
  <si>
    <t>7101004c-4e62-43e7-9092-a802b0b98c88</t>
  </si>
  <si>
    <t>07840895-cd59-40bd-abc1-50647b631f87</t>
  </si>
  <si>
    <t>210.7.111.98</t>
  </si>
  <si>
    <t>73cc1faa-86ce-4694-8c31-166bd7afe1d1</t>
  </si>
  <si>
    <t>0899bae2-5a82-44b0-acb5-d1934ffcf499</t>
  </si>
  <si>
    <t>247.144.87.2</t>
  </si>
  <si>
    <t>29b4a9a0-c02c-4c34-96f1-7f1fa0df58d3</t>
  </si>
  <si>
    <t>84e9b4b2-6de0-41a3-b125-49b08be06a6d</t>
  </si>
  <si>
    <t>250.50.109.243</t>
  </si>
  <si>
    <t>cc46c08c-b784-4352-aa6a-c82484212400</t>
  </si>
  <si>
    <t>420d5fb2-0b84-462b-8062-f5f7d555b930</t>
  </si>
  <si>
    <t>94.94.225.54</t>
  </si>
  <si>
    <t>81d2cd39-3047-41e5-bfb0-ddc186438037</t>
  </si>
  <si>
    <t>4931bfb7-8be7-4df1-ba9a-e6d3a8839da6</t>
  </si>
  <si>
    <t>47.181.194.217</t>
  </si>
  <si>
    <t>28136bd8-d15a-4c67-be48-fbf15ed90053</t>
  </si>
  <si>
    <t>a90a9105-73a5-4a26-a284-3d2c139222cd</t>
  </si>
  <si>
    <t>55.116.208.57</t>
  </si>
  <si>
    <t>857614b6-ec46-4118-82a7-8c0840bcc344</t>
  </si>
  <si>
    <t>ffc8877a-3f91-4513-a43a-1908cb0b503a</t>
  </si>
  <si>
    <t>195.160.63.238</t>
  </si>
  <si>
    <t>f06e2c5a-8704-4f58-9947-bae6d8d666f3</t>
  </si>
  <si>
    <t>3453c358-ca03-46d7-b72b-d78c35576fd6</t>
  </si>
  <si>
    <t>29.69.253.184</t>
  </si>
  <si>
    <t>7f17d12b-247c-406b-af96-a06c9a3084d7</t>
  </si>
  <si>
    <t>c9bbcfa4-4833-47bc-8af6-da96cf1854be</t>
  </si>
  <si>
    <t>181.147.20.42</t>
  </si>
  <si>
    <t>d2da08af-339c-4aca-b394-7c0c7ea533e0</t>
  </si>
  <si>
    <t>a762e7db-60bf-4686-933e-43c5f7607b8f</t>
  </si>
  <si>
    <t>84.252.59.197</t>
  </si>
  <si>
    <t>68a22959-f627-45df-b998-0c98a47c3f75</t>
  </si>
  <si>
    <t>2a264e4f-5075-44ad-a783-c62c5c9671e2</t>
  </si>
  <si>
    <t>73.233.159.227</t>
  </si>
  <si>
    <t>a7539ea1-542a-4de6-b240-8e8c3475de95</t>
  </si>
  <si>
    <t>879563bb-cb51-4657-bddb-e2776d25bcd2</t>
  </si>
  <si>
    <t>58.208.148.219</t>
  </si>
  <si>
    <t>b52f7e41-9007-488e-80ce-0f8abc2762e4</t>
  </si>
  <si>
    <t>3f717cbb-9786-418b-af24-76b45d8e8421</t>
  </si>
  <si>
    <t>49.35.243.188</t>
  </si>
  <si>
    <t>ff349104-e0dd-4eae-8c8b-efd98dfbe7c2</t>
  </si>
  <si>
    <t>46d27e8e-4368-4e46-83e2-83e353e3e8cb</t>
  </si>
  <si>
    <t>46.6.251.53</t>
  </si>
  <si>
    <t>6590aeea-81a1-4411-9d9c-691b8c2e8133</t>
  </si>
  <si>
    <t>e6d5dfb1-090b-4c4e-904e-0d879a9fd5e3</t>
  </si>
  <si>
    <t>102.224.43.61</t>
  </si>
  <si>
    <t>5f37f294-90f1-4064-aaff-2a2216a3651b</t>
  </si>
  <si>
    <t>2064aafd-bc3c-4c14-bb61-7d4e4a2477b3</t>
  </si>
  <si>
    <t>37.202.205.52</t>
  </si>
  <si>
    <t>f7c00263-e6ad-4149-9300-ce3bb8c575ac</t>
  </si>
  <si>
    <t>63706021-ccac-4575-82bf-74e2ba910e45</t>
  </si>
  <si>
    <t>190.86.33.186</t>
  </si>
  <si>
    <t>2a53cb73-4276-458f-9c3b-2c90f53f8293</t>
  </si>
  <si>
    <t>f7091e87-532c-436a-9b5a-d63185db2223</t>
  </si>
  <si>
    <t>250.101.173.102</t>
  </si>
  <si>
    <t>f7555df6-0354-416f-bb9f-0f806d8ad679</t>
  </si>
  <si>
    <t>5e16a282-073c-40ec-94ce-5ce371709d59</t>
  </si>
  <si>
    <t>153.206.62.119</t>
  </si>
  <si>
    <t>ef08cab6-6227-4ea6-933d-765275a2675c</t>
  </si>
  <si>
    <t>3558f701-b2a8-48f4-bf60-d0cd40ef5095</t>
  </si>
  <si>
    <t>215.217.255.142</t>
  </si>
  <si>
    <t>8b211f38-3bcc-4e10-9c39-d9036a385dfc</t>
  </si>
  <si>
    <t>9b0e751c-8760-4f29-adad-71657841d81e</t>
  </si>
  <si>
    <t>196.139.204.182</t>
  </si>
  <si>
    <t>04b78d62-fa9c-4ac5-a560-be0f4996af16</t>
  </si>
  <si>
    <t>75d23b44-f96f-4a9b-92cf-638cca3de931</t>
  </si>
  <si>
    <t>122.207.248.142</t>
  </si>
  <si>
    <t>a8b876a6-3e76-4728-84b2-2752a117aa76</t>
  </si>
  <si>
    <t>e20500ab-7712-4017-8056-a06f9b02a3c9</t>
  </si>
  <si>
    <t>38.232.55.62</t>
  </si>
  <si>
    <t>c313fb34-2d9b-4b00-8947-4abcbec12119</t>
  </si>
  <si>
    <t>e097cf0e-5317-489a-b056-1c8f21ad1974</t>
  </si>
  <si>
    <t>65.250.254.118</t>
  </si>
  <si>
    <t>15b21bba-d004-4d8c-9639-755ed281df83</t>
  </si>
  <si>
    <t>6be1cd34-3471-42a5-8372-9f9b9cd4de71</t>
  </si>
  <si>
    <t>161.68.15.50</t>
  </si>
  <si>
    <t>691794eb-36c8-4f81-babe-e9e351063141</t>
  </si>
  <si>
    <t>fad4acfe-73ff-4149-87b3-33d7d5f27e09</t>
  </si>
  <si>
    <t>189.27.34.255</t>
  </si>
  <si>
    <t>650515ee-fe7d-4faa-8dd9-8ff915d0e4cf</t>
  </si>
  <si>
    <t>a16df095-7931-4fe3-989b-80252c46c95b</t>
  </si>
  <si>
    <t>174.13.91.195</t>
  </si>
  <si>
    <t>96999259-b3e0-4dc5-a5c3-806c5896d557</t>
  </si>
  <si>
    <t>65e69e9a-fcb9-48d7-b7e6-f2e044a3a1af</t>
  </si>
  <si>
    <t>155.167.78.155</t>
  </si>
  <si>
    <t>a0e0df6f-da1c-4022-ba48-22ebebb176bc</t>
  </si>
  <si>
    <t>f83df900-cb0a-4799-861e-5d8da42f13ea</t>
  </si>
  <si>
    <t>160.49.39.252</t>
  </si>
  <si>
    <t>59b0eef6-8c44-47cb-9ff6-0a5d54e19b67</t>
  </si>
  <si>
    <t>3c4b0f5a-6380-432c-add8-e418056030ae</t>
  </si>
  <si>
    <t>203.238.103.150</t>
  </si>
  <si>
    <t>ab61bed6-240a-4108-9355-f7c2a85d9cdb</t>
  </si>
  <si>
    <t>72a03ccb-f535-401e-908f-880059b338f8</t>
  </si>
  <si>
    <t>170.254.251.133</t>
  </si>
  <si>
    <t>dde09971-b0b9-43f2-a02f-33905543fad7</t>
  </si>
  <si>
    <t>42dba676-76e3-4a19-8e6d-97ea97f8db8a</t>
  </si>
  <si>
    <t>139.175.9.16</t>
  </si>
  <si>
    <t>e8c74802-f25d-443d-8178-0c8e025ec6d2</t>
  </si>
  <si>
    <t>146ca4b2-4edc-42fa-862d-5f2dbd0daa0c</t>
  </si>
  <si>
    <t>254.220.60.196</t>
  </si>
  <si>
    <t>161902f4-b878-418b-9032-06e7d8bc8b62</t>
  </si>
  <si>
    <t>ccee5506-d780-4aee-9fe8-7ef7d929d4b7</t>
  </si>
  <si>
    <t>116.161.192.226</t>
  </si>
  <si>
    <t>f4eab15b-10fd-4b23-a373-b31d125b4ecc</t>
  </si>
  <si>
    <t>d8af302b-2700-4b4e-8432-f2c889916bfe</t>
  </si>
  <si>
    <t>118.18.16.90</t>
  </si>
  <si>
    <t>1c76a4fb-2703-4116-9b8e-0288d820f406</t>
  </si>
  <si>
    <t>9dd09fc6-d796-4e00-9bca-5da74d7579df</t>
  </si>
  <si>
    <t>143.155.84.251</t>
  </si>
  <si>
    <t>eed951bc-22a0-468c-a8db-67836cc6c3fa</t>
  </si>
  <si>
    <t>ce63d293-d377-430c-b4dc-45eb366490e6</t>
  </si>
  <si>
    <t>111.68.159.199</t>
  </si>
  <si>
    <t>03b0252d-d657-4c51-8e09-450521301e8e</t>
  </si>
  <si>
    <t>b52ffb7c-edbd-4971-aa56-8e12649a3868</t>
  </si>
  <si>
    <t>125.56.251.240</t>
  </si>
  <si>
    <t>faf63866-6845-4a0f-9add-e52315686761</t>
  </si>
  <si>
    <t>dac4abbc-e051-45b1-96b8-20d8c16a7fd5</t>
  </si>
  <si>
    <t>122.80.28.200</t>
  </si>
  <si>
    <t>67232ffe-b1e9-43ba-bb7c-05efdc870d75</t>
  </si>
  <si>
    <t>448a6b76-d4c2-488d-885b-db63593bd0e2</t>
  </si>
  <si>
    <t>68.253.193.180</t>
  </si>
  <si>
    <t>59ae29ac-e913-4a1a-aef2-c7fec3ae0a09</t>
  </si>
  <si>
    <t>2c41bc38-a407-44c1-a802-5c2216354294</t>
  </si>
  <si>
    <t>197.145.164.31</t>
  </si>
  <si>
    <t>edf46203-6702-429e-a4a7-b823aff255bd</t>
  </si>
  <si>
    <t>b3397281-f375-4b00-b1b7-5e57fd5ebb22</t>
  </si>
  <si>
    <t>8.23.65.187</t>
  </si>
  <si>
    <t>13ebb297-fda5-4422-bcc5-39e1e0af2a0e</t>
  </si>
  <si>
    <t>1efea057-7a2c-4f11-b5dd-8d45e79b8a36</t>
  </si>
  <si>
    <t>90.13.174.194</t>
  </si>
  <si>
    <t>1300223c-65a7-4e45-958e-503bd4dd05e5</t>
  </si>
  <si>
    <t>d4880358-4d8e-401f-8722-63d706e57ead</t>
  </si>
  <si>
    <t>25.219.176.182</t>
  </si>
  <si>
    <t>267e01e1-7d43-4f07-9ef0-22a177017388</t>
  </si>
  <si>
    <t>94551012-2b77-4e57-a10d-427fb9d4e016</t>
  </si>
  <si>
    <t>106.179.28.125</t>
  </si>
  <si>
    <t>ec6630f1-6aee-418b-858e-cc8ac080fa11</t>
  </si>
  <si>
    <t>4b9aed17-907f-4b72-ac27-6294e78c33c6</t>
  </si>
  <si>
    <t>64.120.159.43</t>
  </si>
  <si>
    <t>8a7ded0f-3a66-404e-9724-6343fdb49e4b</t>
  </si>
  <si>
    <t>fdbaa5c5-84ab-4357-b3d3-022bf7ffb76d</t>
  </si>
  <si>
    <t>234.33.156.58</t>
  </si>
  <si>
    <t>b933d945-077e-4647-9a97-bf696c5171d7</t>
  </si>
  <si>
    <t>94a75458-f936-4206-9099-bd5dfe6fc3f5</t>
  </si>
  <si>
    <t>87.86.10.166</t>
  </si>
  <si>
    <t>1bf7a9c3-359f-485c-a890-44dbfa37b93e</t>
  </si>
  <si>
    <t>241dd6a7-5abd-4589-a8ce-6d318ef75b00</t>
  </si>
  <si>
    <t>10.235.216.215</t>
  </si>
  <si>
    <t>5124110a-1662-4f59-a852-2cc1bb461775</t>
  </si>
  <si>
    <t>720ea923-780b-4629-baa4-0406be372e49</t>
  </si>
  <si>
    <t>69.10.240.11</t>
  </si>
  <si>
    <t>b20cd7a1-17f8-49a2-aca9-64f8a28e533c</t>
  </si>
  <si>
    <t>8c353583-633a-4e12-85f6-eae80d30aed8</t>
  </si>
  <si>
    <t>253.162.193.199</t>
  </si>
  <si>
    <t>04db0293-ab87-4ae4-b6a6-46f75ff40c71</t>
  </si>
  <si>
    <t>f9f32d36-e990-412c-bb46-66492919e9ea</t>
  </si>
  <si>
    <t>83.50.250.51</t>
  </si>
  <si>
    <t>1077cdcc-a9f8-44d9-963a-135ff7c4ad8d</t>
  </si>
  <si>
    <t>626903fd-c9c1-402d-a018-2c5e37bb7bee</t>
  </si>
  <si>
    <t>177.105.172.254</t>
  </si>
  <si>
    <t>64d57d5c-8d30-4424-8468-c9c11575cb3b</t>
  </si>
  <si>
    <t>cda792e3-99ec-4492-a1d8-0216012fdd2f</t>
  </si>
  <si>
    <t>129.173.85.153</t>
  </si>
  <si>
    <t>98151d27-0a5c-4c9b-a915-265af993d337</t>
  </si>
  <si>
    <t>41a6ae7f-51ce-4a09-bae8-50f062452bbc</t>
  </si>
  <si>
    <t>94.223.103.254</t>
  </si>
  <si>
    <t>37344d7c-a274-4d15-abbd-b867af13155e</t>
  </si>
  <si>
    <t>294c3bf6-b80e-49dc-8fe3-0151a7d113e1</t>
  </si>
  <si>
    <t>163.38.109.147</t>
  </si>
  <si>
    <t>3c687adc-64ab-4f78-ac3c-1567b8828d84</t>
  </si>
  <si>
    <t>7ce853c8-c410-4339-9410-12fa2e9a3c8f</t>
  </si>
  <si>
    <t>68.24.152.205</t>
  </si>
  <si>
    <t>0ccfeecc-f401-4079-b8a1-f4d4205e1a64</t>
  </si>
  <si>
    <t>de896b98-5a89-4700-a058-35c07665411e</t>
  </si>
  <si>
    <t>206.115.47.48</t>
  </si>
  <si>
    <t>36bdce5e-20db-4da1-b2b6-577593e69b30</t>
  </si>
  <si>
    <t>5cd6e8c8-8e80-4848-9e81-678e0ca7aaf0</t>
  </si>
  <si>
    <t>152.172.139.34</t>
  </si>
  <si>
    <t>db22e097-76a9-44b8-8409-5a9f31ca46e0</t>
  </si>
  <si>
    <t>ca5358ff-70c3-4ead-b659-1aeaa6748037</t>
  </si>
  <si>
    <t>146.243.218.107</t>
  </si>
  <si>
    <t>26a0dcef-264b-4788-adc6-f3d2d8699003</t>
  </si>
  <si>
    <t>fc419940-ce62-4914-8f64-6486e7447c38</t>
  </si>
  <si>
    <t>89.39.154.153</t>
  </si>
  <si>
    <t>50c54a3b-3c87-4b2c-b2d5-97e9f807189d</t>
  </si>
  <si>
    <t>b75295b1-1705-4818-8a36-aaab004355c3</t>
  </si>
  <si>
    <t>111.160.102.212</t>
  </si>
  <si>
    <t>45171e93-e958-4442-966b-3734f7272417</t>
  </si>
  <si>
    <t>ea1992d2-2a74-40cb-87aa-f1a653183ece</t>
  </si>
  <si>
    <t>103.128.232.92</t>
  </si>
  <si>
    <t>ad1d013f-930c-4da9-8be8-407e8e6d2683</t>
  </si>
  <si>
    <t>eb3ba1f6-ca44-4a68-ab82-fec866df7021</t>
  </si>
  <si>
    <t>226.9.95.255</t>
  </si>
  <si>
    <t>225b3db7-011a-42a1-b824-49e633d782bf</t>
  </si>
  <si>
    <t>29aac3e9-2cae-4065-9ab2-d669b64107ba</t>
  </si>
  <si>
    <t>55.239.137.222</t>
  </si>
  <si>
    <t>4fc07525-732b-4f5a-830a-f8a082b582ca</t>
  </si>
  <si>
    <t>00c1bab9-a602-452f-ba78-48e7f0eade27</t>
  </si>
  <si>
    <t>240.30.102.186</t>
  </si>
  <si>
    <t>9cdf6583-398a-459b-9294-1f3358b6a1f1</t>
  </si>
  <si>
    <t>8b6a82a0-94f7-4913-8b2f-8ff10f38b5cd</t>
  </si>
  <si>
    <t>119.75.123.77</t>
  </si>
  <si>
    <t>39cd802d-6d8b-479c-bac2-9760119aa418</t>
  </si>
  <si>
    <t>c20be47f-0a8e-4e11-997d-39dde291e88f</t>
  </si>
  <si>
    <t>192.153.222.210</t>
  </si>
  <si>
    <t>27103bbe-70f5-4c17-8e85-cbebf3d644b7</t>
  </si>
  <si>
    <t>ad4b142e-d00b-4d44-b999-341c0595fbc6</t>
  </si>
  <si>
    <t>82.32.104.211</t>
  </si>
  <si>
    <t>edadc863-edc3-4964-866b-56e41aac52cd</t>
  </si>
  <si>
    <t>37eea743-b7d8-4ba2-a152-7b12560069d0</t>
  </si>
  <si>
    <t>69.146.82.131</t>
  </si>
  <si>
    <t>f6156cf0-6d99-4331-88ff-a8a564e797c1</t>
  </si>
  <si>
    <t>62a518d2-73c8-41b7-b3c7-bc7c32e3544e</t>
  </si>
  <si>
    <t>176.120.207.122</t>
  </si>
  <si>
    <t>6ea4c0ac-2126-4d4c-854d-033624bb8c8c</t>
  </si>
  <si>
    <t>8fd16f5b-52bb-47d5-ae12-1c1edd62f9be</t>
  </si>
  <si>
    <t>30.76.98.14</t>
  </si>
  <si>
    <t>5d2b5d96-e4c5-43be-8a29-86d36c2470df</t>
  </si>
  <si>
    <t>47444002-8c17-41ad-a8ba-d0bcab10c8b7</t>
  </si>
  <si>
    <t>63.158.237.248</t>
  </si>
  <si>
    <t>e19bf7dd-830e-4710-8cff-2ebc4912ae55</t>
  </si>
  <si>
    <t>537a6c4c-b427-4f4e-8a45-6943ceeb978a</t>
  </si>
  <si>
    <t>144.223.216.18</t>
  </si>
  <si>
    <t>f3cdd43e-d6ec-43e0-b0ad-6706e40c3202</t>
  </si>
  <si>
    <t>2f1551ad-910e-424f-a886-b828076b5ef4</t>
  </si>
  <si>
    <t>52.81.139.69</t>
  </si>
  <si>
    <t>8f963d40-b4b1-4952-8560-2e12c66a16e7</t>
  </si>
  <si>
    <t>0c4ed1c8-2bcc-4a89-b433-588fe44a3c78</t>
  </si>
  <si>
    <t>8.132.142.90</t>
  </si>
  <si>
    <t>54f66157-62ff-468a-8ecd-4ec7f82a4f71</t>
  </si>
  <si>
    <t>8f57247b-e979-4aa2-b602-444518df4518</t>
  </si>
  <si>
    <t>165.21.248.10</t>
  </si>
  <si>
    <t>cb58efa1-5517-4f1a-8ea4-782f3774bbb4</t>
  </si>
  <si>
    <t>1b911bac-0b5a-492d-9cbb-53346f06aeb8</t>
  </si>
  <si>
    <t>15.42.160.152</t>
  </si>
  <si>
    <t>07baafd9-637c-4424-8498-502b2175c722</t>
  </si>
  <si>
    <t>4ff031a3-9518-4874-a83d-b74e18bf6adf</t>
  </si>
  <si>
    <t>222.32.208.186</t>
  </si>
  <si>
    <t>5a72570b-75ff-46af-9f7d-728915ce73cb</t>
  </si>
  <si>
    <t>dc3cc91e-f179-4c95-8ff1-510807e5232b</t>
  </si>
  <si>
    <t>172.46.203.71</t>
  </si>
  <si>
    <t>fdfb3d60-69c7-4216-8ce5-6cee9068987a</t>
  </si>
  <si>
    <t>18fe1a22-6405-4333-8de2-155667080a35</t>
  </si>
  <si>
    <t>61.57.61.128</t>
  </si>
  <si>
    <t>7cf2d958-b5cc-4c4d-965d-4223633cb322</t>
  </si>
  <si>
    <t>204cd9e0-15c6-4afd-b539-c5b11ecaa350</t>
  </si>
  <si>
    <t>128.46.121.62</t>
  </si>
  <si>
    <t>f642f150-2dab-4967-95ea-6e44832ae368</t>
  </si>
  <si>
    <t>3b3ce15a-cfee-4a3c-9a7a-4520cb08a7d9</t>
  </si>
  <si>
    <t>198.160.168.199</t>
  </si>
  <si>
    <t>f6d27b76-6eae-4335-adef-03a660b934f5</t>
  </si>
  <si>
    <t>c5febd70-fbd9-4cb7-88bb-373cb8d2f042</t>
  </si>
  <si>
    <t>207.120.216.111</t>
  </si>
  <si>
    <t>78f390a1-8847-4b34-8523-ed9384d183f8</t>
  </si>
  <si>
    <t>7a78a536-bb08-4b83-9b63-6301ae2e7ef5</t>
  </si>
  <si>
    <t>37.54.89.109</t>
  </si>
  <si>
    <t>465a66c6-a2be-4bb6-aca8-1fae37d62051</t>
  </si>
  <si>
    <t>39985faa-ffce-4cba-9e19-ec4230e1c0a4</t>
  </si>
  <si>
    <t>249.140.225.209</t>
  </si>
  <si>
    <t>51191549-d38b-4ac1-a36b-ea6fedc71143</t>
  </si>
  <si>
    <t>1829770f-e81b-4c6f-864d-07a1bd89dfe1</t>
  </si>
  <si>
    <t>66.28.251.191</t>
  </si>
  <si>
    <t>05ec17b6-7ab9-4530-a2ee-b7007696887c</t>
  </si>
  <si>
    <t>56d9d54c-5d66-4904-b7c5-c02a4c28356a</t>
  </si>
  <si>
    <t>180.57.162.216</t>
  </si>
  <si>
    <t>f48388d5-ac94-4e49-8998-2377c611f037</t>
  </si>
  <si>
    <t>8151ad1b-de62-4c58-b12d-7b3edfd6d82a</t>
  </si>
  <si>
    <t>122.126.142.74</t>
  </si>
  <si>
    <t>eba8621f-760a-4ab1-a0a3-f4d9dbfb26ec</t>
  </si>
  <si>
    <t>3521693a-adf4-4bac-93e9-810ce621de02</t>
  </si>
  <si>
    <t>93.243.188.157</t>
  </si>
  <si>
    <t>d0c00e03-641e-4da3-9772-138bed85d596</t>
  </si>
  <si>
    <t>14db9af6-6994-45d0-b7c4-da861cf67bf6</t>
  </si>
  <si>
    <t>6.17.27.122</t>
  </si>
  <si>
    <t>10f2aa32-e948-48df-9d86-d07d52705225</t>
  </si>
  <si>
    <t>477e8757-c369-42c2-9383-55de71f3ac3c</t>
  </si>
  <si>
    <t>65.196.158.185</t>
  </si>
  <si>
    <t>c4a689fd-8a6d-4575-8cfd-83791f7a403b</t>
  </si>
  <si>
    <t>7dd62680-2d06-447e-b838-4f6a502ff9a6</t>
  </si>
  <si>
    <t>232.62.121.226</t>
  </si>
  <si>
    <t>f301103a-d636-4efc-af39-187d7f056300</t>
  </si>
  <si>
    <t>ef3d4917-e16f-46cc-b286-23f27a91c56b</t>
  </si>
  <si>
    <t>100.4.201.130</t>
  </si>
  <si>
    <t>0bec7f24-ef91-4426-873a-55d3db9af3bf</t>
  </si>
  <si>
    <t>c9ebe9d3-4528-42b1-846b-d4484c8d6ba3</t>
  </si>
  <si>
    <t>78.46.120.152</t>
  </si>
  <si>
    <t>79269968-0621-44f8-8372-5e8f873cd9e5</t>
  </si>
  <si>
    <t>f9c9268d-ad18-4cab-8c95-ee83f0c78978</t>
  </si>
  <si>
    <t>54.82.224.162</t>
  </si>
  <si>
    <t>f14e659f-ddb5-47b8-a8d3-840b19ebb42a</t>
  </si>
  <si>
    <t>66272365-9f8a-4d95-99fb-4759434980b4</t>
  </si>
  <si>
    <t>226.208.17.140</t>
  </si>
  <si>
    <t>821a7700-450c-4734-af42-9abbfa174fd8</t>
  </si>
  <si>
    <t>d2563001-faa5-44b4-857f-6650554c3c09</t>
  </si>
  <si>
    <t>222.41.251.241</t>
  </si>
  <si>
    <t>b6da7648-c70f-478e-b722-aea9172dd846</t>
  </si>
  <si>
    <t>5d6d6fd6-7f64-4925-9c06-2ca4727210e3</t>
  </si>
  <si>
    <t>189.211.170.216</t>
  </si>
  <si>
    <t>18d4735d-592f-4bf9-b6b3-90d1a6894188</t>
  </si>
  <si>
    <t>0589c7e9-d0f3-4d72-8bf4-489ff8e832f6</t>
  </si>
  <si>
    <t>225.51.82.133</t>
  </si>
  <si>
    <t>588b0751-aaa0-4e5c-961d-5cb55fb0fa00</t>
  </si>
  <si>
    <t>8f0925ef-af6c-4f34-8338-7e15cb9d5cf6</t>
  </si>
  <si>
    <t>130.33.180.215</t>
  </si>
  <si>
    <t>f9ddc5f0-4e88-43af-82f1-7f32f0459319</t>
  </si>
  <si>
    <t>79ef6260-729b-4a5a-a85c-484323cd16f5</t>
  </si>
  <si>
    <t>155.167.232.14</t>
  </si>
  <si>
    <t>3a3a5ae2-04cb-4a39-8404-921e6d9b9cab</t>
  </si>
  <si>
    <t>5defea71-c270-42ce-a8de-a42aa8f5860c</t>
  </si>
  <si>
    <t>196.26.94.227</t>
  </si>
  <si>
    <t>a93eca1e-d3e8-439c-ab0c-8a5564569abc</t>
  </si>
  <si>
    <t>1e52781a-21ab-4d92-96a2-d38747df963b</t>
  </si>
  <si>
    <t>203.69.1.205</t>
  </si>
  <si>
    <t>91786dac-4a3f-4ec0-805e-bf4b68fcdf74</t>
  </si>
  <si>
    <t>f7a63284-046b-462d-a59d-16430d6fcc13</t>
  </si>
  <si>
    <t>52.156.160.42</t>
  </si>
  <si>
    <t>f66e78dd-cbee-4901-a3f0-6a7f58b88a1d</t>
  </si>
  <si>
    <t>246df56c-013a-4d10-8c12-eaa25fd5d478</t>
  </si>
  <si>
    <t>29.80.127.66</t>
  </si>
  <si>
    <t>a62b6d9d-cf1c-477f-8a80-b394999cc785</t>
  </si>
  <si>
    <t>730f1ee9-73a8-4a66-bc9e-830493ffbcbb</t>
  </si>
  <si>
    <t>217.210.163.231</t>
  </si>
  <si>
    <t>b52ee806-094c-4c4a-8bf3-efe4258e0c94</t>
  </si>
  <si>
    <t>4dc137e1-3f12-4d4a-a854-b40dd4300475</t>
  </si>
  <si>
    <t>123.68.133.88</t>
  </si>
  <si>
    <t>cfa344d0-9cef-469d-8e93-a32d73940218</t>
  </si>
  <si>
    <t>05a011ab-e73e-4f44-9083-3bc131f0e8ea</t>
  </si>
  <si>
    <t>176.167.144.101</t>
  </si>
  <si>
    <t>693dc492-0db1-460e-ad71-fdf83a2aea17</t>
  </si>
  <si>
    <t>45badd4b-9d13-4cc4-b8ee-a70aa01ed5d8</t>
  </si>
  <si>
    <t>22.212.188.93</t>
  </si>
  <si>
    <t>b9a86078-1660-4297-954b-3b6c4dfa5be9</t>
  </si>
  <si>
    <t>ddcad476-604d-45f0-910b-d7803447d39c</t>
  </si>
  <si>
    <t>101.193.114.10</t>
  </si>
  <si>
    <t>2088c7fd-fd64-4a96-8f9e-692a33a9e613</t>
  </si>
  <si>
    <t>18dd3fc6-7157-414e-911f-ce21bf1a5a10</t>
  </si>
  <si>
    <t>243.11.117.45</t>
  </si>
  <si>
    <t>85cc4d60-c77c-4ddb-8947-bf129ec753aa</t>
  </si>
  <si>
    <t>98432ea2-e667-47ff-8e52-bc55dea8afd6</t>
  </si>
  <si>
    <t>250.236.101.134</t>
  </si>
  <si>
    <t>eb08e09f-5c71-4379-94ca-f9faa8d7bbfa</t>
  </si>
  <si>
    <t>489672c6-52b5-4a86-a18e-1bf6644b4b6d</t>
  </si>
  <si>
    <t>180.86.25.205</t>
  </si>
  <si>
    <t>ee917574-ea69-4e5c-adf5-b4403394fff1</t>
  </si>
  <si>
    <t>16cdab28-d09d-4016-9285-86151754f8ca</t>
  </si>
  <si>
    <t>159.219.133.76</t>
  </si>
  <si>
    <t>234e1c5b-d676-4afe-b266-37e37566357c</t>
  </si>
  <si>
    <t>e8b618c7-d667-40cb-8756-b66e976d1435</t>
  </si>
  <si>
    <t>23.188.87.60</t>
  </si>
  <si>
    <t>3c27ad51-8efa-4bbe-b441-24994007f643</t>
  </si>
  <si>
    <t>91d2583b-b1d0-442c-a823-39e7ae23546b</t>
  </si>
  <si>
    <t>4.222.232.253</t>
  </si>
  <si>
    <t>66c4066e-d261-4c39-9108-fdd4dec315cc</t>
  </si>
  <si>
    <t>2379d854-161c-49ee-92f6-981981ec722b</t>
  </si>
  <si>
    <t>31.114.104.97</t>
  </si>
  <si>
    <t>1d776da6-57c1-4bce-9b05-374684bc322a</t>
  </si>
  <si>
    <t>4032fd9a-0382-4f4b-91b9-ed2134b51859</t>
  </si>
  <si>
    <t>243.136.147.253</t>
  </si>
  <si>
    <t>00809469-6284-4be0-8f62-71f00718e046</t>
  </si>
  <si>
    <t>706a611e-2f52-4053-9b4e-35d540b95656</t>
  </si>
  <si>
    <t>98.66.220.105</t>
  </si>
  <si>
    <t>3d0072bc-d9f7-4436-a52d-eecb7412d78f</t>
  </si>
  <si>
    <t>8116c6f4-b31f-4792-a801-53a95254e74d</t>
  </si>
  <si>
    <t>154.110.144.96</t>
  </si>
  <si>
    <t>b48d7b9a-f296-413e-af3b-9b2c391bd940</t>
  </si>
  <si>
    <t>bd21373a-c16b-41bf-81dd-9c7e943f0bb6</t>
  </si>
  <si>
    <t>108.92.209.74</t>
  </si>
  <si>
    <t>e4352ca6-eb62-4a39-bda1-2266047c41de</t>
  </si>
  <si>
    <t>d92ff19f-04a6-446e-9ca7-659f6439ea53</t>
  </si>
  <si>
    <t>8.148.134.120</t>
  </si>
  <si>
    <t>1c34a00f-322f-47f7-86ca-5c85592e23bc</t>
  </si>
  <si>
    <t>253b664a-9d8c-41b8-96fe-448befb8d53e</t>
  </si>
  <si>
    <t>159.230.127.189</t>
  </si>
  <si>
    <t>adf2aa5b-1234-442f-96b9-9f6ea1fc0d58</t>
  </si>
  <si>
    <t>3fb12b71-aec0-4b28-8c3b-c08de108a8aa</t>
  </si>
  <si>
    <t>150.234.43.5</t>
  </si>
  <si>
    <t>89727522-95da-4be8-8563-fc0260a65d1f</t>
  </si>
  <si>
    <t>0e374890-0bc8-4c9d-92cd-f9d6732a3cac</t>
  </si>
  <si>
    <t>121.68.165.203</t>
  </si>
  <si>
    <t>06011432-feca-4014-8f88-3562cb7118e3</t>
  </si>
  <si>
    <t>d082a9d8-8060-4dc9-a75e-004ca2c685f2</t>
  </si>
  <si>
    <t>176.108.196.216</t>
  </si>
  <si>
    <t>cd136549-5dfd-4de1-b299-9756bbfa7ab4</t>
  </si>
  <si>
    <t>bd5dcae5-58a1-46b4-881e-f6bc8b89a4b3</t>
  </si>
  <si>
    <t>189.131.37.48</t>
  </si>
  <si>
    <t>117d1173-c415-480f-8a43-68d365e8345c</t>
  </si>
  <si>
    <t>c93d7874-81c2-49cc-919f-7c8b1a2214bf</t>
  </si>
  <si>
    <t>143.30.26.170</t>
  </si>
  <si>
    <t>bb7e606b-3962-4dfe-b087-fb08b16d8a36</t>
  </si>
  <si>
    <t>623b722d-31ae-458c-82a3-e4ecdae39662</t>
  </si>
  <si>
    <t>239.120.241.181</t>
  </si>
  <si>
    <t>ca09f2f8-b852-41c1-8cbb-a76e2f6ed646</t>
  </si>
  <si>
    <t>09df1a91-eb66-458d-b0c3-6ae9fab8b1aa</t>
  </si>
  <si>
    <t>156.23.2.129</t>
  </si>
  <si>
    <t>0edf5db9-661f-48d8-95c7-e51ed059f94e</t>
  </si>
  <si>
    <t>8954c492-9899-4849-8b17-7ec7b1d31112</t>
  </si>
  <si>
    <t>130.195.154.202</t>
  </si>
  <si>
    <t>c4d99d2c-325a-4a06-8793-0927a9b60e12</t>
  </si>
  <si>
    <t>57378b78-10f6-4a0e-9a62-8d5129493ea5</t>
  </si>
  <si>
    <t>172.189.67.21</t>
  </si>
  <si>
    <t>3aadcad3-52cf-4c44-a1e5-e3a47d7d348c</t>
  </si>
  <si>
    <t>854368f9-6c52-4ab5-83e8-fd8066a139e8</t>
  </si>
  <si>
    <t>149.91.133.86</t>
  </si>
  <si>
    <t>d89209f9-1fca-411d-8606-131161ae4883</t>
  </si>
  <si>
    <t>84fb1fdb-01fe-4591-8e28-7030989b9c84</t>
  </si>
  <si>
    <t>129.252.173.239</t>
  </si>
  <si>
    <t>f6f89e2c-9da0-460e-88c5-aa6ceb4bfd38</t>
  </si>
  <si>
    <t>5c2dc343-bc6b-4e6b-93de-8bfa0d79515b</t>
  </si>
  <si>
    <t>34.45.162.221</t>
  </si>
  <si>
    <t>6f8aefbd-f944-48d2-9a58-f9a82beb599a</t>
  </si>
  <si>
    <t>fb3140b0-4b20-4dc8-bb84-ca2413380095</t>
  </si>
  <si>
    <t>37.133.59.160</t>
  </si>
  <si>
    <t>e08ea95a-047d-4db3-8f7d-d61c92fb5d54</t>
  </si>
  <si>
    <t>1ff441be-9366-4df3-836b-bdb5da543247</t>
  </si>
  <si>
    <t>12.65.255.143</t>
  </si>
  <si>
    <t>426fd42f-f045-4526-a7f9-dcd23b2f991a</t>
  </si>
  <si>
    <t>a5e73148-4f7a-4501-a8ed-bb97420e0864</t>
  </si>
  <si>
    <t>192.184.220.144</t>
  </si>
  <si>
    <t>e413f966-bb01-43f0-9def-ba785c5f8e86</t>
  </si>
  <si>
    <t>4d0c95a2-7c7c-437a-9650-1f17da4096e9</t>
  </si>
  <si>
    <t>232.134.135.160</t>
  </si>
  <si>
    <t>1ba3fca1-d44a-4598-857c-ebbc6a27ae43</t>
  </si>
  <si>
    <t>bf016809-8e71-4897-81ae-1e956f767a58</t>
  </si>
  <si>
    <t>112.84.161.251</t>
  </si>
  <si>
    <t>427d17ff-0051-4463-b4f7-5e50557fa93f</t>
  </si>
  <si>
    <t>2dca10a2-ac9d-4f1f-87ab-c9ff3604ea19</t>
  </si>
  <si>
    <t>196.77.225.27</t>
  </si>
  <si>
    <t>88bd1145-2ef4-4784-a261-3aa99fcd678c</t>
  </si>
  <si>
    <t>caf64c43-3bcf-4a63-99a2-e251249ed93a</t>
  </si>
  <si>
    <t>49.76.27.117</t>
  </si>
  <si>
    <t>6cb5ae01-e621-43be-b098-973873d93605</t>
  </si>
  <si>
    <t>6da1a0da-7ff9-4204-906a-2132578ce5bc</t>
  </si>
  <si>
    <t>47.18.240.133</t>
  </si>
  <si>
    <t>fe98e33e-2fa4-48b7-8eb3-94bfdf020b52</t>
  </si>
  <si>
    <t>79c7265f-9890-41e0-a626-7158fb18c112</t>
  </si>
  <si>
    <t>42.239.223.59</t>
  </si>
  <si>
    <t>884cc8ec-3608-4e80-adbe-4201f43fe64f</t>
  </si>
  <si>
    <t>8d2ef1b8-1b66-48f2-a6d4-bf6a96ddc1ed</t>
  </si>
  <si>
    <t>255.253.20.226</t>
  </si>
  <si>
    <t>27bdd263-469e-4c33-b4f0-07ee3d36b73c</t>
  </si>
  <si>
    <t>4bdddf4d-b416-4165-ad86-50d2f912b0e6</t>
  </si>
  <si>
    <t>92.248.234.252</t>
  </si>
  <si>
    <t>1dbd60a0-deeb-450d-8c54-6a7b248f0ba0</t>
  </si>
  <si>
    <t>191aeaed-848e-47ed-a74e-9755ae108123</t>
  </si>
  <si>
    <t>29.75.63.178</t>
  </si>
  <si>
    <t>8350af93-a351-419c-b435-392382458bdd</t>
  </si>
  <si>
    <t>4c1760eb-428b-477e-bab1-04a311d516b1</t>
  </si>
  <si>
    <t>24.104.145.92</t>
  </si>
  <si>
    <t>5107083e-324a-46df-9f44-9e6ca1518f58</t>
  </si>
  <si>
    <t>c1c0bc83-0790-4495-a4bd-a6ba13247a14</t>
  </si>
  <si>
    <t>214.86.139.108</t>
  </si>
  <si>
    <t>5f2008a2-42b9-43ce-94b0-f9395bf3c11f</t>
  </si>
  <si>
    <t>707d722e-db5a-49e1-b308-06c92024d94d</t>
  </si>
  <si>
    <t>150.2.92.213</t>
  </si>
  <si>
    <t>33e02788-d65d-4660-931b-a028e323453b</t>
  </si>
  <si>
    <t>b554f5ea-f1f4-40b0-aeba-67838fc4ea8c</t>
  </si>
  <si>
    <t>236.39.126.255</t>
  </si>
  <si>
    <t>6c30a491-60b6-49ae-98e7-0706a72f4c98</t>
  </si>
  <si>
    <t>9796e440-5a92-4f0d-85bb-0672e8b91aba</t>
  </si>
  <si>
    <t>174.48.168.13</t>
  </si>
  <si>
    <t>2af314a5-cd30-4133-85c1-a37d4a53ec7a</t>
  </si>
  <si>
    <t>867fdb50-58da-499f-bd2c-88a759d43b6b</t>
  </si>
  <si>
    <t>73.62.201.191</t>
  </si>
  <si>
    <t>2de94d44-2d1c-47bb-a068-b7d46f729f57</t>
  </si>
  <si>
    <t>f98c57ac-b2cd-42b2-81a9-78584ee11531</t>
  </si>
  <si>
    <t>152.54.165.78</t>
  </si>
  <si>
    <t>45bf2c78-0b0f-41e2-92e0-a3589159bf9e</t>
  </si>
  <si>
    <t>11be9d6b-14e6-41a5-97f7-5d508b70e823</t>
  </si>
  <si>
    <t>8.41.235.245</t>
  </si>
  <si>
    <t>ff8dd016-f250-45b2-a9e4-fef5041efb7a</t>
  </si>
  <si>
    <t>4d0e26b4-5824-437b-b088-93db95d04e06</t>
  </si>
  <si>
    <t>117.137.2.168</t>
  </si>
  <si>
    <t>23a55caf-3786-4a60-b977-ce35b2548d39</t>
  </si>
  <si>
    <t>ce5c5563-eb1c-4174-a252-a7288e2ca3a9</t>
  </si>
  <si>
    <t>249.22.231.166</t>
  </si>
  <si>
    <t>eb63b381-0e4a-4770-a93e-f4c8e6e8e8f3</t>
  </si>
  <si>
    <t>0a943bf6-b7c2-4acd-8145-5356db608683</t>
  </si>
  <si>
    <t>243.66.108.24</t>
  </si>
  <si>
    <t>b86907a6-4e1f-401c-ad34-280fedd67ed9</t>
  </si>
  <si>
    <t>be584e65-c3e3-4974-a2e9-ac125b2feba8</t>
  </si>
  <si>
    <t>206.144.165.28</t>
  </si>
  <si>
    <t>89fbed80-c4b6-4d3c-8e0a-96cb2b828127</t>
  </si>
  <si>
    <t>2b605e0e-154b-40d5-b4d6-e7e78ec4ae62</t>
  </si>
  <si>
    <t>191.36.195.47</t>
  </si>
  <si>
    <t>29fee0f1-3cf6-482e-90e7-daa93d1ba944</t>
  </si>
  <si>
    <t>7a7d6b8b-b5e2-4c60-844e-baf0d86769ad</t>
  </si>
  <si>
    <t>103.130.91.122</t>
  </si>
  <si>
    <t>10a0e858-d643-47dc-8503-ff6651a75bdc</t>
  </si>
  <si>
    <t>d29ed971-3114-45fb-a337-a23c8038b84c</t>
  </si>
  <si>
    <t>248.204.45.10</t>
  </si>
  <si>
    <t>2281723c-5840-4d8e-b955-cf4f84a9b2a5</t>
  </si>
  <si>
    <t>dbeced8d-f643-418a-93a3-c7fed2b0cf28</t>
  </si>
  <si>
    <t>219.106.83.198</t>
  </si>
  <si>
    <t>3c780fb7-44c2-4a4c-8e46-4cc1e7f9feb6</t>
  </si>
  <si>
    <t>0988686a-eeac-448c-963c-91a8e3723cf1</t>
  </si>
  <si>
    <t>200.206.145.78</t>
  </si>
  <si>
    <t>9e873113-6090-434b-a0d0-fc2b3407a99f</t>
  </si>
  <si>
    <t>1c6b7582-8ed2-4bfe-b790-734f34c959aa</t>
  </si>
  <si>
    <t>31.152.251.221</t>
  </si>
  <si>
    <t>75b2c034-160b-4c34-a9db-ad3f38b51064</t>
  </si>
  <si>
    <t>c58d481e-48c8-4fab-806d-8a2f941f201e</t>
  </si>
  <si>
    <t>189.158.67.183</t>
  </si>
  <si>
    <t>3dd9c9e6-b3b6-4149-bc52-75a5a004a59e</t>
  </si>
  <si>
    <t>e7b38bcd-e447-41d8-9bf1-c508c3622d53</t>
  </si>
  <si>
    <t>171.49.188.102</t>
  </si>
  <si>
    <t>75867499-466b-45d9-8f39-50d03f23c1cf</t>
  </si>
  <si>
    <t>8c80150e-fd7f-403b-af6c-3deec055f624</t>
  </si>
  <si>
    <t>126.228.198.243</t>
  </si>
  <si>
    <t>eef249a1-eee8-474c-ae62-1032ee812a6b</t>
  </si>
  <si>
    <t>be1c624f-f252-4460-93ce-26448e3c8c5f</t>
  </si>
  <si>
    <t>69.216.46.216</t>
  </si>
  <si>
    <t>b9993b3e-4f5f-4180-8026-6177ff50311a</t>
  </si>
  <si>
    <t>30ed989d-b278-4974-b622-780b6f145cea</t>
  </si>
  <si>
    <t>208.188.95.222</t>
  </si>
  <si>
    <t>4530cd38-4874-4641-8b4c-0f9020ec9530</t>
  </si>
  <si>
    <t>7f9762e3-5774-4e7a-8856-63ffbb480bb7</t>
  </si>
  <si>
    <t>162.218.47.20</t>
  </si>
  <si>
    <t>be46dadb-12c0-48ab-959e-c78357392d92</t>
  </si>
  <si>
    <t>8d522892-9f23-4cfb-9409-4d10141a3b3d</t>
  </si>
  <si>
    <t>132.174.237.114</t>
  </si>
  <si>
    <t>b50c8fdf-d2b4-497a-89ec-fca22c5c9c48</t>
  </si>
  <si>
    <t>b563005d-e7e8-4ff3-b289-2e08f169ce27</t>
  </si>
  <si>
    <t>166.79.253.42</t>
  </si>
  <si>
    <t>b8c63999-5acf-46bb-9703-3ac7c51c1e25</t>
  </si>
  <si>
    <t>2ea983bf-45f3-474f-8444-8b568d66848e</t>
  </si>
  <si>
    <t>75.239.223.40</t>
  </si>
  <si>
    <t>3c4135a6-9a08-48c2-a0f7-699bfcf3be9a</t>
  </si>
  <si>
    <t>3cf01901-ed9e-499d-bede-acf7f8df63d8</t>
  </si>
  <si>
    <t>233.244.153.76</t>
  </si>
  <si>
    <t>ce19b604-9a8e-4ebf-b6cb-c85205b81db9</t>
  </si>
  <si>
    <t>f6faaa37-f232-4afa-bacc-a4cf56ca2eec</t>
  </si>
  <si>
    <t>252.65.153.127</t>
  </si>
  <si>
    <t>452610b4-b53c-484e-8ce5-b2933ec5d347</t>
  </si>
  <si>
    <t>2d3a8f96-b846-4bd2-9f2a-221c4c53c710</t>
  </si>
  <si>
    <t>134.218.151.24</t>
  </si>
  <si>
    <t>47d156e3-002c-4d71-8f94-09208b28fa6e</t>
  </si>
  <si>
    <t>bc784383-e129-48c8-9367-907c355e5c98</t>
  </si>
  <si>
    <t>142.39.23.55</t>
  </si>
  <si>
    <t>0e7125b4-3cb0-43a1-9fb4-63fd706eb5cb</t>
  </si>
  <si>
    <t>ad3f45dd-fadf-4ee6-a269-f7f71dde6ab4</t>
  </si>
  <si>
    <t>131.217.211.48</t>
  </si>
  <si>
    <t>ab6c66bd-d011-4814-9568-13664a617488</t>
  </si>
  <si>
    <t>3a7bcb2d-a88c-46a9-84a7-bb15f461e6f4</t>
  </si>
  <si>
    <t>119.129.181.130</t>
  </si>
  <si>
    <t>7d62b40e-82f1-400b-b1e9-9f10ac2f7fcc</t>
  </si>
  <si>
    <t>20c7965a-23eb-4346-b2a6-fbb616801cc8</t>
  </si>
  <si>
    <t>150.41.8.58</t>
  </si>
  <si>
    <t>1efd0bf4-3c4a-44df-969d-b82201cf6966</t>
  </si>
  <si>
    <t>3f160312-fdba-4b34-aea9-e88855c986bd</t>
  </si>
  <si>
    <t>190.236.91.93</t>
  </si>
  <si>
    <t>e6ac5479-05ca-41ca-ba64-900bb4dfbc9e</t>
  </si>
  <si>
    <t>835d969b-ea8b-4342-90de-fbe6e71f575a</t>
  </si>
  <si>
    <t>216.201.23.42</t>
  </si>
  <si>
    <t>c1a3fd33-36e1-499a-bfb9-09d23e218b79</t>
  </si>
  <si>
    <t>e77b2ded-d8d4-422b-b2c8-83e6ee70575f</t>
  </si>
  <si>
    <t>107.152.160.232</t>
  </si>
  <si>
    <t>9e350d81-8ed0-4eae-a1dc-08c85fda29dc</t>
  </si>
  <si>
    <t>151c7c0a-f21c-42c5-9599-462b82e9adee</t>
  </si>
  <si>
    <t>194.230.135.174</t>
  </si>
  <si>
    <t>e59c3379-a2a4-43e0-835b-a3a4b539ff1b</t>
  </si>
  <si>
    <t>f8c6aa2b-4885-42e0-8603-2a73dd8af24d</t>
  </si>
  <si>
    <t>248.95.108.94</t>
  </si>
  <si>
    <t>76ae5017-bb7b-4cdd-977e-3b1fd02beae1</t>
  </si>
  <si>
    <t>339ce60f-0525-453a-b2d2-b6ac2356622d</t>
  </si>
  <si>
    <t>21.132.54.222</t>
  </si>
  <si>
    <t>b75cbc0e-8a57-45c1-befa-eb9f2b6a0e58</t>
  </si>
  <si>
    <t>e227f188-7b42-4d41-84d3-7de9ef400cfc</t>
  </si>
  <si>
    <t>137.9.2.202</t>
  </si>
  <si>
    <t>d640c576-5f9b-45cb-8361-16ee5e99a720</t>
  </si>
  <si>
    <t>3f8e1592-6cf6-4331-9d9f-343710c5f23b</t>
  </si>
  <si>
    <t>30.6.87.244</t>
  </si>
  <si>
    <t>f04c7cf1-14d9-4881-bf7b-ef0ca9dcf162</t>
  </si>
  <si>
    <t>58353284-f948-41e1-b13b-cd1416b510d4</t>
  </si>
  <si>
    <t>118.207.249.155</t>
  </si>
  <si>
    <t>41ec950c-2978-45f2-931c-c822420cdeca</t>
  </si>
  <si>
    <t>42f9051b-afa5-4910-b568-3b551d01e6fe</t>
  </si>
  <si>
    <t>159.184.202.154</t>
  </si>
  <si>
    <t>1f9f48d6-5fa5-4703-8ed2-7b7c39fdeb8f</t>
  </si>
  <si>
    <t>4536e6b1-e104-4e51-bb16-8e86204d63e5</t>
  </si>
  <si>
    <t>23.64.69.7</t>
  </si>
  <si>
    <t>a9feeb9e-884e-44c4-9fda-3076b9e1c502</t>
  </si>
  <si>
    <t>eebb2e80-8950-4cc3-8e4d-c68573ea52be</t>
  </si>
  <si>
    <t>49.57.8.96</t>
  </si>
  <si>
    <t>7809a78f-a2e2-47d9-9042-3b40b97c53a8</t>
  </si>
  <si>
    <t>be2da421-3329-4ae2-a74a-053bdd3d6c88</t>
  </si>
  <si>
    <t>220.13.107.246</t>
  </si>
  <si>
    <t>e28977b1-41fe-4a56-826c-218a50c3bd60</t>
  </si>
  <si>
    <t>cff01c7e-b660-443c-817d-4a8933d5ebe4</t>
  </si>
  <si>
    <t>167.74.123.223</t>
  </si>
  <si>
    <t>2dfab762-56d1-4c1a-bf98-704dda42bbf0</t>
  </si>
  <si>
    <t>92eb3e1a-7e3a-4e15-82f4-f3f080a64f5e</t>
  </si>
  <si>
    <t>216.97.44.154</t>
  </si>
  <si>
    <t>8216ffa4-ced3-42b8-a746-16d0c1ba5ee6</t>
  </si>
  <si>
    <t>bd117650-739a-4455-b8c9-4ba90608fd81</t>
  </si>
  <si>
    <t>198.237.75.242</t>
  </si>
  <si>
    <t>28525951-ac97-4080-a35a-a6a1fa1596a0</t>
  </si>
  <si>
    <t>50a2cb2d-658c-43bd-bc19-a8674af4518e</t>
  </si>
  <si>
    <t>109.11.59.85</t>
  </si>
  <si>
    <t>78ad7ead-df6a-4b9e-bdc4-5e3bd28b5194</t>
  </si>
  <si>
    <t>ce4bdcff-819a-4cb8-afc5-6469c3c6359e</t>
  </si>
  <si>
    <t>232.78.227.248</t>
  </si>
  <si>
    <t>fa95ede7-80a5-48a6-8ac6-1df008473ceb</t>
  </si>
  <si>
    <t>0d31973f-0520-4d8f-b6fc-d8b03a8366ef</t>
  </si>
  <si>
    <t>121.10.230.124</t>
  </si>
  <si>
    <t>a47f2436-3e34-4e69-b006-fd6e51388822</t>
  </si>
  <si>
    <t>cf2240b5-7126-4d2c-bf0f-675e255f27e2</t>
  </si>
  <si>
    <t>52.150.200.26</t>
  </si>
  <si>
    <t>f5f2e357-63aa-4e2a-8755-e196daef239b</t>
  </si>
  <si>
    <t>203e789d-a16a-41ec-add5-5ed307274af9</t>
  </si>
  <si>
    <t>86.4.52.221</t>
  </si>
  <si>
    <t>82119403-d456-41b3-a431-895e32e723af</t>
  </si>
  <si>
    <t>a323b437-0e67-4a16-bf21-61e058f114e4</t>
  </si>
  <si>
    <t>251.212.253.148</t>
  </si>
  <si>
    <t>37f78e30-8a96-4769-9c4f-a21e78f4a524</t>
  </si>
  <si>
    <t>654c5b65-dfe5-4993-b7d7-8903535b3aed</t>
  </si>
  <si>
    <t>10.249.204.248</t>
  </si>
  <si>
    <t>5bac78e8-88a4-4a81-826b-28172204cbba</t>
  </si>
  <si>
    <t>35a11479-026a-4bd8-911d-4892ba81fb63</t>
  </si>
  <si>
    <t>132.249.118.31</t>
  </si>
  <si>
    <t>12c9e3ac-99af-40c8-a405-ac2cf37160d6</t>
  </si>
  <si>
    <t>d11ddd04-a0a5-4acb-89c4-5d01ca9fbbf9</t>
  </si>
  <si>
    <t>136.9.216.161</t>
  </si>
  <si>
    <t>d7006c39-8051-4e48-8229-3ff3016d7e96</t>
  </si>
  <si>
    <t>6cf8b79c-c0b9-4561-be02-13b269b73c9e</t>
  </si>
  <si>
    <t>142.32.137.213</t>
  </si>
  <si>
    <t>c3fc4004-a326-4a84-b25e-934e7429d31a</t>
  </si>
  <si>
    <t>ebe896f4-e5e1-47ab-9cad-93b7fdab23ff</t>
  </si>
  <si>
    <t>228.242.59.253</t>
  </si>
  <si>
    <t>b7654f68-cc63-4d37-862d-79dba4d107ad</t>
  </si>
  <si>
    <t>4bb411ff-dd62-4231-b78a-5a23788e917b</t>
  </si>
  <si>
    <t>160.177.229.223</t>
  </si>
  <si>
    <t>49babb3a-d6ae-4c64-ba68-3905f1a8c752</t>
  </si>
  <si>
    <t>8038a1c5-a683-4734-9256-f036aa71436b</t>
  </si>
  <si>
    <t>6.82.147.98</t>
  </si>
  <si>
    <t>50f0883c-6d71-4930-94db-20275ffe73e0</t>
  </si>
  <si>
    <t>091122d2-e1ee-4089-9aef-736730d8955b</t>
  </si>
  <si>
    <t>121.176.224.118</t>
  </si>
  <si>
    <t>c47d5ed3-2915-47c5-9aa7-11fd4afc85bb</t>
  </si>
  <si>
    <t>fe37694e-f59e-4548-8621-d61a55bdcb2c</t>
  </si>
  <si>
    <t>130.112.173.239</t>
  </si>
  <si>
    <t>160264ab-d1b5-46e5-ab41-d5dddef160b8</t>
  </si>
  <si>
    <t>307bad5f-316d-428e-837a-898bf069ea6a</t>
  </si>
  <si>
    <t>34.150.199.213</t>
  </si>
  <si>
    <t>6bf3baa5-b9f0-4fb3-8bda-f809cee3c53e</t>
  </si>
  <si>
    <t>ad3e8151-10b2-4b36-b6f0-a1091336fd7c</t>
  </si>
  <si>
    <t>214.184.241.82</t>
  </si>
  <si>
    <t>1188b934-7b5c-4977-99a7-b8ee0dc06346</t>
  </si>
  <si>
    <t>8f7801ad-0571-4404-965c-ca81889738fc</t>
  </si>
  <si>
    <t>160.106.144.44</t>
  </si>
  <si>
    <t>973adf27-f550-4570-b8c6-e4000f732363</t>
  </si>
  <si>
    <t>93edf618-97c7-4c77-8000-21ae91f6299e</t>
  </si>
  <si>
    <t>171.247.66.88</t>
  </si>
  <si>
    <t>d25a1fa2-f7cb-4bdf-a5dd-a1bcf84dc263</t>
  </si>
  <si>
    <t>771908bd-c772-4ada-8e6d-bace539114f7</t>
  </si>
  <si>
    <t>52.80.251.51</t>
  </si>
  <si>
    <t>6f5f3060-34b3-4cc2-8ecc-6277615b6c00</t>
  </si>
  <si>
    <t>f9c9d104-babe-433e-9855-d43777da9a3e</t>
  </si>
  <si>
    <t>204.212.252.155</t>
  </si>
  <si>
    <t>b057945d-9823-4236-8c2b-2c484f50538b</t>
  </si>
  <si>
    <t>919954b4-b43b-4081-b034-d94a2b434c28</t>
  </si>
  <si>
    <t>61.107.24.9</t>
  </si>
  <si>
    <t>97a2fff9-aaa2-4404-b9af-2d88f663822f</t>
  </si>
  <si>
    <t>8c731fe9-77e0-4507-ab38-a1df8c62af22</t>
  </si>
  <si>
    <t>92.133.182.81</t>
  </si>
  <si>
    <t>a2892269-ff90-4fd5-a88f-b8e9927050de</t>
  </si>
  <si>
    <t>36e035af-9427-4443-a61c-8083e59cf572</t>
  </si>
  <si>
    <t>45.16.32.172</t>
  </si>
  <si>
    <t>dad5519f-56ba-4c35-ada3-ee25ccd85744</t>
  </si>
  <si>
    <t>d82565e9-c274-4b08-a542-b4c9fc86e191</t>
  </si>
  <si>
    <t>111.58.116.61</t>
  </si>
  <si>
    <t>5685a8c3-ece2-4307-9bf9-3656a5cdea40</t>
  </si>
  <si>
    <t>911fa4cb-8f3f-4ca4-8904-64c4e470e378</t>
  </si>
  <si>
    <t>144.114.249.132</t>
  </si>
  <si>
    <t>35cef2c8-9019-4581-8a23-9de73ae23a80</t>
  </si>
  <si>
    <t>46fb1f06-aa70-418e-bb6f-79815879e539</t>
  </si>
  <si>
    <t>255.174.181.23</t>
  </si>
  <si>
    <t>9c531583-9285-43ca-85c0-975471671d17</t>
  </si>
  <si>
    <t>e0fc9d44-d90d-40f6-a4fd-ae8a40f84fec</t>
  </si>
  <si>
    <t>198.136.77.53</t>
  </si>
  <si>
    <t>cbd88891-d047-478f-a8fd-160da7e4639e</t>
  </si>
  <si>
    <t>359586d5-d382-4737-b84e-219a1e170a1a</t>
  </si>
  <si>
    <t>181.25.224.234</t>
  </si>
  <si>
    <t>4c80f66a-6fdf-4884-8143-93a3f65bcd20</t>
  </si>
  <si>
    <t>07de319e-26bc-405a-bcde-701bbbe15d13</t>
  </si>
  <si>
    <t>247.56.54.52</t>
  </si>
  <si>
    <t>5d607dd7-b7f9-41b3-b640-6b72678673a7</t>
  </si>
  <si>
    <t>df1eeb16-d266-4c57-ad76-a5ba562135f1</t>
  </si>
  <si>
    <t>211.21.53.85</t>
  </si>
  <si>
    <t>50c8d043-6905-4203-b9d4-58243a394c8f</t>
  </si>
  <si>
    <t>e56696d9-678c-4efb-a4d6-6c45c02b4541</t>
  </si>
  <si>
    <t>162.60.105.185</t>
  </si>
  <si>
    <t>c1990e3c-1758-4c38-aaa3-ec3930e52ca5</t>
  </si>
  <si>
    <t>c2af13f6-f4ad-483f-80b4-2f5daa2946f2</t>
  </si>
  <si>
    <t>41.149.226.255</t>
  </si>
  <si>
    <t>28336b8f-2ea7-48e0-9939-4220fb5471ee</t>
  </si>
  <si>
    <t>8e2dfff2-2d1d-4591-9dda-d72abe879961</t>
  </si>
  <si>
    <t>188.50.78.186</t>
  </si>
  <si>
    <t>9fe2fec3-f60b-4e91-9304-fa3d9116d9a7</t>
  </si>
  <si>
    <t>0c189742-94e9-4865-a0a1-9b1edd6d0749</t>
  </si>
  <si>
    <t>86.70.62.103</t>
  </si>
  <si>
    <t>de823a8b-4938-4c31-b6c1-2b2482b46cf0</t>
  </si>
  <si>
    <t>2498ece2-4140-42b2-b902-9f8a1357d18c</t>
  </si>
  <si>
    <t>113.212.3.125</t>
  </si>
  <si>
    <t>2ff2d695-8853-4e46-bcf3-94d4cc30eac1</t>
  </si>
  <si>
    <t>62a1f996-ff96-47cd-aacb-1752f90e3570</t>
  </si>
  <si>
    <t>214.242.174.146</t>
  </si>
  <si>
    <t>b2fd37f1-bdca-4463-9098-00557771259c</t>
  </si>
  <si>
    <t>05bc9a1e-baff-40b2-91e0-4e0296211d91</t>
  </si>
  <si>
    <t>130.87.43.136</t>
  </si>
  <si>
    <t>dd6fa321-44b1-4560-bf79-75e9e73ae0ff</t>
  </si>
  <si>
    <t>9843bff7-8809-478d-a80e-b244b6691cb8</t>
  </si>
  <si>
    <t>96.212.184.125</t>
  </si>
  <si>
    <t>e4e0923e-cb00-466c-a675-be59fe8b25ce</t>
  </si>
  <si>
    <t>6df7e950-8432-4892-b56e-a01c21f1f175</t>
  </si>
  <si>
    <t>39.215.116.70</t>
  </si>
  <si>
    <t>880b9c9b-9d7f-4bf8-adec-69a3d6940ded</t>
  </si>
  <si>
    <t>aa2395a8-9a65-4047-8538-dc195622b83d</t>
  </si>
  <si>
    <t>206.219.211.209</t>
  </si>
  <si>
    <t>ecc993bb-98a7-40c9-9106-78f03fa994df</t>
  </si>
  <si>
    <t>92f41d3c-4031-4827-b941-930667f9070e</t>
  </si>
  <si>
    <t>230.234.185.15</t>
  </si>
  <si>
    <t>491cf914-d9a9-401f-b365-7511fa28476d</t>
  </si>
  <si>
    <t>a59eff2f-9f5b-4b2b-ad04-d2fbe6eba924</t>
  </si>
  <si>
    <t>114.74.5.35</t>
  </si>
  <si>
    <t>e640ae08-1fa6-4dea-b241-d22727b439b0</t>
  </si>
  <si>
    <t>079a6319-2c4b-424d-a790-66185bbae2aa</t>
  </si>
  <si>
    <t>22.173.161.205</t>
  </si>
  <si>
    <t>4ef7aa5f-2515-4de3-afdc-f283e03ff182</t>
  </si>
  <si>
    <t>84eb653a-6f64-447c-b7ba-701abb8a6505</t>
  </si>
  <si>
    <t>252.84.222.31</t>
  </si>
  <si>
    <t>17b51a19-5ac1-4db3-bf14-57e54fe5f26e</t>
  </si>
  <si>
    <t>48b26a6b-1484-4e9e-8615-2b6a68707e2d</t>
  </si>
  <si>
    <t>101.18.77.29</t>
  </si>
  <si>
    <t>f90d8f12-a560-406f-be24-4d029f0766d5</t>
  </si>
  <si>
    <t>59e499ff-8dc8-4ca5-8713-482e6aff7b87</t>
  </si>
  <si>
    <t>251.151.214.205</t>
  </si>
  <si>
    <t>e88288bf-7e6b-4207-9eae-8151f95a53da</t>
  </si>
  <si>
    <t>325c9216-d921-4cf4-9368-4270c6809497</t>
  </si>
  <si>
    <t>227.155.160.176</t>
  </si>
  <si>
    <t>b5c6f350-c1d8-4f46-b8d8-e1fabae2a358</t>
  </si>
  <si>
    <t>4429a4d1-f102-405a-9415-63a83da2f3fb</t>
  </si>
  <si>
    <t>3.143.75.206</t>
  </si>
  <si>
    <t>fdb38943-c054-465f-b187-b3626d71e49a</t>
  </si>
  <si>
    <t>598020ea-153d-4fc5-8987-2a95c5d5c9fa</t>
  </si>
  <si>
    <t>115.105.226.176</t>
  </si>
  <si>
    <t>927ccae0-76ce-4786-8b8b-4e576b12a7e2</t>
  </si>
  <si>
    <t>ed8346da-a917-4081-9f0f-1f7ecb3a12ef</t>
  </si>
  <si>
    <t>228.207.101.154</t>
  </si>
  <si>
    <t>907cc291-1202-43d8-b417-8dc8d6ad811d</t>
  </si>
  <si>
    <t>c9c21a9b-f1c4-4830-9a03-35d76359bd47</t>
  </si>
  <si>
    <t>22.18.171.199</t>
  </si>
  <si>
    <t>031fa87f-f5c8-4938-ad37-3d26d7ede5b0</t>
  </si>
  <si>
    <t>c32e0291-87fc-41b0-a36f-d97ea794c3c5</t>
  </si>
  <si>
    <t>186.64.145.109</t>
  </si>
  <si>
    <t>5aee0a9f-a08c-4345-a3d3-7f9d0e65221a</t>
  </si>
  <si>
    <t>6de6265d-5a96-4c32-8b0f-cc5623620170</t>
  </si>
  <si>
    <t>24.159.174.81</t>
  </si>
  <si>
    <t>204c3ad0-1885-4913-a8cd-301498bb6df6</t>
  </si>
  <si>
    <t>3f20a3d4-749e-487b-a0a9-b2bb6e6c19f3</t>
  </si>
  <si>
    <t>6.14.132.123</t>
  </si>
  <si>
    <t>1af319ae-2313-4606-b0af-4d624e3ec5ce</t>
  </si>
  <si>
    <t>079e69ce-5c50-4760-99cc-b6f8b5244714</t>
  </si>
  <si>
    <t>214.155.216.56</t>
  </si>
  <si>
    <t>0f3d54c4-319a-43ff-842a-f4053c55e167</t>
  </si>
  <si>
    <t>24d57d41-7a6e-4dd7-b8b0-8e86abaf52ba</t>
  </si>
  <si>
    <t>188.30.190.132</t>
  </si>
  <si>
    <t>8247af4e-0c21-4399-aa72-cb397a32d2b5</t>
  </si>
  <si>
    <t>84025261-d14e-495c-8742-1998be3f422f</t>
  </si>
  <si>
    <t>161.181.63.24</t>
  </si>
  <si>
    <t>66236bb3-528a-48a6-b2bf-3cf8842c64be</t>
  </si>
  <si>
    <t>5adc1715-7f62-4eb7-b65b-3a62b790439a</t>
  </si>
  <si>
    <t>194.63.229.152</t>
  </si>
  <si>
    <t>6508532a-0222-4daf-ac84-01a0e9fbfe17</t>
  </si>
  <si>
    <t>22179a73-7890-473c-ba3c-35100006f1a7</t>
  </si>
  <si>
    <t>147.2.232.173</t>
  </si>
  <si>
    <t>47331797-19b5-4cd3-be3f-e51322dded88</t>
  </si>
  <si>
    <t>3748ca6b-92a9-4951-a8d1-67a32a05249b</t>
  </si>
  <si>
    <t>252.120.119.179</t>
  </si>
  <si>
    <t>fc00e33a-c11f-4842-ad38-9c3c8dbc28cf</t>
  </si>
  <si>
    <t>f1948c9e-4fd0-4b82-9330-9b6a880717ce</t>
  </si>
  <si>
    <t>77.145.71.193</t>
  </si>
  <si>
    <t>93ff7219-2f88-4d7d-91eb-36784e57ce20</t>
  </si>
  <si>
    <t>e7342379-eee5-43c1-82f6-39bf1de3d0ab</t>
  </si>
  <si>
    <t>134.126.53.167</t>
  </si>
  <si>
    <t>6c984169-b6a7-4f76-8ff4-a725702b7c85</t>
  </si>
  <si>
    <t>ed4e5d75-c1eb-4e81-bccb-4856a584888c</t>
  </si>
  <si>
    <t>133.98.184.232</t>
  </si>
  <si>
    <t>090ecf10-bb96-401b-b006-4fd65dbc472f</t>
  </si>
  <si>
    <t>90bd1063-70ed-4ccd-99f0-52ec9debbf43</t>
  </si>
  <si>
    <t>26.75.217.210</t>
  </si>
  <si>
    <t>1a47402e-1f16-49e8-9ab8-57f196bc3e29</t>
  </si>
  <si>
    <t>d71af965-e166-4295-9d14-0fab031158c4</t>
  </si>
  <si>
    <t>21.47.31.217</t>
  </si>
  <si>
    <t>949f9afc-9707-4da9-a8ac-af88ccca29f5</t>
  </si>
  <si>
    <t>ebb329b1-911d-4342-ab40-867fcd0cdd74</t>
  </si>
  <si>
    <t>228.66.243.109</t>
  </si>
  <si>
    <t>695b2b59-8814-4368-89d7-5ef1f996bad0</t>
  </si>
  <si>
    <t>c3facadf-53b2-4932-84eb-109711a188bb</t>
  </si>
  <si>
    <t>115.39.189.206</t>
  </si>
  <si>
    <t>539e0099-7f66-46cf-aad7-d6d5faf686de</t>
  </si>
  <si>
    <t>8608192a-0407-4ddf-ba24-16f9a26caa6b</t>
  </si>
  <si>
    <t>151.202.135.255</t>
  </si>
  <si>
    <t>25a634f0-74f0-4982-8c99-3c5ccbf7d7b3</t>
  </si>
  <si>
    <t>d0b2c450-28ff-4880-83c7-96f588c6a26c</t>
  </si>
  <si>
    <t>163.216.225.250</t>
  </si>
  <si>
    <t>98a59d3d-3097-42ee-a19d-2310ab2f4d77</t>
  </si>
  <si>
    <t>f0c0ee44-0bba-4db2-9c04-eeb871860c26</t>
  </si>
  <si>
    <t>188.213.83.73</t>
  </si>
  <si>
    <t>c6587f36-6275-464a-a4e2-4f6296c904e3</t>
  </si>
  <si>
    <t>053e70db-9d6c-4a76-b3a4-3bb3190cdbfd</t>
  </si>
  <si>
    <t>130.65.248.234</t>
  </si>
  <si>
    <t>35b054c7-9b29-41da-b876-4926878bcb6c</t>
  </si>
  <si>
    <t>f039b6c5-d278-4341-adda-0f389d4a9fea</t>
  </si>
  <si>
    <t>34.60.108.233</t>
  </si>
  <si>
    <t>14458d68-4474-4278-974b-69c0ab64b6e9</t>
  </si>
  <si>
    <t>21d23338-ac9e-4567-b674-8d1f4721f91f</t>
  </si>
  <si>
    <t>122.16.80.189</t>
  </si>
  <si>
    <t>cfd7d707-4051-4f98-b6af-cf089ea439bd</t>
  </si>
  <si>
    <t>ab630305-98d3-4bae-b89d-8001c6dab538</t>
  </si>
  <si>
    <t>236.60.209.56</t>
  </si>
  <si>
    <t>e0ca3033-9bf8-4652-b5bc-910c431b9fb0</t>
  </si>
  <si>
    <t>3fbafcab-36ad-43b3-ae6e-931ad79ad41c</t>
  </si>
  <si>
    <t>31.189.148.20</t>
  </si>
  <si>
    <t>c4fa1643-35a0-43f6-8ad2-61978300488b</t>
  </si>
  <si>
    <t>3d607c3e-3aaa-4d09-9504-64ebcec6d0bc</t>
  </si>
  <si>
    <t>134.78.60.190</t>
  </si>
  <si>
    <t>c985b46f-929b-452c-bc5a-be1ccaa8b0d4</t>
  </si>
  <si>
    <t>df577d92-1555-473b-bb6b-cc4688fe16fd</t>
  </si>
  <si>
    <t>79.191.155.150</t>
  </si>
  <si>
    <t>f218a888-1f6f-4f62-b528-8f1683c1c1a2</t>
  </si>
  <si>
    <t>e956e786-9b66-40db-a2be-0184c7e904e0</t>
  </si>
  <si>
    <t>125.14.73.72</t>
  </si>
  <si>
    <t>fbe1e0b6-31c6-447e-834e-3963c92b929f</t>
  </si>
  <si>
    <t>833f47c5-99d5-4850-99cd-b86427868076</t>
  </si>
  <si>
    <t>201.215.24.156</t>
  </si>
  <si>
    <t>0b5f788d-b402-4c7c-b05f-a8ece3b71973</t>
  </si>
  <si>
    <t>4e5d45c3-6b5f-465a-a24f-a5d1fe872e05</t>
  </si>
  <si>
    <t>228.145.110.93</t>
  </si>
  <si>
    <t>5638ef68-6be9-487e-a290-81a941449ed4</t>
  </si>
  <si>
    <t>45304992-d6e7-422c-a7a9-0345d10c9e67</t>
  </si>
  <si>
    <t>210.250.1.62</t>
  </si>
  <si>
    <t>74f4ff32-32b0-4e0e-824b-74af9fc2dad4</t>
  </si>
  <si>
    <t>6a71b0b5-da4f-4216-b608-a1afe7689b73</t>
  </si>
  <si>
    <t>141.178.34.22</t>
  </si>
  <si>
    <t>b8e2dd78-1199-45b6-b66e-a5d349a65593</t>
  </si>
  <si>
    <t>0e433a52-4e91-470f-8a4b-b33705a2b3a2</t>
  </si>
  <si>
    <t>107.246.158.231</t>
  </si>
  <si>
    <t>515f3981-6bd6-473d-b284-5f3534ad2bdc</t>
  </si>
  <si>
    <t>11b67c0e-60d4-4498-97c6-9bd3c95dc2a0</t>
  </si>
  <si>
    <t>231.172.193.243</t>
  </si>
  <si>
    <t>59000183-25b7-47ab-be72-d46eac177316</t>
  </si>
  <si>
    <t>dd93eef1-66b1-42ac-8b4e-dca4e6552015</t>
  </si>
  <si>
    <t>214.67.70.235</t>
  </si>
  <si>
    <t>30283d1b-fa40-470f-82b2-35553c75ddae</t>
  </si>
  <si>
    <t>a9b34e8c-80e6-4899-8286-b07e8f3f3287</t>
  </si>
  <si>
    <t>195.230.229.76</t>
  </si>
  <si>
    <t>ee657432-9d38-4d5a-b489-bd904c097d56</t>
  </si>
  <si>
    <t>f54663dc-b4fc-43ae-9c33-e9e4a6a464e7</t>
  </si>
  <si>
    <t>222.166.45.209</t>
  </si>
  <si>
    <t>f7001a14-e769-4c60-8111-a4ae4c56f933</t>
  </si>
  <si>
    <t>4cf5ccc3-5d9a-477b-a245-fc1a5e7f2419</t>
  </si>
  <si>
    <t>100.119.202.173</t>
  </si>
  <si>
    <t>e238d143-bbc0-47f6-809c-fcd51543c7c3</t>
  </si>
  <si>
    <t>f0e6347d-2634-40bc-be3b-b66ca20956b7</t>
  </si>
  <si>
    <t>139.23.226.142</t>
  </si>
  <si>
    <t>5cbebb2d-c2be-4443-8298-94f815732a8a</t>
  </si>
  <si>
    <t>72b40162-4260-4b0c-b1a5-434d5d113196</t>
  </si>
  <si>
    <t>166.45.84.12</t>
  </si>
  <si>
    <t>4a62086a-aaec-4350-bf91-9be85f850c6d</t>
  </si>
  <si>
    <t>ac6f9504-d9ae-415a-ad8c-8b1ae0b2d1dd</t>
  </si>
  <si>
    <t>147.158.63.43</t>
  </si>
  <si>
    <t>51841b0b-9e35-420f-8211-0f59bc80c5d1</t>
  </si>
  <si>
    <t>59a0e45c-5229-414f-8cb1-ac97eaaede7b</t>
  </si>
  <si>
    <t>50.27.96.243</t>
  </si>
  <si>
    <t>bd44b8e2-c567-426a-8ec1-d9a2b07197da</t>
  </si>
  <si>
    <t>d0126452-6747-42d3-a5a1-a439ae715438</t>
  </si>
  <si>
    <t>129.9.61.92</t>
  </si>
  <si>
    <t>b689738e-609e-4586-ad4e-db0c79b69bd9</t>
  </si>
  <si>
    <t>b56e634a-2fa1-43ac-b83e-ef730a5f36ae</t>
  </si>
  <si>
    <t>247.9.140.105</t>
  </si>
  <si>
    <t>cd61d6a5-5396-48e5-8abd-a5b0fbe5e7d6</t>
  </si>
  <si>
    <t>54bf0cc4-84d7-4078-90a8-d80bf97973b3</t>
  </si>
  <si>
    <t>63.227.43.164</t>
  </si>
  <si>
    <t>603f7cff-6c17-4540-a453-16187a202cba</t>
  </si>
  <si>
    <t>69c9bba8-1706-48e4-b27a-3a5872f6af04</t>
  </si>
  <si>
    <t>103.23.251.11</t>
  </si>
  <si>
    <t>e6e7b879-d510-411c-b4c2-4f7794d0028b</t>
  </si>
  <si>
    <t>4d166bba-7e00-4fc9-b474-19faf00b082f</t>
  </si>
  <si>
    <t>88.223.92.212</t>
  </si>
  <si>
    <t>5d0761e1-3aca-4411-bd93-22f69119c997</t>
  </si>
  <si>
    <t>92b9c1db-cbe6-40b7-8c09-b95513303a58</t>
  </si>
  <si>
    <t>7.162.195.131</t>
  </si>
  <si>
    <t>094c7ec6-626d-4ac6-a776-37158985193d</t>
  </si>
  <si>
    <t>4b22d726-12d6-4c21-b373-880dcb798134</t>
  </si>
  <si>
    <t>24.58.50.86</t>
  </si>
  <si>
    <t>fd0a9efb-00e8-4f5e-86f0-013c5cabde77</t>
  </si>
  <si>
    <t>8818fc31-94e7-49c5-a4ed-9a4150017b65</t>
  </si>
  <si>
    <t>74.73.93.130</t>
  </si>
  <si>
    <t>fca0f3c2-700b-4824-b691-e29558898193</t>
  </si>
  <si>
    <t>3f8b8192-c8de-4afd-8337-9fd04956b921</t>
  </si>
  <si>
    <t>197.45.78.157</t>
  </si>
  <si>
    <t>1675613e-d3d4-48ec-aa5e-194323b03fe9</t>
  </si>
  <si>
    <t>c15f1800-4487-46e3-be73-9078bdb13e1f</t>
  </si>
  <si>
    <t>244.208.86.30</t>
  </si>
  <si>
    <t>90d786a4-bea6-431d-8f89-766801eb292e</t>
  </si>
  <si>
    <t>efae7c73-db62-4f43-8088-e502101ae072</t>
  </si>
  <si>
    <t>158.166.92.13</t>
  </si>
  <si>
    <t>825dd2ee-974d-41ec-bdd9-7a3e1ccd7f92</t>
  </si>
  <si>
    <t>8ad0e86c-fd37-48f4-844e-de4241985d3e</t>
  </si>
  <si>
    <t>183.29.152.199</t>
  </si>
  <si>
    <t>ccc7ee07-f3ce-4d81-b547-b69d97960a2d</t>
  </si>
  <si>
    <t>a14cc391-bd8d-4c5a-999a-436577e30ea1</t>
  </si>
  <si>
    <t>26.163.72.211</t>
  </si>
  <si>
    <t>2b2d9680-64ea-44ec-9f78-76f37db4f224</t>
  </si>
  <si>
    <t>a7d6cb23-19c8-4ce4-8b60-373fce4c9928</t>
  </si>
  <si>
    <t>229.165.132.192</t>
  </si>
  <si>
    <t>eabf13ad-84d7-4439-918a-a10d008c6562</t>
  </si>
  <si>
    <t>5c501fd4-7b6b-453d-9240-ab37b90a9299</t>
  </si>
  <si>
    <t>242.61.26.103</t>
  </si>
  <si>
    <t>84a870aa-4d4b-43a8-b406-0c43c69b9760</t>
  </si>
  <si>
    <t>308c706c-8423-49c4-8283-283ebe6eeb72</t>
  </si>
  <si>
    <t>62.121.252.197</t>
  </si>
  <si>
    <t>418a5cc4-c2b1-40e1-a2b7-ff2724a09ac9</t>
  </si>
  <si>
    <t>8d01cc63-2f82-4cf1-a7e4-b47613346530</t>
  </si>
  <si>
    <t>244.58.137.31</t>
  </si>
  <si>
    <t>34c24174-595f-4109-b4aa-71143776b098</t>
  </si>
  <si>
    <t>23d2f3eb-f041-4095-971f-78e4cf5e795c</t>
  </si>
  <si>
    <t>82.237.208.33</t>
  </si>
  <si>
    <t>e2f70938-3c54-4ea2-a6b8-ef19e3ad5fc7</t>
  </si>
  <si>
    <t>b3cae48d-b27c-4593-9fa0-68f27995468c</t>
  </si>
  <si>
    <t>124.14.208.119</t>
  </si>
  <si>
    <t>b909e19e-f3a5-46e6-9092-27656239ef91</t>
  </si>
  <si>
    <t>508fdaf8-96d1-4733-8a98-072932eee74a</t>
  </si>
  <si>
    <t>234.9.137.51</t>
  </si>
  <si>
    <t>8d0bc397-6158-4169-ba9e-78efd15eeae8</t>
  </si>
  <si>
    <t>b50b61a0-98b3-47e9-b577-069470a9bc8f</t>
  </si>
  <si>
    <t>64.64.155.208</t>
  </si>
  <si>
    <t>6d39b9d3-830f-4c84-a080-0c0d63814fe5</t>
  </si>
  <si>
    <t>fe3f3b6f-900d-47a3-be5a-3471102abe56</t>
  </si>
  <si>
    <t>115.42.104.72</t>
  </si>
  <si>
    <t>367215b8-3878-466b-a150-047ace2f077f</t>
  </si>
  <si>
    <t>f3fbfe19-b8e4-4dfe-bbc1-e462fecfdf70</t>
  </si>
  <si>
    <t>96.86.125.216</t>
  </si>
  <si>
    <t>d37de765-eb4d-4024-bbe0-e27e6b660cdb</t>
  </si>
  <si>
    <t>69317287-2bc9-413e-a662-6c5b60b583e8</t>
  </si>
  <si>
    <t>247.231.21.0</t>
  </si>
  <si>
    <t>7218f9d1-cbd2-45e9-b289-9c7c62820c2b</t>
  </si>
  <si>
    <t>e3b903a3-971c-4bc5-bd1f-463c3c38caf4</t>
  </si>
  <si>
    <t>209.237.148.85</t>
  </si>
  <si>
    <t>be8cecdf-479d-446f-98cc-e50aef9095c3</t>
  </si>
  <si>
    <t>c887c240-91f5-4cf4-8386-306fbc1e06dc</t>
  </si>
  <si>
    <t>1.30.246.139</t>
  </si>
  <si>
    <t>e8f2c854-ea05-47fa-8ddf-c6dc6ebcb645</t>
  </si>
  <si>
    <t>7474e52d-afaa-4c17-96dd-3ecbb96d0b9b</t>
  </si>
  <si>
    <t>154.128.194.179</t>
  </si>
  <si>
    <t>ea21c267-fcef-4ed5-8869-702d54c0441f</t>
  </si>
  <si>
    <t>97cb310e-f35d-4aea-958a-5976d2bc206f</t>
  </si>
  <si>
    <t>216.108.144.23</t>
  </si>
  <si>
    <t>2b0dae33-62ed-48e7-b166-5af1947dd59c</t>
  </si>
  <si>
    <t>23b93497-a586-42c4-93ed-400d2c1b808d</t>
  </si>
  <si>
    <t>42.35.153.45</t>
  </si>
  <si>
    <t>0504e473-7ff6-4381-8314-91fc5713d82b</t>
  </si>
  <si>
    <t>a671c0e7-867f-4c8e-945f-1e986c37e13f</t>
  </si>
  <si>
    <t>102.62.71.143</t>
  </si>
  <si>
    <t>19cb5afb-f3c8-4925-a6f2-8cd90077a76c</t>
  </si>
  <si>
    <t>50a67c73-06bb-486c-8152-3c3a80916006</t>
  </si>
  <si>
    <t>225.221.107.162</t>
  </si>
  <si>
    <t>1e1f6d22-8537-4704-b0b7-de1e39c8c41b</t>
  </si>
  <si>
    <t>664d810b-748c-416d-9ec7-6c862c270d6d</t>
  </si>
  <si>
    <t>227.175.133.231</t>
  </si>
  <si>
    <t>9ba1be16-f249-40db-bf62-0a45992ca726</t>
  </si>
  <si>
    <t>d45cbb06-1fe8-486c-a760-baff2706b76d</t>
  </si>
  <si>
    <t>70.125.164.174</t>
  </si>
  <si>
    <t>42bb3178-292e-4782-a52f-12980ab6c1ca</t>
  </si>
  <si>
    <t>27dfddcd-202f-4f3c-9c78-3b5060ad68c2</t>
  </si>
  <si>
    <t>54.235.168.8</t>
  </si>
  <si>
    <t>21fcf6be-3da4-4ebe-a8e5-1a3253a89121</t>
  </si>
  <si>
    <t>7c124c6d-993c-4e06-b9be-9e6db5f3a56e</t>
  </si>
  <si>
    <t>234.68.1.243</t>
  </si>
  <si>
    <t>63b13c2f-a2c2-4786-aa34-cff06e639c68</t>
  </si>
  <si>
    <t>d31c678c-1ce9-4961-9ef3-6ef03a861cbc</t>
  </si>
  <si>
    <t>2.4.88.211</t>
  </si>
  <si>
    <t>a1bc1790-5938-4035-98e2-bda07a352a91</t>
  </si>
  <si>
    <t>d45117b3-b920-4c2c-bcca-f5d280dc2623</t>
  </si>
  <si>
    <t>143.250.201.41</t>
  </si>
  <si>
    <t>de215091-7b51-419a-bf52-01fa5d7f4184</t>
  </si>
  <si>
    <t>bcb4c346-5b3e-4ab4-bfab-5fa5947e45a3</t>
  </si>
  <si>
    <t>202.39.15.227</t>
  </si>
  <si>
    <t>5490a283-0962-4b16-97c9-197fb66491a9</t>
  </si>
  <si>
    <t>e17f0a6d-63d4-408e-a2cf-b472f44470dd</t>
  </si>
  <si>
    <t>173.63.180.192</t>
  </si>
  <si>
    <t>e246582e-88b2-4d12-a63b-ca83777b0416</t>
  </si>
  <si>
    <t>66e425e2-5bc4-4f63-a2cd-2ef5f148f643</t>
  </si>
  <si>
    <t>212.183.198.90</t>
  </si>
  <si>
    <t>258bf941-300f-49b7-8820-0aec8562b0e8</t>
  </si>
  <si>
    <t>d71384f6-6ce9-42bb-85cc-d8e0c5a4209b</t>
  </si>
  <si>
    <t>215.4.63.236</t>
  </si>
  <si>
    <t>2329e4bd-2da6-42b4-8b79-365348203aa8</t>
  </si>
  <si>
    <t>dda56f22-4186-4489-a440-71db707c3cbc</t>
  </si>
  <si>
    <t>95.98.227.4</t>
  </si>
  <si>
    <t>bb25c4b6-3221-4fea-a31f-9882fce414f9</t>
  </si>
  <si>
    <t>9ea524f1-9c57-40a1-8a04-13d15ee4dc89</t>
  </si>
  <si>
    <t>57.10.143.183</t>
  </si>
  <si>
    <t>ca18386c-5a3a-48f9-be19-730ae0a50398</t>
  </si>
  <si>
    <t>66767d63-28c0-4ae3-9af0-ef202f25a82c</t>
  </si>
  <si>
    <t>50.46.155.113</t>
  </si>
  <si>
    <t>3ca28c33-f5dd-4fed-a904-4e70f212c210</t>
  </si>
  <si>
    <t>40ff6d0e-0733-4d98-84bf-ba6bd286b0e2</t>
  </si>
  <si>
    <t>60.252.185.18</t>
  </si>
  <si>
    <t>248da883-e08e-4bc9-8424-9647c8fb6f71</t>
  </si>
  <si>
    <t>9cfd111c-7335-4752-99d6-a8754a0a3f9a</t>
  </si>
  <si>
    <t>72.252.107.3</t>
  </si>
  <si>
    <t>548676fc-00c9-4a1f-ad5e-1d8dc5f41c9d</t>
  </si>
  <si>
    <t>c2591c7c-3ca8-4cab-9158-86e1768c652c</t>
  </si>
  <si>
    <t>51.202.56.142</t>
  </si>
  <si>
    <t>588a195d-e0ff-47dd-a0bf-8fac48f2434f</t>
  </si>
  <si>
    <t>a6b8806c-0a42-4231-a243-71b9073452c5</t>
  </si>
  <si>
    <t>146.252.87.99</t>
  </si>
  <si>
    <t>540f18bf-e665-444c-9b3b-458c38b4f133</t>
  </si>
  <si>
    <t>7edee271-0ea9-47c5-9b09-94ca03ae77c8</t>
  </si>
  <si>
    <t>169.89.33.65</t>
  </si>
  <si>
    <t>f066a3c0-75b8-41e6-b26d-a67f214b1e1f</t>
  </si>
  <si>
    <t>ba4b155f-c42c-4dfc-a4c0-e7cc2f6c7a3b</t>
  </si>
  <si>
    <t>191.33.65.132</t>
  </si>
  <si>
    <t>6b0fbd94-4fc1-4829-ad2b-786594b665db</t>
  </si>
  <si>
    <t>f9831746-4187-42b8-ab05-9d3006fd86c6</t>
  </si>
  <si>
    <t>239.116.140.98</t>
  </si>
  <si>
    <t>bfb92872-2d3b-4de6-a127-fa48a8fc450a</t>
  </si>
  <si>
    <t>28b39e98-fdaf-40c7-a0aa-523aef15016b</t>
  </si>
  <si>
    <t>218.11.129.232</t>
  </si>
  <si>
    <t>703aa1e5-63a0-422a-a6e6-4c5edf581115</t>
  </si>
  <si>
    <t>ef70f0d5-d44a-4882-93f2-e2876c6e425c</t>
  </si>
  <si>
    <t>1.218.26.165</t>
  </si>
  <si>
    <t>f25f58b6-d12b-43fc-9a62-daff8afeaec1</t>
  </si>
  <si>
    <t>bfd30d60-fcf4-4744-8594-7a15c9012b2d</t>
  </si>
  <si>
    <t>111.208.140.62</t>
  </si>
  <si>
    <t>a4e1bf95-868a-4b3d-82cc-dd1ae418ffe6</t>
  </si>
  <si>
    <t>b4c978ba-1ddc-4004-89f6-677301f80e3c</t>
  </si>
  <si>
    <t>175.238.253.185</t>
  </si>
  <si>
    <t>749cb480-20eb-44d0-a385-11709113c4af</t>
  </si>
  <si>
    <t>47dbac06-b875-4ff4-a046-2d1cab277e7e</t>
  </si>
  <si>
    <t>133.22.114.24</t>
  </si>
  <si>
    <t>c0630e5e-dce0-4ce7-b536-b031fd1a2247</t>
  </si>
  <si>
    <t>8ca52166-1977-4320-bc0b-1c064ce532ad</t>
  </si>
  <si>
    <t>72.215.229.161</t>
  </si>
  <si>
    <t>dc2efe37-cd56-43ed-9026-b728799e2eb5</t>
  </si>
  <si>
    <t>80efe645-4ebb-41cb-875b-9899cd5b37f9</t>
  </si>
  <si>
    <t>2.200.99.171</t>
  </si>
  <si>
    <t>15cd5734-94b8-42b9-bb62-d66d3aacb81c</t>
  </si>
  <si>
    <t>b6be6ee0-f3bd-4f1a-9301-8d982806aabe</t>
  </si>
  <si>
    <t>21.12.115.216</t>
  </si>
  <si>
    <t>3a49804d-78cc-453f-a462-01948104050b</t>
  </si>
  <si>
    <t>12e5c878-2320-4587-8c36-e0f7f2505f6e</t>
  </si>
  <si>
    <t>246.38.127.100</t>
  </si>
  <si>
    <t>27f164e5-29df-4bd9-9d79-9e8f3d70c25d</t>
  </si>
  <si>
    <t>e05e73df-7fd2-4159-8fd2-9990a0b5e806</t>
  </si>
  <si>
    <t>43.168.159.32</t>
  </si>
  <si>
    <t>d6aff6c1-07eb-4158-bd2f-5e0df7e3a4f8</t>
  </si>
  <si>
    <t>e72c260a-5275-4776-92c9-691bcdf6f391</t>
  </si>
  <si>
    <t>161.49.14.245</t>
  </si>
  <si>
    <t>064a9803-b56c-46b7-bd76-932645e63271</t>
  </si>
  <si>
    <t>fc0123cb-85f2-4c9a-aee2-1322056e37db</t>
  </si>
  <si>
    <t>111.12.171.128</t>
  </si>
  <si>
    <t>fc5ec241-560d-4f1c-b62f-22c658ffc045</t>
  </si>
  <si>
    <t>b98af465-6f89-4474-9563-ac74a74a8943</t>
  </si>
  <si>
    <t>64.55.242.122</t>
  </si>
  <si>
    <t>3777ce31-c868-4689-afd2-45f722327a65</t>
  </si>
  <si>
    <t>3fd947a0-c9d0-4072-8d2e-dc5e56ad73fb</t>
  </si>
  <si>
    <t>246.174.27.170</t>
  </si>
  <si>
    <t>6dc254af-1aee-4fd3-b774-ff18e92a404b</t>
  </si>
  <si>
    <t>2fcf95ab-aa61-4759-bf97-0d23669c1565</t>
  </si>
  <si>
    <t>134.121.37.224</t>
  </si>
  <si>
    <t>a38f510a-5994-430e-a4d8-4c20b63510c3</t>
  </si>
  <si>
    <t>fb92a7a3-2009-4dd3-8d2c-3cfba66bdad6</t>
  </si>
  <si>
    <t>196.48.228.63</t>
  </si>
  <si>
    <t>caf6c0c1-ae5a-4ab7-b154-333414b7517d</t>
  </si>
  <si>
    <t>8916bd4a-c564-4ba9-beff-44cf097baaab</t>
  </si>
  <si>
    <t>22.31.17.193</t>
  </si>
  <si>
    <t>54cdb22d-c13d-49ce-b583-c7601ced0f32</t>
  </si>
  <si>
    <t>39a448f3-3b7f-4be7-bcd3-c079503e531e</t>
  </si>
  <si>
    <t>81.33.65.31</t>
  </si>
  <si>
    <t>6aa9e818-f00a-40f5-98d7-b60905bb083d</t>
  </si>
  <si>
    <t>c801de86-d713-4e15-aec7-79f85c03d40a</t>
  </si>
  <si>
    <t>236.226.28.154</t>
  </si>
  <si>
    <t>e9ce2ce9-ca47-400a-9be2-a576ed9decdf</t>
  </si>
  <si>
    <t>3bbe3327-f0f1-44ff-9e7f-49cd80e6d98f</t>
  </si>
  <si>
    <t>157.221.33.52</t>
  </si>
  <si>
    <t>d0be093d-a02b-43a7-81b9-786463f6d4f4</t>
  </si>
  <si>
    <t>795113a1-2dac-42af-8cf4-790a9988fcf4</t>
  </si>
  <si>
    <t>174.28.26.150</t>
  </si>
  <si>
    <t>faf10090-2b5d-4825-8ac0-fd3e228cfdaf</t>
  </si>
  <si>
    <t>7f425fa8-c8de-4360-bc81-dcae40c5c15f</t>
  </si>
  <si>
    <t>218.195.205.49</t>
  </si>
  <si>
    <t>cf578e65-e2bc-4360-9459-bd379d5acbd3</t>
  </si>
  <si>
    <t>1cfb1bb9-42c6-4284-98da-6b32a50b4661</t>
  </si>
  <si>
    <t>159.210.119.5</t>
  </si>
  <si>
    <t>9586ec74-3f8e-466f-947c-33a59122d35e</t>
  </si>
  <si>
    <t>674bce78-4307-4bd2-b124-f2d92769d9f0</t>
  </si>
  <si>
    <t>117.196.237.219</t>
  </si>
  <si>
    <t>bf1fe9b2-144a-406c-9b72-533a712e6985</t>
  </si>
  <si>
    <t>89c8e82e-a0c2-4312-b7d8-cfde5fd400b0</t>
  </si>
  <si>
    <t>226.51.173.13</t>
  </si>
  <si>
    <t>2efc5a7d-52f4-459f-b6d4-960230d2d916</t>
  </si>
  <si>
    <t>72634f90-20a5-40f4-b040-9d2a659e1ed5</t>
  </si>
  <si>
    <t>117.168.98.55</t>
  </si>
  <si>
    <t>4409ba0d-b906-4512-9201-668523e7bb5a</t>
  </si>
  <si>
    <t>f1afb0f4-5952-4a04-9d25-659ebdf61e82</t>
  </si>
  <si>
    <t>27.6.34.99</t>
  </si>
  <si>
    <t>7c3b520a-391e-4784-88dd-757df6322b4f</t>
  </si>
  <si>
    <t>1e4ec577-495c-4f1d-be1b-1d16751147b1</t>
  </si>
  <si>
    <t>232.64.131.181</t>
  </si>
  <si>
    <t>df7bc059-ea27-43d5-bf2a-115d8d806dc3</t>
  </si>
  <si>
    <t>3f5fa859-e064-4372-8647-e8fa056b6ade</t>
  </si>
  <si>
    <t>108.246.227.95</t>
  </si>
  <si>
    <t>0aff4a95-6c21-4493-9f3e-75f2ee8ba1f3</t>
  </si>
  <si>
    <t>1ed03f08-36b2-4b24-acf5-5a69caa166f6</t>
  </si>
  <si>
    <t>63.70.22.30</t>
  </si>
  <si>
    <t>8882e2d7-c2b5-4bc4-a8ab-859b90048da9</t>
  </si>
  <si>
    <t>a9192338-659b-4ebd-b312-ecc8bd009f8d</t>
  </si>
  <si>
    <t>33.159.223.183</t>
  </si>
  <si>
    <t>453daa06-b5c8-4bc2-a4ac-291da2e5413d</t>
  </si>
  <si>
    <t>52de3e08-5614-4bc3-9114-0f6e81ba9247</t>
  </si>
  <si>
    <t>80.74.75.240</t>
  </si>
  <si>
    <t>7376228f-3bb6-4e01-87a4-9168f62ce7f5</t>
  </si>
  <si>
    <t>fdcc8bc4-99b1-4fc1-b2c1-4e28c0da1051</t>
  </si>
  <si>
    <t>80.175.149.188</t>
  </si>
  <si>
    <t>082479a1-a35b-4cd6-a69b-227a55ab1efa</t>
  </si>
  <si>
    <t>5858cbca-cb3a-4e54-9104-2b0922147afb</t>
  </si>
  <si>
    <t>249.4.74.29</t>
  </si>
  <si>
    <t>02e8425b-49fb-4607-9a5b-0c417b2ecca2</t>
  </si>
  <si>
    <t>60b1a6ff-3785-44e9-89be-6a7356141aaa</t>
  </si>
  <si>
    <t>61.27.216.176</t>
  </si>
  <si>
    <t>1c120307-f93a-4230-bc5b-83f1e8e67c7a</t>
  </si>
  <si>
    <t>eee46ac3-98e0-4962-bfd8-99153dea126e</t>
  </si>
  <si>
    <t>51.102.103.35</t>
  </si>
  <si>
    <t>953c153b-14bd-455e-a050-31ce69c99a3a</t>
  </si>
  <si>
    <t>8ba23f82-347b-4538-aa81-8c392c58d24f</t>
  </si>
  <si>
    <t>88.96.243.239</t>
  </si>
  <si>
    <t>b0bd580f-22ff-4fd4-91bc-ff34a64858cf</t>
  </si>
  <si>
    <t>a51d2c83-6508-4f8e-a550-e49bac0360bb</t>
  </si>
  <si>
    <t>154.169.171.153</t>
  </si>
  <si>
    <t>4a7df907-87e6-447c-8679-1ea6d3f6782f</t>
  </si>
  <si>
    <t>6e5c6b0d-bb59-457f-9c79-3e0edeaf26ef</t>
  </si>
  <si>
    <t>108.168.83.53</t>
  </si>
  <si>
    <t>0e8acfc1-e1cf-4b54-8edf-2fdeb0f290d3</t>
  </si>
  <si>
    <t>030a717d-df68-4e73-9fa1-7193bc018c8f</t>
  </si>
  <si>
    <t>117.21.253.112</t>
  </si>
  <si>
    <t>3e099389-0335-4f4a-9668-5056423dc798</t>
  </si>
  <si>
    <t>9327b03c-4a29-4927-bbd9-fb8be6034504</t>
  </si>
  <si>
    <t>236.1.114.117</t>
  </si>
  <si>
    <t>a3b557ad-f7ea-4150-8a2f-ff5a657a72d6</t>
  </si>
  <si>
    <t>8e1bcfad-4fb1-444f-8b3e-a4b40dc2b04e</t>
  </si>
  <si>
    <t>120.109.122.246</t>
  </si>
  <si>
    <t>4e7ac637-aba2-4358-8939-9994649fb008</t>
  </si>
  <si>
    <t>89f45b52-3809-40f6-b5fc-0443cae10477</t>
  </si>
  <si>
    <t>189.169.192.105</t>
  </si>
  <si>
    <t>7869a41d-fb94-4a72-9ebc-40480b28018c</t>
  </si>
  <si>
    <t>7d5181f7-e770-4393-98de-7b986d9f99b9</t>
  </si>
  <si>
    <t>103.94.3.185</t>
  </si>
  <si>
    <t>f52c4257-ce3c-4bc9-8fbc-274570a612be</t>
  </si>
  <si>
    <t>ef14654a-732e-42c5-b318-800c1c2471f9</t>
  </si>
  <si>
    <t>3.37.183.15</t>
  </si>
  <si>
    <t>77e9f2fd-c165-4d3c-9161-54fe5c47a693</t>
  </si>
  <si>
    <t>e907fe78-b47d-4e5c-b129-501f11ce1057</t>
  </si>
  <si>
    <t>143.58.72.148</t>
  </si>
  <si>
    <t>40a8f06f-0810-483c-832a-58ce68d103aa</t>
  </si>
  <si>
    <t>b9e5598f-4c0b-4180-8974-fd0a00492297</t>
  </si>
  <si>
    <t>113.99.184.22</t>
  </si>
  <si>
    <t>69705baa-88ca-4d7e-9708-1b36b7a7fdce</t>
  </si>
  <si>
    <t>8ef6ba8d-cce0-4bf7-be07-e3a3074982e6</t>
  </si>
  <si>
    <t>250.15.101.101</t>
  </si>
  <si>
    <t>0fa61520-2101-4b37-9956-c04c8e9c1481</t>
  </si>
  <si>
    <t>a014e8bc-a69d-4a07-b77d-46d928a0fdbf</t>
  </si>
  <si>
    <t>73.89.112.134</t>
  </si>
  <si>
    <t>8c515561-6219-4747-aa62-4f5bdc65973b</t>
  </si>
  <si>
    <t>b5322aba-080d-43c5-b6eb-c960411979f6</t>
  </si>
  <si>
    <t>185.89.173.125</t>
  </si>
  <si>
    <t>c58ffd86-5f47-4db6-83d2-c674a30795d4</t>
  </si>
  <si>
    <t>801ebaf5-6857-4e89-bee0-021acbe51233</t>
  </si>
  <si>
    <t>46.100.11.90</t>
  </si>
  <si>
    <t>8c99ac54-d7a3-4e9d-9b18-fa53b13c3b98</t>
  </si>
  <si>
    <t>1a197e46-416b-4532-843a-f5d08493d3b3</t>
  </si>
  <si>
    <t>216.134.51.10</t>
  </si>
  <si>
    <t>02cdb780-45bb-442a-9ea3-8c36f10c60de</t>
  </si>
  <si>
    <t>76139cce-dbcd-4b39-a5f1-4374119664aa</t>
  </si>
  <si>
    <t>213.70.194.56</t>
  </si>
  <si>
    <t>339c6787-93c1-425f-8858-04c81a821c20</t>
  </si>
  <si>
    <t>e9368368-00aa-405c-b102-31667b4cb994</t>
  </si>
  <si>
    <t>87.107.156.233</t>
  </si>
  <si>
    <t>5fcc2c2b-d2ed-4886-98cd-7cfa0beb156e</t>
  </si>
  <si>
    <t>791d65de-da98-4ef1-abf5-010c010fb824</t>
  </si>
  <si>
    <t>62.189.190.87</t>
  </si>
  <si>
    <t>ef3641de-7748-487d-bb4d-566b6d45c079</t>
  </si>
  <si>
    <t>62f79bda-d29d-4472-ba3e-4380ff9e8205</t>
  </si>
  <si>
    <t>241.222.33.60</t>
  </si>
  <si>
    <t>f0a60ff6-f61e-4caa-940d-581fb77104d5</t>
  </si>
  <si>
    <t>6c135d78-e331-4020-8196-7ca2458caae0</t>
  </si>
  <si>
    <t>37.66.97.98</t>
  </si>
  <si>
    <t>4a25c413-e6c5-4b38-a056-2b9464a714c0</t>
  </si>
  <si>
    <t>4b2a9a7b-b720-471c-85a9-142d43119a9a</t>
  </si>
  <si>
    <t>137.193.191.162</t>
  </si>
  <si>
    <t>97d5f208-0c3f-4594-ae7d-367361b06e0f</t>
  </si>
  <si>
    <t>23794c7e-2ba4-4ff9-bc24-c4c21c04f253</t>
  </si>
  <si>
    <t>154.219.125.23</t>
  </si>
  <si>
    <t>3ec31bdc-2f98-44e5-9225-3dae0eccfdee</t>
  </si>
  <si>
    <t>ea9cccee-03e1-4cba-88e8-bfa6932173c1</t>
  </si>
  <si>
    <t>196.96.150.76</t>
  </si>
  <si>
    <t>a2ed0396-fc4c-4609-974e-c6a3359b1014</t>
  </si>
  <si>
    <t>0e9b0007-d670-4430-9c07-a8e460324669</t>
  </si>
  <si>
    <t>84.126.27.143</t>
  </si>
  <si>
    <t>13c23352-cb15-488b-8c3b-f7cf003490a9</t>
  </si>
  <si>
    <t>efbe5cfd-3fe4-4613-916a-71f009a08ae6</t>
  </si>
  <si>
    <t>224.64.250.107</t>
  </si>
  <si>
    <t>c3ae10b8-ce99-4243-9fd8-39b52c20d186</t>
  </si>
  <si>
    <t>4a32404f-5758-4e5c-8319-41695b4f829f</t>
  </si>
  <si>
    <t>187.41.240.33</t>
  </si>
  <si>
    <t>00d23c39-c3a2-4607-86a0-9205aa37da46</t>
  </si>
  <si>
    <t>5724ab04-1bf2-40ec-a3ad-12db0a6c7b7f</t>
  </si>
  <si>
    <t>43.198.191.255</t>
  </si>
  <si>
    <t>3fb0e64b-dcae-4fd6-ac14-0f8e876da5b4</t>
  </si>
  <si>
    <t>06fefb5f-a907-4a79-a1e8-6a6e852a8dc3</t>
  </si>
  <si>
    <t>133.237.91.164</t>
  </si>
  <si>
    <t>958b8015-bfe5-4e55-a2aa-76fab621ca7a</t>
  </si>
  <si>
    <t>358b87c3-9470-4477-bbb3-94686d97dfaf</t>
  </si>
  <si>
    <t>183.191.247.253</t>
  </si>
  <si>
    <t>c380b046-1bd1-43ef-be05-ee8cf321a9e7</t>
  </si>
  <si>
    <t>7ce94efe-c27d-4277-9e83-c1cc13e92ea6</t>
  </si>
  <si>
    <t>122.137.205.18</t>
  </si>
  <si>
    <t>85082af9-2572-4cea-b2fa-68d706983246</t>
  </si>
  <si>
    <t>7d89c156-1f3b-496e-a82f-ff9823ab3b28</t>
  </si>
  <si>
    <t>54.112.103.231</t>
  </si>
  <si>
    <t>bf27b581-5a34-4fc8-b8b7-c3696d4be98c</t>
  </si>
  <si>
    <t>3bc5276a-8447-414b-afb0-d1fb14473252</t>
  </si>
  <si>
    <t>221.120.202.111</t>
  </si>
  <si>
    <t>c4ca782d-cf1a-4221-95a1-029de4adfd36</t>
  </si>
  <si>
    <t>21f28c29-d0f6-49b8-a811-80aeffce6884</t>
  </si>
  <si>
    <t>79.217.193.80</t>
  </si>
  <si>
    <t>0d513764-1131-4a84-a189-f57385bccd65</t>
  </si>
  <si>
    <t>564fca9f-671a-4134-914a-099ea3965fde</t>
  </si>
  <si>
    <t>240.191.130.43</t>
  </si>
  <si>
    <t>c972ff19-1634-4f63-9b49-1281b4230996</t>
  </si>
  <si>
    <t>2e357e45-03c1-4a8b-8292-35ae9e6343f5</t>
  </si>
  <si>
    <t>35.43.151.227</t>
  </si>
  <si>
    <t>cf9c1925-dbf5-43b0-a588-3aceb856e758</t>
  </si>
  <si>
    <t>b63a8b29-d734-45b4-9223-503f5b61b978</t>
  </si>
  <si>
    <t>133.180.117.21</t>
  </si>
  <si>
    <t>25c6f7b9-b19c-4f95-8336-8d9ffa73d055</t>
  </si>
  <si>
    <t>f17ae2f1-1006-4fdc-85f3-edea503aa3ad</t>
  </si>
  <si>
    <t>120.172.218.230</t>
  </si>
  <si>
    <t>da87b37a-46cb-46ba-8062-39aef9aff9ff</t>
  </si>
  <si>
    <t>e65a5d8a-51ac-4ca9-8415-4474f46646b4</t>
  </si>
  <si>
    <t>120.221.209.188</t>
  </si>
  <si>
    <t>bd6ac6a0-bcc4-47a3-b825-0e885ee6fce5</t>
  </si>
  <si>
    <t>9b7468c6-b834-45e5-8a68-f3f7f13be346</t>
  </si>
  <si>
    <t>206.254.162.139</t>
  </si>
  <si>
    <t>6c27a8ce-5430-436e-b3a3-a32a7bef38f8</t>
  </si>
  <si>
    <t>62e08181-94f4-4d6c-86d6-d84f318ca282</t>
  </si>
  <si>
    <t>98.12.91.226</t>
  </si>
  <si>
    <t>b74b1c16-552a-47bb-ac09-42222099b4cc</t>
  </si>
  <si>
    <t>ef58fd94-f64d-44ef-88c6-4b16c9be96cd</t>
  </si>
  <si>
    <t>60.135.38.183</t>
  </si>
  <si>
    <t>92ea195e-7785-4c56-b5cd-3e7bef72200d</t>
  </si>
  <si>
    <t>b4d787bb-fc1f-4c3d-a892-b20b5800fa8f</t>
  </si>
  <si>
    <t>231.42.150.40</t>
  </si>
  <si>
    <t>1a7a1976-8e32-43fb-aa38-9787630d16ad</t>
  </si>
  <si>
    <t>190386f2-b788-48d8-8dc5-c4fa8f9e3015</t>
  </si>
  <si>
    <t>202.141.116.50</t>
  </si>
  <si>
    <t>3c338e8a-4ae4-4be8-b990-61c288b01085</t>
  </si>
  <si>
    <t>2adc069e-2ace-4ee1-af19-6bafe11812f3</t>
  </si>
  <si>
    <t>31.36.184.19</t>
  </si>
  <si>
    <t>91e37477-9dcf-4d68-932f-18bf2818d794</t>
  </si>
  <si>
    <t>f1639f46-65f5-4b6b-84b2-2b2f9b3178ae</t>
  </si>
  <si>
    <t>140.102.170.100</t>
  </si>
  <si>
    <t>e388e258-2dbd-483d-b7b5-5decb0a0f176</t>
  </si>
  <si>
    <t>24745116-219d-4817-933b-2f4043a9bb65</t>
  </si>
  <si>
    <t>173.168.128.154</t>
  </si>
  <si>
    <t>7a5b4998-fb12-4376-8cbf-9e10400e9234</t>
  </si>
  <si>
    <t>95b5623b-9cf9-410d-89e7-fa9ee3a58886</t>
  </si>
  <si>
    <t>191.140.97.70</t>
  </si>
  <si>
    <t>6ce239e8-5159-4074-8889-c97b853086a4</t>
  </si>
  <si>
    <t>bf1364bd-f261-499e-86b2-f8b54d941b88</t>
  </si>
  <si>
    <t>219.133.4.153</t>
  </si>
  <si>
    <t>d0510aad-56ab-432c-b5a0-4b5b4cb75e11</t>
  </si>
  <si>
    <t>06501fb1-0448-4c74-8a8d-9166b9166279</t>
  </si>
  <si>
    <t>73.177.206.207</t>
  </si>
  <si>
    <t>ce7fee8c-6214-49e1-99f8-71723142231d</t>
  </si>
  <si>
    <t>93c6f05e-c288-4e70-a168-20e498d34ca8</t>
  </si>
  <si>
    <t>211.6.241.76</t>
  </si>
  <si>
    <t>5e6ff5b2-dbf5-48c2-881d-438c10dcc3a4</t>
  </si>
  <si>
    <t>6837f073-a755-465a-b34d-5ed249c3da21</t>
  </si>
  <si>
    <t>222.203.116.116</t>
  </si>
  <si>
    <t>45dcd1f1-8f56-49f8-9199-faefacead654</t>
  </si>
  <si>
    <t>bf186992-d77b-4fc1-866e-cdd54c97e345</t>
  </si>
  <si>
    <t>186.107.242.119</t>
  </si>
  <si>
    <t>d365c04b-9192-41e7-b4ec-cc2684825774</t>
  </si>
  <si>
    <t>47477ce7-9bcd-4ec8-a756-b4b88f35c186</t>
  </si>
  <si>
    <t>133.239.236.174</t>
  </si>
  <si>
    <t>3f15b0af-20f3-49c2-bca9-d61e72a9b4ab</t>
  </si>
  <si>
    <t>dfe35997-113a-4cbc-9246-1e6410af9058</t>
  </si>
  <si>
    <t>203.43.160.96</t>
  </si>
  <si>
    <t>fff3a3d6-f42f-4b48-b617-1f343eb573ff</t>
  </si>
  <si>
    <t>e0c9ed0d-cba7-4b34-88c4-c7d57aba2a11</t>
  </si>
  <si>
    <t>110.213.107.224</t>
  </si>
  <si>
    <t>453ea24b-28dd-4798-a5cc-a56026dd5d61</t>
  </si>
  <si>
    <t>d2c5c34d-5923-4499-a285-74e25db07802</t>
  </si>
  <si>
    <t>116.15.191.71</t>
  </si>
  <si>
    <t>2134b6ae-701d-48a1-b190-2f5e8c43ad26</t>
  </si>
  <si>
    <t>2c06f08f-b56a-4b31-aaad-648385f82304</t>
  </si>
  <si>
    <t>148.65.156.4</t>
  </si>
  <si>
    <t>4622a5de-9ea0-489b-9ffc-717575b77df0</t>
  </si>
  <si>
    <t>a4574dde-0da4-4398-889b-4c581f28aae1</t>
  </si>
  <si>
    <t>128.181.173.115</t>
  </si>
  <si>
    <t>ef0f1b49-c4a2-412f-ba08-233ef545b0d6</t>
  </si>
  <si>
    <t>966cd10c-0da0-4d05-83c3-2693c0392cf3</t>
  </si>
  <si>
    <t>108.217.206.153</t>
  </si>
  <si>
    <t>30afcc73-874f-45fe-b99e-c13aef4a5c69</t>
  </si>
  <si>
    <t>1592f6fc-7011-4b41-9552-98677ac4ceba</t>
  </si>
  <si>
    <t>84.11.16.71</t>
  </si>
  <si>
    <t>bf5b66f9-6924-4659-8d4d-55654a6a761a</t>
  </si>
  <si>
    <t>7c8be8f6-71c0-4016-a41b-cdafeffe86e9</t>
  </si>
  <si>
    <t>40.169.200.195</t>
  </si>
  <si>
    <t>5817e271-a66a-4874-897d-1b48974f039c</t>
  </si>
  <si>
    <t>2a57207b-4b0e-48ee-a591-fd025560eb30</t>
  </si>
  <si>
    <t>53.200.32.197</t>
  </si>
  <si>
    <t>60f6f45b-bf7b-41f7-b380-7d74c868c940</t>
  </si>
  <si>
    <t>723588c1-daba-47ca-84ab-febbf76480e7</t>
  </si>
  <si>
    <t>49.243.55.168</t>
  </si>
  <si>
    <t>0ec38fca-0715-4930-b054-2d5652e88b77</t>
  </si>
  <si>
    <t>6119a5ea-6345-4815-9378-9048c07d0dc3</t>
  </si>
  <si>
    <t>146.231.155.47</t>
  </si>
  <si>
    <t>94741035-f034-4efd-9424-3232dd3d8038</t>
  </si>
  <si>
    <t>d7415f5a-3eee-451e-9c8d-86ae5bc03b4c</t>
  </si>
  <si>
    <t>44.53.90.16</t>
  </si>
  <si>
    <t>bff32406-4dd6-4d01-b137-5b53dad4def3</t>
  </si>
  <si>
    <t>fc967b0f-1d58-47be-a628-525c7c9e70d7</t>
  </si>
  <si>
    <t>212.250.13.95</t>
  </si>
  <si>
    <t>bd566fa5-5850-4572-b29c-18fc6e08bfaf</t>
  </si>
  <si>
    <t>989a1533-7196-42cc-bdd4-16dc660f6017</t>
  </si>
  <si>
    <t>51.35.197.145</t>
  </si>
  <si>
    <t>f2ab2d98-659d-4fd6-b845-9d8d73669818</t>
  </si>
  <si>
    <t>96c8c3b9-2315-4666-b5f8-881bec76c280</t>
  </si>
  <si>
    <t>53.119.149.35</t>
  </si>
  <si>
    <t>ff9da086-0a22-472a-8f7c-61ef044620d3</t>
  </si>
  <si>
    <t>8aa491ec-40a5-49f8-9448-ae088032135b</t>
  </si>
  <si>
    <t>117.29.188.5</t>
  </si>
  <si>
    <t>8b33b3ca-2122-4c58-8f05-1a3cee37fbc2</t>
  </si>
  <si>
    <t>e9962070-6543-443f-b647-3d55fa95aa78</t>
  </si>
  <si>
    <t>44.167.210.200</t>
  </si>
  <si>
    <t>78ff8a89-dd6c-4bf0-badf-dda9a6fa9099</t>
  </si>
  <si>
    <t>adfb246d-b9b5-404f-a8eb-aa9e90c30b56</t>
  </si>
  <si>
    <t>41.56.66.214</t>
  </si>
  <si>
    <t>b6d94e7c-e8d2-4a27-b658-629efb6380ef</t>
  </si>
  <si>
    <t>fc365a67-ae8a-4f8c-930c-b3c946f02100</t>
  </si>
  <si>
    <t>123.35.199.105</t>
  </si>
  <si>
    <t>2d010596-a259-4594-80f4-c39533a21f2a</t>
  </si>
  <si>
    <t>cc76bae4-e525-4c98-a84d-7e6fa34ac128</t>
  </si>
  <si>
    <t>34.105.158.221</t>
  </si>
  <si>
    <t>31ea30c5-f798-424f-a8b5-228d921c89c6</t>
  </si>
  <si>
    <t>8dac6f35-507f-46d0-9490-0e60933f7a32</t>
  </si>
  <si>
    <t>210.243.81.158</t>
  </si>
  <si>
    <t>5f1ed56e-3b0a-4749-881d-d5bc3dec3d53</t>
  </si>
  <si>
    <t>5312f061-94ca-4927-a3a7-3c01428ad009</t>
  </si>
  <si>
    <t>151.103.234.141</t>
  </si>
  <si>
    <t>98571a7f-bf64-42e1-8d1d-7033ba0d680f</t>
  </si>
  <si>
    <t>5626db45-8ba7-447b-9f4b-e21859a3dabe</t>
  </si>
  <si>
    <t>52.3.73.228</t>
  </si>
  <si>
    <t>9d8d06ed-11fd-4911-8650-b13ecde7cb77</t>
  </si>
  <si>
    <t>9be00381-2d27-4d01-bb9f-42ec7272e946</t>
  </si>
  <si>
    <t>17.204.126.168</t>
  </si>
  <si>
    <t>4d5d8ce3-fd55-43ce-87d4-aab6597e5c63</t>
  </si>
  <si>
    <t>c970fca4-bc34-4749-9370-09ffc862091b</t>
  </si>
  <si>
    <t>234.251.235.236</t>
  </si>
  <si>
    <t>9e4376b6-7438-40c4-9a19-5467e83c6556</t>
  </si>
  <si>
    <t>522e652c-c124-4f64-b5d9-b6d14d4c8b6a</t>
  </si>
  <si>
    <t>148.20.46.147</t>
  </si>
  <si>
    <t>d04cf822-f96e-4343-844b-36576d41c7e6</t>
  </si>
  <si>
    <t>7238c8c0-320a-4db2-9638-d5791f32dbea</t>
  </si>
  <si>
    <t>166.233.177.152</t>
  </si>
  <si>
    <t>062fd91d-3ca1-4401-9eb6-fb305d28ddd8</t>
  </si>
  <si>
    <t>73d64040-5c48-4dc6-884c-4d5ec2dfb72d</t>
  </si>
  <si>
    <t>101.89.212.127</t>
  </si>
  <si>
    <t>bf5b197c-6107-4afb-8e3c-8704da48d189</t>
  </si>
  <si>
    <t>dfcf84a0-09d9-4521-a104-8dc304ac34dc</t>
  </si>
  <si>
    <t>46.221.234.196</t>
  </si>
  <si>
    <t>ef22a55a-c1ef-46cb-9a07-45d34ba62071</t>
  </si>
  <si>
    <t>6e00258f-3149-4af8-8af2-8ccf826a46f3</t>
  </si>
  <si>
    <t>234.93.48.201</t>
  </si>
  <si>
    <t>a2e6d245-2a26-4476-b083-2e9e5769ef26</t>
  </si>
  <si>
    <t>3ede0ed4-7935-4a48-8c2b-8bc92a450e88</t>
  </si>
  <si>
    <t>179.22.122.80</t>
  </si>
  <si>
    <t>c4aa0cac-878d-4dd5-b483-3260dd8eb792</t>
  </si>
  <si>
    <t>d38ef78f-da97-487c-b0d7-8347779f1591</t>
  </si>
  <si>
    <t>71.149.34.111</t>
  </si>
  <si>
    <t>316691d6-36d9-406a-96e4-67ed2ac17c68</t>
  </si>
  <si>
    <t>6bb8c8c5-657b-404c-a8c2-4866fb6d707e</t>
  </si>
  <si>
    <t>233.252.210.62</t>
  </si>
  <si>
    <t>2a31a8d3-6fed-41e8-bbff-01591d91cbb9</t>
  </si>
  <si>
    <t>67d9f13d-3df5-4e98-888a-0655b65904c2</t>
  </si>
  <si>
    <t>255.188.39.53</t>
  </si>
  <si>
    <t>d6cb6c96-95f8-4f31-b87e-b383ce7542a3</t>
  </si>
  <si>
    <t>98a463fb-7790-4b23-8048-e4bcc03b1e4d</t>
  </si>
  <si>
    <t>130.166.209.230</t>
  </si>
  <si>
    <t>d970c442-204a-4ac5-a923-6d165c25bcf4</t>
  </si>
  <si>
    <t>52c60f31-0543-4ea2-9e0f-235ce998e537</t>
  </si>
  <si>
    <t>43.129.106.22</t>
  </si>
  <si>
    <t>35d6515e-6141-45a5-ba35-471567290751</t>
  </si>
  <si>
    <t>b3bfe4fe-a53a-44e6-a924-264ff16507f5</t>
  </si>
  <si>
    <t>119.13.37.236</t>
  </si>
  <si>
    <t>c07d0469-edd7-4e1b-aa05-fadc84acd8f4</t>
  </si>
  <si>
    <t>8b6e74ac-1e04-4cd0-900c-79deb615cda1</t>
  </si>
  <si>
    <t>98.175.204.99</t>
  </si>
  <si>
    <t>f657d9fa-8a0a-49d6-b0d5-12054af7ba18</t>
  </si>
  <si>
    <t>e9a87de5-96d2-4d27-9d85-e5153dd12e83</t>
  </si>
  <si>
    <t>102.19.5.128</t>
  </si>
  <si>
    <t>1e411b82-902d-4406-aecc-52f176396c3d</t>
  </si>
  <si>
    <t>e941bcfc-86e8-46ca-a8b7-bc64042dfc35</t>
  </si>
  <si>
    <t>30.69.167.237</t>
  </si>
  <si>
    <t>3beb1f39-5071-4e4c-8762-f70ff851fcb8</t>
  </si>
  <si>
    <t>9474dd6e-8be5-4f9a-9aec-8887d0491a5e</t>
  </si>
  <si>
    <t>125.236.34.42</t>
  </si>
  <si>
    <t>642b48f7-1138-414f-a311-39d2001f319b</t>
  </si>
  <si>
    <t>8f541be6-d89e-4cf4-8e93-db65280da047</t>
  </si>
  <si>
    <t>141.124.224.71</t>
  </si>
  <si>
    <t>1ca3672b-3662-40b9-9bfe-9a73ff1f9ffe</t>
  </si>
  <si>
    <t>4f4a3c6c-8126-4528-abeb-f07cda423321</t>
  </si>
  <si>
    <t>121.142.82.87</t>
  </si>
  <si>
    <t>28fa8770-415e-497a-bd22-2007734f482b</t>
  </si>
  <si>
    <t>a2da820b-3da3-476c-95c1-23e569019252</t>
  </si>
  <si>
    <t>215.9.51.90</t>
  </si>
  <si>
    <t>fad1bfa8-9cd8-448f-9fcc-95c635933397</t>
  </si>
  <si>
    <t>646ed6de-9926-41f6-9321-d245b47290a3</t>
  </si>
  <si>
    <t>76.63.200.86</t>
  </si>
  <si>
    <t>0c8df2a2-9ff2-4098-b67b-709d5df929a7</t>
  </si>
  <si>
    <t>739ea94e-19dc-4a3b-a3b3-edb0cb4ee91f</t>
  </si>
  <si>
    <t>20.5.139.78</t>
  </si>
  <si>
    <t>0a50c819-9b4a-4ddb-9585-eac7fc00b431</t>
  </si>
  <si>
    <t>0440cc8f-d6ae-4ade-b29c-bdbb8f3f13ae</t>
  </si>
  <si>
    <t>113.183.91.110</t>
  </si>
  <si>
    <t>5cb604e3-cca7-4ce0-a462-7b2f3138be5a</t>
  </si>
  <si>
    <t>5627d9c1-4603-452c-b73e-b5d49ffa6de6</t>
  </si>
  <si>
    <t>183.17.110.226</t>
  </si>
  <si>
    <t>6e74bdf7-0b71-49cf-ac8c-569dd795ee60</t>
  </si>
  <si>
    <t>b98b3b7f-574f-423e-b23d-a28487069784</t>
  </si>
  <si>
    <t>179.24.52.199</t>
  </si>
  <si>
    <t>e47b1462-1a0a-4d62-be50-06ee9fafbe28</t>
  </si>
  <si>
    <t>c7b1fe7f-de30-44c7-a50f-2fc93c46f339</t>
  </si>
  <si>
    <t>177.157.227.26</t>
  </si>
  <si>
    <t>4b876afb-2e76-4fa9-8e62-62a90b82a193</t>
  </si>
  <si>
    <t>55fddbc8-0c32-44b5-af2d-4d63b60520f6</t>
  </si>
  <si>
    <t>154.2.24.193</t>
  </si>
  <si>
    <t>92e97c16-e2a7-459b-a13a-3a8d79aa2f70</t>
  </si>
  <si>
    <t>d4df1fea-754b-4768-bed1-f9a90e346d8d</t>
  </si>
  <si>
    <t>197.103.127.191</t>
  </si>
  <si>
    <t>43d77b3d-c0fe-4fe3-897b-93229fcd62d3</t>
  </si>
  <si>
    <t>21463cf3-fca6-4b84-9663-2d60e88afa98</t>
  </si>
  <si>
    <t>233.122.102.46</t>
  </si>
  <si>
    <t>30aa64fd-4ed6-4140-ba39-ae9b8f85866b</t>
  </si>
  <si>
    <t>222ded86-fc5e-48db-a7a2-3abe85ba0d45</t>
  </si>
  <si>
    <t>5.215.14.7</t>
  </si>
  <si>
    <t>66b314e3-9213-4c59-abe9-31b8a6c6bd25</t>
  </si>
  <si>
    <t>28e3f67d-2e90-4d94-80a1-f97006fcdd2a</t>
  </si>
  <si>
    <t>87.98.32.112</t>
  </si>
  <si>
    <t>445fb9bb-9cac-4794-a65f-427798e65621</t>
  </si>
  <si>
    <t>037a79ed-9dd3-4017-a500-08865d857d40</t>
  </si>
  <si>
    <t>246.49.85.85</t>
  </si>
  <si>
    <t>073e2328-f617-487a-9af8-63211da02101</t>
  </si>
  <si>
    <t>312fffee-b9c7-44f0-ad4a-5a0017e42d76</t>
  </si>
  <si>
    <t>12.212.55.167</t>
  </si>
  <si>
    <t>a0f34453-445c-4160-9bad-eebd4d39fbe1</t>
  </si>
  <si>
    <t>0176a53e-1e29-426b-b316-df04b6b3a4a9</t>
  </si>
  <si>
    <t>83.97.106.202</t>
  </si>
  <si>
    <t>936abff5-fb72-4d72-ad91-c08419da35ee</t>
  </si>
  <si>
    <t>0cc97e8b-fd42-478c-8374-c9e7b8ae522f</t>
  </si>
  <si>
    <t>241.219.61.118</t>
  </si>
  <si>
    <t>def30641-282c-4b3a-8764-9d4fb34be702</t>
  </si>
  <si>
    <t>fd601a01-7ca3-48ff-bda3-0ff7d7f0ae2e</t>
  </si>
  <si>
    <t>55.54.182.165</t>
  </si>
  <si>
    <t>d675b7e4-b001-4eb5-870e-85b5867168cd</t>
  </si>
  <si>
    <t>36369ad4-55ad-487f-bd07-6208878fbefa</t>
  </si>
  <si>
    <t>45.7.205.161</t>
  </si>
  <si>
    <t>54cb9e3a-f8d9-4eac-802c-9d7e8eba6839</t>
  </si>
  <si>
    <t>b38e960e-2c7c-4897-a318-a59dc0521060</t>
  </si>
  <si>
    <t>4.199.108.234</t>
  </si>
  <si>
    <t>95ae6523-d5d9-4709-91cc-7cd7d3a1ac8d</t>
  </si>
  <si>
    <t>44f91b01-3346-4dda-9631-9d7dc730dda2</t>
  </si>
  <si>
    <t>57.33.142.188</t>
  </si>
  <si>
    <t>6adab114-6c41-4ea5-b8d4-5cc632c62de9</t>
  </si>
  <si>
    <t>ea5bb459-a6f2-455d-855e-2132cc3f72a7</t>
  </si>
  <si>
    <t>12.34.111.210</t>
  </si>
  <si>
    <t>56a7c8b9-2bff-4a2a-a215-8d87afcd865a</t>
  </si>
  <si>
    <t>14cd63bc-60c0-423e-af19-cfd8b88cc6ee</t>
  </si>
  <si>
    <t>78.255.52.87</t>
  </si>
  <si>
    <t>f1d94ae3-d5c0-4db6-a293-15111f44361a</t>
  </si>
  <si>
    <t>1d1d180d-5e94-4b8e-ae50-899895ad3d53</t>
  </si>
  <si>
    <t>65.48.166.198</t>
  </si>
  <si>
    <t>8a651cb4-28f7-4ef8-9cad-c7826a82f5c8</t>
  </si>
  <si>
    <t>61c88aae-8366-4b17-9334-14b270a75066</t>
  </si>
  <si>
    <t>174.68.170.89</t>
  </si>
  <si>
    <t>27781fbd-5ff5-4882-9317-fd37723f6c45</t>
  </si>
  <si>
    <t>5c72fd7a-546c-4328-b6b8-89a8342ea68c</t>
  </si>
  <si>
    <t>163.162.246.34</t>
  </si>
  <si>
    <t>e5e95e38-d3cc-4bbf-be2f-2e24037a2ef8</t>
  </si>
  <si>
    <t>40e5f563-2b45-4460-88db-f57340e35e2e</t>
  </si>
  <si>
    <t>86.9.229.195</t>
  </si>
  <si>
    <t>504fdef1-5ad0-43a9-8428-6e4e9044a3ea</t>
  </si>
  <si>
    <t>23551d60-90a5-4b87-891c-cc5d6959df9b</t>
  </si>
  <si>
    <t>131.119.6.119</t>
  </si>
  <si>
    <t>5eaffb39-b28b-4e9a-adeb-b99d441201d9</t>
  </si>
  <si>
    <t>0a3be951-ef5f-4b3d-b843-9b3b18702773</t>
  </si>
  <si>
    <t>6.63.158.121</t>
  </si>
  <si>
    <t>f03978b0-12a3-4bb3-9288-ddf8fa737536</t>
  </si>
  <si>
    <t>838edf77-5d7f-4b3c-804a-e7dbc10e79a3</t>
  </si>
  <si>
    <t>189.219.124.40</t>
  </si>
  <si>
    <t>8bd71d7b-4fb7-4420-b11e-f221a1a8b60f</t>
  </si>
  <si>
    <t>3ab1c4d0-ff7e-4950-8925-735c1131f3ff</t>
  </si>
  <si>
    <t>16.70.191.255</t>
  </si>
  <si>
    <t>f4b04fb7-b11b-4161-ad9f-817db5a8b668</t>
  </si>
  <si>
    <t>e2ab43b8-77ce-49a0-a80d-874561da5008</t>
  </si>
  <si>
    <t>76.103.77.192</t>
  </si>
  <si>
    <t>7f63473e-0614-40c3-9686-4227ea6437ac</t>
  </si>
  <si>
    <t>0a190fc9-1cd7-4d86-b210-3f40b7b84921</t>
  </si>
  <si>
    <t>53.19.121.227</t>
  </si>
  <si>
    <t>3ce65afc-b14c-452a-b386-f0a4eed643c6</t>
  </si>
  <si>
    <t>c7ce007c-9011-4631-8923-83adca12aee9</t>
  </si>
  <si>
    <t>190.168.68.142</t>
  </si>
  <si>
    <t>67af98e7-c7a7-4e5c-a996-ceb0f83eeaf3</t>
  </si>
  <si>
    <t>d61c5cc7-9ba3-4c5c-b8b2-410908750198</t>
  </si>
  <si>
    <t>82.20.212.147</t>
  </si>
  <si>
    <t>ed758575-19cc-461f-9176-cb530d3484c6</t>
  </si>
  <si>
    <t>9dda46dd-8bf8-406d-b6fa-7377a99cfb7b</t>
  </si>
  <si>
    <t>193.12.117.169</t>
  </si>
  <si>
    <t>9820dfa2-347b-4cce-8a94-79a37c380321</t>
  </si>
  <si>
    <t>288011fb-38a9-4de3-8f2e-2f1590039059</t>
  </si>
  <si>
    <t>88.124.105.27</t>
  </si>
  <si>
    <t>f95231cf-b5e6-4b02-adbe-f4a50fd5ac76</t>
  </si>
  <si>
    <t>7e2d4e88-fd96-4189-a591-7a3ddf624f04</t>
  </si>
  <si>
    <t>233.127.113.195</t>
  </si>
  <si>
    <t>6dced65d-8ad9-428a-b79d-7ea1881066f2</t>
  </si>
  <si>
    <t>646784a4-e194-4895-8f91-f13406908e2f</t>
  </si>
  <si>
    <t>134.164.93.226</t>
  </si>
  <si>
    <t>e0bac35e-bbd3-4200-9557-1bd8f2ab4b9a</t>
  </si>
  <si>
    <t>0aa16c67-306a-45bb-b0d2-2b807ab914d3</t>
  </si>
  <si>
    <t>162.3.33.251</t>
  </si>
  <si>
    <t>33d89cb9-d0bd-4225-bfa7-f03de10cf9d6</t>
  </si>
  <si>
    <t>89611d9b-7c01-4de6-9eac-c24649886fe7</t>
  </si>
  <si>
    <t>18.98.26.72</t>
  </si>
  <si>
    <t>644f7f88-b489-489d-a6dd-0bd4595306f4</t>
  </si>
  <si>
    <t>c739ce61-b92b-4ed8-9254-ff23190b0e3a</t>
  </si>
  <si>
    <t>241.104.64.46</t>
  </si>
  <si>
    <t>94aa1edd-b517-4372-8da6-b29c04a260bb</t>
  </si>
  <si>
    <t>10e6798e-6d52-496f-8b9a-c2a0efbbd10a</t>
  </si>
  <si>
    <t>45.104.120.40</t>
  </si>
  <si>
    <t>e77d28ec-f63d-4806-acab-9dd681217cd2</t>
  </si>
  <si>
    <t>50697c70-93a2-4388-8c0e-4ba28b0981c6</t>
  </si>
  <si>
    <t>110.239.159.84</t>
  </si>
  <si>
    <t>59da09c5-c9b5-4337-b8f4-3447eb848266</t>
  </si>
  <si>
    <t>2f6c163d-3747-42bb-8ab0-dbf00785d5d7</t>
  </si>
  <si>
    <t>185.101.125.217</t>
  </si>
  <si>
    <t>0dcafd18-ab97-475f-b297-f592f24c789b</t>
  </si>
  <si>
    <t>c81c9d97-edef-43e0-a499-e85252378823</t>
  </si>
  <si>
    <t>46.127.155.146</t>
  </si>
  <si>
    <t>2c5d4d89-fc0e-4c97-b956-3ec80cd3cb3e</t>
  </si>
  <si>
    <t>3c945570-5c05-4bdc-8cd9-efdc73402455</t>
  </si>
  <si>
    <t>148.229.103.139</t>
  </si>
  <si>
    <t>04c0a123-f772-454f-97eb-06fcaa3331c4</t>
  </si>
  <si>
    <t>3d6a5304-35f4-4b7f-8e91-8c16867a351c</t>
  </si>
  <si>
    <t>221.246.40.184</t>
  </si>
  <si>
    <t>71bbee14-5b06-42e4-9c6e-01b7995a4018</t>
  </si>
  <si>
    <t>d58a74bf-be25-4054-ac0a-64d0d254521b</t>
  </si>
  <si>
    <t>102.193.85.241</t>
  </si>
  <si>
    <t>19fccf85-e092-497f-bfd3-fde9d77b13a9</t>
  </si>
  <si>
    <t>b6513326-5bf1-4c9a-90ca-2f19283cf358</t>
  </si>
  <si>
    <t>113.216.221.79</t>
  </si>
  <si>
    <t>ff0829ad-d078-421f-8892-ab289dd7bcbd</t>
  </si>
  <si>
    <t>72f7ad02-3815-47c2-8feb-a528840d2a58</t>
  </si>
  <si>
    <t>210.246.10.195</t>
  </si>
  <si>
    <t>0b03170f-b598-49fa-b967-48238f91964b</t>
  </si>
  <si>
    <t>4357cc1f-0b3a-4433-be6c-f293f6b0577d</t>
  </si>
  <si>
    <t>110.42.153.78</t>
  </si>
  <si>
    <t>66ca51e7-d9ee-4b4c-98e0-5753da426b11</t>
  </si>
  <si>
    <t>5db391ad-b3a7-4dd4-97fa-199a547b77ba</t>
  </si>
  <si>
    <t>142.89.131.194</t>
  </si>
  <si>
    <t>a0ae2573-519e-471e-8f0f-ee01c1ce75f9</t>
  </si>
  <si>
    <t>6273e661-19e3-4767-985a-025ff71a0b11</t>
  </si>
  <si>
    <t>119.156.232.145</t>
  </si>
  <si>
    <t>168eb5f5-64ea-4c5a-9986-2ebfc6e79901</t>
  </si>
  <si>
    <t>49569f57-ae4e-4fb2-8514-95aebc9016d6</t>
  </si>
  <si>
    <t>97.246.36.170</t>
  </si>
  <si>
    <t>ce6cf172-bb00-4c05-ac51-5139e44db5e1</t>
  </si>
  <si>
    <t>5d606545-bde4-4be4-90b4-6a885ce490bb</t>
  </si>
  <si>
    <t>35.240.100.79</t>
  </si>
  <si>
    <t>a4a00178-f0f2-49c4-8d8f-bddeddd259de</t>
  </si>
  <si>
    <t>ba396b95-0acf-41ad-98f8-4418d4d3c07e</t>
  </si>
  <si>
    <t>235.97.2.6</t>
  </si>
  <si>
    <t>ba9bb24a-a44f-42e8-a710-4b2c4f89d201</t>
  </si>
  <si>
    <t>95598a69-50b0-4bb3-81f0-76541fec08e9</t>
  </si>
  <si>
    <t>221.191.251.207</t>
  </si>
  <si>
    <t>85d09a19-f822-4e16-9d29-f85f537f88ff</t>
  </si>
  <si>
    <t>3fe77827-5df6-4406-8c72-cf602bf73e46</t>
  </si>
  <si>
    <t>237.212.202.191</t>
  </si>
  <si>
    <t>2c8863ef-2734-49d5-901a-d6f2f5a26a59</t>
  </si>
  <si>
    <t>a8cb71db-fbab-4190-bd9f-4078912e0778</t>
  </si>
  <si>
    <t>99.250.157.36</t>
  </si>
  <si>
    <t>861f5cb4-5d1c-48e1-9cad-e245916ff5f6</t>
  </si>
  <si>
    <t>0e4a4ead-fe6e-4856-be3f-fd3ff6845a61</t>
  </si>
  <si>
    <t>105.19.63.197</t>
  </si>
  <si>
    <t>32a40175-499f-4914-be7d-461db18999bf</t>
  </si>
  <si>
    <t>6c07796d-d3b2-4310-a841-72664355a4eb</t>
  </si>
  <si>
    <t>239.83.99.223</t>
  </si>
  <si>
    <t>d90b5b60-bb9f-49a0-8791-7d2cb89bcb7f</t>
  </si>
  <si>
    <t>60617aa7-5f5a-4821-af54-ac094cc36c1d</t>
  </si>
  <si>
    <t>246.130.178.250</t>
  </si>
  <si>
    <t>fb7bd47c-8fec-45e9-930e-fe5f251ae3c9</t>
  </si>
  <si>
    <t>9e99b02b-4bc0-452e-96d4-0289ca63898c</t>
  </si>
  <si>
    <t>163.188.29.197</t>
  </si>
  <si>
    <t>7791aa8c-a675-4b47-bb66-a680f1dc654b</t>
  </si>
  <si>
    <t>25564864-a8c8-4c27-8634-e92eb80940f2</t>
  </si>
  <si>
    <t>238.217.126.124</t>
  </si>
  <si>
    <t>7f863882-356b-4366-b07b-e308dc504ad0</t>
  </si>
  <si>
    <t>fe19e27d-ecb9-427e-bb0c-440104a7aea9</t>
  </si>
  <si>
    <t>123.17.185.14</t>
  </si>
  <si>
    <t>96c497e7-0c4d-4ccc-b13e-2e4b0e19d283</t>
  </si>
  <si>
    <t>7617729d-8b6c-4ec9-8732-340326bc6b45</t>
  </si>
  <si>
    <t>179.75.133.233</t>
  </si>
  <si>
    <t>585a6fa7-8c75-4352-8c0c-7b64edcd262d</t>
  </si>
  <si>
    <t>7bc8d189-afed-4e31-833b-1fc8043d1b77</t>
  </si>
  <si>
    <t>242.75.130.126</t>
  </si>
  <si>
    <t>8d3411b8-df71-472d-9891-4cea9538b891</t>
  </si>
  <si>
    <t>16403aa3-9f47-4e73-a89c-147c0485836e</t>
  </si>
  <si>
    <t>155.82.6.59</t>
  </si>
  <si>
    <t>33c039f0-c57b-4924-acec-44533e98a1e5</t>
  </si>
  <si>
    <t>61f22550-f95a-4b00-a96c-02ca532d8ca6</t>
  </si>
  <si>
    <t>198.47.196.203</t>
  </si>
  <si>
    <t>ca78d757-a6f0-4d71-a13d-065e11517b6d</t>
  </si>
  <si>
    <t>07877e4f-7342-4fc6-96ad-fd482f931b8c</t>
  </si>
  <si>
    <t>181.41.96.216</t>
  </si>
  <si>
    <t>0be7cf2c-ae54-4a2b-8312-01e9ef3a5020</t>
  </si>
  <si>
    <t>e167eaf0-49f4-4795-aebc-b80b7376b91c</t>
  </si>
  <si>
    <t>43.218.129.154</t>
  </si>
  <si>
    <t>15c2f060-fad0-461c-be62-a56c20e4f7fb</t>
  </si>
  <si>
    <t>9ed08461-4ca2-4e1b-956b-41d669b8a2c4</t>
  </si>
  <si>
    <t>129.195.157.210</t>
  </si>
  <si>
    <t>5a92d992-46eb-44a5-a37e-82fffaaf56a0</t>
  </si>
  <si>
    <t>74ba01cc-ba8b-4662-829e-67cc9a419bc7</t>
  </si>
  <si>
    <t>193.45.55.176</t>
  </si>
  <si>
    <t>59ace3e5-9c89-49a9-b15d-e12a78834251</t>
  </si>
  <si>
    <t>22018f5d-9bdb-489e-9da3-e32dd489f7dc</t>
  </si>
  <si>
    <t>209.73.137.107</t>
  </si>
  <si>
    <t>642e14b2-5ca7-4826-8515-58b140fa61c0</t>
  </si>
  <si>
    <t>a552136c-c36d-4b83-94d8-0616c6b280a2</t>
  </si>
  <si>
    <t>239.203.157.3</t>
  </si>
  <si>
    <t>8f1d0184-9a42-45e8-9c2a-eba74faec8ec</t>
  </si>
  <si>
    <t>3c155b04-55ee-46f4-a9a9-a25daa256025</t>
  </si>
  <si>
    <t>253.86.251.0</t>
  </si>
  <si>
    <t>55e1a6fd-9dea-4a2f-af68-831fdb0e6c51</t>
  </si>
  <si>
    <t>98c79f13-99ae-455a-9a11-f79003806e1b</t>
  </si>
  <si>
    <t>25.35.213.213</t>
  </si>
  <si>
    <t>72414e1a-4b2c-4bc6-8c40-190a9f530a61</t>
  </si>
  <si>
    <t>3b47dd99-ccb7-44fc-bc96-68c24fb678d4</t>
  </si>
  <si>
    <t>168.147.220.87</t>
  </si>
  <si>
    <t>c77c5bb5-36fc-4ce5-963a-b6f9a6c68b78</t>
  </si>
  <si>
    <t>051dc24c-f8d1-4778-bbdc-d85fc6adfc36</t>
  </si>
  <si>
    <t>46.191.95.68</t>
  </si>
  <si>
    <t>ce362443-c81d-46bf-b407-7a747cccdf14</t>
  </si>
  <si>
    <t>1227e1c0-7841-4bdd-b094-7ab526b1dabe</t>
  </si>
  <si>
    <t>51.249.93.56</t>
  </si>
  <si>
    <t>e34e7280-8932-46d1-9a3a-685fc7056e11</t>
  </si>
  <si>
    <t>7873717b-fc4c-4895-b75f-511ccc813401</t>
  </si>
  <si>
    <t>116.108.95.102</t>
  </si>
  <si>
    <t>4196958b-6ad0-4a9e-be32-406a65fd1737</t>
  </si>
  <si>
    <t>69fd6220-f17a-4135-8111-d5cebf45909c</t>
  </si>
  <si>
    <t>16.93.98.132</t>
  </si>
  <si>
    <t>e52d6417-d06c-4481-8b3f-4a7f2edb7667</t>
  </si>
  <si>
    <t>2f205511-33e8-4506-a663-2a62bf8cfc1c</t>
  </si>
  <si>
    <t>252.209.225.55</t>
  </si>
  <si>
    <t>b24d6fb7-0030-475f-acf3-24466090e152</t>
  </si>
  <si>
    <t>01edcce3-ffc9-4d63-b33d-bb851711b463</t>
  </si>
  <si>
    <t>223.85.40.150</t>
  </si>
  <si>
    <t>cb97fac4-73b7-46d2-a052-3618e815ad39</t>
  </si>
  <si>
    <t>7f685c1e-2114-44c8-8790-e1ca6087f764</t>
  </si>
  <si>
    <t>22.193.63.141</t>
  </si>
  <si>
    <t>18703105-ef40-464d-bd05-e945733e70bc</t>
  </si>
  <si>
    <t>73edf2f8-c4cf-4e5f-9ea8-43aff4f1ff38</t>
  </si>
  <si>
    <t>17.175.15.120</t>
  </si>
  <si>
    <t>f5724feb-4604-4003-9e46-39220e455521</t>
  </si>
  <si>
    <t>a6ad77d7-ba4f-42d4-84c4-208ea68534e1</t>
  </si>
  <si>
    <t>123.248.51.4</t>
  </si>
  <si>
    <t>8df739c8-d92a-407e-aa26-b53029e3c08e</t>
  </si>
  <si>
    <t>3afc6010-ae7b-42d8-8888-f741f7396ab8</t>
  </si>
  <si>
    <t>16.136.3.21</t>
  </si>
  <si>
    <t>1c27b8ad-6e44-4e99-b611-e228271961c1</t>
  </si>
  <si>
    <t>b2821b89-f016-43c6-af34-d93305806970</t>
  </si>
  <si>
    <t>25.108.3.192</t>
  </si>
  <si>
    <t>2e628fc5-a4fb-4d00-838b-110ce836a643</t>
  </si>
  <si>
    <t>b3487786-9247-45c3-b8f2-2297a2eed3d2</t>
  </si>
  <si>
    <t>155.136.248.242</t>
  </si>
  <si>
    <t>32eba6a0-0a3c-406a-a5fd-0a7ecf93f0c5</t>
  </si>
  <si>
    <t>9738c9ec-97ae-4e76-b82b-318f352b370b</t>
  </si>
  <si>
    <t>194.172.219.172</t>
  </si>
  <si>
    <t>aada70c2-0172-4e44-94de-dadb906ed944</t>
  </si>
  <si>
    <t>d10bf240-e09a-4bfb-bf71-cea4a1300e31</t>
  </si>
  <si>
    <t>95.175.161.122</t>
  </si>
  <si>
    <t>21af56b5-3d65-4838-b7e6-8b1d652bb999</t>
  </si>
  <si>
    <t>47425a2f-1153-4301-b9c7-b773a9d7c881</t>
  </si>
  <si>
    <t>241.184.204.193</t>
  </si>
  <si>
    <t>f3ae2e11-deb0-4200-9c7d-9b9be275e23f</t>
  </si>
  <si>
    <t>a768dee4-5928-4d42-be90-545617aa44fe</t>
  </si>
  <si>
    <t>157.29.182.169</t>
  </si>
  <si>
    <t>bd27b580-cd2a-406e-82c1-39024e2b1fad</t>
  </si>
  <si>
    <t>fdaee1ee-5329-4375-a7ec-9e942908093e</t>
  </si>
  <si>
    <t>207.51.1.233</t>
  </si>
  <si>
    <t>42f3dac7-6c13-450f-b23a-c5a0a7bbe3d9</t>
  </si>
  <si>
    <t>b0c70795-30da-4cfe-8e1c-e5f218448f18</t>
  </si>
  <si>
    <t>223.205.71.13</t>
  </si>
  <si>
    <t>3cc184fb-8642-4530-b3a4-75fb20559ce1</t>
  </si>
  <si>
    <t>e8c14c71-bcdb-42f0-be6f-aacd5de524e8</t>
  </si>
  <si>
    <t>155.62.143.127</t>
  </si>
  <si>
    <t>80184b09-4450-46c2-8e57-0c9c32a8aac4</t>
  </si>
  <si>
    <t>b962a317-2a52-41ba-b2eb-b0f53abaced0</t>
  </si>
  <si>
    <t>95.231.243.211</t>
  </si>
  <si>
    <t>5392c7a7-f8b6-4028-ae7b-21e0e98a34c9</t>
  </si>
  <si>
    <t>d026bfe6-feff-4106-b4e8-cce6cfba8ea7</t>
  </si>
  <si>
    <t>170.96.1.164</t>
  </si>
  <si>
    <t>99a79d25-aba2-45f4-a48b-1112dd27bb9b</t>
  </si>
  <si>
    <t>38ff4959-c9f4-45cc-9aff-1f6ae5722a9e</t>
  </si>
  <si>
    <t>5.184.23.166</t>
  </si>
  <si>
    <t>6687b3e4-fd18-4ec7-9552-1f5a4296dd65</t>
  </si>
  <si>
    <t>8ce6ace8-e3fe-4494-9700-b4de60a34406</t>
  </si>
  <si>
    <t>174.227.119.248</t>
  </si>
  <si>
    <t>7a2131f4-f9ff-4ad4-931e-fe038a1a85e0</t>
  </si>
  <si>
    <t>bdf12228-4e8a-4aa0-9380-d83c4270845f</t>
  </si>
  <si>
    <t>103.41.178.219</t>
  </si>
  <si>
    <t>90e467ab-dc2f-4a24-a4b3-d28dc471b8fe</t>
  </si>
  <si>
    <t>c596a233-67e9-46e8-9ec4-8ae21db1570d</t>
  </si>
  <si>
    <t>241.243.51.197</t>
  </si>
  <si>
    <t>8018f872-b0af-439a-a508-2964597c790d</t>
  </si>
  <si>
    <t>53bd9705-aba4-41b2-8607-e34c873ddd6f</t>
  </si>
  <si>
    <t>76.99.73.16</t>
  </si>
  <si>
    <t>d9684df5-a6bf-4e3f-aeda-9fc1ab6748b6</t>
  </si>
  <si>
    <t>bbf0a3f7-e34c-415d-8985-f3a4133ab679</t>
  </si>
  <si>
    <t>33.254.44.154</t>
  </si>
  <si>
    <t>d3ca6942-b4f5-4840-bb32-5376d8f8a979</t>
  </si>
  <si>
    <t>95ac8930-d8e6-4285-b4d1-69e8824c70d8</t>
  </si>
  <si>
    <t>214.239.86.228</t>
  </si>
  <si>
    <t>5173d08d-db10-4a18-bfb2-a005cc3a3751</t>
  </si>
  <si>
    <t>98821538-8458-4ddf-b245-e51120dc1846</t>
  </si>
  <si>
    <t>245.59.246.123</t>
  </si>
  <si>
    <t>7dbf1a3b-ce4c-40bc-a295-06f644c4e33f</t>
  </si>
  <si>
    <t>985ce11e-7ee5-44d9-8332-d4b8fe4e9c12</t>
  </si>
  <si>
    <t>63.108.87.45</t>
  </si>
  <si>
    <t>78bb2ff6-ce8f-4fe4-8094-d766fc4e9baa</t>
  </si>
  <si>
    <t>8fd02852-81f0-4d14-87bb-fb0858556f9f</t>
  </si>
  <si>
    <t>28.222.14.82</t>
  </si>
  <si>
    <t>325e7a38-6910-4c85-80e6-c6c9f7a2ea8c</t>
  </si>
  <si>
    <t>67235f31-400a-40e7-bdc7-f5dc0ea27bce</t>
  </si>
  <si>
    <t>238.167.196.143</t>
  </si>
  <si>
    <t>6afb384b-7982-4849-bc66-a66401c41f55</t>
  </si>
  <si>
    <t>728e5a69-5885-47c3-99f8-850bda2614af</t>
  </si>
  <si>
    <t>57.131.243.63</t>
  </si>
  <si>
    <t>0b392946-72e7-4c8f-817a-3d405884af44</t>
  </si>
  <si>
    <t>cdfa7282-83c1-434d-82ed-1bac24f1a801</t>
  </si>
  <si>
    <t>171.69.251.46</t>
  </si>
  <si>
    <t>0ca462f0-2032-45c3-9ae4-7f6af08cdd24</t>
  </si>
  <si>
    <t>0a3b60d8-e016-4eb7-a0e0-d7ca847f21a0</t>
  </si>
  <si>
    <t>204.170.114.33</t>
  </si>
  <si>
    <t>9b516408-8ad2-4a7b-93cc-c6ce054b223c</t>
  </si>
  <si>
    <t>bce49526-b3b4-4605-8395-a4a1d4fafa15</t>
  </si>
  <si>
    <t>165.175.193.195</t>
  </si>
  <si>
    <t>a3145f31-a92f-42b5-9e4c-3338380f7091</t>
  </si>
  <si>
    <t>fd6aafcb-6059-45cd-bdf1-c450985b95ac</t>
  </si>
  <si>
    <t>168.223.119.114</t>
  </si>
  <si>
    <t>7bbb9fd0-5ad5-4ca3-b050-b027a194eac1</t>
  </si>
  <si>
    <t>69e7db01-8238-4469-acc8-7c95b4bd583c</t>
  </si>
  <si>
    <t>67.59.148.44</t>
  </si>
  <si>
    <t>1ef1c412-e82b-494b-b0e7-636500d16dd3</t>
  </si>
  <si>
    <t>2c3b8f17-217f-430c-9041-f09b8403ca31</t>
  </si>
  <si>
    <t>29.45.174.96</t>
  </si>
  <si>
    <t>17526c7c-c036-4d49-9cab-e139cf9bfe8d</t>
  </si>
  <si>
    <t>1a958196-1a35-4172-84f4-6262756a4ed2</t>
  </si>
  <si>
    <t>191.59.188.65</t>
  </si>
  <si>
    <t>fd06c22b-dadd-4496-a901-eebbb578f82a</t>
  </si>
  <si>
    <t>6c6969c9-8bd1-42a8-9f61-adf095366a4f</t>
  </si>
  <si>
    <t>219.160.194.0</t>
  </si>
  <si>
    <t>980aefc5-d0da-42c4-a52e-95f07267f81c</t>
  </si>
  <si>
    <t>f3195f21-9da3-4045-a75f-7da74130a534</t>
  </si>
  <si>
    <t>80.31.97.198</t>
  </si>
  <si>
    <t>7c2c5702-b86b-4b6b-979e-a725f7ddaa16</t>
  </si>
  <si>
    <t>7d8e7af6-dd72-4a0e-b03d-c1e64ebc05e8</t>
  </si>
  <si>
    <t>251.216.163.186</t>
  </si>
  <si>
    <t>265d0125-6475-4e04-aee3-07f87323c3d7</t>
  </si>
  <si>
    <t>9ef95be2-3bdf-4f3a-bd40-84d46d14fe8e</t>
  </si>
  <si>
    <t>205.64.113.54</t>
  </si>
  <si>
    <t>d61c4dce-95ba-44e8-b904-cc57e0db8064</t>
  </si>
  <si>
    <t>5c89af44-c53a-4d75-ba0a-f508d131dea4</t>
  </si>
  <si>
    <t>102.4.235.161</t>
  </si>
  <si>
    <t>1ce26827-513a-475c-8341-2004c25669b8</t>
  </si>
  <si>
    <t>c06793f6-855b-4712-ae92-a4d2c84d80b5</t>
  </si>
  <si>
    <t>38.151.112.255</t>
  </si>
  <si>
    <t>623f19a0-6ed7-4e8d-b427-e3ffd4fd7e07</t>
  </si>
  <si>
    <t>4e990dd5-6394-4558-8d51-4f1d207d4be1</t>
  </si>
  <si>
    <t>175.233.75.145</t>
  </si>
  <si>
    <t>8fdd683e-beb3-4c79-a648-893d3042cfc6</t>
  </si>
  <si>
    <t>0d0064da-97bb-46cb-bb28-cbceee0c5ea4</t>
  </si>
  <si>
    <t>38.17.163.158</t>
  </si>
  <si>
    <t>e25400be-b9d0-456c-b709-e41ddb57580b</t>
  </si>
  <si>
    <t>886cd567-975c-4747-afd0-3edc143d9b84</t>
  </si>
  <si>
    <t>129.63.140.244</t>
  </si>
  <si>
    <t>8fef42af-8ba5-48ec-a4f9-247683585191</t>
  </si>
  <si>
    <t>ac49340a-467a-4ecf-80be-9e14a09da549</t>
  </si>
  <si>
    <t>162.110.253.149</t>
  </si>
  <si>
    <t>59b2150f-6e60-4e4a-a3f8-1028fb0d4d85</t>
  </si>
  <si>
    <t>f6ef173b-413e-4143-9def-812fdf86e307</t>
  </si>
  <si>
    <t>181.192.30.170</t>
  </si>
  <si>
    <t>8402ca68-32d8-4333-9d9d-9712eb52f447</t>
  </si>
  <si>
    <t>96b8b0b0-bd36-484c-934f-eac1572cb307</t>
  </si>
  <si>
    <t>40.107.115.26</t>
  </si>
  <si>
    <t>a063f74d-04f9-4d56-b1cd-7c569a592f1d</t>
  </si>
  <si>
    <t>2c4a6677-203e-4781-a877-22a1f771ccf3</t>
  </si>
  <si>
    <t>237.91.249.200</t>
  </si>
  <si>
    <t>748ad375-4969-455a-94a3-7c864ab37e4c</t>
  </si>
  <si>
    <t>d76786f1-a249-4cb1-b9a5-eb62789ff4a7</t>
  </si>
  <si>
    <t>77.81.11.200</t>
  </si>
  <si>
    <t>597b7e26-a374-4c64-a6e9-e6141e1502fd</t>
  </si>
  <si>
    <t>5aadee73-a30e-4f21-89fa-f8f9c113ebe4</t>
  </si>
  <si>
    <t>87.216.242.178</t>
  </si>
  <si>
    <t>760bf4a4-523b-4717-aa2f-d3af6d255458</t>
  </si>
  <si>
    <t>c1dca0b0-839d-40cf-b44b-f998a04cae18</t>
  </si>
  <si>
    <t>194.200.200.36</t>
  </si>
  <si>
    <t>d9a3b2ba-2511-4b64-bda9-bf8017d73fe6</t>
  </si>
  <si>
    <t>fd17ac08-99b0-4521-b34f-80133cea1a63</t>
  </si>
  <si>
    <t>136.144.144.99</t>
  </si>
  <si>
    <t>f81ed80a-2c23-42bf-9c69-3370b1e5cdd1</t>
  </si>
  <si>
    <t>8c886058-0b3c-4eb8-986e-ff34a494efe1</t>
  </si>
  <si>
    <t>180.201.49.67</t>
  </si>
  <si>
    <t>17834909-01c9-4b5f-98a4-cb4cd4da48e6</t>
  </si>
  <si>
    <t>33f65043-e076-49e5-9e99-85e451d9bcd6</t>
  </si>
  <si>
    <t>83.27.155.234</t>
  </si>
  <si>
    <t>a7d22d69-1060-4a55-9380-dbdbb1cf14f4</t>
  </si>
  <si>
    <t>613d4f6c-2f51-4060-9f0d-3dbb1dba3341</t>
  </si>
  <si>
    <t>168.83.70.226</t>
  </si>
  <si>
    <t>1ba103d2-13af-4b24-b8b7-cfc297d9a590</t>
  </si>
  <si>
    <t>259383f4-5891-420c-81c9-dbb808e2b9ec</t>
  </si>
  <si>
    <t>179.247.149.74</t>
  </si>
  <si>
    <t>0e2d8805-b86e-43e6-a7f7-ebae1f894cc1</t>
  </si>
  <si>
    <t>95cdcf56-cc0c-4d98-9894-f14510180723</t>
  </si>
  <si>
    <t>54.111.100.4</t>
  </si>
  <si>
    <t>24b2c88e-35eb-47c0-8105-5a71af528ed5</t>
  </si>
  <si>
    <t>232e8ff4-e493-4356-9a20-70ba6c7059ca</t>
  </si>
  <si>
    <t>93.52.75.192</t>
  </si>
  <si>
    <t>fcc6c4ef-94ee-4cd3-ad6f-914115ac7886</t>
  </si>
  <si>
    <t>9c159761-8644-4842-8439-bec14bfaff88</t>
  </si>
  <si>
    <t>244.218.86.28</t>
  </si>
  <si>
    <t>718f66ed-3b10-41a1-9d36-eb125cb74f2d</t>
  </si>
  <si>
    <t>976d9dea-1043-467c-b91c-344e67ea105c</t>
  </si>
  <si>
    <t>25.182.242.91</t>
  </si>
  <si>
    <t>8b100951-969a-4a24-bc56-901331e4f9dc</t>
  </si>
  <si>
    <t>08219565-d343-4310-aaaf-035ae05ab85b</t>
  </si>
  <si>
    <t>242.26.60.173</t>
  </si>
  <si>
    <t>c1f36607-ef1b-4130-92c0-8da20b81622a</t>
  </si>
  <si>
    <t>68c76278-e9f6-4dfb-ae67-2e3459f7f447</t>
  </si>
  <si>
    <t>152.222.76.206</t>
  </si>
  <si>
    <t>7fdcf5c6-7185-4b9b-b00c-b4602d0e7fd1</t>
  </si>
  <si>
    <t>cc2e3962-3bea-40d2-a7a2-8dad8a62fc43</t>
  </si>
  <si>
    <t>63.17.60.123</t>
  </si>
  <si>
    <t>05483b0a-f028-4496-9489-a4c95942661c</t>
  </si>
  <si>
    <t>b882f3dd-1ab7-45d7-a540-55437818ad23</t>
  </si>
  <si>
    <t>102.250.154.88</t>
  </si>
  <si>
    <t>ed6878b1-fff3-4f58-8d41-fdf890585ea8</t>
  </si>
  <si>
    <t>6d1a808d-da8f-4e6d-b8ce-50edaa01d3e2</t>
  </si>
  <si>
    <t>168.192.45.237</t>
  </si>
  <si>
    <t>143c4f8b-8901-4a49-b95b-694e212e71a7</t>
  </si>
  <si>
    <t>103b7fdb-df89-4ab2-9891-939d39b86d33</t>
  </si>
  <si>
    <t>222.195.140.227</t>
  </si>
  <si>
    <t>8abc301c-5fc2-4c67-b331-7efdb2f4e21d</t>
  </si>
  <si>
    <t>71a4ca01-a6e3-44c6-aca2-5fe64e98f2ea</t>
  </si>
  <si>
    <t>95.5.61.59</t>
  </si>
  <si>
    <t>dc699c0b-7053-4953-a623-d1b8eae57410</t>
  </si>
  <si>
    <t>80dc5efa-4221-475c-8da6-e0a184bd96b1</t>
  </si>
  <si>
    <t>22.62.250.115</t>
  </si>
  <si>
    <t>f45fa236-0464-4005-820a-17190d7967a2</t>
  </si>
  <si>
    <t>00c5012b-02d6-4597-8c8b-914cb84181af</t>
  </si>
  <si>
    <t>6.245.140.48</t>
  </si>
  <si>
    <t>9b43187b-d8f9-437c-b046-ffa91efc8779</t>
  </si>
  <si>
    <t>107000cd-f39c-4050-962e-2578688ec53e</t>
  </si>
  <si>
    <t>204.92.196.247</t>
  </si>
  <si>
    <t>4208630e-5fd0-4bc2-bf5c-84acb3c550ba</t>
  </si>
  <si>
    <t>a1b62d3a-79d5-428c-a1cf-d46d5c983f61</t>
  </si>
  <si>
    <t>166.222.152.64</t>
  </si>
  <si>
    <t>188f9927-a1ac-4797-9c36-a36008fc4c5d</t>
  </si>
  <si>
    <t>e0a4aa26-e50e-4d10-b5a8-df26820a8630</t>
  </si>
  <si>
    <t>26.166.32.94</t>
  </si>
  <si>
    <t>85cc473d-696d-4042-971d-7c6d81b6ce16</t>
  </si>
  <si>
    <t>381033a9-c650-41c9-9351-4930baedce48</t>
  </si>
  <si>
    <t>104.10.201.250</t>
  </si>
  <si>
    <t>79939c44-103b-40ca-a473-9847ab7d2431</t>
  </si>
  <si>
    <t>c119b5be-9a4b-407c-a9e2-49acc39340d9</t>
  </si>
  <si>
    <t>17.63.106.60</t>
  </si>
  <si>
    <t>680127a5-ec67-4770-b887-667a83356723</t>
  </si>
  <si>
    <t>3c68e8af-e43f-44bb-9538-c8a2dfd32c3a</t>
  </si>
  <si>
    <t>47.92.2.228</t>
  </si>
  <si>
    <t>adc58ff5-8a81-4d61-9ad8-85164000a08c</t>
  </si>
  <si>
    <t>1885f5f6-3956-4717-bfa5-c1d261c5805f</t>
  </si>
  <si>
    <t>205.160.62.20</t>
  </si>
  <si>
    <t>b8c7a1e3-e21f-4586-b607-d08fba25e9e7</t>
  </si>
  <si>
    <t>87e6181c-c592-4c2a-b9f4-9efac9051903</t>
  </si>
  <si>
    <t>33.105.82.44</t>
  </si>
  <si>
    <t>50e27a72-11d6-4cdb-b222-bec0b58d7a35</t>
  </si>
  <si>
    <t>07405697-0c46-4192-b7dd-c914d96bbf16</t>
  </si>
  <si>
    <t>144.131.17.43</t>
  </si>
  <si>
    <t>0f6a98f1-6205-48f6-a2d2-63f7f80de580</t>
  </si>
  <si>
    <t>62dce49b-0351-467e-ab7b-185f1852d207</t>
  </si>
  <si>
    <t>251.63.152.186</t>
  </si>
  <si>
    <t>24ef8358-65cc-4e28-a130-9e09141e9625</t>
  </si>
  <si>
    <t>17e81e30-2935-48ea-aa87-064e60e00d7b</t>
  </si>
  <si>
    <t>248.87.216.0</t>
  </si>
  <si>
    <t>4de0e066-bb1b-4fd7-ba87-3114d4690532</t>
  </si>
  <si>
    <t>bd1c4eb3-7ff2-49df-a9c8-c6b856894b04</t>
  </si>
  <si>
    <t>64.153.23.150</t>
  </si>
  <si>
    <t>b1920c1b-b80d-46b9-842f-47c7ea5e74ea</t>
  </si>
  <si>
    <t>394c8f0a-7ca8-4efd-925e-48615802e973</t>
  </si>
  <si>
    <t>169.227.71.251</t>
  </si>
  <si>
    <t>4a739bb3-a9c1-4493-bd55-720d2f1a16d8</t>
  </si>
  <si>
    <t>227747c8-3fd3-489e-b985-09b5a8a793c8</t>
  </si>
  <si>
    <t>178.160.180.107</t>
  </si>
  <si>
    <t>a0900666-2fda-4d56-a236-73e106031fea</t>
  </si>
  <si>
    <t>317139ca-a36b-46cd-9285-4b2aab22b305</t>
  </si>
  <si>
    <t>177.50.22.121</t>
  </si>
  <si>
    <t>633fe7fb-b280-4493-b754-7469532e3e83</t>
  </si>
  <si>
    <t>22cac1e0-549a-42ce-8c0b-4252ca4e83a5</t>
  </si>
  <si>
    <t>10.96.72.153</t>
  </si>
  <si>
    <t>4dfd6c84-c9ed-4615-b682-8a5d256d6522</t>
  </si>
  <si>
    <t>01551dd3-0892-4dd7-8192-18f765c56e5e</t>
  </si>
  <si>
    <t>220.110.68.110</t>
  </si>
  <si>
    <t>faabb00e-bc7e-4147-b995-e95136f5fd24</t>
  </si>
  <si>
    <t>247b78a9-8ae4-4774-96bc-7bf5c15ab15c</t>
  </si>
  <si>
    <t>152.183.142.65</t>
  </si>
  <si>
    <t>d6a12b55-ce0d-419d-be2d-19b100846f78</t>
  </si>
  <si>
    <t>79a83ecf-bd28-421c-b769-fe1db3843888</t>
  </si>
  <si>
    <t>187.216.38.130</t>
  </si>
  <si>
    <t>bf94d913-3455-4cfc-81a7-82cf8ca32f5f</t>
  </si>
  <si>
    <t>75d6e729-c403-4b41-adc2-112250200af5</t>
  </si>
  <si>
    <t>67.195.83.204</t>
  </si>
  <si>
    <t>2d5369d1-90c1-4f25-9172-31241f47d52b</t>
  </si>
  <si>
    <t>6662afa3-a529-492d-a00c-6d57e50d4052</t>
  </si>
  <si>
    <t>117.42.130.217</t>
  </si>
  <si>
    <t>59f1c170-3d43-4930-848c-7271faed371a</t>
  </si>
  <si>
    <t>54bf59ae-8d00-468f-b2eb-0cfea0e44473</t>
  </si>
  <si>
    <t>241.73.104.36</t>
  </si>
  <si>
    <t>a08b075a-1cde-4143-9577-f7b88feab8cb</t>
  </si>
  <si>
    <t>6a303aa2-6365-48cd-90c3-5eb92d4d9bb9</t>
  </si>
  <si>
    <t>162.137.98.190</t>
  </si>
  <si>
    <t>39351eda-337f-46d0-be09-a7448656651e</t>
  </si>
  <si>
    <t>fddfe81b-29be-4514-9d2d-bbce3b7cc301</t>
  </si>
  <si>
    <t>145.83.214.78</t>
  </si>
  <si>
    <t>a2ddc13a-091a-42d8-8179-5d08154834d3</t>
  </si>
  <si>
    <t>ea26ae10-7cca-4490-a2ed-09ee39bb3418</t>
  </si>
  <si>
    <t>81.222.194.13</t>
  </si>
  <si>
    <t>0ed6520e-fcc4-48f6-873f-0f368b09f66f</t>
  </si>
  <si>
    <t>fcd40b8c-baa1-4ccb-82d7-38d01241ea93</t>
  </si>
  <si>
    <t>247.126.39.138</t>
  </si>
  <si>
    <t>793eb413-9259-497a-8807-03c650a0de86</t>
  </si>
  <si>
    <t>3630ca34-81ba-4110-b2c1-a8272256a11a</t>
  </si>
  <si>
    <t>32.56.208.33</t>
  </si>
  <si>
    <t>e2448cc4-81c7-4d92-890d-4506422136d8</t>
  </si>
  <si>
    <t>52104b24-4911-40ef-99cc-603c147fa14a</t>
  </si>
  <si>
    <t>85.45.185.170</t>
  </si>
  <si>
    <t>0be091f4-5bf5-4063-a24a-3dc798ffada3</t>
  </si>
  <si>
    <t>cc210310-fc59-4517-bb68-116eb9059517</t>
  </si>
  <si>
    <t>200.139.74.115</t>
  </si>
  <si>
    <t>5494d093-d876-472f-9ecb-43f87f52838c</t>
  </si>
  <si>
    <t>5ed74140-0aca-4c48-b6e0-ca18374d31f5</t>
  </si>
  <si>
    <t>71.5.50.193</t>
  </si>
  <si>
    <t>30da3582-0af1-4441-8093-4795383a5dc2</t>
  </si>
  <si>
    <t>d311c1af-45b6-4a88-9271-2aaba2a5e3ae</t>
  </si>
  <si>
    <t>251.113.193.53</t>
  </si>
  <si>
    <t>f7d2eaa1-4386-47bc-863d-24d0e044b6a7</t>
  </si>
  <si>
    <t>bcd0e6bb-70e8-45a0-a6e0-68dd5ece9162</t>
  </si>
  <si>
    <t>201.63.89.156</t>
  </si>
  <si>
    <t>a63b3225-7d39-4d23-b886-c499e34f18a6</t>
  </si>
  <si>
    <t>531a73e1-d91f-4cf5-a8f0-b17a348ca05a</t>
  </si>
  <si>
    <t>151.250.48.178</t>
  </si>
  <si>
    <t>72c1a2a2-5375-4c31-84b0-fd446e661280</t>
  </si>
  <si>
    <t>56a0cd90-2c5f-4e57-a67c-080c43738445</t>
  </si>
  <si>
    <t>180.144.138.50</t>
  </si>
  <si>
    <t>95d6a55c-7ce8-46fc-85a0-2931210a9237</t>
  </si>
  <si>
    <t>57a02a97-1ad6-40ee-a089-6280d766667d</t>
  </si>
  <si>
    <t>230.24.87.162</t>
  </si>
  <si>
    <t>f3ef4124-5dfe-4419-96bb-92038d42be6d</t>
  </si>
  <si>
    <t>b4a76e34-e382-4e17-919f-08ce9b74b02e</t>
  </si>
  <si>
    <t>243.199.92.176</t>
  </si>
  <si>
    <t>9127a9af-88bd-474c-8232-33b72a217368</t>
  </si>
  <si>
    <t>f9dcf16a-bdb9-4367-b64e-1361fd4dafeb</t>
  </si>
  <si>
    <t>207.206.244.65</t>
  </si>
  <si>
    <t>52c51f10-ac4d-4109-9713-2db65d5d1275</t>
  </si>
  <si>
    <t>7f61e34d-1232-40b4-9230-93f11f319659</t>
  </si>
  <si>
    <t>67.4.79.64</t>
  </si>
  <si>
    <t>f552c40a-a2d2-4031-90e9-afb168417406</t>
  </si>
  <si>
    <t>deb857b1-a3df-41ce-8c69-076c68371715</t>
  </si>
  <si>
    <t>37.193.136.27</t>
  </si>
  <si>
    <t>0ae79acb-a107-491f-ae80-e265fb3dda1d</t>
  </si>
  <si>
    <t>c0f8c0ee-a0fd-43d1-b26c-3f06244a928c</t>
  </si>
  <si>
    <t>236.189.127.214</t>
  </si>
  <si>
    <t>c4271d79-10f6-45fb-b46d-31364020b037</t>
  </si>
  <si>
    <t>e21c8da1-a60e-4f1c-a130-1c1659c2d45a</t>
  </si>
  <si>
    <t>181.234.93.224</t>
  </si>
  <si>
    <t>b9215155-07ba-4302-9bd1-cbec10c23b0e</t>
  </si>
  <si>
    <t>984e006c-7038-489d-a33e-65b7d5793174</t>
  </si>
  <si>
    <t>253.181.239.146</t>
  </si>
  <si>
    <t>d75a71cf-67cc-41ba-82ab-becaa2261345</t>
  </si>
  <si>
    <t>01def410-cd3f-4802-98c9-60db0d9195e1</t>
  </si>
  <si>
    <t>71.219.117.156</t>
  </si>
  <si>
    <t>a9a4171a-6e53-4a0f-b7cb-9aec6446b3bb</t>
  </si>
  <si>
    <t>d59a2643-dab5-4008-a460-f6f491514801</t>
  </si>
  <si>
    <t>163.44.156.208</t>
  </si>
  <si>
    <t>a080bb9a-de87-40af-9f71-f01c238de231</t>
  </si>
  <si>
    <t>7f9edde9-a91e-4346-a504-32f824677fc6</t>
  </si>
  <si>
    <t>198.160.46.40</t>
  </si>
  <si>
    <t>f7d2b48d-4d4d-457e-8c3f-e47428c612e1</t>
  </si>
  <si>
    <t>edce973a-7b86-4b44-9d36-81202a32570c</t>
  </si>
  <si>
    <t>20.122.47.84</t>
  </si>
  <si>
    <t>efcf8f63-bd1f-4faf-9947-6d269d110758</t>
  </si>
  <si>
    <t>dacb7618-8c7e-45ac-a416-5e05f7e1afb5</t>
  </si>
  <si>
    <t>148.29.43.146</t>
  </si>
  <si>
    <t>006612c8-f1d7-4477-901f-5afd399c6b47</t>
  </si>
  <si>
    <t>4f776aa7-7217-43a1-8195-bce0aa595268</t>
  </si>
  <si>
    <t>142.252.5.217</t>
  </si>
  <si>
    <t>8d7301bf-9d20-44bd-8ec8-b9ef2b3521c0</t>
  </si>
  <si>
    <t>09dcad18-1302-4ae5-b8e1-ccaf9839a9e2</t>
  </si>
  <si>
    <t>174.69.245.254</t>
  </si>
  <si>
    <t>72a30af4-4b59-4b83-87e5-b3aeb8ae4403</t>
  </si>
  <si>
    <t>89fc1692-3742-4071-8320-0688cead5c48</t>
  </si>
  <si>
    <t>132.63.207.7</t>
  </si>
  <si>
    <t>53528d36-755e-44e5-8b0f-71105acdc805</t>
  </si>
  <si>
    <t>0b044a5a-f13c-4a15-a25d-87b9d6a8ed51</t>
  </si>
  <si>
    <t>158.97.3.217</t>
  </si>
  <si>
    <t>cfee835a-4fcd-4fc2-b6b2-f8a96a0af053</t>
  </si>
  <si>
    <t>a93a79e7-c113-42c3-a063-75fcd69141eb</t>
  </si>
  <si>
    <t>180.176.125.21</t>
  </si>
  <si>
    <t>42c5df96-bbbf-401a-94ff-4a3f69f0ccc0</t>
  </si>
  <si>
    <t>72af4a40-970f-48d6-96d8-78b6889db3d0</t>
  </si>
  <si>
    <t>156.229.86.115</t>
  </si>
  <si>
    <t>72549903-fe4d-4d4f-aad4-2540d1f27227</t>
  </si>
  <si>
    <t>8dc7abb6-0567-43b5-8abc-02e46a384ff4</t>
  </si>
  <si>
    <t>45.38.187.68</t>
  </si>
  <si>
    <t>3e250547-32ad-4ffa-8a1d-a82ec9a85664</t>
  </si>
  <si>
    <t>8ccd73a6-c69f-406d-8a84-6d251b0f69cf</t>
  </si>
  <si>
    <t>132.180.26.216</t>
  </si>
  <si>
    <t>d1c021d6-39a0-41f0-aa54-5f7e05f960e2</t>
  </si>
  <si>
    <t>074de392-93c6-42ce-bfcb-f68d110007f2</t>
  </si>
  <si>
    <t>127.194.87.191</t>
  </si>
  <si>
    <t>eb7ac748-1332-4d37-8125-ffa3668d01f8</t>
  </si>
  <si>
    <t>5d2474ea-7f55-43df-a593-c2dd98cab45b</t>
  </si>
  <si>
    <t>249.57.173.127</t>
  </si>
  <si>
    <t>253ac82e-b16b-4a6c-8949-8b0ca1d45b3b</t>
  </si>
  <si>
    <t>9f09c864-ab34-47ed-8832-3ec199b6b02c</t>
  </si>
  <si>
    <t>213.60.148.153</t>
  </si>
  <si>
    <t>42b31f28-f177-446c-8006-831ad52e7f7b</t>
  </si>
  <si>
    <t>785a0c4c-632d-4e35-adb4-ae62b8da881a</t>
  </si>
  <si>
    <t>124.150.135.109</t>
  </si>
  <si>
    <t>e33744f3-a281-463b-ac3f-2e31b9c35b61</t>
  </si>
  <si>
    <t>bc2a7506-353c-41eb-9d14-6627bce3df28</t>
  </si>
  <si>
    <t>1.201.111.156</t>
  </si>
  <si>
    <t>15795ce9-31b9-46bd-a19e-f5e73b535ff6</t>
  </si>
  <si>
    <t>98598ec5-23b1-4d13-b2ea-71316b5cca2e</t>
  </si>
  <si>
    <t>238.18.237.249</t>
  </si>
  <si>
    <t>cce72479-982a-4505-bb6a-257a0557c56f</t>
  </si>
  <si>
    <t>c1e84d70-2bb5-417d-8099-84d0c3f2f6ea</t>
  </si>
  <si>
    <t>15.182.3.235</t>
  </si>
  <si>
    <t>ff586bb4-04d4-4d86-a2a2-d5014641c102</t>
  </si>
  <si>
    <t>0e9d2622-4532-4534-962a-13472a73c5e0</t>
  </si>
  <si>
    <t>85.152.181.54</t>
  </si>
  <si>
    <t>94409a46-5416-464b-880c-e64f2692cac4</t>
  </si>
  <si>
    <t>051ac160-62c8-4198-b999-56f7e6fab171</t>
  </si>
  <si>
    <t>2.179.95.205</t>
  </si>
  <si>
    <t>bf922697-89c0-487d-9bf4-c3566e8ba62c</t>
  </si>
  <si>
    <t>2d5babe2-8525-49ba-8491-e0443403a526</t>
  </si>
  <si>
    <t>91.4.51.220</t>
  </si>
  <si>
    <t>e932a4a7-b1a3-4789-b499-a69670a68f83</t>
  </si>
  <si>
    <t>546287e2-7930-4016-9651-f27f0dad8546</t>
  </si>
  <si>
    <t>126.101.43.78</t>
  </si>
  <si>
    <t>66f52184-2113-46f4-b1f7-9d64a6d76644</t>
  </si>
  <si>
    <t>a6ea42f7-d8c9-48fe-b0a9-a27618da5cd8</t>
  </si>
  <si>
    <t>106.63.249.3</t>
  </si>
  <si>
    <t>8e622a1d-e3da-4e07-ac69-5441ea9e4a5b</t>
  </si>
  <si>
    <t>f8c8d0f4-ff05-4bf6-90d7-9aeaaef9e7f7</t>
  </si>
  <si>
    <t>40.128.115.240</t>
  </si>
  <si>
    <t>a57b35a4-8a38-4032-b6c1-ff1b19c0c0c3</t>
  </si>
  <si>
    <t>4ce4675c-36e5-4e5e-9d3c-3afe4b38ccee</t>
  </si>
  <si>
    <t>102.191.153.186</t>
  </si>
  <si>
    <t>fb826adb-e80a-4f8d-a221-cb3e19579904</t>
  </si>
  <si>
    <t>3d96330e-bbb7-4335-9beb-86ba95b188c8</t>
  </si>
  <si>
    <t>110.93.137.55</t>
  </si>
  <si>
    <t>763350f2-210c-40f4-b771-d0dc7c6a2817</t>
  </si>
  <si>
    <t>bef32d85-8242-47e0-974a-3a7f4e9c9e62</t>
  </si>
  <si>
    <t>254.224.224.82</t>
  </si>
  <si>
    <t>c6112e86-dbb6-4768-965b-195bd793cfdf</t>
  </si>
  <si>
    <t>5031c954-2ac2-4720-9996-7edae4c6159e</t>
  </si>
  <si>
    <t>36.181.222.2</t>
  </si>
  <si>
    <t>e0feb107-5257-465f-ac0d-d81c5a0db79a</t>
  </si>
  <si>
    <t>5ddbea63-65e2-4975-b042-865ac5468e07</t>
  </si>
  <si>
    <t>92.101.56.97</t>
  </si>
  <si>
    <t>77b19bf9-bd76-4160-87b6-255fecf1dcb2</t>
  </si>
  <si>
    <t>2ff2bbdb-5267-4723-b228-93ba27bf1943</t>
  </si>
  <si>
    <t>73.20.68.202</t>
  </si>
  <si>
    <t>e8831f7b-0edc-4c14-8848-06238f8941e2</t>
  </si>
  <si>
    <t>b5e907b1-d7e5-4299-a6f7-292c2cce1926</t>
  </si>
  <si>
    <t>108.169.16.82</t>
  </si>
  <si>
    <t>8b778065-c810-42b0-ba07-67cf5dffc678</t>
  </si>
  <si>
    <t>6024dc2f-c955-4f8a-a1f7-3f6300276eb7</t>
  </si>
  <si>
    <t>171.101.245.136</t>
  </si>
  <si>
    <t>16b9dcd5-6c1b-4047-87e9-6f0d0c133bb4</t>
  </si>
  <si>
    <t>feff8966-758a-4a7d-82d8-57c4211d52d2</t>
  </si>
  <si>
    <t>31.215.250.253</t>
  </si>
  <si>
    <t>d920477d-d220-454e-9c1e-fca369b762ce</t>
  </si>
  <si>
    <t>09540976-42ca-4909-8f86-0f0fb0feecd7</t>
  </si>
  <si>
    <t>205.65.166.204</t>
  </si>
  <si>
    <t>1a9bbc48-1792-47cd-b93a-e9242155e1f1</t>
  </si>
  <si>
    <t>738e1c20-6c99-4fed-8649-eb8426041c12</t>
  </si>
  <si>
    <t>129.199.67.56</t>
  </si>
  <si>
    <t>3847d997-34e1-46ac-b15d-8c3032f4a3ab</t>
  </si>
  <si>
    <t>317491e8-e238-4621-b975-f7eb313fbae2</t>
  </si>
  <si>
    <t>246.55.10.64</t>
  </si>
  <si>
    <t>2fc65695-d2dc-470b-b5b8-a5eab6cfe9e7</t>
  </si>
  <si>
    <t>8684b97f-ca8e-496e-bd5f-7dcd629f6ff9</t>
  </si>
  <si>
    <t>40.176.6.121</t>
  </si>
  <si>
    <t>101e1487-f54c-42a3-9889-d444b622138b</t>
  </si>
  <si>
    <t>c133a3b2-3f28-4843-a9e5-60b8f983a5f7</t>
  </si>
  <si>
    <t>14.175.219.4</t>
  </si>
  <si>
    <t>ebd58bfe-b331-48ef-96a2-3b49ff4e1652</t>
  </si>
  <si>
    <t>a491acd6-7c20-4414-86a0-ea9c72f135b7</t>
  </si>
  <si>
    <t>112.245.148.144</t>
  </si>
  <si>
    <t>aa2e92cd-f4e5-4a04-8b4b-40f5c32e3dc6</t>
  </si>
  <si>
    <t>7274b575-21d3-4dc1-9f74-16b005587288</t>
  </si>
  <si>
    <t>125.42.219.126</t>
  </si>
  <si>
    <t>7f8b09c5-8dd0-4364-8c39-edce97c10b9a</t>
  </si>
  <si>
    <t>5356cf4a-f551-4ecd-97f1-1412ef3ad5a4</t>
  </si>
  <si>
    <t>159.78.95.127</t>
  </si>
  <si>
    <t>5cd1e67a-71a5-4ad9-ae41-80424b7c6ade</t>
  </si>
  <si>
    <t>6f06dc2d-4766-4285-a67b-4d3dcba0e83f</t>
  </si>
  <si>
    <t>72.58.134.126</t>
  </si>
  <si>
    <t>93bf2a0b-4a47-44da-8f11-dc1959a8e2b6</t>
  </si>
  <si>
    <t>ab6f6e26-7ac9-4c24-ba03-3ecf78d3d9ff</t>
  </si>
  <si>
    <t>171.219.101.242</t>
  </si>
  <si>
    <t>45a68e19-1ae8-4a54-9d3e-e13d896fe073</t>
  </si>
  <si>
    <t>bdcf96fd-30d4-4b13-91b0-39c316167b8b</t>
  </si>
  <si>
    <t>181.52.92.96</t>
  </si>
  <si>
    <t>90a1c018-a98f-4769-8998-aeee999bb414</t>
  </si>
  <si>
    <t>86c49195-4eec-4be9-8d0c-3b4223bdd432</t>
  </si>
  <si>
    <t>255.76.117.61</t>
  </si>
  <si>
    <t>6b8ad0df-b81e-4d56-bef5-4f1b3ce13039</t>
  </si>
  <si>
    <t>b0bc9e67-6c2a-4bb1-9b59-ab1fb149f614</t>
  </si>
  <si>
    <t>34.205.19.140</t>
  </si>
  <si>
    <t>d602dce9-267c-4b01-96ec-dc16f80840db</t>
  </si>
  <si>
    <t>5bc8f82a-f0ed-4ba6-a88a-c14f730c2ec9</t>
  </si>
  <si>
    <t>254.98.74.218</t>
  </si>
  <si>
    <t>a16fd268-b1f4-46cb-accb-73760508bd0b</t>
  </si>
  <si>
    <t>28ce6227-8f87-4078-834a-c17b539864f9</t>
  </si>
  <si>
    <t>5.102.46.26</t>
  </si>
  <si>
    <t>9ec81588-281d-4b8f-9996-2d628202f5c5</t>
  </si>
  <si>
    <t>6d660c7d-20bc-45ab-9089-8013e5987b93</t>
  </si>
  <si>
    <t>98.208.156.118</t>
  </si>
  <si>
    <t>7204fe37-3624-4d6d-8fcb-3f2f17d10461</t>
  </si>
  <si>
    <t>ad6d770b-fc7b-4dc3-81ca-f5c3f83c5900</t>
  </si>
  <si>
    <t>57.172.218.245</t>
  </si>
  <si>
    <t>d523f96f-a49d-4a39-a0e3-24069bfdb6da</t>
  </si>
  <si>
    <t>5c2aadd3-2d8d-4c30-b5eb-2abe83924326</t>
  </si>
  <si>
    <t>16.218.26.155</t>
  </si>
  <si>
    <t>b01f2f87-dc8f-44c8-9ea7-e464227bf41e</t>
  </si>
  <si>
    <t>325d9892-5419-4712-99c4-45cc2c8d3205</t>
  </si>
  <si>
    <t>29.137.186.143</t>
  </si>
  <si>
    <t>bce4044b-f43c-47f4-a2cd-5f7730775243</t>
  </si>
  <si>
    <t>df552b7e-fee5-4269-b149-e66a47d073e6</t>
  </si>
  <si>
    <t>242.179.214.126</t>
  </si>
  <si>
    <t>abbbe8fa-4780-40c1-bacc-c1600cd6e462</t>
  </si>
  <si>
    <t>b64531e2-c802-47a1-84b5-8ee50b84b3bd</t>
  </si>
  <si>
    <t>82.24.93.20</t>
  </si>
  <si>
    <t>10758e07-97a7-4ddb-804a-70b8f91a4a16</t>
  </si>
  <si>
    <t>784613d1-fbe6-4291-8a88-be3397894985</t>
  </si>
  <si>
    <t>1.26.164.108</t>
  </si>
  <si>
    <t>74097a57-68d1-4db9-85c2-f3d027279f77</t>
  </si>
  <si>
    <t>64062b83-25ba-4df4-b408-eaf65e811e1f</t>
  </si>
  <si>
    <t>74.241.143.51</t>
  </si>
  <si>
    <t>7557b73d-1e39-4296-abc7-6f36bd2ebfdd</t>
  </si>
  <si>
    <t>b17c540f-27a0-4dae-b7a7-61a4a3db749e</t>
  </si>
  <si>
    <t>111.94.129.251</t>
  </si>
  <si>
    <t>e19c8021-b803-4c4b-a34a-a08b24f4396c</t>
  </si>
  <si>
    <t>c1edc2ad-f684-41f4-b0af-afcc4512fc84</t>
  </si>
  <si>
    <t>94.171.155.57</t>
  </si>
  <si>
    <t>bbfb965f-5fe7-4e69-b704-f5cf1084f686</t>
  </si>
  <si>
    <t>2d4130f8-2097-42b0-a3d4-a5501d4d2fea</t>
  </si>
  <si>
    <t>25.6.66.169</t>
  </si>
  <si>
    <t>11db507c-4036-4740-9e07-136ec7d9ca20</t>
  </si>
  <si>
    <t>e0ecba88-df45-4cc4-9a48-b6fb1b95c145</t>
  </si>
  <si>
    <t>93.185.190.121</t>
  </si>
  <si>
    <t>99f33e79-85c3-4fd8-90e8-d381977b5592</t>
  </si>
  <si>
    <t>b4b24c63-20ca-4a21-8d29-002baee7ee8d</t>
  </si>
  <si>
    <t>167.141.107.196</t>
  </si>
  <si>
    <t>7d479f6d-daa8-4317-9ce9-7f80d5ebe8e6</t>
  </si>
  <si>
    <t>df8e3dac-7ef3-4786-b865-03231392875c</t>
  </si>
  <si>
    <t>23.54.66.61</t>
  </si>
  <si>
    <t>a8c2ce2a-5b69-4587-8715-6b724df80e7b</t>
  </si>
  <si>
    <t>bb65bb2a-f7ad-42b5-b96a-50eba845c445</t>
  </si>
  <si>
    <t>11.97.98.228</t>
  </si>
  <si>
    <t>2aab09ca-19c9-4bb0-b60e-4fc37d4d60b8</t>
  </si>
  <si>
    <t>2ad71e3d-d1a6-4545-9855-2bc7cf672e5f</t>
  </si>
  <si>
    <t>237.50.38.175</t>
  </si>
  <si>
    <t>62e1b914-d6e0-4485-af1b-b21ec9c5a33b</t>
  </si>
  <si>
    <t>842f6e00-addb-4247-9126-83ab11463e62</t>
  </si>
  <si>
    <t>78.242.103.78</t>
  </si>
  <si>
    <t>e9cfeea3-1f84-4ecc-935a-b89a56d9f173</t>
  </si>
  <si>
    <t>228b7385-dd42-484f-9ff7-82bd9c018485</t>
  </si>
  <si>
    <t>12.65.98.214</t>
  </si>
  <si>
    <t>2a2c1cc6-0d03-49b7-bbe9-f017c1bd7c74</t>
  </si>
  <si>
    <t>80592ea2-4139-4596-b6ff-a8b69bd87c14</t>
  </si>
  <si>
    <t>141.129.177.187</t>
  </si>
  <si>
    <t>cd6a9e86-b61e-4e8d-a6e4-581d4eca4d2f</t>
  </si>
  <si>
    <t>ec86a0cf-a8af-4f61-ab77-999379b10aa4</t>
  </si>
  <si>
    <t>115.60.223.34</t>
  </si>
  <si>
    <t>18985807-727f-4599-a6ca-2fb72c53e370</t>
  </si>
  <si>
    <t>468376d0-498e-452b-8802-c196fd02fbbc</t>
  </si>
  <si>
    <t>124.214.11.85</t>
  </si>
  <si>
    <t>9b0dfbc2-7d6a-4ff5-89ab-e49ba71dee94</t>
  </si>
  <si>
    <t>3804e1b3-9de0-4490-9df0-20bb2f1c7bab</t>
  </si>
  <si>
    <t>154.140.66.148</t>
  </si>
  <si>
    <t>c4aa5f9b-071e-4e59-80fd-7c4f04857266</t>
  </si>
  <si>
    <t>9e972048-37aa-48a8-9747-7f102ed84042</t>
  </si>
  <si>
    <t>12.31.97.203</t>
  </si>
  <si>
    <t>ad07722b-a748-411e-bd9c-4f48ba1598ce</t>
  </si>
  <si>
    <t>c80f9293-ee54-4969-abad-aacedb6d92f5</t>
  </si>
  <si>
    <t>127.38.84.224</t>
  </si>
  <si>
    <t>45ac765b-7724-49fb-8023-caf0482fd190</t>
  </si>
  <si>
    <t>7ef40c8f-824a-4f6c-aad9-955e005298c2</t>
  </si>
  <si>
    <t>193.196.199.205</t>
  </si>
  <si>
    <t>a426323a-43a9-42e9-acaa-9526c5bf39a7</t>
  </si>
  <si>
    <t>ccbe478e-8861-422c-91e0-a80662cc528e</t>
  </si>
  <si>
    <t>156.139.105.94</t>
  </si>
  <si>
    <t>41bfa5cf-f3fa-496b-9ec7-e47f25d04323</t>
  </si>
  <si>
    <t>f045cf62-9bfa-4d2b-bdcc-532d5b56a518</t>
  </si>
  <si>
    <t>1.81.111.4</t>
  </si>
  <si>
    <t>a93104f3-dd97-4099-b3ae-18ed212eb669</t>
  </si>
  <si>
    <t>37960b37-c616-4023-ae5e-f7378293ce5c</t>
  </si>
  <si>
    <t>226.233.132.155</t>
  </si>
  <si>
    <t>a80cd667-e5d4-49bf-94ea-1ba7ab497210</t>
  </si>
  <si>
    <t>9869282c-a06c-42f8-83ab-1bd822927215</t>
  </si>
  <si>
    <t>219.112.151.137</t>
  </si>
  <si>
    <t>4c7d74bc-1cf2-4fe9-8fa3-78ae1a23969a</t>
  </si>
  <si>
    <t>5b29c56c-8b09-423c-887e-7a5bb2ff747a</t>
  </si>
  <si>
    <t>142.60.87.114</t>
  </si>
  <si>
    <t>2d7f8f32-e3ae-4c25-b8e4-b1fcdd967006</t>
  </si>
  <si>
    <t>be55139d-85fc-46d3-8a77-2d513fdf31ff</t>
  </si>
  <si>
    <t>12.121.149.20</t>
  </si>
  <si>
    <t>83fa0de9-28f0-481f-8e9f-0308e2c6bba0</t>
  </si>
  <si>
    <t>b51d2d20-f8a1-4b76-875e-902ddc6c7a01</t>
  </si>
  <si>
    <t>164.75.142.68</t>
  </si>
  <si>
    <t>83e78291-f139-4575-99b1-d67f7fdd5e7c</t>
  </si>
  <si>
    <t>86789768-8495-44ae-8d1a-45913bcf9d61</t>
  </si>
  <si>
    <t>70.26.127.107</t>
  </si>
  <si>
    <t>42467d64-1308-43e0-9de9-e84e5262a28f</t>
  </si>
  <si>
    <t>4842ba0d-7732-44bf-9521-4d29fd258431</t>
  </si>
  <si>
    <t>137.59.0.177</t>
  </si>
  <si>
    <t>2cfd10ed-54e8-4632-872a-f9beca35aee6</t>
  </si>
  <si>
    <t>67db9946-ccc1-4ee7-9a2c-3ff0b58877e5</t>
  </si>
  <si>
    <t>162.188.166.42</t>
  </si>
  <si>
    <t>1db46668-ffc2-4370-8682-31e026902c87</t>
  </si>
  <si>
    <t>ed5366ab-e8c7-478a-9505-4f782b47cf72</t>
  </si>
  <si>
    <t>243.135.68.209</t>
  </si>
  <si>
    <t>de154529-595e-44ca-b0ab-c5539bbd3598</t>
  </si>
  <si>
    <t>0f580db0-cad7-41c0-b7f9-4829ba626551</t>
  </si>
  <si>
    <t>230.150.166.29</t>
  </si>
  <si>
    <t>a728e807-d066-4e96-8516-5c43d04cb594</t>
  </si>
  <si>
    <t>ee572329-ee0a-4564-8749-50e993df314f</t>
  </si>
  <si>
    <t>161.5.182.112</t>
  </si>
  <si>
    <t>d66f3d29-18b8-47e2-b78a-c086b9301272</t>
  </si>
  <si>
    <t>da56e2be-6f7d-4d85-a166-311bf1104285</t>
  </si>
  <si>
    <t>188.143.90.131</t>
  </si>
  <si>
    <t>49e4a8ac-861d-47e2-87e3-7a4fab5dbfb7</t>
  </si>
  <si>
    <t>86441d45-4fe7-44c8-8541-c818c5070a44</t>
  </si>
  <si>
    <t>249.8.54.195</t>
  </si>
  <si>
    <t>912cffa2-d4f0-4ff0-be62-8caf40c27b1a</t>
  </si>
  <si>
    <t>41c0d66c-3587-4d97-9c8f-d788caa678af</t>
  </si>
  <si>
    <t>243.131.105.226</t>
  </si>
  <si>
    <t>3f9bd1d3-774d-4c70-859c-6876b494c763</t>
  </si>
  <si>
    <t>553c51ff-870d-4d8b-b81d-d3f6a6761432</t>
  </si>
  <si>
    <t>57.166.137.104</t>
  </si>
  <si>
    <t>22922caa-03f5-45ee-8deb-fa778f79e025</t>
  </si>
  <si>
    <t>2eb3f9de-50f5-4b12-8051-62b221289f89</t>
  </si>
  <si>
    <t>149.202.79.228</t>
  </si>
  <si>
    <t>77934cc9-65e3-4d02-b7a4-0e6978bcd07a</t>
  </si>
  <si>
    <t>63c272f8-932a-4294-aea2-cfc4967dcd02</t>
  </si>
  <si>
    <t>60.222.188.75</t>
  </si>
  <si>
    <t>b8e403ac-544a-4a3f-8ee0-e0a91720096d</t>
  </si>
  <si>
    <t>e36c430d-94c2-44b6-8cd4-d72946cfeae6</t>
  </si>
  <si>
    <t>231.245.47.253</t>
  </si>
  <si>
    <t>61137bf8-071c-4111-a855-0520e3f799e0</t>
  </si>
  <si>
    <t>914f6566-19a8-4f3d-b4da-8d6adcc20809</t>
  </si>
  <si>
    <t>47.235.94.90</t>
  </si>
  <si>
    <t>1061b322-66fd-476c-921f-41944d644fc2</t>
  </si>
  <si>
    <t>cf0a3d47-29c3-4642-ab00-7b7354a07bfe</t>
  </si>
  <si>
    <t>49.251.92.144</t>
  </si>
  <si>
    <t>f68faefb-629e-4e02-b2b5-f4a45f38687a</t>
  </si>
  <si>
    <t>f12771af-f220-45ad-925b-dc207ea9c6be</t>
  </si>
  <si>
    <t>6.158.83.90</t>
  </si>
  <si>
    <t>33dcf326-ea4c-4e34-b7bf-5394ba72831c</t>
  </si>
  <si>
    <t>20ac4e8d-39b9-47fa-8cc9-a05ca442d3ee</t>
  </si>
  <si>
    <t>210.201.96.35</t>
  </si>
  <si>
    <t>02bd4788-9af8-4d20-ac4e-1bae9808bdcc</t>
  </si>
  <si>
    <t>d1dc8f05-7690-4bf4-8859-0af9bf03c911</t>
  </si>
  <si>
    <t>37.36.218.125</t>
  </si>
  <si>
    <t>5f1b3d89-865c-434a-b54c-845bdd6dc4aa</t>
  </si>
  <si>
    <t>5c51ae58-5aa5-4451-a054-5313ca068985</t>
  </si>
  <si>
    <t>117.206.51.70</t>
  </si>
  <si>
    <t>5e8d66ac-acf0-44a7-93d5-9b59b33748f2</t>
  </si>
  <si>
    <t>4cf8851c-6b0b-4510-b5c1-cf91b28d70cf</t>
  </si>
  <si>
    <t>187.6.51.193</t>
  </si>
  <si>
    <t>5ed6aaf8-e9d5-479a-b9c9-f275efcc8e61</t>
  </si>
  <si>
    <t>5b2abfe7-ea8b-4f20-959f-ede08ea2cb1d</t>
  </si>
  <si>
    <t>99.10.56.6</t>
  </si>
  <si>
    <t>d8b8f0f5-9110-4efc-8cf0-e30715b013e0</t>
  </si>
  <si>
    <t>82eab8bc-3601-4dd9-9134-b00ad60c2b9c</t>
  </si>
  <si>
    <t>196.22.67.127</t>
  </si>
  <si>
    <t>95640ca5-3792-40bd-be3f-b47035a3f2e5</t>
  </si>
  <si>
    <t>2a2f6a3e-730c-4a1f-a4db-4d6b6df8446f</t>
  </si>
  <si>
    <t>198.42.137.73</t>
  </si>
  <si>
    <t>62b95d20-77f2-4d34-a207-f62350b63b53</t>
  </si>
  <si>
    <t>d8865086-be58-4ba3-9758-f69759e94692</t>
  </si>
  <si>
    <t>241.6.4.54</t>
  </si>
  <si>
    <t>6f5afd22-8732-4439-a9f0-fe8a5a7cc757</t>
  </si>
  <si>
    <t>c59ccd4d-99d3-4094-a7b5-9b4d8f3323d5</t>
  </si>
  <si>
    <t>139.173.43.103</t>
  </si>
  <si>
    <t>9da3de95-dd3e-46f1-b1c8-f9da5cfd164b</t>
  </si>
  <si>
    <t>e0c8b1e9-7b98-4c0e-b906-ef48d3ddb895</t>
  </si>
  <si>
    <t>36.245.227.83</t>
  </si>
  <si>
    <t>4b691f64-e24a-42f3-b5e2-526b9caa8bf7</t>
  </si>
  <si>
    <t>b9b86e68-2c06-4ab7-941e-0c63cc26b444</t>
  </si>
  <si>
    <t>79.169.245.79</t>
  </si>
  <si>
    <t>aff8ad95-d068-436d-9150-ac4c0e0adf14</t>
  </si>
  <si>
    <t>df07cc1e-51ac-4ffb-8082-0a5595cc23d2</t>
  </si>
  <si>
    <t>63.28.136.63</t>
  </si>
  <si>
    <t>b2e82037-5fda-4f7f-a8ce-8f6653137b37</t>
  </si>
  <si>
    <t>bc40e81d-f9f5-4a5f-9f4a-27c99a1339ce</t>
  </si>
  <si>
    <t>6.22.52.151</t>
  </si>
  <si>
    <t>e129b8f8-2f1e-456d-8954-0be95d0516ec</t>
  </si>
  <si>
    <t>de482fd5-fb99-4ba6-861c-dbbc562b4490</t>
  </si>
  <si>
    <t>27.212.72.0</t>
  </si>
  <si>
    <t>54500796-3526-4ad5-b045-9e9831f3bb74</t>
  </si>
  <si>
    <t>94c6bce4-5cb5-471c-80dd-c83fe0108976</t>
  </si>
  <si>
    <t>234.114.12.116</t>
  </si>
  <si>
    <t>1431d07f-fd4d-4fde-b6c6-e1098d38097e</t>
  </si>
  <si>
    <t>6a3962f3-5444-4091-9e3a-ff4906a2a564</t>
  </si>
  <si>
    <t>110.197.75.180</t>
  </si>
  <si>
    <t>a1427678-984c-4ee5-ace3-4db5fe3bf3e2</t>
  </si>
  <si>
    <t>48a6793a-6c20-422e-b984-83b129017a53</t>
  </si>
  <si>
    <t>168.146.115.196</t>
  </si>
  <si>
    <t>57202aac-847b-4073-8574-0f338342d7b9</t>
  </si>
  <si>
    <t>8e152115-3da7-4f2c-b244-3208d47acfb5</t>
  </si>
  <si>
    <t>176.57.251.86</t>
  </si>
  <si>
    <t>3e4da178-ebd5-42fd-92c1-66c4955afc9f</t>
  </si>
  <si>
    <t>5158d4b9-85ab-4613-9855-631ccb41a0e5</t>
  </si>
  <si>
    <t>254.56.114.52</t>
  </si>
  <si>
    <t>c393b025-82ea-4409-a7a2-c7dd97c40b36</t>
  </si>
  <si>
    <t>e7c1fcfe-9307-40ac-b967-0bbb2b50b86c</t>
  </si>
  <si>
    <t>245.144.182.39</t>
  </si>
  <si>
    <t>933b5990-4411-4be9-9c79-74abf5b817eb</t>
  </si>
  <si>
    <t>3c72912e-58bf-4cc1-8d04-3073f291bdd2</t>
  </si>
  <si>
    <t>158.170.60.184</t>
  </si>
  <si>
    <t>adcfbaa1-5184-4ebc-bb6f-1b7e81183161</t>
  </si>
  <si>
    <t>199d4e50-58ff-4a74-adb4-164ae5272f08</t>
  </si>
  <si>
    <t>237.43.22.77</t>
  </si>
  <si>
    <t>cd28c84b-dbd9-44da-8138-046c8b0d408e</t>
  </si>
  <si>
    <t>b012c36c-4eb0-4836-80bb-32c2d12f5242</t>
  </si>
  <si>
    <t>46.219.171.92</t>
  </si>
  <si>
    <t>c9d5842c-2440-42bd-b168-2984f54e67bd</t>
  </si>
  <si>
    <t>1b680ed6-795f-4d5d-a202-49229c2bcdc1</t>
  </si>
  <si>
    <t>174.217.76.154</t>
  </si>
  <si>
    <t>6033690f-f562-4dd3-8970-83b40ebdb281</t>
  </si>
  <si>
    <t>affcc764-d79e-45da-9c69-59453ff3efcc</t>
  </si>
  <si>
    <t>160.146.178.53</t>
  </si>
  <si>
    <t>829af373-5e82-4c2f-a679-4f9642e34c03</t>
  </si>
  <si>
    <t>04ade18d-622e-45db-a522-3e761fc5f905</t>
  </si>
  <si>
    <t>70.255.188.135</t>
  </si>
  <si>
    <t>e6a759cf-c800-442f-a164-34c421055d93</t>
  </si>
  <si>
    <t>e229ccaf-ae17-4dc9-8014-499a7142d906</t>
  </si>
  <si>
    <t>208.39.1.76</t>
  </si>
  <si>
    <t>6b43535f-c2ce-4dd7-9aa1-cfbe86c355f5</t>
  </si>
  <si>
    <t>dec6b01f-6975-4c86-ab41-be8cab9d3390</t>
  </si>
  <si>
    <t>200.75.163.75</t>
  </si>
  <si>
    <t>ea43d8ad-e5ce-4655-9ed5-68d484be3fb2</t>
  </si>
  <si>
    <t>330cef7d-e997-4e38-aa6d-13761ac33a05</t>
  </si>
  <si>
    <t>100.228.244.34</t>
  </si>
  <si>
    <t>48cc1625-efac-4cea-b2b5-ea7820e9a440</t>
  </si>
  <si>
    <t>fbbf44d3-000e-4248-a8f4-beda06b232c7</t>
  </si>
  <si>
    <t>29.218.142.74</t>
  </si>
  <si>
    <t>af0f2677-c049-4690-8a9d-5817764e93c2</t>
  </si>
  <si>
    <t>752ae55d-20ff-492c-b053-7ce28f726972</t>
  </si>
  <si>
    <t>24.165.65.93</t>
  </si>
  <si>
    <t>14b616f0-a7ab-4e88-8bf0-43ba09442b1c</t>
  </si>
  <si>
    <t>2b7dad1d-f6c3-421b-a0bc-00016b51920b</t>
  </si>
  <si>
    <t>197.197.180.163</t>
  </si>
  <si>
    <t>e2ae2a5b-3c8c-4641-9d2f-0fd6c24792d4</t>
  </si>
  <si>
    <t>227dfaaa-a2f6-4cde-a8ac-b7776fe47764</t>
  </si>
  <si>
    <t>127.217.246.211</t>
  </si>
  <si>
    <t>3571d7db-2280-4062-ae3f-a205cc180190</t>
  </si>
  <si>
    <t>73070748-0a61-4200-9218-b67fde781fd3</t>
  </si>
  <si>
    <t>155.170.70.125</t>
  </si>
  <si>
    <t>2e4bb8b2-f745-430a-848d-619dbe69e0f1</t>
  </si>
  <si>
    <t>65b29f27-8500-4d17-9fb1-430e01b1a3c8</t>
  </si>
  <si>
    <t>99.214.254.252</t>
  </si>
  <si>
    <t>57835bda-194c-4e14-8bc3-043fcd6a49f0</t>
  </si>
  <si>
    <t>0e76c94f-4224-498d-8e43-24c9a2014b01</t>
  </si>
  <si>
    <t>137.117.196.42</t>
  </si>
  <si>
    <t>5f3759c8-8f8b-43f9-9cb0-174fa9358afa</t>
  </si>
  <si>
    <t>e2140a88-e80b-4d33-94c1-a9506ff1faf9</t>
  </si>
  <si>
    <t>149.215.112.44</t>
  </si>
  <si>
    <t>cc5ba302-3f8f-4f15-81e7-5dd5c7a4d8b2</t>
  </si>
  <si>
    <t>ea23b3c8-d30d-4ed9-84cf-019bbfbb94ef</t>
  </si>
  <si>
    <t>61.185.1.104</t>
  </si>
  <si>
    <t>d908ab87-feae-433b-b3c1-4c9411786f56</t>
  </si>
  <si>
    <t>e6396e37-6bc3-4354-8202-0480589992d3</t>
  </si>
  <si>
    <t>255.8.185.242</t>
  </si>
  <si>
    <t>6cd05b93-6084-4f25-91ed-bfe62bb9a9d9</t>
  </si>
  <si>
    <t>df4382f7-eb40-417f-bae6-1318ec514c10</t>
  </si>
  <si>
    <t>246.68.56.30</t>
  </si>
  <si>
    <t>d0990bae-673f-4331-b1ea-1d4580815637</t>
  </si>
  <si>
    <t>d2ac6429-2c8c-4c59-849b-8819d28d4525</t>
  </si>
  <si>
    <t>234.178.184.71</t>
  </si>
  <si>
    <t>e2a5a714-3ff4-41f2-9364-1d955a473c75</t>
  </si>
  <si>
    <t>096bb347-7f25-4579-b53f-4053439ac057</t>
  </si>
  <si>
    <t>76.235.73.215</t>
  </si>
  <si>
    <t>1a2852aa-6a47-4753-af88-7d0783628c00</t>
  </si>
  <si>
    <t>8325bd32-a595-410f-8b18-4994e252a96e</t>
  </si>
  <si>
    <t>63.107.114.28</t>
  </si>
  <si>
    <t>cc80c5a8-4a64-4dd4-8280-7aa6aa384eb7</t>
  </si>
  <si>
    <t>89d1ad82-264a-4601-a4ee-d55ef0a268c3</t>
  </si>
  <si>
    <t>192.70.60.73</t>
  </si>
  <si>
    <t>b4b08adf-75fa-45b8-8d55-74a8edcea540</t>
  </si>
  <si>
    <t>7b8ad07b-bb99-48d9-bc5d-6ab19914c8ab</t>
  </si>
  <si>
    <t>97.13.217.190</t>
  </si>
  <si>
    <t>2a1f9fc5-1c93-4c80-b9e3-8f62eb3e032f</t>
  </si>
  <si>
    <t>bae8c1a7-3c99-42c8-8816-fb1a7343b19b</t>
  </si>
  <si>
    <t>14.54.37.244</t>
  </si>
  <si>
    <t>23f32717-770e-495c-b741-d2af6915e0e2</t>
  </si>
  <si>
    <t>00eafe7e-7764-4574-ae39-777710290a61</t>
  </si>
  <si>
    <t>215.80.15.75</t>
  </si>
  <si>
    <t>856ee6a3-3326-4512-88cf-b85af1f3e2b9</t>
  </si>
  <si>
    <t>c1a4a2f2-bfb5-4e32-9439-4c9913f26079</t>
  </si>
  <si>
    <t>94.72.40.125</t>
  </si>
  <si>
    <t>b79c5eba-4751-443a-aaab-c7b8f7042efe</t>
  </si>
  <si>
    <t>f3d52db9-39c7-4cdd-acc2-2f611a8142f4</t>
  </si>
  <si>
    <t>20.6.213.76</t>
  </si>
  <si>
    <t>4e84d25a-f9a6-43b5-be91-9b13de79eba0</t>
  </si>
  <si>
    <t>aa0d8067-12c3-4ae4-944e-649c96a85e5a</t>
  </si>
  <si>
    <t>196.93.240.71</t>
  </si>
  <si>
    <t>57d23547-1b9a-46cd-bbc6-f8175068f1c6</t>
  </si>
  <si>
    <t>e46b9b28-e8f1-41d5-bc5b-0750b446f4ef</t>
  </si>
  <si>
    <t>192.153.240.210</t>
  </si>
  <si>
    <t>8470e421-7756-4c17-9a80-6e6f7b0ed609</t>
  </si>
  <si>
    <t>cf53cab3-7f3c-4f12-8614-59858f929dbd</t>
  </si>
  <si>
    <t>185.172.227.6</t>
  </si>
  <si>
    <t>d73b1714-af22-4c77-b5d8-cf4d27d5d630</t>
  </si>
  <si>
    <t>0ba11ac6-da7b-4db7-a181-6124c5b3eb6c</t>
  </si>
  <si>
    <t>74.56.79.30</t>
  </si>
  <si>
    <t>50b67d21-e955-47d4-9abd-0d699b35279c</t>
  </si>
  <si>
    <t>a7ac288b-895a-4eaa-b932-eca1e65926be</t>
  </si>
  <si>
    <t>226.16.88.82</t>
  </si>
  <si>
    <t>784c25a0-e30d-43dc-a3fc-94731346fb01</t>
  </si>
  <si>
    <t>db9f9b26-2d6b-4bc9-8645-0bc7cb0628d2</t>
  </si>
  <si>
    <t>3.202.216.232</t>
  </si>
  <si>
    <t>a40dc1aa-b2e6-41e4-ad23-9ecf5ebc6f9a</t>
  </si>
  <si>
    <t>908e533c-92fe-4766-949e-cbff332e99c1</t>
  </si>
  <si>
    <t>142.132.156.116</t>
  </si>
  <si>
    <t>e4961ddb-566c-4bee-86b3-b37b11486342</t>
  </si>
  <si>
    <t>830face5-3423-493a-be09-7aac50b48995</t>
  </si>
  <si>
    <t>109.80.139.47</t>
  </si>
  <si>
    <t>51840519-68fa-4380-9149-1f10a66edb40</t>
  </si>
  <si>
    <t>43320e28-9b0f-42de-9dbb-19c00f0bf6b8</t>
  </si>
  <si>
    <t>134.193.64.108</t>
  </si>
  <si>
    <t>ddbcf006-e08d-4126-ae2b-0c3ee1945c40</t>
  </si>
  <si>
    <t>29d432ed-2820-4faf-929f-678682cb1cb1</t>
  </si>
  <si>
    <t>103.28.112.200</t>
  </si>
  <si>
    <t>26445cfd-0d2d-440d-9125-0bcf9d92ba3f</t>
  </si>
  <si>
    <t>28f123e2-e61d-4966-81b6-a11bf375acbc</t>
  </si>
  <si>
    <t>48.39.239.244</t>
  </si>
  <si>
    <t>a7986693-6703-4349-bc46-86dfe99dfcbc</t>
  </si>
  <si>
    <t>cd7875cb-73a8-4c8c-974d-a5bd8999957a</t>
  </si>
  <si>
    <t>81.207.194.84</t>
  </si>
  <si>
    <t>ca8d54cb-9c9b-4d2a-80e6-2c68158e281b</t>
  </si>
  <si>
    <t>f75d6624-e0f2-4a34-93eb-26029c78dffe</t>
  </si>
  <si>
    <t>14.190.217.99</t>
  </si>
  <si>
    <t>bae6e5fd-d3d2-4874-b577-6df43a0beb95</t>
  </si>
  <si>
    <t>14af8253-10d4-44f3-a982-6e92de39273a</t>
  </si>
  <si>
    <t>70.55.53.39</t>
  </si>
  <si>
    <t>2f8f36ba-a135-4c94-aab8-66a5e390affe</t>
  </si>
  <si>
    <t>a7196dab-90ca-4899-b434-054b2d5609ad</t>
  </si>
  <si>
    <t>93.171.14.122</t>
  </si>
  <si>
    <t>74158f6c-e007-4cb7-ab45-83353c0d5135</t>
  </si>
  <si>
    <t>340b9900-0a5d-4bbc-9f52-c716a5876c8c</t>
  </si>
  <si>
    <t>73.83.54.33</t>
  </si>
  <si>
    <t>5402e077-9900-46d9-8788-8f2cee078653</t>
  </si>
  <si>
    <t>0c39fb10-1e0a-4e3a-8a0a-2330f567d169</t>
  </si>
  <si>
    <t>55.5.158.96</t>
  </si>
  <si>
    <t>62328fe6-7856-403e-a9e2-78cf767cd805</t>
  </si>
  <si>
    <t>2598a80b-fdef-4481-9b9e-40d181c662f0</t>
  </si>
  <si>
    <t>142.103.16.123</t>
  </si>
  <si>
    <t>6d9fde71-9315-4075-b67d-210e034bd143</t>
  </si>
  <si>
    <t>319390d8-6e00-4054-8a9c-0bf91090a54a</t>
  </si>
  <si>
    <t>69.43.22.247</t>
  </si>
  <si>
    <t>1556af9c-270a-4727-930d-5a9620d6527a</t>
  </si>
  <si>
    <t>c2405763-256f-45d3-8af5-21326fc7b34e</t>
  </si>
  <si>
    <t>12.24.161.47</t>
  </si>
  <si>
    <t>79bf6866-d4de-4bb7-9f07-361d19774209</t>
  </si>
  <si>
    <t>12a3030a-4eca-4b33-8df1-13c127283e39</t>
  </si>
  <si>
    <t>242.158.4.182</t>
  </si>
  <si>
    <t>378428a6-460f-4594-b417-3fd88c0bd93e</t>
  </si>
  <si>
    <t>f7aefb53-8ece-455f-bce0-e773ca09b753</t>
  </si>
  <si>
    <t>193.144.203.99</t>
  </si>
  <si>
    <t>2302cd5b-0b69-435f-83a6-d753246144c5</t>
  </si>
  <si>
    <t>52b5e873-e7a6-4f79-93fa-f00aa0d0cf27</t>
  </si>
  <si>
    <t>81.200.182.66</t>
  </si>
  <si>
    <t>9a2697b0-b7d3-40fe-ac28-fa57c1a39be0</t>
  </si>
  <si>
    <t>2eb23b57-cc2b-4a2d-9020-9a4f188512ce</t>
  </si>
  <si>
    <t>180.49.169.208</t>
  </si>
  <si>
    <t>3e0c9c2f-7668-4faa-a346-3e6369d85377</t>
  </si>
  <si>
    <t>2d0f7233-2726-4260-a214-e5b36fd5e4e7</t>
  </si>
  <si>
    <t>230.51.76.12</t>
  </si>
  <si>
    <t>640b744d-d300-4ac6-b20a-46d96909c004</t>
  </si>
  <si>
    <t>c65fa13f-92e1-4b57-beb9-69e66bf6aedb</t>
  </si>
  <si>
    <t>151.195.244.19</t>
  </si>
  <si>
    <t>dbb42cae-a085-4469-8dc1-d35cd13d80a1</t>
  </si>
  <si>
    <t>f18297ef-4ac0-4f6f-9980-05f1f212d7e6</t>
  </si>
  <si>
    <t>75.82.77.237</t>
  </si>
  <si>
    <t>611e189c-9b97-4b6f-a62a-7c4ff6f9308e</t>
  </si>
  <si>
    <t>b9eba1cd-1e5c-4b6d-b910-392dbb69add9</t>
  </si>
  <si>
    <t>21.47.118.110</t>
  </si>
  <si>
    <t>bcb28fd7-75f7-4d55-9612-2fc0f23de967</t>
  </si>
  <si>
    <t>fc69c321-4d93-498a-8eb5-e54c9906f3c3</t>
  </si>
  <si>
    <t>207.72.82.174</t>
  </si>
  <si>
    <t>8883c30c-4d8a-4ce4-a136-8023f506f6ca</t>
  </si>
  <si>
    <t>4c156941-a27f-4914-a68b-d858f69a7436</t>
  </si>
  <si>
    <t>115.67.173.148</t>
  </si>
  <si>
    <t>01affc75-75a9-47ac-86af-9c2009100f72</t>
  </si>
  <si>
    <t>116557ab-1d6c-4abc-9141-8b4feebd1bf3</t>
  </si>
  <si>
    <t>93.220.20.198</t>
  </si>
  <si>
    <t>ad6fd1ed-5eaa-4319-89b8-afd84bb5d006</t>
  </si>
  <si>
    <t>784d7e34-7dee-4f94-b009-488e1c80eb78</t>
  </si>
  <si>
    <t>62.106.38.78</t>
  </si>
  <si>
    <t>6b2b3a60-6810-4a37-9cf5-e7fec5351928</t>
  </si>
  <si>
    <t>54b89c05-eff5-417c-88e7-837da2142e77</t>
  </si>
  <si>
    <t>146.254.49.7</t>
  </si>
  <si>
    <t>153f7afc-ee5d-4b82-9036-39f2d944b765</t>
  </si>
  <si>
    <t>587a32b3-5489-4eb7-9014-9092e784d4b1</t>
  </si>
  <si>
    <t>37.158.44.255</t>
  </si>
  <si>
    <t>ffd209b1-0174-4a52-9cc7-25ab2984b34c</t>
  </si>
  <si>
    <t>fb32d05f-56d9-43f9-9cff-84a9c706f6fb</t>
  </si>
  <si>
    <t>25.232.160.86</t>
  </si>
  <si>
    <t>88ba124d-edd5-4786-8896-8e19b828ec10</t>
  </si>
  <si>
    <t>4cb7505a-6e87-4e88-a5c4-212dfab507ca</t>
  </si>
  <si>
    <t>240.151.82.34</t>
  </si>
  <si>
    <t>46e253c2-6431-4d70-af66-de0a5207cadf</t>
  </si>
  <si>
    <t>5099feae-8e48-48e7-9b86-84edb88140f5</t>
  </si>
  <si>
    <t>72.186.180.45</t>
  </si>
  <si>
    <t>4d7e0582-e931-43b3-bc75-07a23a35c7e2</t>
  </si>
  <si>
    <t>7d5304ae-efe2-42d9-af6b-f4f8c7b6633a</t>
  </si>
  <si>
    <t>19.91.235.132</t>
  </si>
  <si>
    <t>0649ef1f-56fc-4abe-9e68-e5d0a661b4bb</t>
  </si>
  <si>
    <t>b2861d40-58f7-4920-9f2c-caeeecce078c</t>
  </si>
  <si>
    <t>253.242.131.226</t>
  </si>
  <si>
    <t>4c4119ae-0513-49af-9aa2-03dbcbbcc388</t>
  </si>
  <si>
    <t>2c5f95be-8ca8-4823-a1b5-a7efeef7d76c</t>
  </si>
  <si>
    <t>167.71.63.249</t>
  </si>
  <si>
    <t>06e0d12c-500f-4f34-a445-843ed2a5c5df</t>
  </si>
  <si>
    <t>f193c371-9e21-45b1-b6f1-4a707007a230</t>
  </si>
  <si>
    <t>11.186.146.205</t>
  </si>
  <si>
    <t>008324a5-81e0-4f89-8dc7-a868972a839e</t>
  </si>
  <si>
    <t>4494c23b-be4f-4221-bfe5-0187107f78c7</t>
  </si>
  <si>
    <t>105.66.225.187</t>
  </si>
  <si>
    <t>a6ca0951-e7a6-4319-a27d-14096a238f8c</t>
  </si>
  <si>
    <t>e22d1e2c-c259-4b67-a2b2-72cb9e941455</t>
  </si>
  <si>
    <t>132.160.191.42</t>
  </si>
  <si>
    <t>1f3b090c-b769-41f1-8b2f-2a4a72091aa2</t>
  </si>
  <si>
    <t>041a97c3-0a23-4251-9cd4-ba79c81bb3ec</t>
  </si>
  <si>
    <t>175.211.230.134</t>
  </si>
  <si>
    <t>fa25f843-bdad-465d-b31f-2d91b6d1d0f1</t>
  </si>
  <si>
    <t>fb678962-4102-46f5-854f-cc2e47f72ab6</t>
  </si>
  <si>
    <t>225.21.29.125</t>
  </si>
  <si>
    <t>1a211da7-c973-404a-96ec-5a2a4ba14c21</t>
  </si>
  <si>
    <t>5b2818d8-5169-47fb-a83c-f6b2be7826b0</t>
  </si>
  <si>
    <t>180.4.79.53</t>
  </si>
  <si>
    <t>ce167ed2-3f96-4d35-8228-5d2192dfb562</t>
  </si>
  <si>
    <t>7ecafb40-f541-4ad4-af78-d12553c1d852</t>
  </si>
  <si>
    <t>75.192.81.204</t>
  </si>
  <si>
    <t>ffefb6c5-f008-4a88-8472-89e7346ed127</t>
  </si>
  <si>
    <t>4ca2f3b4-b9c2-4992-9436-cc76814eaf2d</t>
  </si>
  <si>
    <t>219.37.114.198</t>
  </si>
  <si>
    <t>37740aef-c219-4a75-86de-279e0573dfaa</t>
  </si>
  <si>
    <t>59a71b59-6980-4958-86f2-617ae2c25f00</t>
  </si>
  <si>
    <t>224.236.47.178</t>
  </si>
  <si>
    <t>111b97f2-7961-415a-bd8f-a4e25f69ea80</t>
  </si>
  <si>
    <t>579b8ff9-f0e7-4fe1-a199-0de83346f8ac</t>
  </si>
  <si>
    <t>120.239.238.55</t>
  </si>
  <si>
    <t>cb8cd73b-966d-4b74-b4e4-4d911b3fb9cb</t>
  </si>
  <si>
    <t>99bd7862-7678-4fe0-bee1-81dc455eb688</t>
  </si>
  <si>
    <t>22.92.55.203</t>
  </si>
  <si>
    <t>8599a81e-650f-4480-8218-6bfed4055cfa</t>
  </si>
  <si>
    <t>7e80ba36-ff06-4cf8-b7f9-8f9986907360</t>
  </si>
  <si>
    <t>197.221.102.205</t>
  </si>
  <si>
    <t>43df0c9d-8500-42c6-8b72-7622efe0d5dd</t>
  </si>
  <si>
    <t>0d54e5d8-b47e-4fed-8629-539dfa5074db</t>
  </si>
  <si>
    <t>85.33.162.175</t>
  </si>
  <si>
    <t>f040386e-14aa-4c8d-88f3-9cb92716ea0e</t>
  </si>
  <si>
    <t>5462a45b-e17c-4f19-b261-b73dee57b93e</t>
  </si>
  <si>
    <t>155.248.108.243</t>
  </si>
  <si>
    <t>07bc453e-6ded-46bb-8973-3be1e54978e8</t>
  </si>
  <si>
    <t>a41297ec-5340-4a40-a8e3-cba6ecef4eb7</t>
  </si>
  <si>
    <t>30.142.232.19</t>
  </si>
  <si>
    <t>a652c985-95f2-444f-808e-91ac49827a89</t>
  </si>
  <si>
    <t>bae0e462-17c4-4a0e-9f16-02b99f37a726</t>
  </si>
  <si>
    <t>140.79.240.74</t>
  </si>
  <si>
    <t>303d2d7e-29da-4b45-ab6b-1b3f64dfa134</t>
  </si>
  <si>
    <t>3c3a9ad6-a19c-4082-83b0-f370d5d6b651</t>
  </si>
  <si>
    <t>164.109.163.16</t>
  </si>
  <si>
    <t>e5550cd7-9f89-44d2-b3d5-7cba8f0cf769</t>
  </si>
  <si>
    <t>990768c6-2e14-4ac4-8904-9c9af61ce594</t>
  </si>
  <si>
    <t>253.194.31.185</t>
  </si>
  <si>
    <t>cc5c7552-45db-443e-93e4-0190afc7421b</t>
  </si>
  <si>
    <t>8ea990df-6ab1-41ac-a645-c17e1cd1312a</t>
  </si>
  <si>
    <t>203.220.242.109</t>
  </si>
  <si>
    <t>6281cd8d-239b-439e-a49d-d2711cf06a50</t>
  </si>
  <si>
    <t>aea68ceb-f08a-4f3c-aa7e-13286753abf4</t>
  </si>
  <si>
    <t>14.108.11.216</t>
  </si>
  <si>
    <t>eeee8a31-a478-424c-a46f-ddcf7d4e7d69</t>
  </si>
  <si>
    <t>18e32320-1f35-4b53-9b18-d2161916bf3f</t>
  </si>
  <si>
    <t>70.129.90.42</t>
  </si>
  <si>
    <t>00c2f1bf-99d4-433d-a3fc-a4d4609b1f30</t>
  </si>
  <si>
    <t>ae63a6df-a9c1-431f-adec-27c9a2150957</t>
  </si>
  <si>
    <t>37.35.140.207</t>
  </si>
  <si>
    <t>34e34833-0535-4d26-a7d0-8279512afad6</t>
  </si>
  <si>
    <t>77a1bcef-7b92-448a-a8c0-a45079117d94</t>
  </si>
  <si>
    <t>21.152.231.214</t>
  </si>
  <si>
    <t>7e2ea837-3f68-46aa-87ba-df2195c59adc</t>
  </si>
  <si>
    <t>a0e12eb7-92bb-4880-9ac1-3ec2b6d69e1e</t>
  </si>
  <si>
    <t>135.109.132.94</t>
  </si>
  <si>
    <t>3175bf3c-3311-4329-b40d-a904c1309111</t>
  </si>
  <si>
    <t>890951e4-3023-42aa-bb80-6042b6918ba7</t>
  </si>
  <si>
    <t>213.27.47.219</t>
  </si>
  <si>
    <t>36463c71-f988-40d9-930b-7d183c64daba</t>
  </si>
  <si>
    <t>a2af6831-0470-4ae9-937a-a5e4d9815255</t>
  </si>
  <si>
    <t>88.152.84.101</t>
  </si>
  <si>
    <t>3dc2f207-77d8-4bb1-9135-4408d3af0d6f</t>
  </si>
  <si>
    <t>926e99c2-0eb1-4d70-90b3-4ae0a18b78d8</t>
  </si>
  <si>
    <t>90.214.246.243</t>
  </si>
  <si>
    <t>21e12f93-b2b8-424b-bd73-c8c5fbcc4248</t>
  </si>
  <si>
    <t>63d695eb-d9bd-47a5-85c8-070cca06fcb4</t>
  </si>
  <si>
    <t>138.82.223.181</t>
  </si>
  <si>
    <t>5a3b7063-3f79-4964-b73f-f1564a9bf447</t>
  </si>
  <si>
    <t>6a5fe1d3-2d7e-4587-9748-b4c57aa8e617</t>
  </si>
  <si>
    <t>234.199.5.101</t>
  </si>
  <si>
    <t>8b1492ae-bd3a-4197-acc3-2f7b7f72ea69</t>
  </si>
  <si>
    <t>f0696f51-2266-4446-83c6-ae59273940db</t>
  </si>
  <si>
    <t>20.74.165.162</t>
  </si>
  <si>
    <t>45ed8e9b-1b5f-4fb0-97e0-9a8683ee87fd</t>
  </si>
  <si>
    <t>e98b83db-8f5b-45ea-8d73-5dc7cec68d94</t>
  </si>
  <si>
    <t>4.77.234.75</t>
  </si>
  <si>
    <t>7bedd398-0e0e-4db9-a19c-16ca5b75aac7</t>
  </si>
  <si>
    <t>eb5c3495-eef2-438b-b65d-26fd3df72e8f</t>
  </si>
  <si>
    <t>128.162.58.208</t>
  </si>
  <si>
    <t>5c616c88-6698-4ff6-bce2-9a1ef29cb9a1</t>
  </si>
  <si>
    <t>ce04f8ba-4389-4ca2-85c7-b51ad88e4ffb</t>
  </si>
  <si>
    <t>68.1.230.64</t>
  </si>
  <si>
    <t>70826bd6-62cf-4f1e-9d1a-8b7dcdccdfef</t>
  </si>
  <si>
    <t>ad3d0dfc-4f3c-43b4-a389-9b0e8d9acd1a</t>
  </si>
  <si>
    <t>163.230.49.18</t>
  </si>
  <si>
    <t>172268c8-f3ea-4bf3-a106-390d339075f6</t>
  </si>
  <si>
    <t>c156d813-56ae-4782-ba71-f28e66546cec</t>
  </si>
  <si>
    <t>56.96.215.85</t>
  </si>
  <si>
    <t>0fb79fe9-36fb-4862-aeb9-8174cf5781fa</t>
  </si>
  <si>
    <t>feb68fc1-0070-4acc-a6bd-4e581d3cc6b4</t>
  </si>
  <si>
    <t>154.193.110.178</t>
  </si>
  <si>
    <t>bb01f3e2-9d2c-42df-a255-0176de16136e</t>
  </si>
  <si>
    <t>58ba3332-7559-4580-bb1d-5fc47947d2f4</t>
  </si>
  <si>
    <t>54.97.7.189</t>
  </si>
  <si>
    <t>d26eb5e2-7d65-4bcc-8879-788fbe2c08bb</t>
  </si>
  <si>
    <t>7ee23bde-ac2e-4c24-8e4e-377ef92d9613</t>
  </si>
  <si>
    <t>209.186.8.154</t>
  </si>
  <si>
    <t>8d88c835-3363-4a7c-beca-518156fb2460</t>
  </si>
  <si>
    <t>ae500bdd-1fb8-42b2-8039-7eb3a586403c</t>
  </si>
  <si>
    <t>230.157.63.255</t>
  </si>
  <si>
    <t>d1683e46-0049-4df7-9b55-461efa320908</t>
  </si>
  <si>
    <t>21318fd8-9115-437b-86a1-41a85a97768f</t>
  </si>
  <si>
    <t>167.233.211.210</t>
  </si>
  <si>
    <t>6ab47eb6-4c93-410d-9b40-f28392d9d9ca</t>
  </si>
  <si>
    <t>ed94515d-9640-4178-9d2d-da9adf814818</t>
  </si>
  <si>
    <t>91.180.218.171</t>
  </si>
  <si>
    <t>82d5165e-2782-4ff3-b253-6712234b0fa0</t>
  </si>
  <si>
    <t>2755cf6e-28dc-4f08-b63a-2be89de8bd80</t>
  </si>
  <si>
    <t>30.90.234.219</t>
  </si>
  <si>
    <t>83304f89-5be5-45f1-92d7-580c7644377e</t>
  </si>
  <si>
    <t>ae048803-9b0d-44c4-b839-3a9e44ec3188</t>
  </si>
  <si>
    <t>96.90.83.223</t>
  </si>
  <si>
    <t>369a9df1-b3f7-4bd3-b340-d11d66cc8bc6</t>
  </si>
  <si>
    <t>f4e56512-adb0-484f-8450-f5a75bf6a342</t>
  </si>
  <si>
    <t>98.145.223.145</t>
  </si>
  <si>
    <t>ffb0b7f9-9521-42ca-a763-a7e62c50b420</t>
  </si>
  <si>
    <t>aa809630-6be3-44f2-a933-22699ba4e73a</t>
  </si>
  <si>
    <t>180.50.44.53</t>
  </si>
  <si>
    <t>9ca40dce-ba9a-4863-aa93-0a32671a4510</t>
  </si>
  <si>
    <t>83cf468a-fa9e-43eb-b8e7-a7668d814109</t>
  </si>
  <si>
    <t>23.8.210.53</t>
  </si>
  <si>
    <t>8d31562c-8ff8-40fd-89fa-0ad8861f2a9c</t>
  </si>
  <si>
    <t>cadee664-99ca-46fb-aa95-4b0c93a17826</t>
  </si>
  <si>
    <t>128.51.227.16</t>
  </si>
  <si>
    <t>c135894a-affe-46bb-af53-c3c3a54cf8ae</t>
  </si>
  <si>
    <t>fae7df7e-249b-4bae-9e90-287ee9209043</t>
  </si>
  <si>
    <t>171.148.215.108</t>
  </si>
  <si>
    <t>725c5f3d-4328-4104-bc96-ebd00576457a</t>
  </si>
  <si>
    <t>ea965d15-b8ec-4aac-9930-b4160740fa1f</t>
  </si>
  <si>
    <t>58.232.195.58</t>
  </si>
  <si>
    <t>317ec2be-03e1-4dd3-b040-5492e7d79a2e</t>
  </si>
  <si>
    <t>fd578125-3872-4001-b195-0c5d30dade97</t>
  </si>
  <si>
    <t>51.240.63.179</t>
  </si>
  <si>
    <t>8563911f-41d6-43c7-b784-bf465e0f6c8e</t>
  </si>
  <si>
    <t>8a62940a-8965-4f7d-b512-1c7c1c946fb4</t>
  </si>
  <si>
    <t>248.237.211.202</t>
  </si>
  <si>
    <t>38414850-a235-4fd7-9a78-1c2eac9bdeca</t>
  </si>
  <si>
    <t>f03c1c8a-12aa-453f-a3a9-a139ff70d2e4</t>
  </si>
  <si>
    <t>2.191.114.145</t>
  </si>
  <si>
    <t>8a9fcc65-fd60-4261-983d-1f30d98832c1</t>
  </si>
  <si>
    <t>98a02c90-8a4f-4a4f-898e-194665482650</t>
  </si>
  <si>
    <t>69.135.157.212</t>
  </si>
  <si>
    <t>127ceb73-6ee7-40a5-a9c8-8173f39c6473</t>
  </si>
  <si>
    <t>b25b2a69-cb91-497e-9d9f-89103fbdf172</t>
  </si>
  <si>
    <t>173.123.2.212</t>
  </si>
  <si>
    <t>66e7abe5-836b-4e0e-a914-4a85d6d9d75d</t>
  </si>
  <si>
    <t>dd068142-d206-434f-a507-dee13223cd73</t>
  </si>
  <si>
    <t>9.7.13.78</t>
  </si>
  <si>
    <t>c31ef0c8-0742-4554-9257-8fa30c66a14b</t>
  </si>
  <si>
    <t>9f5cdadc-181e-4232-84f5-66319984a586</t>
  </si>
  <si>
    <t>203.191.162.171</t>
  </si>
  <si>
    <t>afdea3af-5eec-4b80-be40-91e75a2820af</t>
  </si>
  <si>
    <t>2c93aeaf-2d0b-4017-b5c3-21edff9cd533</t>
  </si>
  <si>
    <t>44.220.123.200</t>
  </si>
  <si>
    <t>94779a97-0556-4ebd-a0d9-7991d35e963c</t>
  </si>
  <si>
    <t>a61945cb-7d0c-48e4-b6fb-17f6dd664375</t>
  </si>
  <si>
    <t>50.201.26.219</t>
  </si>
  <si>
    <t>91f947a0-8526-448b-9c39-d2aee7ae9753</t>
  </si>
  <si>
    <t>a47cc2f7-d616-4e83-aec5-290ab62b0baa</t>
  </si>
  <si>
    <t>33.199.88.206</t>
  </si>
  <si>
    <t>3cbc3316-0459-46e0-b81f-7ade177419d8</t>
  </si>
  <si>
    <t>711df6bc-3ca2-4476-b9a8-01a7ee198bd5</t>
  </si>
  <si>
    <t>232.162.81.223</t>
  </si>
  <si>
    <t>cf2157ae-e8ba-4825-82de-180b03617f89</t>
  </si>
  <si>
    <t>81a7f3f5-0cb8-4763-a00b-189e0f0498c9</t>
  </si>
  <si>
    <t>60.50.64.60</t>
  </si>
  <si>
    <t>1637e4b3-0355-4b21-a6fe-25eb63f7c246</t>
  </si>
  <si>
    <t>53a25222-9514-4c08-ad78-cb91fe0fbe21</t>
  </si>
  <si>
    <t>162.200.133.81</t>
  </si>
  <si>
    <t>6ba957cd-337a-45c4-a016-1cb4d8b11344</t>
  </si>
  <si>
    <t>369a7978-8fe9-44d0-813a-a1de9d6bc647</t>
  </si>
  <si>
    <t>243.165.104.47</t>
  </si>
  <si>
    <t>a7c2d628-dc7e-45b5-a287-2cbefd748ea5</t>
  </si>
  <si>
    <t>fe8061a0-94b9-4255-8b1f-e83a834d9876</t>
  </si>
  <si>
    <t>24.13.223.5</t>
  </si>
  <si>
    <t>837151a9-915d-408c-a7d4-0e467b011e6c</t>
  </si>
  <si>
    <t>baa7c3e1-9196-4864-a232-884fdc6aae82</t>
  </si>
  <si>
    <t>161.78.14.40</t>
  </si>
  <si>
    <t>ead74066-2c8a-4e26-a8e0-b883b540389c</t>
  </si>
  <si>
    <t>4028adb8-8d19-4f3d-8abf-536efae7760e</t>
  </si>
  <si>
    <t>147.195.12.66</t>
  </si>
  <si>
    <t>9d04fcfe-c048-4b55-a070-41e80eb344c2</t>
  </si>
  <si>
    <t>8e2136b6-bbf6-4bea-9e23-d40bc0c4a632</t>
  </si>
  <si>
    <t>252.232.183.95</t>
  </si>
  <si>
    <t>375f70aa-7d34-43c1-9cc7-aaa31a46e275</t>
  </si>
  <si>
    <t>a40846ed-fa87-4a0e-83de-7c868f28c94c</t>
  </si>
  <si>
    <t>62.113.152.99</t>
  </si>
  <si>
    <t>545d353e-e2a3-453a-9603-662f81046202</t>
  </si>
  <si>
    <t>9b179680-9789-4bdb-8686-2dbd3a94d52a</t>
  </si>
  <si>
    <t>138.125.193.133</t>
  </si>
  <si>
    <t>5e0b344d-568f-402d-bd84-9c3133060ab7</t>
  </si>
  <si>
    <t>d1a15c06-f581-43c7-9b07-b5931a0a9575</t>
  </si>
  <si>
    <t>169.26.140.42</t>
  </si>
  <si>
    <t>5d6ae6ee-9761-4fc5-91af-d268ec78d5f6</t>
  </si>
  <si>
    <t>9c0e5252-cfa1-4fb3-a5eb-29dc9da4f76a</t>
  </si>
  <si>
    <t>240.73.11.52</t>
  </si>
  <si>
    <t>1778d1bd-9f8e-4326-9db0-45b2ecd2d1fc</t>
  </si>
  <si>
    <t>9bcae7fb-5cee-4f2f-aa50-afd087f3777a</t>
  </si>
  <si>
    <t>29.235.62.54</t>
  </si>
  <si>
    <t>6ba2b480-00ff-42aa-978e-8b950fb3ecd3</t>
  </si>
  <si>
    <t>add9e507-631f-4e3c-853c-79033443738a</t>
  </si>
  <si>
    <t>37.144.134.92</t>
  </si>
  <si>
    <t>ff23c7b6-9169-4429-9b2c-4325c03b82da</t>
  </si>
  <si>
    <t>7ade12db-7eb9-4b95-8681-b6adbcb154c7</t>
  </si>
  <si>
    <t>24.39.253.185</t>
  </si>
  <si>
    <t>7912f2a7-5a61-4534-8f84-5ae04c42600a</t>
  </si>
  <si>
    <t>ec73d93d-3e16-4841-aead-4bbd95c7ba9a</t>
  </si>
  <si>
    <t>234.106.200.51</t>
  </si>
  <si>
    <t>17eb0b5f-9599-4104-926b-4bbbf6cc8402</t>
  </si>
  <si>
    <t>037f61e4-27c7-4ffc-ad8e-75c941e4d8ae</t>
  </si>
  <si>
    <t>126.11.211.37</t>
  </si>
  <si>
    <t>03aebb03-302f-4908-8ae1-5fafc7857381</t>
  </si>
  <si>
    <t>078c1475-3366-4f87-82aa-e57d38492463</t>
  </si>
  <si>
    <t>125.39.107.214</t>
  </si>
  <si>
    <t>cc1206ac-582a-4d16-b63c-d64a612f0dff</t>
  </si>
  <si>
    <t>7d308c2f-a4e9-4a43-b22c-a9cd558ba1cf</t>
  </si>
  <si>
    <t>97.160.230.82</t>
  </si>
  <si>
    <t>5d72cc6a-7413-46da-9cf9-7d86e7d03306</t>
  </si>
  <si>
    <t>2ea2c751-d59e-4f9c-a6dc-6af59bfd83bb</t>
  </si>
  <si>
    <t>47.152.5.91</t>
  </si>
  <si>
    <t>365717d5-38d2-448a-a996-921be75c66ba</t>
  </si>
  <si>
    <t>fd897d6a-07f3-4618-8397-11104fd5f24a</t>
  </si>
  <si>
    <t>169.16.60.175</t>
  </si>
  <si>
    <t>f9821249-fdbb-4b48-afe0-8fdcd2674b3a</t>
  </si>
  <si>
    <t>0db7f86d-47cc-4b90-b033-01fae77a4558</t>
  </si>
  <si>
    <t>255.177.247.2</t>
  </si>
  <si>
    <t>fb082aac-953c-4c03-b9bd-6cb2698a4d5c</t>
  </si>
  <si>
    <t>f40f886e-271b-4116-8ee0-a41414e06d5f</t>
  </si>
  <si>
    <t>41.130.62.98</t>
  </si>
  <si>
    <t>78799e27-3255-4a90-ab03-3b1e4c4db458</t>
  </si>
  <si>
    <t>fe8e8f04-7d7a-4c95-9a02-41fd859547ac</t>
  </si>
  <si>
    <t>156.15.11.78</t>
  </si>
  <si>
    <t>cf9be925-7c91-4297-9d68-6976ddf30acf</t>
  </si>
  <si>
    <t>a8e3d074-712b-4211-85e9-f95c30d9ba5b</t>
  </si>
  <si>
    <t>56.186.58.111</t>
  </si>
  <si>
    <t>66078a23-afaf-4616-88aa-b766d91457bf</t>
  </si>
  <si>
    <t>5512dacb-fa79-4789-9773-ae0afdbed8dc</t>
  </si>
  <si>
    <t>8.167.70.112</t>
  </si>
  <si>
    <t>cece4e44-4a7f-43ba-b37e-05783173ac8c</t>
  </si>
  <si>
    <t>cd72b982-d0fb-4bba-9fdd-998a05fd221b</t>
  </si>
  <si>
    <t>22.64.137.140</t>
  </si>
  <si>
    <t>ae70bead-90a2-440f-9c47-da7078561655</t>
  </si>
  <si>
    <t>4a6ea917-39ed-4eee-a8ad-c06128518e07</t>
  </si>
  <si>
    <t>124.102.47.178</t>
  </si>
  <si>
    <t>e5148f55-0afc-4e26-99d0-cd34013297e3</t>
  </si>
  <si>
    <t>0b80ae33-ae60-4465-94e9-d8373b8a9fe6</t>
  </si>
  <si>
    <t>182.150.239.253</t>
  </si>
  <si>
    <t>8ba4973b-12f8-46e1-b416-a7cd42be7887</t>
  </si>
  <si>
    <t>93a658be-29d1-4d98-831d-85edad668766</t>
  </si>
  <si>
    <t>112.204.98.128</t>
  </si>
  <si>
    <t>1aafc670-f354-4b85-8520-c8d9209042f3</t>
  </si>
  <si>
    <t>235252b6-f827-44d4-a8cb-4da61016fad2</t>
  </si>
  <si>
    <t>45.101.143.201</t>
  </si>
  <si>
    <t>1ba0b3ce-6f6a-4c2d-8a43-c7c13d00867f</t>
  </si>
  <si>
    <t>be324da9-6626-4e45-bcfc-30f49517dfab</t>
  </si>
  <si>
    <t>27.159.84.105</t>
  </si>
  <si>
    <t>23a831a9-f5c2-4681-affe-5cd38095442e</t>
  </si>
  <si>
    <t>3d226af2-e4ec-4e6f-a688-ffdb7c29c63b</t>
  </si>
  <si>
    <t>245.249.221.228</t>
  </si>
  <si>
    <t>30fe087f-a16d-49c5-8132-8750d37013ac</t>
  </si>
  <si>
    <t>fba916a5-3b68-4cf5-93cb-25b230b4f20b</t>
  </si>
  <si>
    <t>109.139.163.55</t>
  </si>
  <si>
    <t>505f8847-a250-413b-a8fe-c9c94d5f13f2</t>
  </si>
  <si>
    <t>61e9cd50-a108-4734-ab55-74286b02bdf8</t>
  </si>
  <si>
    <t>156.196.219.102</t>
  </si>
  <si>
    <t>22a54241-290a-48ca-a3fa-c23e93271c4f</t>
  </si>
  <si>
    <t>b0bd44ef-fdb4-40fe-9593-0fadbc806a50</t>
  </si>
  <si>
    <t>146.180.191.32</t>
  </si>
  <si>
    <t>7f4b3ecd-2e5d-4774-aa73-7cec628dd247</t>
  </si>
  <si>
    <t>748e4111-db91-48af-a3fa-684118f8afb0</t>
  </si>
  <si>
    <t>116.85.17.129</t>
  </si>
  <si>
    <t>df838ee9-9998-4a83-bbc8-35518b1c00e9</t>
  </si>
  <si>
    <t>adda2e05-abe7-4095-9267-e336eb5067ff</t>
  </si>
  <si>
    <t>151.209.150.180</t>
  </si>
  <si>
    <t>4e0f02c1-aa55-460e-b4ec-2ea272dd7193</t>
  </si>
  <si>
    <t>15e37330-0040-49d4-b091-b9fc3ba5c559</t>
  </si>
  <si>
    <t>102.15.58.92</t>
  </si>
  <si>
    <t>07747720-b9ca-4726-af6c-1cc4f72f174e</t>
  </si>
  <si>
    <t>1f25d19e-7183-46f2-83a8-b4a3c5190b52</t>
  </si>
  <si>
    <t>208.165.219.95</t>
  </si>
  <si>
    <t>45c6e00b-c73a-4c74-bdee-b71d8377836c</t>
  </si>
  <si>
    <t>2f5dc2ca-8519-4c90-88fd-b91f783a484e</t>
  </si>
  <si>
    <t>92.125.37.110</t>
  </si>
  <si>
    <t>71a7da05-0aaf-43a4-b603-25cce0ff94eb</t>
  </si>
  <si>
    <t>33851f3f-7e2e-4335-883d-4a5b9c2f7fff</t>
  </si>
  <si>
    <t>169.190.190.74</t>
  </si>
  <si>
    <t>4404a4bf-334b-4c21-9c6a-949846274291</t>
  </si>
  <si>
    <t>c4606b3f-3812-465b-a687-76637021a77a</t>
  </si>
  <si>
    <t>200.160.62.4</t>
  </si>
  <si>
    <t>ace6182d-b215-4037-adc0-c24f8b812722</t>
  </si>
  <si>
    <t>bd8ff01f-cb53-46a5-be9c-463ecd5b802f</t>
  </si>
  <si>
    <t>82.5.168.109</t>
  </si>
  <si>
    <t>28299720-b308-49f2-94e4-fd7152fac746</t>
  </si>
  <si>
    <t>a244614c-3aba-4d50-9a02-17c1f5c7fd30</t>
  </si>
  <si>
    <t>120.164.119.33</t>
  </si>
  <si>
    <t>eacf8d4a-7119-40d5-ba17-83a0a92144a9</t>
  </si>
  <si>
    <t>cafb4e33-607e-4825-a4c6-dcda73d7a1ae</t>
  </si>
  <si>
    <t>99.145.108.111</t>
  </si>
  <si>
    <t>b5c45a40-0b67-45e0-89fc-73918733a104</t>
  </si>
  <si>
    <t>e68045e9-e765-45ef-b9a7-9b334b389af4</t>
  </si>
  <si>
    <t>27.142.38.215</t>
  </si>
  <si>
    <t>b57bfc74-f7fc-4b67-b680-1adffd2cf33b</t>
  </si>
  <si>
    <t>1763cca3-ae06-441d-b646-056b9a5dedcf</t>
  </si>
  <si>
    <t>175.222.162.163</t>
  </si>
  <si>
    <t>52009fa0-73d9-45d7-9bc6-86afca9640da</t>
  </si>
  <si>
    <t>47b71226-eb42-4cbb-9b7b-e29632153746</t>
  </si>
  <si>
    <t>51.100.25.252</t>
  </si>
  <si>
    <t>44a1cf61-18be-4b4c-8b73-df08a4e17fda</t>
  </si>
  <si>
    <t>b90de1f3-6a8e-4895-a7fb-1590c066ac4c</t>
  </si>
  <si>
    <t>128.23.140.215</t>
  </si>
  <si>
    <t>6a62fba2-5ed1-4211-9431-4d0dcb78d2cf</t>
  </si>
  <si>
    <t>7433546e-9068-4a7a-b585-57cc154a4c37</t>
  </si>
  <si>
    <t>31.63.231.87</t>
  </si>
  <si>
    <t>80414387-2bf3-4aee-bad8-d78e2b50f75c</t>
  </si>
  <si>
    <t>ea19b049-f6f9-490f-9c9b-e45271ed5b76</t>
  </si>
  <si>
    <t>154.167.196.121</t>
  </si>
  <si>
    <t>580eab68-69a7-4537-ae0f-87d5f1c911fd</t>
  </si>
  <si>
    <t>1f41da43-d9c9-4c67-a8b2-6f8bbbb59c89</t>
  </si>
  <si>
    <t>148.10.145.9</t>
  </si>
  <si>
    <t>607f4338-20ec-4adc-9662-79f4c3ee7f3a</t>
  </si>
  <si>
    <t>442b797d-c503-4acf-96e1-a8f6596dc2cb</t>
  </si>
  <si>
    <t>165.2.236.145</t>
  </si>
  <si>
    <t>7e566c78-b57d-4830-af2a-57f675bce4ff</t>
  </si>
  <si>
    <t>6cef985f-2ce7-4334-9c31-99d608ea12ad</t>
  </si>
  <si>
    <t>34.206.18.20</t>
  </si>
  <si>
    <t>ac9e27c8-cd67-4990-be3e-5075a01365ad</t>
  </si>
  <si>
    <t>8d31ee76-13cb-422e-ba09-fe4d0af0e822</t>
  </si>
  <si>
    <t>87.8.35.240</t>
  </si>
  <si>
    <t>53548b2b-baae-4308-a46d-021484f148e4</t>
  </si>
  <si>
    <t>e000b6f2-18aa-44e6-9979-cc2d8c3efe7c</t>
  </si>
  <si>
    <t>25.212.154.140</t>
  </si>
  <si>
    <t>e49ad7f5-3fca-45d4-8c7f-69edd7d80922</t>
  </si>
  <si>
    <t>c05bba53-1b5b-4a6d-9cae-0a3777a30df1</t>
  </si>
  <si>
    <t>82.177.204.40</t>
  </si>
  <si>
    <t>a3b3f0d6-187e-4d3d-86af-3501767edd76</t>
  </si>
  <si>
    <t>9818dc37-7248-41f0-a591-8936ec3b27e2</t>
  </si>
  <si>
    <t>143.160.252.24</t>
  </si>
  <si>
    <t>664e30e8-a88a-42f8-803a-4171cf021e46</t>
  </si>
  <si>
    <t>3bff2035-e330-4a35-a411-18357524b2dc</t>
  </si>
  <si>
    <t>101.152.232.252</t>
  </si>
  <si>
    <t>0287eebd-c2ad-415b-9e0e-c7cb515cdf41</t>
  </si>
  <si>
    <t>6274cc74-f685-4334-975d-a617e0596c06</t>
  </si>
  <si>
    <t>218.62.191.52</t>
  </si>
  <si>
    <t>59c4b6e2-6113-4fb9-8ca5-0c8684688fa7</t>
  </si>
  <si>
    <t>1c6c611f-902a-4cb1-97c3-bcdcb1040883</t>
  </si>
  <si>
    <t>8.114.24.5</t>
  </si>
  <si>
    <t>567da544-a106-48c4-8d9d-5f7ea016eca3</t>
  </si>
  <si>
    <t>40fadd6b-6bad-40f7-b3f6-bf2222787003</t>
  </si>
  <si>
    <t>36.53.165.223</t>
  </si>
  <si>
    <t>eeadc998-1249-42b8-8e5f-8d7788c1dea6</t>
  </si>
  <si>
    <t>165210ea-c401-4a41-a9ea-d6d216b60ee4</t>
  </si>
  <si>
    <t>58.87.45.97</t>
  </si>
  <si>
    <t>489d1729-87b5-4ff7-8dd0-e7c652d469c9</t>
  </si>
  <si>
    <t>02a6258f-6f4f-4475-9a8d-c793e9dac632</t>
  </si>
  <si>
    <t>186.188.2.26</t>
  </si>
  <si>
    <t>19d413c9-1024-44ee-86b6-b01950051e26</t>
  </si>
  <si>
    <t>a918f2f7-d782-4eaf-b0e8-d070a25c1cce</t>
  </si>
  <si>
    <t>67.22.56.24</t>
  </si>
  <si>
    <t>3435a074-8335-4b35-80a6-e793597219e0</t>
  </si>
  <si>
    <t>5da10e79-1c44-4433-9c34-13d9233c22af</t>
  </si>
  <si>
    <t>243.155.38.135</t>
  </si>
  <si>
    <t>d87267da-f3eb-4359-900c-c2b125d02be4</t>
  </si>
  <si>
    <t>4ce48e64-6f6c-4304-8f5b-4b3407cf395c</t>
  </si>
  <si>
    <t>85.194.138.87</t>
  </si>
  <si>
    <t>56c76bbe-2fdd-4e57-a32a-bd42a787cf52</t>
  </si>
  <si>
    <t>fbf89ac7-0cc1-4409-b454-9aaa21c819a2</t>
  </si>
  <si>
    <t>237.70.235.61</t>
  </si>
  <si>
    <t>e5b23c48-a9b9-4313-b58d-11c4b4703aca</t>
  </si>
  <si>
    <t>87ce1d99-fdfb-41d5-a2ff-797e8f2566b3</t>
  </si>
  <si>
    <t>33.163.75.211</t>
  </si>
  <si>
    <t>11edb59e-b51a-4fa1-8dd5-5b30f0a81444</t>
  </si>
  <si>
    <t>ff822472-f07a-49db-ab5a-3b7c1d5ef439</t>
  </si>
  <si>
    <t>164.228.62.123</t>
  </si>
  <si>
    <t>29896e6c-a604-4e58-a319-d7088136c02d</t>
  </si>
  <si>
    <t>04dbdc34-b4ef-494e-b3ae-0f50555b6d2b</t>
  </si>
  <si>
    <t>148.244.250.143</t>
  </si>
  <si>
    <t>b3bbd1ac-e7c4-4edc-9602-088aa5c4da71</t>
  </si>
  <si>
    <t>fd0b9687-2350-441e-a37c-605aa9117b06</t>
  </si>
  <si>
    <t>83.247.115.47</t>
  </si>
  <si>
    <t>4ffde9ef-2c8d-4109-9bcb-391a45d8183d</t>
  </si>
  <si>
    <t>e17db2a3-f428-4e03-ac9c-aa677cb6e5eb</t>
  </si>
  <si>
    <t>68.151.42.180</t>
  </si>
  <si>
    <t>64e82d12-d38e-47dc-837a-5bacf49a6dad</t>
  </si>
  <si>
    <t>0a51d202-5300-4751-8e13-9b8896526d62</t>
  </si>
  <si>
    <t>143.124.105.39</t>
  </si>
  <si>
    <t>91373c6e-6937-4197-a8af-8f004f7a6564</t>
  </si>
  <si>
    <t>2c33c4ec-d88b-4857-97cf-28ffdfbca9a1</t>
  </si>
  <si>
    <t>20.253.30.108</t>
  </si>
  <si>
    <t>4de2d213-8eec-4f03-b970-ced97bcf8d8c</t>
  </si>
  <si>
    <t>9560ceb7-d3d2-4d13-ae5d-507ff3409ad4</t>
  </si>
  <si>
    <t>4.110.239.197</t>
  </si>
  <si>
    <t>0ed700e4-8cde-4be9-97f2-9ef932423e80</t>
  </si>
  <si>
    <t>be5d882f-e903-4f23-9aeb-0e4b99b53a4a</t>
  </si>
  <si>
    <t>49.249.53.174</t>
  </si>
  <si>
    <t>c5f9fc82-2d05-4bcf-acc2-96e2804e927c</t>
  </si>
  <si>
    <t>1e3519b2-9807-4995-8890-e8ab07df8178</t>
  </si>
  <si>
    <t>54.160.159.232</t>
  </si>
  <si>
    <t>b6890f77-cd03-41d9-928f-4cced59c31db</t>
  </si>
  <si>
    <t>f3cb9747-87f9-47e5-9547-6cbc68ce5184</t>
  </si>
  <si>
    <t>168.78.54.66</t>
  </si>
  <si>
    <t>6744d1c1-9368-4b86-8982-f7b1b109823a</t>
  </si>
  <si>
    <t>9fd435f3-9003-46e1-a02e-bebc380997e7</t>
  </si>
  <si>
    <t>57.186.197.231</t>
  </si>
  <si>
    <t>7b6c3894-3af8-42f7-a34b-245a30898269</t>
  </si>
  <si>
    <t>120a4b7e-727e-4485-9055-95b0f3fc16f1</t>
  </si>
  <si>
    <t>223.103.204.96</t>
  </si>
  <si>
    <t>617ffcdc-7378-4c2e-8998-d3abef5a4970</t>
  </si>
  <si>
    <t>703467a9-1fe8-4611-8f6f-8fe1ba3050c5</t>
  </si>
  <si>
    <t>18.142.216.84</t>
  </si>
  <si>
    <t>11a4606e-ce07-4161-a5ac-248619dadf34</t>
  </si>
  <si>
    <t>39b45ec2-585b-473d-be82-408677b978f9</t>
  </si>
  <si>
    <t>176.157.52.75</t>
  </si>
  <si>
    <t>00c7d1ac-8184-42e6-af49-d2c03c93d1e1</t>
  </si>
  <si>
    <t>a5a857bd-24d7-402c-92a1-baaa459105c0</t>
  </si>
  <si>
    <t>119.54.56.123</t>
  </si>
  <si>
    <t>d797918d-d29e-45c5-8dff-18e8e2283293</t>
  </si>
  <si>
    <t>30c36cf7-9548-480e-986c-e8edcd0a315b</t>
  </si>
  <si>
    <t>5.235.95.136</t>
  </si>
  <si>
    <t>6c0b6abd-cbae-4140-9218-abcd6cc69f68</t>
  </si>
  <si>
    <t>b0aceb11-01ba-41c7-b636-bdef0ec57b14</t>
  </si>
  <si>
    <t>8.243.231.180</t>
  </si>
  <si>
    <t>e6c620f8-aa3c-48ba-8856-94fc50b154c2</t>
  </si>
  <si>
    <t>9c20c916-ab5c-4dd2-b013-696bf779ab48</t>
  </si>
  <si>
    <t>68.60.43.181</t>
  </si>
  <si>
    <t>d47db77b-24ab-4b02-a3c2-164931d4cb74</t>
  </si>
  <si>
    <t>105ba3e1-0667-490c-8def-cb834c50631d</t>
  </si>
  <si>
    <t>111.108.77.203</t>
  </si>
  <si>
    <t>fcee3381-c334-4c89-80f0-6cdda39151ce</t>
  </si>
  <si>
    <t>0f641f8c-1f75-49d8-9cc9-5572cfa109ad</t>
  </si>
  <si>
    <t>129.220.170.27</t>
  </si>
  <si>
    <t>e47460ff-2087-4b5d-be59-145f85fa544d</t>
  </si>
  <si>
    <t>6d12d531-af32-45c2-b6fe-1bd7230b0576</t>
  </si>
  <si>
    <t>113.139.189.50</t>
  </si>
  <si>
    <t>d612e3a4-c641-4880-933d-a0b5ce8cdfd9</t>
  </si>
  <si>
    <t>8d341640-1c21-4c0d-af41-8b7512b4fcf9</t>
  </si>
  <si>
    <t>13.195.216.99</t>
  </si>
  <si>
    <t>0f908ab8-1443-4346-b52c-332301441855</t>
  </si>
  <si>
    <t>68594430-8906-4659-b3d5-a018ca79003f</t>
  </si>
  <si>
    <t>76.96.206.90</t>
  </si>
  <si>
    <t>61c6580f-ef35-4696-92cc-c37f419debf9</t>
  </si>
  <si>
    <t>6a9c3d5f-ed08-44da-95d2-4de69eb9b576</t>
  </si>
  <si>
    <t>153.141.252.221</t>
  </si>
  <si>
    <t>d3b9d9a5-56cc-485c-8feb-c71ceba2ebd0</t>
  </si>
  <si>
    <t>25c1569a-1d46-4ab9-a664-9040856d3d25</t>
  </si>
  <si>
    <t>28.25.127.56</t>
  </si>
  <si>
    <t>768c573b-c49f-45d1-8d31-a9a21b0296f7</t>
  </si>
  <si>
    <t>765e804c-342e-4d3d-977e-b6acfc578332</t>
  </si>
  <si>
    <t>57.58.27.18</t>
  </si>
  <si>
    <t>19e4c2e0-be94-42c1-bbb9-19e46daa3f15</t>
  </si>
  <si>
    <t>86e4c27b-e31b-4bc2-8fa2-1d5f7cc41842</t>
  </si>
  <si>
    <t>148.136.122.33</t>
  </si>
  <si>
    <t>e35794bc-fd89-4522-8af3-8a8acda2f5ac</t>
  </si>
  <si>
    <t>b025e5a2-6588-4f52-af1c-be07b6f80a7e</t>
  </si>
  <si>
    <t>137.51.141.115</t>
  </si>
  <si>
    <t>a92cb5a4-938b-48fa-b6da-81e67fee3876</t>
  </si>
  <si>
    <t>61c6b09c-0bf5-4344-b608-86447e4a8bfc</t>
  </si>
  <si>
    <t>226.207.200.201</t>
  </si>
  <si>
    <t>570ad0a9-0dba-4f51-ad88-4ce5730bba91</t>
  </si>
  <si>
    <t>b9f11229-92b9-4014-8f2a-0b8d37fd8a8d</t>
  </si>
  <si>
    <t>26.112.137.253</t>
  </si>
  <si>
    <t>f2baaa7c-61f9-44be-883d-f10de83396df</t>
  </si>
  <si>
    <t>2288c5c8-9d78-4942-a3e7-3c479ab551ab</t>
  </si>
  <si>
    <t>53.87.104.177</t>
  </si>
  <si>
    <t>faa0d9b0-e41d-4da7-8a29-773368b09835</t>
  </si>
  <si>
    <t>fcd83b6a-f870-4106-ba6f-219d8b1cea42</t>
  </si>
  <si>
    <t>164.147.147.1</t>
  </si>
  <si>
    <t>3f67689c-79f6-4eca-9e32-ac19b9c4af2a</t>
  </si>
  <si>
    <t>074a07de-e1d9-4f40-bb3f-6596a6b6459f</t>
  </si>
  <si>
    <t>25.94.244.156</t>
  </si>
  <si>
    <t>2330cd10-882d-4222-b0c4-1d34e3f8e0f7</t>
  </si>
  <si>
    <t>f6fb3eec-1928-435c-8d86-26427dbda5a9</t>
  </si>
  <si>
    <t>219.122.87.161</t>
  </si>
  <si>
    <t>e7abc7e3-b666-4d54-9318-1f45a5117d2e</t>
  </si>
  <si>
    <t>47fcb4ef-cd78-472b-a032-e61ba9e33116</t>
  </si>
  <si>
    <t>175.35.85.95</t>
  </si>
  <si>
    <t>e1a56e0e-4a64-45f9-abd7-c59e29b900ef</t>
  </si>
  <si>
    <t>414a80d6-4c3e-4331-af77-72169ecae854</t>
  </si>
  <si>
    <t>86.233.72.6</t>
  </si>
  <si>
    <t>15d19d7b-b0b4-4b7a-bae9-46a0ba3edf03</t>
  </si>
  <si>
    <t>e59d39e2-db5a-49ea-8b54-1fc34ec47155</t>
  </si>
  <si>
    <t>171.242.219.171</t>
  </si>
  <si>
    <t>0128e22d-c369-4c10-a90a-1307e37661f7</t>
  </si>
  <si>
    <t>c71575fb-41c4-4ab7-874e-ec850f6bec6a</t>
  </si>
  <si>
    <t>6.90.135.39</t>
  </si>
  <si>
    <t>c2f350ec-5b39-4f69-a013-8545ab87c75c</t>
  </si>
  <si>
    <t>a1f74485-db6c-4840-a2eb-966d84005e82</t>
  </si>
  <si>
    <t>44.4.180.242</t>
  </si>
  <si>
    <t>f681c261-e07e-470a-b3d7-eed245c50fc7</t>
  </si>
  <si>
    <t>460a19d9-4a21-45b9-8152-2a60d1b8967e</t>
  </si>
  <si>
    <t>150.0.250.126</t>
  </si>
  <si>
    <t>e05a1219-fd01-46ea-abb7-a91aa58cf8e3</t>
  </si>
  <si>
    <t>af0119c9-1201-4344-9462-7eba254133ce</t>
  </si>
  <si>
    <t>121.56.23.8</t>
  </si>
  <si>
    <t>361058fc-db9a-4adf-9f0f-5a3a87be25ec</t>
  </si>
  <si>
    <t>dabdfdb1-4383-423f-9fdb-3cf2192b54a2</t>
  </si>
  <si>
    <t>146.148.116.85</t>
  </si>
  <si>
    <t>14486825-a410-4fd6-9838-7ef942780e84</t>
  </si>
  <si>
    <t>538ff26c-3cdd-4c48-a4af-25192ebf0058</t>
  </si>
  <si>
    <t>194.75.48.51</t>
  </si>
  <si>
    <t>b414cc7f-7d0c-41b0-b847-152d5eb5cc54</t>
  </si>
  <si>
    <t>8dd0cb28-d9e2-4c37-a85b-430f2accc1e5</t>
  </si>
  <si>
    <t>78.171.231.251</t>
  </si>
  <si>
    <t>891906ce-5388-40b0-86ae-8bc3b521fa81</t>
  </si>
  <si>
    <t>55e47290-3e4e-4852-8d32-672dd83f324f</t>
  </si>
  <si>
    <t>189.179.131.249</t>
  </si>
  <si>
    <t>939bc6da-07be-4561-9621-57524c2e199a</t>
  </si>
  <si>
    <t>09c5f336-9636-4b17-8e82-72ca0c687dd9</t>
  </si>
  <si>
    <t>65.186.234.6</t>
  </si>
  <si>
    <t>35dda0bb-5a9a-4cab-a5fe-69853aba9977</t>
  </si>
  <si>
    <t>55bf1af8-afa8-47e1-9d53-f43c78d815b0</t>
  </si>
  <si>
    <t>212.180.154.170</t>
  </si>
  <si>
    <t>c50eb98c-e79f-47a6-aa81-36766fbb7b93</t>
  </si>
  <si>
    <t>f31bd534-542c-43c4-a84b-71c7965070ee</t>
  </si>
  <si>
    <t>229.247.57.138</t>
  </si>
  <si>
    <t>bc2f9f69-d1cf-486d-88e9-5d5361fe49f0</t>
  </si>
  <si>
    <t>c59a8d69-251f-4260-90a1-cf17e1040b70</t>
  </si>
  <si>
    <t>176.10.75.210</t>
  </si>
  <si>
    <t>b43b3c31-e0e8-4072-ac62-fa6524ad6e54</t>
  </si>
  <si>
    <t>33d66452-9999-4fe4-88b9-3b057bf60154</t>
  </si>
  <si>
    <t>220.112.72.182</t>
  </si>
  <si>
    <t>b9148e01-dfe9-446c-b462-38f12dd3f9cd</t>
  </si>
  <si>
    <t>9c68be97-d06a-47ae-b339-68dc90dbda69</t>
  </si>
  <si>
    <t>128.15.125.220</t>
  </si>
  <si>
    <t>f6ae8169-dd15-4c21-8291-5c91833202a4</t>
  </si>
  <si>
    <t>2c87d809-bdfc-47c2-b6d0-de5d7f5f9803</t>
  </si>
  <si>
    <t>93.105.45.99</t>
  </si>
  <si>
    <t>200e403a-c923-4283-98f3-0c54f2afe3e8</t>
  </si>
  <si>
    <t>fcbcd3df-bea6-46a2-8e3d-14c099f8d51a</t>
  </si>
  <si>
    <t>236.193.55.140</t>
  </si>
  <si>
    <t>169bca44-7329-424b-92e9-9c8c9fbee7b1</t>
  </si>
  <si>
    <t>c6084de0-9de5-4d1f-85ea-11376e9d5f95</t>
  </si>
  <si>
    <t>225.230.89.135</t>
  </si>
  <si>
    <t>ebab94ea-c62e-45ee-8d36-bc7de51201fe</t>
  </si>
  <si>
    <t>9029e24a-0e44-4394-9551-c0901743376d</t>
  </si>
  <si>
    <t>234.178.169.200</t>
  </si>
  <si>
    <t>a1471516-7689-4d87-b0b5-086cd04b2425</t>
  </si>
  <si>
    <t>0a4c366b-5ee2-43ef-ac7e-7c776591f091</t>
  </si>
  <si>
    <t>151.213.141.158</t>
  </si>
  <si>
    <t>67d3b683-8ea8-4e65-875a-31c5bee44959</t>
  </si>
  <si>
    <t>fbd3eb19-1b21-4b64-97fd-4825f45daa1a</t>
  </si>
  <si>
    <t>49.21.175.62</t>
  </si>
  <si>
    <t>954d2839-fd9c-4fb0-b19f-7a942c7ee6ba</t>
  </si>
  <si>
    <t>801e8ebd-6189-44aa-8020-3c8fc5b2a992</t>
  </si>
  <si>
    <t>111.232.177.147</t>
  </si>
  <si>
    <t>c86b287f-e711-4cc3-93e5-3979d896e142</t>
  </si>
  <si>
    <t>5786a816-8d0d-40dd-8ce5-021db5e22754</t>
  </si>
  <si>
    <t>29.4.255.75</t>
  </si>
  <si>
    <t>7f56e2b8-546f-4a8c-a86f-e5dc5d94fbf3</t>
  </si>
  <si>
    <t>49835874-25b3-49fa-8e18-823a4a23dbe7</t>
  </si>
  <si>
    <t>120.76.148.83</t>
  </si>
  <si>
    <t>fb5c8c6d-b987-4b18-ae62-14311fb69cf4</t>
  </si>
  <si>
    <t>725c20f0-77dd-4935-8cf4-54577772a6b5</t>
  </si>
  <si>
    <t>78.249.147.33</t>
  </si>
  <si>
    <t>fbe97d5c-b09b-4733-a93e-9900a2ece31f</t>
  </si>
  <si>
    <t>05495b60-4753-4533-ae23-beaccab925b6</t>
  </si>
  <si>
    <t>205.150.7.232</t>
  </si>
  <si>
    <t>969dc3aa-d8be-466d-a71c-26af43d7820c</t>
  </si>
  <si>
    <t>b15a6034-b453-4c7e-b0f0-c970436e4308</t>
  </si>
  <si>
    <t>11.111.144.63</t>
  </si>
  <si>
    <t>d5a85e05-9ed7-4f31-86b6-7bbc5b264f42</t>
  </si>
  <si>
    <t>08d6558d-4cfe-49c6-bb5d-d2e84fa473db</t>
  </si>
  <si>
    <t>14.250.156.2</t>
  </si>
  <si>
    <t>584646be-13c7-46ab-a2f8-6a10a98ee2fe</t>
  </si>
  <si>
    <t>abf64723-9446-4fa9-8ba5-63de5896067f</t>
  </si>
  <si>
    <t>111.180.0.25</t>
  </si>
  <si>
    <t>1baa2f95-c428-44cd-b35e-564ca93919e4</t>
  </si>
  <si>
    <t>3ea4384a-ea93-48de-925d-54017ed61f2e</t>
  </si>
  <si>
    <t>65.70.179.145</t>
  </si>
  <si>
    <t>36737bfe-60ac-4856-a879-29711527a4cb</t>
  </si>
  <si>
    <t>c882e155-f0a9-44d2-81c7-86390a52d1a6</t>
  </si>
  <si>
    <t>202.79.44.138</t>
  </si>
  <si>
    <t>f40a8549-3fcb-4eb8-8d10-141591b949ff</t>
  </si>
  <si>
    <t>e16737ca-9927-4cb8-9f29-9be284a5de07</t>
  </si>
  <si>
    <t>37.100.221.41</t>
  </si>
  <si>
    <t>58c4c24b-5b14-4f0d-803e-60a779293ce3</t>
  </si>
  <si>
    <t>dcd960d1-42f3-467c-b9f4-b9749e8dfbb9</t>
  </si>
  <si>
    <t>75.112.16.242</t>
  </si>
  <si>
    <t>deead04a-987e-4f04-97a3-4fdb8e1d2f98</t>
  </si>
  <si>
    <t>d03b3f60-2186-48fe-9497-0f2a320d671e</t>
  </si>
  <si>
    <t>239.181.127.197</t>
  </si>
  <si>
    <t>fd0ed22c-77de-47d2-a3a2-17b076882ab1</t>
  </si>
  <si>
    <t>d522893f-70cb-4596-a867-96df4a2e9604</t>
  </si>
  <si>
    <t>109.204.50.133</t>
  </si>
  <si>
    <t>d5f29d2d-8434-459e-b7fc-05198a0bd4a5</t>
  </si>
  <si>
    <t>95b263b2-2cef-413f-8547-1cca1334134e</t>
  </si>
  <si>
    <t>236.154.159.88</t>
  </si>
  <si>
    <t>4aa27d20-fc68-4501-b201-d32b14df70d1</t>
  </si>
  <si>
    <t>17fdfcbc-e567-4f1a-84c6-e6b7e2c850e6</t>
  </si>
  <si>
    <t>145.223.165.71</t>
  </si>
  <si>
    <t>36db8cae-4b60-4249-abe7-cf7c257a5fee</t>
  </si>
  <si>
    <t>346e59ce-3ca7-4b36-8ae0-f6355f7c5b6f</t>
  </si>
  <si>
    <t>175.102.128.69</t>
  </si>
  <si>
    <t>cb6563c3-8802-4957-98a3-e4cf9078c048</t>
  </si>
  <si>
    <t>f3e5dba2-4664-42ea-93be-fb63140db001</t>
  </si>
  <si>
    <t>107.102.154.156</t>
  </si>
  <si>
    <t>392f6adc-45b4-4f2f-b827-15f1cd6dff1e</t>
  </si>
  <si>
    <t>7f129539-8ee4-4d8b-90e5-3f2f03cecd53</t>
  </si>
  <si>
    <t>22.152.236.93</t>
  </si>
  <si>
    <t>6754a8e0-4c7a-468f-ad84-e254f225c457</t>
  </si>
  <si>
    <t>64938e46-1ca4-4476-8d1a-08aeb2945592</t>
  </si>
  <si>
    <t>97.223.49.70</t>
  </si>
  <si>
    <t>b510b634-82de-42fd-9e20-161812a402b5</t>
  </si>
  <si>
    <t>1adb57f3-549c-4e06-986a-162121eede1d</t>
  </si>
  <si>
    <t>135.226.160.183</t>
  </si>
  <si>
    <t>45e5f305-cab9-4e79-b25f-e8227f12b446</t>
  </si>
  <si>
    <t>f0e125bc-3092-4167-b31d-4bf3099cdb8d</t>
  </si>
  <si>
    <t>120.181.218.238</t>
  </si>
  <si>
    <t>63d71a5a-f400-433e-a004-4e33e53b4313</t>
  </si>
  <si>
    <t>e00cb401-7711-4a42-9c72-804557f0f360</t>
  </si>
  <si>
    <t>108.210.236.14</t>
  </si>
  <si>
    <t>4d91286a-972d-4827-a4b3-91051b5ac707</t>
  </si>
  <si>
    <t>b115bc18-2220-4876-88f7-4f7fe76d0edc</t>
  </si>
  <si>
    <t>234.13.215.45</t>
  </si>
  <si>
    <t>c881a530-9338-46dc-971f-fe0437f10342</t>
  </si>
  <si>
    <t>4eb17fd1-7cfb-4472-aa1b-6d69f6d2eabd</t>
  </si>
  <si>
    <t>194.71.154.124</t>
  </si>
  <si>
    <t>04c78041-07a5-4b29-86c8-90015ba78721</t>
  </si>
  <si>
    <t>abad64ff-e935-4532-9305-7ecadb1a5629</t>
  </si>
  <si>
    <t>149.191.65.150</t>
  </si>
  <si>
    <t>6bed0005-11dd-4bc4-bf34-0e8d18bfd021</t>
  </si>
  <si>
    <t>244d493c-4018-45d6-a024-78e73be76f2d</t>
  </si>
  <si>
    <t>14.201.64.206</t>
  </si>
  <si>
    <t>5761c096-d80f-4ebd-b227-b1538e23e36d</t>
  </si>
  <si>
    <t>5a99d7ee-76ac-4e57-86bc-217777c462a2</t>
  </si>
  <si>
    <t>172.3.236.235</t>
  </si>
  <si>
    <t>af825aed-af18-453d-b0c9-b2db1a404dc3</t>
  </si>
  <si>
    <t>d400a5f1-31db-4e85-b259-77197bad8d07</t>
  </si>
  <si>
    <t>215.27.43.28</t>
  </si>
  <si>
    <t>dd5e7be2-4c26-42e3-a33b-42b139c2d0c3</t>
  </si>
  <si>
    <t>55b87e6d-7c58-4ef9-b226-1d62b1230618</t>
  </si>
  <si>
    <t>70.54.170.49</t>
  </si>
  <si>
    <t>1fdc1d6b-2126-47a4-8e0b-f8439fa53d57</t>
  </si>
  <si>
    <t>610e4971-dcb8-4a9f-9a39-a80a2e665d89</t>
  </si>
  <si>
    <t>211.148.246.169</t>
  </si>
  <si>
    <t>e59573c1-142c-4d10-a677-56c84b99826a</t>
  </si>
  <si>
    <t>816a1a36-1fb3-4bac-960e-66367dda796f</t>
  </si>
  <si>
    <t>222.31.62.27</t>
  </si>
  <si>
    <t>c40cc48d-acdd-43ca-b3ae-bc3706238668</t>
  </si>
  <si>
    <t>e0dd4109-31b9-46bc-bca1-5ad637cfd1cb</t>
  </si>
  <si>
    <t>180.104.73.253</t>
  </si>
  <si>
    <t>4a8283ca-3a2d-48ae-8bea-05f5a3ae796c</t>
  </si>
  <si>
    <t>6e647481-d39a-4877-a359-25ec6094fc11</t>
  </si>
  <si>
    <t>35.114.79.154</t>
  </si>
  <si>
    <t>e7ba3f78-2f6b-41b7-bde9-b7534360af68</t>
  </si>
  <si>
    <t>275a62c2-19e8-4c3f-919e-d007b94a79b5</t>
  </si>
  <si>
    <t>161.159.3.248</t>
  </si>
  <si>
    <t>7c36777b-7933-4511-86f4-a3342f9cef64</t>
  </si>
  <si>
    <t>e2abe2c3-b6c3-498a-b728-90f4189cf00f</t>
  </si>
  <si>
    <t>160.102.58.34</t>
  </si>
  <si>
    <t>bcfe8de3-fd5e-46ba-91fc-e4db39cce14b</t>
  </si>
  <si>
    <t>6120fb20-203e-4932-817a-ccd2616732c1</t>
  </si>
  <si>
    <t>1.78.61.49</t>
  </si>
  <si>
    <t>eec46acb-8331-4744-98c5-6bca33e52899</t>
  </si>
  <si>
    <t>1a8b93d1-681c-4b20-a769-dc11cf7cf0ab</t>
  </si>
  <si>
    <t>64.104.53.242</t>
  </si>
  <si>
    <t>187e6906-842e-4425-b17c-f1eed770853e</t>
  </si>
  <si>
    <t>06237840-b813-49e1-a929-45fe351bf82a</t>
  </si>
  <si>
    <t>7.227.200.28</t>
  </si>
  <si>
    <t>cfd66d43-900a-4682-afc5-194653f19080</t>
  </si>
  <si>
    <t>0d326722-1328-4776-a007-59cead62d7ba</t>
  </si>
  <si>
    <t>238.62.153.207</t>
  </si>
  <si>
    <t>cf43e729-98c2-40ae-97a0-ce2a8f111584</t>
  </si>
  <si>
    <t>e4db2b24-e5b1-4a9a-bd85-b775cf7b6af4</t>
  </si>
  <si>
    <t>124.94.120.133</t>
  </si>
  <si>
    <t>21c926d3-e551-4e72-9a0e-95646c0f3295</t>
  </si>
  <si>
    <t>fa395f52-b87d-4fff-a987-71d58ba817aa</t>
  </si>
  <si>
    <t>211.224.63.221</t>
  </si>
  <si>
    <t>ce6d2d30-26d6-4b0b-91c5-b6757a21df2d</t>
  </si>
  <si>
    <t>93f6da9e-5d7d-4f92-8812-8b6c832823e7</t>
  </si>
  <si>
    <t>38.11.94.72</t>
  </si>
  <si>
    <t>dff3b167-348d-4565-bea8-cd688ecc5913</t>
  </si>
  <si>
    <t>9431658c-52f6-4adb-926e-5555ef4be7f3</t>
  </si>
  <si>
    <t>210.123.87.102</t>
  </si>
  <si>
    <t>53216f39-566b-4246-9d19-ab92913a7f60</t>
  </si>
  <si>
    <t>9bf2a6d6-6616-404f-bd40-d844acec97b5</t>
  </si>
  <si>
    <t>122.245.148.148</t>
  </si>
  <si>
    <t>d85017de-0b4d-43ff-9174-d593fe4d8a5a</t>
  </si>
  <si>
    <t>4d67e2a5-6969-4da0-b2ab-168f64216be2</t>
  </si>
  <si>
    <t>171.51.252.188</t>
  </si>
  <si>
    <t>35e5c592-1a0f-4632-a7f6-ee40c5b03880</t>
  </si>
  <si>
    <t>36894703-4701-4c71-97db-7a9d63581682</t>
  </si>
  <si>
    <t>171.140.200.197</t>
  </si>
  <si>
    <t>0f6a6d14-97e8-4081-98d9-07e1a8ac389f</t>
  </si>
  <si>
    <t>e02c679c-f80f-4af1-a274-a8ae524fc72c</t>
  </si>
  <si>
    <t>179.54.237.213</t>
  </si>
  <si>
    <t>749047aa-fc7c-4a6d-8390-ec573efcfb4a</t>
  </si>
  <si>
    <t>23e98503-02de-412f-b524-89277e986109</t>
  </si>
  <si>
    <t>209.217.75.14</t>
  </si>
  <si>
    <t>e25c3d56-89f8-45ee-b9e6-d8f48ff58757</t>
  </si>
  <si>
    <t>dee086fb-2341-4430-8dc5-aa0fcc6bd804</t>
  </si>
  <si>
    <t>73.234.61.199</t>
  </si>
  <si>
    <t>19150464-a1d5-4063-b951-925cbc20037a</t>
  </si>
  <si>
    <t>4686de60-b6be-49b4-86e3-2f6b643fc847</t>
  </si>
  <si>
    <t>3.155.17.227</t>
  </si>
  <si>
    <t>b8d4091a-8698-4999-ab2c-1c2f2fffc62a</t>
  </si>
  <si>
    <t>239f57e1-9b9d-4c39-a172-a85a75522739</t>
  </si>
  <si>
    <t>11.181.71.239</t>
  </si>
  <si>
    <t>cb8bf4bf-2f85-4d4f-8dcb-bd6d11b8a560</t>
  </si>
  <si>
    <t>ff9370e2-75d5-4eb5-87bd-ce2054341e52</t>
  </si>
  <si>
    <t>226.234.141.4</t>
  </si>
  <si>
    <t>31328994-a27b-4262-be35-345c683aa755</t>
  </si>
  <si>
    <t>708a2348-c9ed-4e0c-83ab-39e0ebddd25f</t>
  </si>
  <si>
    <t>252.81.183.107</t>
  </si>
  <si>
    <t>c25e9b48-1131-4330-a8e0-ab01d7c3d8ff</t>
  </si>
  <si>
    <t>4e726adc-d31a-43f3-aa5c-506e0d970dea</t>
  </si>
  <si>
    <t>90.199.32.89</t>
  </si>
  <si>
    <t>05701b3f-6949-440d-9aa5-7b607184c1b4</t>
  </si>
  <si>
    <t>c54affbd-66c4-424a-a99d-e093f7c9b515</t>
  </si>
  <si>
    <t>168.77.180.173</t>
  </si>
  <si>
    <t>d295aeb0-64c2-40dd-a5cc-0fe9d5b1ee1e</t>
  </si>
  <si>
    <t>a704eab8-6963-4cbc-87d6-a0befd6b2901</t>
  </si>
  <si>
    <t>118.71.142.155</t>
  </si>
  <si>
    <t>8027ff57-4fd9-4789-bedb-f642330c5b23</t>
  </si>
  <si>
    <t>79c3a9e8-318c-48d3-88c2-47768a6a74a6</t>
  </si>
  <si>
    <t>237.201.34.247</t>
  </si>
  <si>
    <t>2e10b866-eb29-40bd-b760-88416b389c25</t>
  </si>
  <si>
    <t>1316d663-4ddf-4c2b-a638-07b110d5e370</t>
  </si>
  <si>
    <t>97.241.92.132</t>
  </si>
  <si>
    <t>8841632c-56b3-457e-bae5-1b6321d60f2d</t>
  </si>
  <si>
    <t>17efc89e-b4aa-44e4-b72b-7dc4ee6eaa56</t>
  </si>
  <si>
    <t>34.165.178.206</t>
  </si>
  <si>
    <t>e6d7ff96-0a49-4c5e-9d90-09ca12ec2cf2</t>
  </si>
  <si>
    <t>716cccfb-ee49-46a2-9db9-c30d7123cfc3</t>
  </si>
  <si>
    <t>18.23.15.81</t>
  </si>
  <si>
    <t>75d844d3-7859-4be5-914b-98f2056d2790</t>
  </si>
  <si>
    <t>f12de372-422e-4356-8e38-51b7e0755d7a</t>
  </si>
  <si>
    <t>60.49.54.255</t>
  </si>
  <si>
    <t>b520891b-538f-43c9-baf7-8187954820f4</t>
  </si>
  <si>
    <t>6a1634ef-a0cd-43e2-a687-e791958dd508</t>
  </si>
  <si>
    <t>240.243.165.118</t>
  </si>
  <si>
    <t>06cac211-71bd-4e6a-bbfe-49717e288d79</t>
  </si>
  <si>
    <t>63598a91-6a41-4402-a7bb-ba9a32cb79f7</t>
  </si>
  <si>
    <t>252.121.53.89</t>
  </si>
  <si>
    <t>c248a109-a6a3-479a-b507-56006b7e19ef</t>
  </si>
  <si>
    <t>74478adb-9321-4cbb-9a0a-d9c954804c06</t>
  </si>
  <si>
    <t>187.196.215.32</t>
  </si>
  <si>
    <t>50f08e79-ec5d-4475-a712-07594286f96b</t>
  </si>
  <si>
    <t>2a69c4bf-37ef-43e3-8cb1-7abdbb2fa82c</t>
  </si>
  <si>
    <t>16.128.58.19</t>
  </si>
  <si>
    <t>bebd3e6b-900a-44a8-9dbc-6c7bd364ecc5</t>
  </si>
  <si>
    <t>b35be8db-b792-456c-ae4e-ac71f38b4f62</t>
  </si>
  <si>
    <t>217.37.226.191</t>
  </si>
  <si>
    <t>28b8db4d-509a-4c59-afc4-e1c89b7346af</t>
  </si>
  <si>
    <t>0aa83a64-c4b5-4d0b-b28a-cf471be169f8</t>
  </si>
  <si>
    <t>156.15.89.164</t>
  </si>
  <si>
    <t>4db726ee-60d2-4e15-b2b5-5adb19d97be4</t>
  </si>
  <si>
    <t>62eb2d5d-1055-49a1-b737-4b4a80884035</t>
  </si>
  <si>
    <t>28.230.193.68</t>
  </si>
  <si>
    <t>80b98edd-8475-41b2-aaa6-d2b187bb4f27</t>
  </si>
  <si>
    <t>97c89863-e67c-478b-a873-6783478aadc0</t>
  </si>
  <si>
    <t>254.102.100.129</t>
  </si>
  <si>
    <t>f59dcc3c-35bc-447d-bdd7-dae5585102ee</t>
  </si>
  <si>
    <t>47a5e86a-1f7b-469b-917e-f948c60e0fc9</t>
  </si>
  <si>
    <t>126.224.146.115</t>
  </si>
  <si>
    <t>ce0f42c0-122b-48a2-941f-9351d7a82042</t>
  </si>
  <si>
    <t>a855f85a-97a4-45dc-935a-6985504ade23</t>
  </si>
  <si>
    <t>52.82.222.98</t>
  </si>
  <si>
    <t>af4708cd-49a4-44de-bf03-d156aafb5a70</t>
  </si>
  <si>
    <t>ad0c1c84-189b-4750-9dd8-513d5c52b6ed</t>
  </si>
  <si>
    <t>23.12.49.104</t>
  </si>
  <si>
    <t>6d37ddd0-faa9-4670-895e-8adb94b64c7b</t>
  </si>
  <si>
    <t>525ed9b4-b80c-4527-a8ea-6d9f65aaebca</t>
  </si>
  <si>
    <t>9.71.2.184</t>
  </si>
  <si>
    <t>0e0fcdda-3331-40aa-8a1b-bce6dbb7fd9f</t>
  </si>
  <si>
    <t>0482542c-1844-4009-96e0-811ca7625fba</t>
  </si>
  <si>
    <t>199.208.36.174</t>
  </si>
  <si>
    <t>c9e9f62f-1d44-4253-815f-a78c0d282a13</t>
  </si>
  <si>
    <t>e8a1e62d-48d1-49ed-b8e3-14f0b09178f5</t>
  </si>
  <si>
    <t>48.254.97.106</t>
  </si>
  <si>
    <t>6ad7cab1-c82f-41b0-8f59-36de9e79c89a</t>
  </si>
  <si>
    <t>fba617d1-946c-4334-b06a-75bce02ecbd2</t>
  </si>
  <si>
    <t>147.242.180.182</t>
  </si>
  <si>
    <t>5b2c56d1-4b73-49ed-9cbe-404d7351a089</t>
  </si>
  <si>
    <t>691e475c-402d-49bb-b319-d5997d5b3534</t>
  </si>
  <si>
    <t>159.70.34.224</t>
  </si>
  <si>
    <t>399c72bc-551f-44a8-b0fd-716c9e40b253</t>
  </si>
  <si>
    <t>5e27b093-a78b-4bf0-9d59-ff2515f1fdf5</t>
  </si>
  <si>
    <t>110.192.36.40</t>
  </si>
  <si>
    <t>d28acb1b-698e-4741-9f6d-c8a2a368874e</t>
  </si>
  <si>
    <t>944cdf5f-9dff-4f7f-8388-93d35cf4cb71</t>
  </si>
  <si>
    <t>33.152.51.60</t>
  </si>
  <si>
    <t>a9ce8b0a-4bbb-49e2-bf33-184c4fc88a12</t>
  </si>
  <si>
    <t>6bdc0a0f-fa22-4176-9ff4-00cd060e9f83</t>
  </si>
  <si>
    <t>128.118.26.169</t>
  </si>
  <si>
    <t>d3fc682c-8582-46b9-9e09-52f001ef6b65</t>
  </si>
  <si>
    <t>accdbae0-3aff-47bf-afb3-d7524fd30b3f</t>
  </si>
  <si>
    <t>6.114.148.128</t>
  </si>
  <si>
    <t>636e63f9-a688-408d-a2da-25ab3868607d</t>
  </si>
  <si>
    <t>61c5f4ed-e3ac-437b-9e13-312ea4fadf20</t>
  </si>
  <si>
    <t>100.183.34.80</t>
  </si>
  <si>
    <t>faa35f2c-e8c6-4010-892a-d429af5b9a30</t>
  </si>
  <si>
    <t>92c8b6a5-4b0f-44a4-9e27-0feae906a735</t>
  </si>
  <si>
    <t>248.147.38.123</t>
  </si>
  <si>
    <t>8d439096-c9f0-420d-ae9c-b94fd7ae7516</t>
  </si>
  <si>
    <t>b10538d1-dbc8-4f72-a7c2-aa9ef9269820</t>
  </si>
  <si>
    <t>219.159.204.29</t>
  </si>
  <si>
    <t>05ba1558-7678-418d-84f6-bb44327a9ef1</t>
  </si>
  <si>
    <t>ad1437ad-d8f0-4610-9d9e-baf7244fc6af</t>
  </si>
  <si>
    <t>140.56.241.134</t>
  </si>
  <si>
    <t>a0eab1b8-dfb1-43f5-83cd-b9e9c3c9cd8f</t>
  </si>
  <si>
    <t>bade9c9a-71d4-4753-9bd5-bf986b6d77ea</t>
  </si>
  <si>
    <t>168.15.16.173</t>
  </si>
  <si>
    <t>1fa8dcf6-19ae-4abd-b4f1-81a47329a85b</t>
  </si>
  <si>
    <t>f9698d85-df15-4852-bbbb-4db7e0d3bacd</t>
  </si>
  <si>
    <t>108.133.102.171</t>
  </si>
  <si>
    <t>5a82d33e-fe3e-44eb-92cb-ba62f640d79b</t>
  </si>
  <si>
    <t>443c6d20-348a-40ae-b50f-11c99d6a7bde</t>
  </si>
  <si>
    <t>228.30.71.104</t>
  </si>
  <si>
    <t>1ea8ac18-2f09-494f-8a71-72c546c502b7</t>
  </si>
  <si>
    <t>87dd98c8-9ef4-4860-b0c1-6d8c76a58764</t>
  </si>
  <si>
    <t>141.168.31.120</t>
  </si>
  <si>
    <t>3bf6c0a5-cdf2-4357-b3a6-19748ae04049</t>
  </si>
  <si>
    <t>adb38cc8-2b55-4bdb-8d55-564a647c68af</t>
  </si>
  <si>
    <t>127.37.18.177</t>
  </si>
  <si>
    <t>e6635281-cd5a-4ede-9f0d-8a104a6cdabf</t>
  </si>
  <si>
    <t>c0096d7b-a106-4606-9147-678f370b6b9a</t>
  </si>
  <si>
    <t>252.36.213.41</t>
  </si>
  <si>
    <t>34094987-b634-42e2-850d-77ac1e77b563</t>
  </si>
  <si>
    <t>f763bb96-eac8-4550-ba92-a5771086bc5a</t>
  </si>
  <si>
    <t>228.245.66.138</t>
  </si>
  <si>
    <t>672dfc3c-017f-4e16-a9bc-d370cdf58e3d</t>
  </si>
  <si>
    <t>dea2851c-548a-437f-995b-06dd0b1e2220</t>
  </si>
  <si>
    <t>186.21.53.18</t>
  </si>
  <si>
    <t>0171c8ad-9aa0-469c-b7ad-b86a40d5d6b1</t>
  </si>
  <si>
    <t>42e25deb-f50c-4d54-a0b3-bb917dd5e6ab</t>
  </si>
  <si>
    <t>128.115.179.220</t>
  </si>
  <si>
    <t>c9be7e5e-d376-4181-aa42-880a23ef0e90</t>
  </si>
  <si>
    <t>5031509b-2792-4fea-834a-51dd58da1797</t>
  </si>
  <si>
    <t>123.155.116.10</t>
  </si>
  <si>
    <t>3662676f-1206-4a80-ba3b-20b5c264893e</t>
  </si>
  <si>
    <t>2fac5e8c-59a7-49b9-afc4-396d827b8f4b</t>
  </si>
  <si>
    <t>239.28.13.100</t>
  </si>
  <si>
    <t>96b9dca7-93c1-409d-bacc-2f828b815eab</t>
  </si>
  <si>
    <t>c46931ac-44ad-4ca9-b46e-f2ff95f744fe</t>
  </si>
  <si>
    <t>137.194.9.246</t>
  </si>
  <si>
    <t>5c7cbfe0-6f20-4620-9c14-269fd96eaac5</t>
  </si>
  <si>
    <t>4b19b200-bd81-48af-974d-c06b39d0184c</t>
  </si>
  <si>
    <t>14.198.193.64</t>
  </si>
  <si>
    <t>53f27526-dca4-48c4-81e6-4bc76319e49d</t>
  </si>
  <si>
    <t>3070a1d3-3c7b-4550-9e5f-07b26b1c3243</t>
  </si>
  <si>
    <t>111.218.70.59</t>
  </si>
  <si>
    <t>220a8f75-ee65-4b27-b787-8d27660b07f9</t>
  </si>
  <si>
    <t>14e5bc97-12e5-4af6-b216-8563f70b15a7</t>
  </si>
  <si>
    <t>113.60.188.180</t>
  </si>
  <si>
    <t>0d62bd20-878a-47be-a91b-f0f02b5d3440</t>
  </si>
  <si>
    <t>35c2cfa0-e200-4cad-a241-351112185195</t>
  </si>
  <si>
    <t>50.175.223.29</t>
  </si>
  <si>
    <t>5b3b99bf-38b6-4a77-be54-dc2d9e408b70</t>
  </si>
  <si>
    <t>6605244d-9304-44fb-9b12-5f8d6ab31939</t>
  </si>
  <si>
    <t>61.118.47.5</t>
  </si>
  <si>
    <t>629fa17e-9f39-4739-9a77-7b5a6f1775dd</t>
  </si>
  <si>
    <t>d3a131ca-3e3b-4602-9381-accddfc23a25</t>
  </si>
  <si>
    <t>59.211.23.7</t>
  </si>
  <si>
    <t>72a5c4a9-146e-4024-86cf-d5fa2d84ff83</t>
  </si>
  <si>
    <t>210ec61e-f06b-4e1f-a232-54fed273d48b</t>
  </si>
  <si>
    <t>224.127.29.39</t>
  </si>
  <si>
    <t>d2eae354-6bd9-43e2-a8c7-cd9458bdde36</t>
  </si>
  <si>
    <t>00ac49cb-23ea-46d3-bd56-660d16ee9974</t>
  </si>
  <si>
    <t>15.64.224.92</t>
  </si>
  <si>
    <t>dc908391-cd69-4a31-ae79-c4ab60f2d503</t>
  </si>
  <si>
    <t>7d1e4726-9182-4412-a13b-7c9cd5fbe04c</t>
  </si>
  <si>
    <t>73.22.160.179</t>
  </si>
  <si>
    <t>479c73ff-52e8-4e93-9cb5-f2ee040bd538</t>
  </si>
  <si>
    <t>091592ba-7c8a-460b-be8b-561d08cbb3e6</t>
  </si>
  <si>
    <t>155.125.149.66</t>
  </si>
  <si>
    <t>2a2481ce-2f27-42fa-bdd9-f98e3b669e5f</t>
  </si>
  <si>
    <t>82836fac-747a-4f2e-9bf0-d8a8f959dcbe</t>
  </si>
  <si>
    <t>156.203.245.62</t>
  </si>
  <si>
    <t>3338fb27-82eb-4711-b677-f816f4c7e86f</t>
  </si>
  <si>
    <t>38c9f86a-fad7-43be-b0d7-7b33203ae761</t>
  </si>
  <si>
    <t>169.39.39.128</t>
  </si>
  <si>
    <t>e2d99cea-7f08-44fc-bc8d-8da6457c9eb8</t>
  </si>
  <si>
    <t>dff7b648-f5c8-44c7-af94-f89430303cc8</t>
  </si>
  <si>
    <t>241.105.253.182</t>
  </si>
  <si>
    <t>ba2f5ab3-45af-48e6-a404-c3259013112c</t>
  </si>
  <si>
    <t>d9d9b177-7b6c-4e91-aaef-4cd2f3522756</t>
  </si>
  <si>
    <t>230.112.227.154</t>
  </si>
  <si>
    <t>6da3dfbb-2e46-441a-9087-c2e6e5ad0c36</t>
  </si>
  <si>
    <t>48a9cb70-cecc-487d-9be8-fa09f6be9825</t>
  </si>
  <si>
    <t>242.187.149.125</t>
  </si>
  <si>
    <t>8ee5c6e2-7cc5-46d6-bb2e-34ed4f1c37d9</t>
  </si>
  <si>
    <t>23b57572-370c-4074-845d-e32f6d5260b1</t>
  </si>
  <si>
    <t>135.136.163.53</t>
  </si>
  <si>
    <t>6d928d4a-effe-47a9-b6aa-3ce308e7755f</t>
  </si>
  <si>
    <t>c42938cc-40c1-4867-9699-3cd0f3a9d114</t>
  </si>
  <si>
    <t>14.177.210.248</t>
  </si>
  <si>
    <t>bc75c352-0d90-451a-82de-aae3266c0b37</t>
  </si>
  <si>
    <t>9f05a9fd-4b80-4e3e-8cdd-b7999ecd7d99</t>
  </si>
  <si>
    <t>72.40.104.70</t>
  </si>
  <si>
    <t>0004b5eb-d8e6-4d44-841d-6ba42d0aa54a</t>
  </si>
  <si>
    <t>ee4ab850-16d6-44f8-ad0c-2d05af2e0900</t>
  </si>
  <si>
    <t>216.118.156.107</t>
  </si>
  <si>
    <t>a5c48cad-07a5-4c6c-9e28-8d413e78851b</t>
  </si>
  <si>
    <t>487ac8da-633f-45b2-a61c-e15f437f6edd</t>
  </si>
  <si>
    <t>32.190.72.18</t>
  </si>
  <si>
    <t>40e61130-8029-4ead-ad59-338f447831ae</t>
  </si>
  <si>
    <t>7b8e4fc5-330b-44ac-abf1-01c534aa9114</t>
  </si>
  <si>
    <t>251.120.225.232</t>
  </si>
  <si>
    <t>cbeffd28-39f8-4ad2-a6c6-343cec176173</t>
  </si>
  <si>
    <t>dfc87348-a08c-401e-8196-dc99daa4af67</t>
  </si>
  <si>
    <t>244.58.10.255</t>
  </si>
  <si>
    <t>499d5d0d-a497-40be-b1e6-dd916dd20b16</t>
  </si>
  <si>
    <t>4b07ffb3-5540-4a24-864a-f1676eb7c487</t>
  </si>
  <si>
    <t>215.17.138.142</t>
  </si>
  <si>
    <t>5864f66e-c778-42f0-a593-de0096e2d7ac</t>
  </si>
  <si>
    <t>774bd995-4996-4427-b733-dc04f572060c</t>
  </si>
  <si>
    <t>151.196.153.43</t>
  </si>
  <si>
    <t>b68c97ad-fd87-4233-bc88-fc0287231474</t>
  </si>
  <si>
    <t>7172477a-15b6-4ff9-a24b-d79dab03c70d</t>
  </si>
  <si>
    <t>16.142.196.253</t>
  </si>
  <si>
    <t>99e8d780-e08f-40ee-91df-58a8a7833d4c</t>
  </si>
  <si>
    <t>ddcd79c1-4038-4d2b-8b6e-9f24ca8306bf</t>
  </si>
  <si>
    <t>5.195.196.227</t>
  </si>
  <si>
    <t>0f16a95c-ae50-4719-a1c3-681a0771a86f</t>
  </si>
  <si>
    <t>1a950e6d-51a7-4dd1-b3dc-a4dda823fd95</t>
  </si>
  <si>
    <t>12.114.105.194</t>
  </si>
  <si>
    <t>e0dd8a79-cc13-485e-89d3-4f44afcabe9e</t>
  </si>
  <si>
    <t>e52f1c2a-a888-41f3-a928-e6f55ed5f9fa</t>
  </si>
  <si>
    <t>48.220.26.156</t>
  </si>
  <si>
    <t>98c08995-b7f2-48f5-97bd-6376f9f1bee5</t>
  </si>
  <si>
    <t>91f48c1b-d30f-4b5c-931f-9a0fccdd2641</t>
  </si>
  <si>
    <t>9.178.13.172</t>
  </si>
  <si>
    <t>8407d310-89f9-47ba-9ad9-aa97ae1a8df7</t>
  </si>
  <si>
    <t>e4967af7-5faf-4a9a-a55a-901b77b48d83</t>
  </si>
  <si>
    <t>237.134.110.14</t>
  </si>
  <si>
    <t>9a6ed065-9787-46a9-8cfd-f694c691b32a</t>
  </si>
  <si>
    <t>1a026e00-e66a-4d13-a40e-5711a669c9a2</t>
  </si>
  <si>
    <t>88.222.218.29</t>
  </si>
  <si>
    <t>e2ff8336-98c3-4b71-b8cc-b29d4e1e2076</t>
  </si>
  <si>
    <t>150e0848-c729-40fa-961c-e6142b7822f4</t>
  </si>
  <si>
    <t>207.55.198.147</t>
  </si>
  <si>
    <t>8ef10ff1-ce4f-448d-8133-7e02ee15eb41</t>
  </si>
  <si>
    <t>d1550999-4537-42e2-aa41-edc3fdcf6258</t>
  </si>
  <si>
    <t>220.237.217.133</t>
  </si>
  <si>
    <t>9e5168cc-8a6e-4e76-b36c-ae29be7a7c14</t>
  </si>
  <si>
    <t>706f3632-548c-48e8-9e15-9f059673ba3d</t>
  </si>
  <si>
    <t>42.195.239.121</t>
  </si>
  <si>
    <t>35e35b34-10d9-48a1-86d0-16c713930182</t>
  </si>
  <si>
    <t>cf8e551b-16c3-4d31-b1c5-7f77db9d4690</t>
  </si>
  <si>
    <t>34.7.143.140</t>
  </si>
  <si>
    <t>097eef0a-10c9-4e6d-aaaa-12c0ad6ab39c</t>
  </si>
  <si>
    <t>0f4c829f-f4e6-451c-8c13-c79a198be318</t>
  </si>
  <si>
    <t>22.127.151.172</t>
  </si>
  <si>
    <t>27db8930-81d3-469c-a8b4-7e8eaafe1729</t>
  </si>
  <si>
    <t>3c9f04b1-dd7b-48f1-8ee6-060dfeecd31c</t>
  </si>
  <si>
    <t>147.202.19.140</t>
  </si>
  <si>
    <t>3a227b77-1d03-4c21-90b2-52ef33cf05d4</t>
  </si>
  <si>
    <t>f13a9d39-f3ef-42da-bb88-8689b24a5d49</t>
  </si>
  <si>
    <t>93.137.128.6</t>
  </si>
  <si>
    <t>385c004c-1b7d-49a7-a6d6-6e3471d3b7ec</t>
  </si>
  <si>
    <t>9d08ee96-8fb7-493d-a205-4e4d8df70cdf</t>
  </si>
  <si>
    <t>32.157.164.135</t>
  </si>
  <si>
    <t>89a9c796-8e25-4025-a902-6db9304bb778</t>
  </si>
  <si>
    <t>79be842f-2626-42fa-bb8f-54e7e505e169</t>
  </si>
  <si>
    <t>217.91.227.236</t>
  </si>
  <si>
    <t>11f050f6-c7ca-4548-8714-2fc8dd52c640</t>
  </si>
  <si>
    <t>3a4457b4-0bf2-44c0-a02d-ab31c30fe8b9</t>
  </si>
  <si>
    <t>5.225.4.238</t>
  </si>
  <si>
    <t>ba0a7ba4-e39a-4e71-9ce9-1ac0f3e623c3</t>
  </si>
  <si>
    <t>a7fe9d7a-cbf1-4ab8-b5b3-c5c9e4e7f4d7</t>
  </si>
  <si>
    <t>10.183.245.111</t>
  </si>
  <si>
    <t>32bc9498-85a3-4653-849b-90469598ffce</t>
  </si>
  <si>
    <t>c10c84a2-1cb1-48a0-9ed5-cca203ec8e41</t>
  </si>
  <si>
    <t>105.29.40.141</t>
  </si>
  <si>
    <t>a8162d4b-f7e5-4e6c-a317-e9e1e0b8c0a0</t>
  </si>
  <si>
    <t>32fb2856-f390-46e1-912f-ecd502be39ce</t>
  </si>
  <si>
    <t>230.160.32.225</t>
  </si>
  <si>
    <t>222c00c8-1522-45c3-a96b-6cd009b2b0f6</t>
  </si>
  <si>
    <t>5a5bd7eb-3f93-4923-bad0-77ce10ad570f</t>
  </si>
  <si>
    <t>47.132.141.132</t>
  </si>
  <si>
    <t>581fdf67-8616-4447-9a3c-97f927f6c601</t>
  </si>
  <si>
    <t>2270384c-1886-45fe-acb3-c643465b8ff8</t>
  </si>
  <si>
    <t>223.253.65.116</t>
  </si>
  <si>
    <t>ed49bd0f-ab2d-4e49-84d8-a7b0ae746f00</t>
  </si>
  <si>
    <t>485f7e6a-4573-468c-8b01-2dd53a59ec06</t>
  </si>
  <si>
    <t>162.89.75.25</t>
  </si>
  <si>
    <t>0cc7e281-276d-4be9-a9d1-1b58a8b810c9</t>
  </si>
  <si>
    <t>333824df-2d21-4068-b092-33b43ad2a639</t>
  </si>
  <si>
    <t>60.58.19.94</t>
  </si>
  <si>
    <t>b19bbab6-97e5-494c-a2f5-d474e6f43e1b</t>
  </si>
  <si>
    <t>b7f7127c-82d2-4851-9c07-3c0e2cb0dc31</t>
  </si>
  <si>
    <t>176.225.162.21</t>
  </si>
  <si>
    <t>003eb7b3-0fb8-4a7e-adb7-338394c3be75</t>
  </si>
  <si>
    <t>1271ec03-142c-4872-8cfd-04a92e571c99</t>
  </si>
  <si>
    <t>142.116.31.132</t>
  </si>
  <si>
    <t>3f8015ae-1262-4a13-ac0d-d9cf2da481b4</t>
  </si>
  <si>
    <t>9cdb0465-8dfb-4872-a650-33043062bf43</t>
  </si>
  <si>
    <t>250.131.8.180</t>
  </si>
  <si>
    <t>323cdc0b-c330-467b-a822-1743cd93add9</t>
  </si>
  <si>
    <t>71b16ae4-ed13-4bd9-a49e-799ee0699954</t>
  </si>
  <si>
    <t>139.22.120.179</t>
  </si>
  <si>
    <t>a6899f32-907e-48c2-9db1-f1c36a3a2aa2</t>
  </si>
  <si>
    <t>105cb472-85d3-4b59-ab82-d0e71399a519</t>
  </si>
  <si>
    <t>28.39.227.57</t>
  </si>
  <si>
    <t>84feb3b1-a0fc-46e4-8691-d71bf31807c6</t>
  </si>
  <si>
    <t>3b36a3f5-6c6e-41b2-a20a-f2be7da8edfa</t>
  </si>
  <si>
    <t>131.39.121.104</t>
  </si>
  <si>
    <t>3c86469e-c731-4b08-a8e0-5bb7928e5356</t>
  </si>
  <si>
    <t>ce66b856-0645-4aa1-96b7-7abd56813368</t>
  </si>
  <si>
    <t>84.190.212.36</t>
  </si>
  <si>
    <t>4006d82f-2e93-49d5-88f0-aeb003684aa0</t>
  </si>
  <si>
    <t>8908da17-a168-4c7a-bae1-edeeae4ef76b</t>
  </si>
  <si>
    <t>165.218.144.73</t>
  </si>
  <si>
    <t>8e3b047f-716d-49ba-bcc6-4e59a8243559</t>
  </si>
  <si>
    <t>b3b5a172-28ca-403f-ad10-6c25c04e5ff3</t>
  </si>
  <si>
    <t>7.167.184.171</t>
  </si>
  <si>
    <t>a936c09a-c385-4dec-bc23-e6a2639a98c9</t>
  </si>
  <si>
    <t>8e3fa559-98e0-4d78-ae26-72d041be661f</t>
  </si>
  <si>
    <t>250.208.191.240</t>
  </si>
  <si>
    <t>ef2d2d2d-3bf0-4b3d-8ee5-504cc41965db</t>
  </si>
  <si>
    <t>cb87946c-5452-454d-a48c-a3fcba4c803d</t>
  </si>
  <si>
    <t>242.150.15.82</t>
  </si>
  <si>
    <t>b45b2b77-ed88-4793-b12a-79eb4595e8b2</t>
  </si>
  <si>
    <t>a991af0b-7b1a-4ef4-a65c-ba8a165f0883</t>
  </si>
  <si>
    <t>95.22.148.76</t>
  </si>
  <si>
    <t>1a010212-c714-4d48-8356-ec8dc92a805d</t>
  </si>
  <si>
    <t>ae0c846d-1ecc-4488-b0f1-189a59c77c82</t>
  </si>
  <si>
    <t>234.13.54.108</t>
  </si>
  <si>
    <t>95b650a1-f1bd-4229-ba8d-84170db14ae1</t>
  </si>
  <si>
    <t>c64223ee-839f-46f8-8948-b6a42f13c920</t>
  </si>
  <si>
    <t>207.160.176.110</t>
  </si>
  <si>
    <t>f428179d-30dc-4edf-8bb6-efb142e9062c</t>
  </si>
  <si>
    <t>bdc95c82-5614-4116-a932-4c55e1f13425</t>
  </si>
  <si>
    <t>97.16.76.195</t>
  </si>
  <si>
    <t>c1facc90-bfab-4aa4-8e01-0c4e68da552c</t>
  </si>
  <si>
    <t>4f612b7b-f761-4bb1-8d29-a06b06b073ea</t>
  </si>
  <si>
    <t>196.40.39.114</t>
  </si>
  <si>
    <t>b3b2cb2f-91d0-4adf-92aa-96a313788edf</t>
  </si>
  <si>
    <t>f8d6b434-64d6-4d2c-a812-5ad7ff20ac38</t>
  </si>
  <si>
    <t>145.214.62.26</t>
  </si>
  <si>
    <t>8604a421-54c5-4675-b811-828c498a9b7d</t>
  </si>
  <si>
    <t>627f2f66-4fd9-4b47-a5d2-dce74fc283ec</t>
  </si>
  <si>
    <t>156.241.225.162</t>
  </si>
  <si>
    <t>3d7dc84d-0396-41b8-9988-7f4009f02799</t>
  </si>
  <si>
    <t>c1f5ec3a-5c3f-4c57-a24f-e188b71c9f51</t>
  </si>
  <si>
    <t>69.99.150.124</t>
  </si>
  <si>
    <t>699493f7-4610-496f-8d0d-9bd2abe6ded0</t>
  </si>
  <si>
    <t>21a93218-cb49-427f-887f-205a29778e5e</t>
  </si>
  <si>
    <t>85.124.185.118</t>
  </si>
  <si>
    <t>b9a09c36-d188-4d19-8b36-130e7279c6b5</t>
  </si>
  <si>
    <t>81e65546-a441-4afe-a916-9d705d386544</t>
  </si>
  <si>
    <t>117.161.59.123</t>
  </si>
  <si>
    <t>bcac8f6e-a62e-4d47-9653-b3a043d88725</t>
  </si>
  <si>
    <t>e33f8235-71ae-4462-8561-fd9d9125bd1e</t>
  </si>
  <si>
    <t>114.209.185.40</t>
  </si>
  <si>
    <t>ec9a5a67-0a58-4ad5-93e2-517f4f026ff1</t>
  </si>
  <si>
    <t>ed0c1816-f1b0-40ae-995e-8ba4c609960e</t>
  </si>
  <si>
    <t>91.39.185.247</t>
  </si>
  <si>
    <t>96aa4a72-ff18-44c6-bcaa-0c2e4dd62662</t>
  </si>
  <si>
    <t>c041f3e4-2a4a-4e3a-ae7d-2f4ad3ebabe7</t>
  </si>
  <si>
    <t>155.117.229.214</t>
  </si>
  <si>
    <t>3c6aa30c-fde5-4464-92c6-ef8eff78c409</t>
  </si>
  <si>
    <t>73d96548-073f-420f-bb47-9d697745a72f</t>
  </si>
  <si>
    <t>59.64.125.208</t>
  </si>
  <si>
    <t>c192ed16-ff19-4202-b0cc-a8b4d0df0f53</t>
  </si>
  <si>
    <t>8aef5f5a-b382-43d7-9367-f60c91137fae</t>
  </si>
  <si>
    <t>173.70.133.146</t>
  </si>
  <si>
    <t>c23aa642-8b23-427e-99b0-f05edd98ca35</t>
  </si>
  <si>
    <t>69cc2168-df9e-45a4-b69e-a884868522c9</t>
  </si>
  <si>
    <t>88.160.60.41</t>
  </si>
  <si>
    <t>89e5d44f-8738-4718-be49-3e55f8a1b598</t>
  </si>
  <si>
    <t>7fba272e-c7cd-4f67-b62e-c72972c0f5ef</t>
  </si>
  <si>
    <t>105.215.75.253</t>
  </si>
  <si>
    <t>311c722f-59a7-4404-8c99-b3df698a8ab8</t>
  </si>
  <si>
    <t>f20a0d23-19df-4418-bdf7-98913d44ec01</t>
  </si>
  <si>
    <t>162.101.92.232</t>
  </si>
  <si>
    <t>6988c381-5396-4346-aed1-389a236cf71e</t>
  </si>
  <si>
    <t>46fb4796-9af0-4d6f-9cc1-a170c51ec65c</t>
  </si>
  <si>
    <t>4.85.61.214</t>
  </si>
  <si>
    <t>b7070d51-5c23-4174-a318-4a813665451b</t>
  </si>
  <si>
    <t>a5f85ea7-1eeb-4e48-8382-a2358ba09952</t>
  </si>
  <si>
    <t>68.240.51.64</t>
  </si>
  <si>
    <t>cb7d9263-31e6-4619-b7e2-6bc13fd8121e</t>
  </si>
  <si>
    <t>3d315ce5-b2da-4714-89dc-0b41566799c6</t>
  </si>
  <si>
    <t>223.17.220.12</t>
  </si>
  <si>
    <t>d51251c1-76ef-49e9-9a7b-efde5132fc6c</t>
  </si>
  <si>
    <t>5b64be6e-dc39-4e89-9dd2-1107d674176d</t>
  </si>
  <si>
    <t>177.85.37.67</t>
  </si>
  <si>
    <t>4e3bb4bc-3af7-47b3-a28d-0611887fbe09</t>
  </si>
  <si>
    <t>8273e436-0633-4986-bd5c-e70ef76be1cb</t>
  </si>
  <si>
    <t>132.198.216.181</t>
  </si>
  <si>
    <t>ca477068-38c9-48ca-8cef-ba320ddb07c8</t>
  </si>
  <si>
    <t>dfd7617f-b4f2-40d6-b77b-378234f8c994</t>
  </si>
  <si>
    <t>33.205.123.150</t>
  </si>
  <si>
    <t>7dc3f0b5-fac7-4c98-8ee1-0d27decddef6</t>
  </si>
  <si>
    <t>2e84ec4e-6ac9-4b4c-b1f2-93f605fa2f50</t>
  </si>
  <si>
    <t>31.172.172.55</t>
  </si>
  <si>
    <t>a1c6b938-7ab4-4a1c-a38f-366a55f018f2</t>
  </si>
  <si>
    <t>9eb96d27-8204-455c-9562-fdf4c8dfbee7</t>
  </si>
  <si>
    <t>255.23.37.181</t>
  </si>
  <si>
    <t>03525454-d641-4682-b7f5-ef0d7731c89c</t>
  </si>
  <si>
    <t>f5e857c5-a3a7-4908-90fa-49bb4492c269</t>
  </si>
  <si>
    <t>244.229.209.230</t>
  </si>
  <si>
    <t>0f907e3b-225c-4269-9660-02b6dd85ed9e</t>
  </si>
  <si>
    <t>b433b250-62d1-4cba-8941-e2336eba9c54</t>
  </si>
  <si>
    <t>190.223.148.244</t>
  </si>
  <si>
    <t>1dd4077a-879a-4da4-804b-5fb146bda7df</t>
  </si>
  <si>
    <t>00bdc439-e5dc-4ca3-a3da-b1eccbfecce4</t>
  </si>
  <si>
    <t>180.68.93.42</t>
  </si>
  <si>
    <t>b5d559a1-e8da-40df-b258-e07e7b02dad2</t>
  </si>
  <si>
    <t>cb795c17-e5ee-4bad-abc2-37a13f7d1194</t>
  </si>
  <si>
    <t>39.3.189.232</t>
  </si>
  <si>
    <t>fbbb0293-3d7d-4153-886a-fc3eeb16d33a</t>
  </si>
  <si>
    <t>89b259fe-9b5f-4414-af2e-963aa2da36e1</t>
  </si>
  <si>
    <t>98.164.224.90</t>
  </si>
  <si>
    <t>d183e001-01ce-42c9-8e59-f2b2475d4e0d</t>
  </si>
  <si>
    <t>c70cbac6-afa6-4d71-b169-2c4cc7a78c7a</t>
  </si>
  <si>
    <t>131.143.49.118</t>
  </si>
  <si>
    <t>3947b597-04d4-4ac9-aadc-abbaf3720b47</t>
  </si>
  <si>
    <t>7a23e3cd-e150-4def-8471-e16c926944c9</t>
  </si>
  <si>
    <t>77.252.174.24</t>
  </si>
  <si>
    <t>34eee09e-d6ee-49a8-9a9a-0b4c0826228f</t>
  </si>
  <si>
    <t>33e4e9ee-69c1-441b-80f8-52e405eb4f97</t>
  </si>
  <si>
    <t>145.218.146.165</t>
  </si>
  <si>
    <t>b4e16d93-fd74-4529-bf33-b932d28fb659</t>
  </si>
  <si>
    <t>b8b96368-129a-47ce-82ee-1e38962357e3</t>
  </si>
  <si>
    <t>99.163.91.73</t>
  </si>
  <si>
    <t>5300316e-794a-4577-9dc6-a25dafe56f48</t>
  </si>
  <si>
    <t>3d12205f-6306-43d7-a8ee-827927c1eb38</t>
  </si>
  <si>
    <t>11.107.220.142</t>
  </si>
  <si>
    <t>faf7321d-a4c9-46f0-8875-caac49860273</t>
  </si>
  <si>
    <t>6f521b2c-304b-47d4-abeb-1721b41b2400</t>
  </si>
  <si>
    <t>148.160.50.177</t>
  </si>
  <si>
    <t>1db8ead2-3f61-4c25-ad6e-3129f2360e0f</t>
  </si>
  <si>
    <t>a6041cca-0840-447f-95c4-e180bb6d0bb3</t>
  </si>
  <si>
    <t>73.84.60.147</t>
  </si>
  <si>
    <t>452245d5-e6c0-42cd-8163-1244e40eefda</t>
  </si>
  <si>
    <t>dd97af28-2556-4890-a5ce-0aa5edb4a7b5</t>
  </si>
  <si>
    <t>71.249.224.114</t>
  </si>
  <si>
    <t>33cd0454-8a2e-48c1-9873-c623ac13d74e</t>
  </si>
  <si>
    <t>3e58a2ea-5aae-4fb0-ba32-4f60fffbfcc6</t>
  </si>
  <si>
    <t>227.86.147.132</t>
  </si>
  <si>
    <t>ade71f27-a4ed-47ff-a779-d0bdde07933f</t>
  </si>
  <si>
    <t>4bd229e1-0d6a-4273-8f4c-9a6758e13e42</t>
  </si>
  <si>
    <t>254.54.118.142</t>
  </si>
  <si>
    <t>6710f888-aca5-458e-9600-8290cca0862f</t>
  </si>
  <si>
    <t>8ab8624a-1d68-4c8c-ae29-9e7b87117e0e</t>
  </si>
  <si>
    <t>37.49.105.86</t>
  </si>
  <si>
    <t>f4ebaa52-6314-4767-89e1-56bff7fa5f05</t>
  </si>
  <si>
    <t>6444ac76-a901-4a19-8763-f57658a6c31b</t>
  </si>
  <si>
    <t>8.20.99.3</t>
  </si>
  <si>
    <t>c72b38dc-e4de-4920-8f3a-29df685e6d7f</t>
  </si>
  <si>
    <t>673cb124-cd65-4980-82bf-19169cb4b5dc</t>
  </si>
  <si>
    <t>126.13.189.104</t>
  </si>
  <si>
    <t>ea878b1e-899d-4ecf-b58b-8a7d75a61683</t>
  </si>
  <si>
    <t>eb4df45c-3bdf-44a2-b005-e1db8ef52461</t>
  </si>
  <si>
    <t>73.218.227.64</t>
  </si>
  <si>
    <t>19f5e6d4-a68b-4582-87ec-a754253144eb</t>
  </si>
  <si>
    <t>109200b9-807f-4f55-95c0-a2e52f252983</t>
  </si>
  <si>
    <t>213.232.151.56</t>
  </si>
  <si>
    <t>8198352f-1810-4e94-97d7-ab0764482b9f</t>
  </si>
  <si>
    <t>6f5ac781-b44a-41a1-a5b4-302dfbe53c57</t>
  </si>
  <si>
    <t>184.61.227.221</t>
  </si>
  <si>
    <t>1be81f68-82c2-4fd5-b793-c835fe963245</t>
  </si>
  <si>
    <t>5c469e09-fdf2-476a-9fbe-5dcfbdb2ed65</t>
  </si>
  <si>
    <t>127.134.44.70</t>
  </si>
  <si>
    <t>8084d78a-44af-4a05-92dd-63d1c78df468</t>
  </si>
  <si>
    <t>9e8fd3ab-f66f-4f6a-8a64-c79a3615f1c4</t>
  </si>
  <si>
    <t>255.142.59.181</t>
  </si>
  <si>
    <t>b4c38f8f-b6df-48fa-a27b-d4b5f127405e</t>
  </si>
  <si>
    <t>c0deef54-85b4-4a23-8c52-2e6591bd9279</t>
  </si>
  <si>
    <t>206.40.113.38</t>
  </si>
  <si>
    <t>65afd9c0-783a-4e39-a305-93da57faca61</t>
  </si>
  <si>
    <t>e5758159-605f-416f-bf94-72b134ea0839</t>
  </si>
  <si>
    <t>84.80.171.141</t>
  </si>
  <si>
    <t>a6f033df-be32-40fe-9a20-7a5a04be59db</t>
  </si>
  <si>
    <t>fca59f1d-36b1-4a82-a4bf-b8463109e66d</t>
  </si>
  <si>
    <t>117.37.161.19</t>
  </si>
  <si>
    <t>4b253a0b-7815-43a6-b09f-aa9153248e1a</t>
  </si>
  <si>
    <t>c83db1e4-3e2e-4a1d-bccc-21d69992a391</t>
  </si>
  <si>
    <t>111.51.162.97</t>
  </si>
  <si>
    <t>62a9774c-6507-49d8-ae64-adbc42467cad</t>
  </si>
  <si>
    <t>2301b037-9b08-4a06-843f-8f7ecb28b3ee</t>
  </si>
  <si>
    <t>216.18.4.125</t>
  </si>
  <si>
    <t>0cbb904b-f1a9-4cdc-8e17-df1dc4c3a927</t>
  </si>
  <si>
    <t>6bb3d0c6-5594-44f3-8b6e-0a4f707eb803</t>
  </si>
  <si>
    <t>36.192.112.100</t>
  </si>
  <si>
    <t>a3726b4f-923c-4097-a3fd-49100b3b86b6</t>
  </si>
  <si>
    <t>b4ecc739-fdff-427c-8ad5-384b8eabb632</t>
  </si>
  <si>
    <t>68.240.77.248</t>
  </si>
  <si>
    <t>4f31045b-c5ad-46db-bf06-9211a1e40983</t>
  </si>
  <si>
    <t>64c02354-610e-4554-9c95-c200ac8e1a81</t>
  </si>
  <si>
    <t>209.95.254.144</t>
  </si>
  <si>
    <t>a353dc8c-85cc-438d-ba3c-ff1023d6e14a</t>
  </si>
  <si>
    <t>a8c822bb-80f3-4971-8680-ee94d73627fd</t>
  </si>
  <si>
    <t>34.101.45.109</t>
  </si>
  <si>
    <t>29884233-3bff-42ec-93a3-947649ae9bf0</t>
  </si>
  <si>
    <t>7049e828-752d-4313-a2ff-f0ed917aa67c</t>
  </si>
  <si>
    <t>1.222.34.251</t>
  </si>
  <si>
    <t>11efcfa6-de1b-4af1-9e75-4fd63b1800ed</t>
  </si>
  <si>
    <t>75d559c0-1b8c-4f13-89f5-2eb1a7d5eb8f</t>
  </si>
  <si>
    <t>143.106.91.19</t>
  </si>
  <si>
    <t>9d3803c3-65c5-465e-9fcd-274879227db1</t>
  </si>
  <si>
    <t>abd418ef-b43b-4bc2-965e-3da7c956f267</t>
  </si>
  <si>
    <t>108.134.194.120</t>
  </si>
  <si>
    <t>2b5059c4-a693-4834-b133-3ac1e573adbe</t>
  </si>
  <si>
    <t>0999caad-c56e-4067-aaec-dbc193472e16</t>
  </si>
  <si>
    <t>164.178.247.92</t>
  </si>
  <si>
    <t>461a27f4-8b78-4dcb-ac31-526dea3c6992</t>
  </si>
  <si>
    <t>9e1ddfd2-2dc1-4647-a789-9fc37f09f01b</t>
  </si>
  <si>
    <t>225.153.118.149</t>
  </si>
  <si>
    <t>0842aa18-d0af-481c-b73e-e694469af32d</t>
  </si>
  <si>
    <t>c6aa7407-bc05-44ac-8d3b-aa55521e81b5</t>
  </si>
  <si>
    <t>172.248.250.200</t>
  </si>
  <si>
    <t>a9f176dc-4fbb-4531-902a-ee3e9f0f67c4</t>
  </si>
  <si>
    <t>1ff1a282-fb5b-4f17-872e-d7b5625482ee</t>
  </si>
  <si>
    <t>154.182.246.151</t>
  </si>
  <si>
    <t>581853c6-aa4c-46e5-b3c3-7e1035ef59e3</t>
  </si>
  <si>
    <t>1181ac99-2684-4ce6-92e9-e7229839415c</t>
  </si>
  <si>
    <t>25.112.57.147</t>
  </si>
  <si>
    <t>08838373-1498-4adb-a89b-586a934b464d</t>
  </si>
  <si>
    <t>7e07c494-f7a5-428d-8611-83875dd74828</t>
  </si>
  <si>
    <t>108.228.166.126</t>
  </si>
  <si>
    <t>4dffe337-1f53-4c24-99bc-861aec3f277a</t>
  </si>
  <si>
    <t>37d8f82c-b5f7-4a98-9b8d-9e35d52c789e</t>
  </si>
  <si>
    <t>170.217.59.90</t>
  </si>
  <si>
    <t>681b9a9d-bc74-4e0f-ba51-c8892c7ca492</t>
  </si>
  <si>
    <t>9f5eb3dc-23af-4f17-a97c-80504d4451f0</t>
  </si>
  <si>
    <t>119.163.58.177</t>
  </si>
  <si>
    <t>85802758-dfb4-437f-8c8e-d9b61a40eecd</t>
  </si>
  <si>
    <t>dd1b8c61-a1e7-4f92-ac13-16f4ab7a6c8e</t>
  </si>
  <si>
    <t>179.203.65.247</t>
  </si>
  <si>
    <t>bc823835-84f2-423e-ba79-ff032bdf0b2d</t>
  </si>
  <si>
    <t>c1970537-483c-4ea6-9f4a-4cb5a0e69f60</t>
  </si>
  <si>
    <t>216.250.210.120</t>
  </si>
  <si>
    <t>ec6fe28b-0320-46ce-a8f4-db94fc4dca26</t>
  </si>
  <si>
    <t>25b2b9e9-70a0-4e4a-af4d-c5c288ec1b38</t>
  </si>
  <si>
    <t>8.148.137.110</t>
  </si>
  <si>
    <t>1f585dd0-a643-40af-bc66-320a3a13e8e0</t>
  </si>
  <si>
    <t>39a44f0b-4f88-4752-adb0-ddceb289b326</t>
  </si>
  <si>
    <t>228.209.31.165</t>
  </si>
  <si>
    <t>50d0df8f-d432-40bf-9dbd-36a4b7cf3a9b</t>
  </si>
  <si>
    <t>1bf7abed-68ad-419e-908b-f953756dbc06</t>
  </si>
  <si>
    <t>67.162.210.200</t>
  </si>
  <si>
    <t>7bc25773-fb58-4cad-9f90-bed66f4a2613</t>
  </si>
  <si>
    <t>07f52aeb-38ec-4263-84e9-ad68f71645f7</t>
  </si>
  <si>
    <t>208.226.217.204</t>
  </si>
  <si>
    <t>e276ed52-c50b-4d9d-b221-91ab20996d42</t>
  </si>
  <si>
    <t>72bb2878-f38a-44b0-b9be-80c451d238d8</t>
  </si>
  <si>
    <t>67.27.137.248</t>
  </si>
  <si>
    <t>ebaa2dbf-57b9-4e01-9e0a-77662a5227d9</t>
  </si>
  <si>
    <t>71d3c66c-c6bf-42be-b1a8-ec523ed8b578</t>
  </si>
  <si>
    <t>187.112.173.23</t>
  </si>
  <si>
    <t>ebb9d094-c846-428e-83c9-23ad5fc41c54</t>
  </si>
  <si>
    <t>faa73fdb-9594-4861-8bd1-4c03f376ea38</t>
  </si>
  <si>
    <t>79.229.209.113</t>
  </si>
  <si>
    <t>8f632826-2f57-4290-9eed-651ee014dda3</t>
  </si>
  <si>
    <t>97d333c6-0d21-401c-9f08-35f288b4e5e8</t>
  </si>
  <si>
    <t>147.85.105.56</t>
  </si>
  <si>
    <t>e060d607-4763-4de7-b900-d5142bff3f73</t>
  </si>
  <si>
    <t>8a10b0a8-761f-4102-8d28-2dc0d89185b9</t>
  </si>
  <si>
    <t>243.168.66.10</t>
  </si>
  <si>
    <t>22049a85-f781-4cc0-a407-d1b11ec48d46</t>
  </si>
  <si>
    <t>ca798491-9b51-4593-bfaf-bd42a218a31c</t>
  </si>
  <si>
    <t>244.10.194.46</t>
  </si>
  <si>
    <t>75019049-118e-48d6-bafe-28d50d57dc4a</t>
  </si>
  <si>
    <t>77918ad3-e1a8-470b-a5ea-94f65f9dd76a</t>
  </si>
  <si>
    <t>200.170.180.32</t>
  </si>
  <si>
    <t>077ec2d8-e8a1-4144-b05d-730a73ab62b9</t>
  </si>
  <si>
    <t>276dbe54-8b7c-4d18-881a-bcd0152befbd</t>
  </si>
  <si>
    <t>168.25.107.185</t>
  </si>
  <si>
    <t>72e6aa5f-f324-4984-8e8b-96f72bddf828</t>
  </si>
  <si>
    <t>b18a6e02-15c2-4316-84e2-8741f2176e8a</t>
  </si>
  <si>
    <t>138.101.80.202</t>
  </si>
  <si>
    <t>fa9f62a3-73dd-4e57-9944-3ca827dbfb4c</t>
  </si>
  <si>
    <t>11a11711-1f2d-43d7-a9f3-189f6f67e514</t>
  </si>
  <si>
    <t>221.117.148.82</t>
  </si>
  <si>
    <t>c3857919-195e-48da-b2fd-e4a35ca6e5f0</t>
  </si>
  <si>
    <t>818b36ad-8c92-43bd-81ef-ceb8a23a9a03</t>
  </si>
  <si>
    <t>234.191.169.211</t>
  </si>
  <si>
    <t>eaa1456d-2a95-4f7c-a70c-ea96f44eeeb8</t>
  </si>
  <si>
    <t>47035e07-460a-4d35-ba17-603c8aa8e616</t>
  </si>
  <si>
    <t>56.127.6.18</t>
  </si>
  <si>
    <t>7c99e721-c352-480a-9539-c3117171dbe4</t>
  </si>
  <si>
    <t>e9dfa3d4-022d-4a75-8b88-4f7a647ce956</t>
  </si>
  <si>
    <t>217.10.52.203</t>
  </si>
  <si>
    <t>2c88df1f-c481-4b44-a2a5-c80f7ee39f95</t>
  </si>
  <si>
    <t>f11a7e2a-da73-44cb-bcc4-6029c42e41fb</t>
  </si>
  <si>
    <t>203.248.21.80</t>
  </si>
  <si>
    <t>8c2ac783-f414-4058-8f56-d4782d62d9f4</t>
  </si>
  <si>
    <t>b86468c9-3966-4bbe-9015-583b6d00ab44</t>
  </si>
  <si>
    <t>73.154.12.117</t>
  </si>
  <si>
    <t>cc5fa7bb-4276-4e56-b05a-45dc7903f338</t>
  </si>
  <si>
    <t>71dbcb6b-e6cd-4025-af0d-913cc0ef90bb</t>
  </si>
  <si>
    <t>162.126.17.139</t>
  </si>
  <si>
    <t>538633b1-4b4b-45c2-a259-79e9ae5b3ae1</t>
  </si>
  <si>
    <t>20c16d0c-c2ce-4aae-9e27-7499840b0010</t>
  </si>
  <si>
    <t>192.63.193.205</t>
  </si>
  <si>
    <t>2a5bdc58-bd67-4cd0-9ecb-717cc04cd356</t>
  </si>
  <si>
    <t>a99cd13a-462c-4e5d-b85d-44ca68452685</t>
  </si>
  <si>
    <t>34.138.43.39</t>
  </si>
  <si>
    <t>bf05d686-78fa-4817-a06e-9862c3a8257c</t>
  </si>
  <si>
    <t>84672358-324d-4cf3-9cd2-bfa706587e40</t>
  </si>
  <si>
    <t>19.212.10.7</t>
  </si>
  <si>
    <t>584529b7-435e-4a4e-aeaa-efcd7fc1a6bc</t>
  </si>
  <si>
    <t>f6e775a1-7d0c-4fbb-a57d-275c7638f529</t>
  </si>
  <si>
    <t>191.77.48.200</t>
  </si>
  <si>
    <t>57e2875b-b557-4405-bc02-12aca73a4909</t>
  </si>
  <si>
    <t>6a7903ba-3c8e-47e7-b90d-e5828f66be1c</t>
  </si>
  <si>
    <t>50.159.165.217</t>
  </si>
  <si>
    <t>d288d622-f90e-4a1f-a4ac-3ada84b91772</t>
  </si>
  <si>
    <t>bbe4d765-726c-4a43-be18-c135ba4b06bf</t>
  </si>
  <si>
    <t>132.11.154.140</t>
  </si>
  <si>
    <t>0a6b4625-7026-402e-9a92-bb9bf89f4365</t>
  </si>
  <si>
    <t>079d7716-3601-4f48-a375-0280e88519a9</t>
  </si>
  <si>
    <t>118.103.51.135</t>
  </si>
  <si>
    <t>2c405c24-8343-419c-806e-a947daf3a76b</t>
  </si>
  <si>
    <t>7433f1a0-a35a-41ab-ae3a-003c8a3405b2</t>
  </si>
  <si>
    <t>249.241.192.149</t>
  </si>
  <si>
    <t>49155fc6-bb53-48f0-9728-e36adb63af99</t>
  </si>
  <si>
    <t>7a082cf4-b7dc-4878-b644-ca0a8cb01e53</t>
  </si>
  <si>
    <t>110.47.113.208</t>
  </si>
  <si>
    <t>202a9ed2-b01a-44c2-8ec1-c0f991aaf5eb</t>
  </si>
  <si>
    <t>24b957a5-b7b3-4b16-914a-ad79345cf50a</t>
  </si>
  <si>
    <t>144.142.247.145</t>
  </si>
  <si>
    <t>25877e8d-d177-4aed-8cb8-e5ea7176b748</t>
  </si>
  <si>
    <t>a2d121ae-13dd-4362-b7e3-73286f56518a</t>
  </si>
  <si>
    <t>233.125.195.8</t>
  </si>
  <si>
    <t>e15cdb01-77d4-453e-8701-652fe1adbeb3</t>
  </si>
  <si>
    <t>41942a72-9b60-49f2-bd7c-e20496663d7d</t>
  </si>
  <si>
    <t>255.254.201.190</t>
  </si>
  <si>
    <t>294de866-e328-42fb-90d5-28e45f566f15</t>
  </si>
  <si>
    <t>b1c11b7d-e882-4f3c-b0f9-60d79277eaf1</t>
  </si>
  <si>
    <t>196.55.231.114</t>
  </si>
  <si>
    <t>a8678d46-9a2f-4086-9342-a01a16e19c05</t>
  </si>
  <si>
    <t>6c4ac3ad-cdc3-460b-a27f-56b4ca30bd13</t>
  </si>
  <si>
    <t>148.12.203.118</t>
  </si>
  <si>
    <t>e1634acf-7942-4e43-99c2-d7506a7215f5</t>
  </si>
  <si>
    <t>4cb1f90c-7bca-436f-96a5-f5d091721ce9</t>
  </si>
  <si>
    <t>115.189.244.55</t>
  </si>
  <si>
    <t>f90cf3ca-e3f8-4837-b197-7299864bffde</t>
  </si>
  <si>
    <t>193fb6dd-8610-4134-b1fa-63439126d0da</t>
  </si>
  <si>
    <t>165.159.170.73</t>
  </si>
  <si>
    <t>0cc85ed5-e402-4676-b77b-a44c4eb7d1a3</t>
  </si>
  <si>
    <t>b598ca78-669f-4e50-b4c2-cb9d459ea161</t>
  </si>
  <si>
    <t>208.42.48.86</t>
  </si>
  <si>
    <t>ec152bc6-fb1f-48a8-ac66-a2b0e20239e1</t>
  </si>
  <si>
    <t>71221039-ffed-44a8-a645-f826e4fc717d</t>
  </si>
  <si>
    <t>54.250.127.42</t>
  </si>
  <si>
    <t>45f6c8c2-094c-4401-bca4-1f42d8875bd1</t>
  </si>
  <si>
    <t>368ff039-5835-4751-ab2f-4e301c169797</t>
  </si>
  <si>
    <t>37.206.242.119</t>
  </si>
  <si>
    <t>1ddb4eb5-1be3-4168-8206-a9e98a7ffa2d</t>
  </si>
  <si>
    <t>7eb895e4-0862-4464-adee-853926c15488</t>
  </si>
  <si>
    <t>16.252.129.210</t>
  </si>
  <si>
    <t>231615f8-fb6b-4caa-845d-cb9dee247a63</t>
  </si>
  <si>
    <t>c10e73d8-1544-478c-a600-b179af7095d1</t>
  </si>
  <si>
    <t>80.172.77.18</t>
  </si>
  <si>
    <t>9088470f-d8bf-48f9-8cd3-cac113fab320</t>
  </si>
  <si>
    <t>690d6cb7-ced6-416e-be0a-8a0da8eb1567</t>
  </si>
  <si>
    <t>83.208.2.137</t>
  </si>
  <si>
    <t>a8ce17f5-03c8-4fea-9e58-1bd76ab9907f</t>
  </si>
  <si>
    <t>b30f134b-36cf-449e-9c09-0ddff9786d92</t>
  </si>
  <si>
    <t>177.107.250.255</t>
  </si>
  <si>
    <t>4ce84a8d-4061-454d-a194-c5d71d7867ce</t>
  </si>
  <si>
    <t>e4fd11c5-34b3-4c05-b051-d065af32685a</t>
  </si>
  <si>
    <t>81.120.164.236</t>
  </si>
  <si>
    <t>d28643d1-9123-40de-9ce9-8e253584c89b</t>
  </si>
  <si>
    <t>ae88a2ca-877f-4aa1-bc5f-ec9e9bb52a1f</t>
  </si>
  <si>
    <t>182.247.41.53</t>
  </si>
  <si>
    <t>78188d99-efc7-4412-9adb-ded1900e4332</t>
  </si>
  <si>
    <t>d2271037-5b5e-4952-956d-9d72cdddeb53</t>
  </si>
  <si>
    <t>109.39.192.65</t>
  </si>
  <si>
    <t>ba411241-04cc-4e6b-b77e-72c561c1acfc</t>
  </si>
  <si>
    <t>16404a5a-1db9-48e3-815a-6f19bc762296</t>
  </si>
  <si>
    <t>194.6.82.62</t>
  </si>
  <si>
    <t>7b19ccf5-f548-4445-9657-b53a65329b56</t>
  </si>
  <si>
    <t>db451019-dee1-48e6-ab4a-5334b11a4d2d</t>
  </si>
  <si>
    <t>43.101.224.58</t>
  </si>
  <si>
    <t>7a61f318-15c1-416c-a1c1-85fd58a0caeb</t>
  </si>
  <si>
    <t>83f9e3fa-72cd-4dca-a643-89527ecad8e0</t>
  </si>
  <si>
    <t>10.217.253.87</t>
  </si>
  <si>
    <t>6c92ca8b-da6f-4a2b-b861-cd47f5fcb7b0</t>
  </si>
  <si>
    <t>0f9be81b-e52d-4a79-9aca-70f8a0a1e3d6</t>
  </si>
  <si>
    <t>161.249.71.214</t>
  </si>
  <si>
    <t>176e361f-c629-4890-a084-9afe25df321e</t>
  </si>
  <si>
    <t>aa4a9fdc-9749-46a7-bcc3-7d4929785fc6</t>
  </si>
  <si>
    <t>103.4.151.60</t>
  </si>
  <si>
    <t>99623f78-c3b6-4a33-9fbc-92a623eba5f1</t>
  </si>
  <si>
    <t>f8880f31-cc85-42dd-b96f-36c796b4272a</t>
  </si>
  <si>
    <t>112.150.138.165</t>
  </si>
  <si>
    <t>e9330a00-4e6e-4eab-9fd5-8580f40194f7</t>
  </si>
  <si>
    <t>35158682-76d0-4bcd-ad91-fb7c7477e11e</t>
  </si>
  <si>
    <t>158.190.84.72</t>
  </si>
  <si>
    <t>2ba7d5af-3cef-485e-9bc9-0d3f3c1485f2</t>
  </si>
  <si>
    <t>4a92c237-fdd8-4946-9c86-36d358a32d76</t>
  </si>
  <si>
    <t>75.104.190.128</t>
  </si>
  <si>
    <t>d803023d-ec9d-4449-9249-f821da56189e</t>
  </si>
  <si>
    <t>a3ae70aa-5d74-44c2-8438-8b5a55ae9ca8</t>
  </si>
  <si>
    <t>121.236.107.169</t>
  </si>
  <si>
    <t>cdc680e9-1a19-4269-be64-8daf1c73cd69</t>
  </si>
  <si>
    <t>e0bec00f-d80a-4d28-af16-5b94affc969e</t>
  </si>
  <si>
    <t>238.69.84.242</t>
  </si>
  <si>
    <t>945aa577-1202-4dcf-a340-d8f08efa4bc9</t>
  </si>
  <si>
    <t>b2ef4896-e188-4fd9-87ca-5a7e4235f072</t>
  </si>
  <si>
    <t>3.162.213.91</t>
  </si>
  <si>
    <t>5618ba59-070e-474b-882f-19898fb2e44f</t>
  </si>
  <si>
    <t>dae12df6-36ee-4e89-a47d-6f9bdd05dbae</t>
  </si>
  <si>
    <t>39.240.34.2</t>
  </si>
  <si>
    <t>61ee09f1-fe37-4376-b0f1-2e573ebb2102</t>
  </si>
  <si>
    <t>f7d384d5-48b1-40d6-bd4b-228ce8dac381</t>
  </si>
  <si>
    <t>80.96.102.48</t>
  </si>
  <si>
    <t>7e3eac40-f14f-401f-b4b4-85b1da0e215b</t>
  </si>
  <si>
    <t>4a477d17-0352-4ec7-aad1-df9333f6dcf4</t>
  </si>
  <si>
    <t>138.234.169.48</t>
  </si>
  <si>
    <t>dda6cfc6-58a0-4f0c-bde7-8db19d4b0b9d</t>
  </si>
  <si>
    <t>f6fbc7bb-af6e-4e76-9304-ff46eb86fe7a</t>
  </si>
  <si>
    <t>16.239.80.34</t>
  </si>
  <si>
    <t>08eb95a1-39cf-4a9f-9e9a-e938e70b2ce4</t>
  </si>
  <si>
    <t>2e162b3c-5279-478d-a5a2-3ead90f6da06</t>
  </si>
  <si>
    <t>90.115.176.7</t>
  </si>
  <si>
    <t>dd654731-f26f-4027-9313-bfe39d3355e3</t>
  </si>
  <si>
    <t>8469b9c6-6ff2-4839-b08d-2772b9f0a1ee</t>
  </si>
  <si>
    <t>238.98.140.145</t>
  </si>
  <si>
    <t>e749eeaa-29da-4cb6-b73a-da292643b412</t>
  </si>
  <si>
    <t>f48e67d3-1738-4a8c-9d1b-260ded6a0929</t>
  </si>
  <si>
    <t>211.218.156.188</t>
  </si>
  <si>
    <t>7027b046-3a59-4e4e-a273-2ce6dabb5d56</t>
  </si>
  <si>
    <t>73f3997a-e8a8-4e13-b71f-815e224fffb4</t>
  </si>
  <si>
    <t>160.206.130.103</t>
  </si>
  <si>
    <t>88be8249-4aba-4306-9e49-ba57d575c57f</t>
  </si>
  <si>
    <t>dbd53e96-32f1-4d08-92dc-2da371fb60f7</t>
  </si>
  <si>
    <t>20.78.52.110</t>
  </si>
  <si>
    <t>190e307b-f72a-4fdb-baa0-93665b4c0e83</t>
  </si>
  <si>
    <t>dc1187d8-c12c-4d33-a090-f095b7e3d556</t>
  </si>
  <si>
    <t>72.91.134.52</t>
  </si>
  <si>
    <t>521d9d39-a8f2-44f9-9a02-8eee5f8a823f</t>
  </si>
  <si>
    <t>51f57bf7-5839-464a-9464-52d98bd15c71</t>
  </si>
  <si>
    <t>33.196.169.141</t>
  </si>
  <si>
    <t>df470291-42a4-4809-a1c5-40c5a62e0c6f</t>
  </si>
  <si>
    <t>73996905-a809-4294-9590-5c0999dae889</t>
  </si>
  <si>
    <t>248.242.107.86</t>
  </si>
  <si>
    <t>22f38cf5-d3c8-45f5-8ddf-00a1fb4b437e</t>
  </si>
  <si>
    <t>f738eefa-70c7-435d-abed-d44a5c03b60a</t>
  </si>
  <si>
    <t>1.118.110.46</t>
  </si>
  <si>
    <t>2fcbeb79-8286-4d0d-a2cd-2c6c4121d248</t>
  </si>
  <si>
    <t>9a7814bf-7727-48fb-a9c3-c94159406837</t>
  </si>
  <si>
    <t>238.75.73.84</t>
  </si>
  <si>
    <t>125b9245-42f5-476b-bfb3-cfad1ae8341b</t>
  </si>
  <si>
    <t>168eac72-b788-480d-9d4b-783776b3497c</t>
  </si>
  <si>
    <t>122.0.165.39</t>
  </si>
  <si>
    <t>104d296a-1717-4ac3-bf25-c99356db5c1c</t>
  </si>
  <si>
    <t>8392b2ea-ab17-4e25-bece-bfe291a8cad5</t>
  </si>
  <si>
    <t>230.26.70.225</t>
  </si>
  <si>
    <t>b14b426c-6579-49be-be9f-d0a54ce581cd</t>
  </si>
  <si>
    <t>99afc1af-49d9-4349-90f4-71a219b8dac1</t>
  </si>
  <si>
    <t>109.241.167.154</t>
  </si>
  <si>
    <t>2d243be9-11d1-49aa-ba92-3615f744de23</t>
  </si>
  <si>
    <t>71d04d23-5196-4083-8d66-20a52b373aad</t>
  </si>
  <si>
    <t>129.60.123.201</t>
  </si>
  <si>
    <t>8a8ef429-ebbf-4d7e-b263-10663c966a0f</t>
  </si>
  <si>
    <t>27f8feed-96f9-4cd0-acd3-e8d185c0cd97</t>
  </si>
  <si>
    <t>97.197.242.181</t>
  </si>
  <si>
    <t>33858931-47fa-4637-8813-09b87284344f</t>
  </si>
  <si>
    <t>0eedb1e0-3286-405d-bf43-536cd7348791</t>
  </si>
  <si>
    <t>80.162.40.109</t>
  </si>
  <si>
    <t>09231220-548b-4081-a6ca-b72cca4bedaf</t>
  </si>
  <si>
    <t>5a325d12-1c42-4a31-aab1-b1404917a73c</t>
  </si>
  <si>
    <t>245.85.142.73</t>
  </si>
  <si>
    <t>f56328d5-2086-4c4c-b77a-11366efb0e9f</t>
  </si>
  <si>
    <t>eed22cc7-798b-4038-ab15-23e61310f5d2</t>
  </si>
  <si>
    <t>216.223.226.250</t>
  </si>
  <si>
    <t>9751b57e-c95a-4fce-85d8-4bd1428c7d8f</t>
  </si>
  <si>
    <t>26b70dd9-2be3-4054-905a-778ec520f93d</t>
  </si>
  <si>
    <t>178.128.61.222</t>
  </si>
  <si>
    <t>1d9f6c71-524d-4701-8b98-bd1f9e086ec2</t>
  </si>
  <si>
    <t>566a3fff-63cc-41f7-8242-5f43300c5029</t>
  </si>
  <si>
    <t>167.178.91.12</t>
  </si>
  <si>
    <t>41d554a0-0e4c-41d2-822b-16ed475e20e6</t>
  </si>
  <si>
    <t>2c9bb790-0534-4f44-ae30-b243d126b437</t>
  </si>
  <si>
    <t>222.187.238.177</t>
  </si>
  <si>
    <t>f57febd5-7213-4de5-9564-3a1bd280161f</t>
  </si>
  <si>
    <t>2c192ffa-ab3c-4101-8f71-051919ab06c2</t>
  </si>
  <si>
    <t>187.217.109.97</t>
  </si>
  <si>
    <t>6e62a3ae-03c3-4ea3-900a-b629aaf56770</t>
  </si>
  <si>
    <t>a959c17f-cb89-4fb3-849d-e1f84d7d9b6a</t>
  </si>
  <si>
    <t>98.191.91.5</t>
  </si>
  <si>
    <t>50248aca-e437-4efd-b7e6-d196b6b53484</t>
  </si>
  <si>
    <t>eece1030-beec-4e29-aa05-31409921df91</t>
  </si>
  <si>
    <t>51.226.184.99</t>
  </si>
  <si>
    <t>a4d55464-577a-49d8-9775-2f30dcc31ffe</t>
  </si>
  <si>
    <t>e1f51f1a-7283-4cff-b9b8-627fcc9687bd</t>
  </si>
  <si>
    <t>2.158.168.48</t>
  </si>
  <si>
    <t>0dd36ee7-3515-4180-abe6-c3f9447ffcf3</t>
  </si>
  <si>
    <t>7911a405-8db1-49e0-bfa4-ed52edd46f14</t>
  </si>
  <si>
    <t>234.188.129.6</t>
  </si>
  <si>
    <t>8441f19a-4573-4ab3-9dee-314f612b6582</t>
  </si>
  <si>
    <t>18cb73e9-44da-45d3-941c-0903e4a1a33e</t>
  </si>
  <si>
    <t>156.139.17.140</t>
  </si>
  <si>
    <t>728eb748-e497-4c6e-ba2e-4c5a6784ce05</t>
  </si>
  <si>
    <t>c8a68739-99fe-4dbd-9901-3a1322bd7084</t>
  </si>
  <si>
    <t>165.245.203.22</t>
  </si>
  <si>
    <t>b905b0ec-1aa1-41b3-8a42-ac2a1d885951</t>
  </si>
  <si>
    <t>09139ae0-be91-4823-bc5d-bbaed51655bc</t>
  </si>
  <si>
    <t>255.129.140.29</t>
  </si>
  <si>
    <t>e01943d6-3265-4846-97d6-6759e8b27621</t>
  </si>
  <si>
    <t>6e7504d4-dc99-4a27-9cb1-0999b33de792</t>
  </si>
  <si>
    <t>249.15.241.232</t>
  </si>
  <si>
    <t>d5dca143-a9d1-4e9e-9aec-25f0f9a1bf3f</t>
  </si>
  <si>
    <t>da0f698f-1468-48c2-9cc9-ac9db4f5998c</t>
  </si>
  <si>
    <t>126.88.242.53</t>
  </si>
  <si>
    <t>5ec219c8-d902-4c3a-8c10-d3a931d5a3d5</t>
  </si>
  <si>
    <t>25bba9f8-cab2-4641-b212-880a2e5b83e3</t>
  </si>
  <si>
    <t>10.189.14.78</t>
  </si>
  <si>
    <t>bc723c04-a842-4026-8df7-ab57bcbb7524</t>
  </si>
  <si>
    <t>f62347d2-bd78-49f6-95ea-451df5909763</t>
  </si>
  <si>
    <t>181.90.67.42</t>
  </si>
  <si>
    <t>ce9e672d-bec7-4ed0-a3f6-b4911a7c680b</t>
  </si>
  <si>
    <t>888407b9-09f5-484f-88ba-03492dd7d85a</t>
  </si>
  <si>
    <t>108.61.28.227</t>
  </si>
  <si>
    <t>b127a6a3-44de-4ee3-9b3b-2589619e1dad</t>
  </si>
  <si>
    <t>176fdff9-d461-4571-8a25-76dad6639066</t>
  </si>
  <si>
    <t>164.31.160.49</t>
  </si>
  <si>
    <t>1c0254e8-6341-45c4-824c-f76c8170fde0</t>
  </si>
  <si>
    <t>919311e3-e1c4-492e-b80a-99fea50e8035</t>
  </si>
  <si>
    <t>220.142.99.8</t>
  </si>
  <si>
    <t>c9b85f53-0bb7-451f-a8e3-3ae64eeae045</t>
  </si>
  <si>
    <t>1177a7f2-24e6-4f35-bb25-0e5be989d8a4</t>
  </si>
  <si>
    <t>86.162.86.187</t>
  </si>
  <si>
    <t>d19e2cb5-e535-4427-baaf-47b7c83005b9</t>
  </si>
  <si>
    <t>3a2274a2-593e-409f-938f-9a84666cf27e</t>
  </si>
  <si>
    <t>133.7.206.213</t>
  </si>
  <si>
    <t>c4541843-ce39-4e0a-a5c6-0f20d466192c</t>
  </si>
  <si>
    <t>10d63c77-bab7-4119-9971-9ed8ab8768e1</t>
  </si>
  <si>
    <t>215.31.33.98</t>
  </si>
  <si>
    <t>69cf9bef-f4a9-46ee-8c0d-5c8bb90414d8</t>
  </si>
  <si>
    <t>77615af4-1f0a-4ad4-a847-7ce46df8e9cf</t>
  </si>
  <si>
    <t>212.75.136.42</t>
  </si>
  <si>
    <t>47e7bb95-62ff-41e2-bca7-feacf1f88d29</t>
  </si>
  <si>
    <t>8ad8ca66-92b8-4ebf-8a18-3aa622f7bcc8</t>
  </si>
  <si>
    <t>45.227.22.141</t>
  </si>
  <si>
    <t>cd4cc71d-5b79-4559-b736-ff06fd16557d</t>
  </si>
  <si>
    <t>daa0202c-e544-4ad9-9aec-44a34b03ef7c</t>
  </si>
  <si>
    <t>156.101.209.88</t>
  </si>
  <si>
    <t>971295ab-c6fc-4245-9485-e1abaf7d177f</t>
  </si>
  <si>
    <t>701f5a10-4bd9-4cbd-b208-31ebe4ed7438</t>
  </si>
  <si>
    <t>163.1.159.140</t>
  </si>
  <si>
    <t>9d3f41de-6645-43a2-bd3d-12c72e70dc2b</t>
  </si>
  <si>
    <t>e64a62b1-0647-4612-966f-b3f612fb1383</t>
  </si>
  <si>
    <t>144.179.60.174</t>
  </si>
  <si>
    <t>9cc3ff28-9a0b-430e-9280-397c5af311bf</t>
  </si>
  <si>
    <t>09c2af40-5430-450c-be1b-962840cd17e5</t>
  </si>
  <si>
    <t>120.44.237.45</t>
  </si>
  <si>
    <t>8c8b62ca-2f70-4f76-aae2-4621f7b5b22f</t>
  </si>
  <si>
    <t>623b006e-acfb-43b2-a2e2-67e399b9255c</t>
  </si>
  <si>
    <t>30.46.93.44</t>
  </si>
  <si>
    <t>5451a209-0254-4945-b5f6-4942aba04fe4</t>
  </si>
  <si>
    <t>f304cbe3-ef35-4728-ab73-3a475a075c6c</t>
  </si>
  <si>
    <t>48.162.10.86</t>
  </si>
  <si>
    <t>f543bed5-a8d6-42a4-b48e-dd7f50d49f9f</t>
  </si>
  <si>
    <t>2003d3bf-4374-4f05-a2ec-f3230443be41</t>
  </si>
  <si>
    <t>202.5.111.191</t>
  </si>
  <si>
    <t>64e039c9-d9ef-4fbc-b736-c3926e128d73</t>
  </si>
  <si>
    <t>f46e68b8-245a-4ea2-9166-0a76341ab7d6</t>
  </si>
  <si>
    <t>118.41.126.157</t>
  </si>
  <si>
    <t>280ad17b-1893-440d-99a6-f3d674bcdce7</t>
  </si>
  <si>
    <t>7607b1bb-abd9-4a57-af6b-2c82e2c952e3</t>
  </si>
  <si>
    <t>215.97.67.158</t>
  </si>
  <si>
    <t>9001ba9e-ad9e-4f00-8800-ee60cb97c09e</t>
  </si>
  <si>
    <t>01741a26-634f-4183-a1bd-99ff5c69748d</t>
  </si>
  <si>
    <t>14.194.146.91</t>
  </si>
  <si>
    <t>2ff6ad65-d759-4b8d-94fe-3a3d6450c6f5</t>
  </si>
  <si>
    <t>6f052737-25c5-4a72-8e84-24738172534b</t>
  </si>
  <si>
    <t>72.71.161.211</t>
  </si>
  <si>
    <t>7c8edada-daa8-4e7f-984f-f6230d2b1a8c</t>
  </si>
  <si>
    <t>a2d2c0fc-41fb-43c8-8f6a-d5a525bc028a</t>
  </si>
  <si>
    <t>58.96.139.102</t>
  </si>
  <si>
    <t>8d586d93-a2f4-4498-8b35-e288ff098280</t>
  </si>
  <si>
    <t>2734eaae-d047-44f8-92a3-9428b45d36fb</t>
  </si>
  <si>
    <t>46.151.132.225</t>
  </si>
  <si>
    <t>942aa7bd-3146-4059-84d2-fa4ca5d1bb29</t>
  </si>
  <si>
    <t>0151b1aa-7f4c-4fb8-b363-322cc4a77a5b</t>
  </si>
  <si>
    <t>68.47.250.181</t>
  </si>
  <si>
    <t>da42a063-eb3d-4e84-bb21-d1593ad2b174</t>
  </si>
  <si>
    <t>87d27f2b-5885-4019-947b-218fce6efca4</t>
  </si>
  <si>
    <t>149.186.178.230</t>
  </si>
  <si>
    <t>6a591edd-8cc2-4f95-8597-75c9394d5ec1</t>
  </si>
  <si>
    <t>df77318b-c926-4780-bd73-52a3c523318e</t>
  </si>
  <si>
    <t>213.87.18.197</t>
  </si>
  <si>
    <t>ebecf66f-734f-43a5-be87-297ee32ad131</t>
  </si>
  <si>
    <t>d238f3de-35f2-4a6e-8d22-a656d637cc58</t>
  </si>
  <si>
    <t>40.107.222.177</t>
  </si>
  <si>
    <t>67d193ba-38cd-4a00-872b-d4c5167b429b</t>
  </si>
  <si>
    <t>bc8fa66e-e36b-47a1-821f-a27294733b99</t>
  </si>
  <si>
    <t>166.147.106.175</t>
  </si>
  <si>
    <t>a130e9c2-eadc-45a7-9b82-8d9bd3f00928</t>
  </si>
  <si>
    <t>158936ed-19a0-4f67-80d2-d6d9609362ed</t>
  </si>
  <si>
    <t>180.137.46.107</t>
  </si>
  <si>
    <t>524c5a0d-75b8-41e7-8fc9-aebbcfba8c85</t>
  </si>
  <si>
    <t>bc78a490-0f9c-41ca-b13d-2862b26613c6</t>
  </si>
  <si>
    <t>67.111.239.133</t>
  </si>
  <si>
    <t>edf560ab-aea9-4b62-93cf-7a95eb6ea6bb</t>
  </si>
  <si>
    <t>93b897d0-ea26-4df5-9a9b-bcc8e3ff55cb</t>
  </si>
  <si>
    <t>9.59.95.243</t>
  </si>
  <si>
    <t>03f21cae-ae8f-4566-916e-bafdb6999375</t>
  </si>
  <si>
    <t>fe318e57-3f42-4147-9217-3960a6dad9ac</t>
  </si>
  <si>
    <t>36.239.165.190</t>
  </si>
  <si>
    <t>848198bf-2fd5-4b8f-9175-84c54a09f14b</t>
  </si>
  <si>
    <t>f3926f33-cfec-41a0-a113-7a2e7b098d09</t>
  </si>
  <si>
    <t>145.193.17.165</t>
  </si>
  <si>
    <t>38a9d6f7-f500-423d-a0dc-a9ac2255e712</t>
  </si>
  <si>
    <t>a3ff99b8-4407-45b8-bd11-fb6ee27fe151</t>
  </si>
  <si>
    <t>180.53.183.4</t>
  </si>
  <si>
    <t>22952db1-4b91-447e-a1e4-b0c448a67645</t>
  </si>
  <si>
    <t>ad056aa2-fd30-4285-9d25-7ec07f5b9f69</t>
  </si>
  <si>
    <t>41.215.243.171</t>
  </si>
  <si>
    <t>e15b13b3-b268-492e-8241-4194cfa0baa3</t>
  </si>
  <si>
    <t>ee662c34-d683-4a0a-952b-6e70cffd5d56</t>
  </si>
  <si>
    <t>87.51.95.183</t>
  </si>
  <si>
    <t>a619e5f1-7aab-4afb-920d-e3cad934c030</t>
  </si>
  <si>
    <t>d762a4c5-1f92-4080-8a1b-b017d79144e5</t>
  </si>
  <si>
    <t>79.83.239.95</t>
  </si>
  <si>
    <t>5e4c8ab3-df50-4372-b930-db21e341ada8</t>
  </si>
  <si>
    <t>32e83c6b-992f-4443-bc09-310a0f85c0d4</t>
  </si>
  <si>
    <t>193.11.224.233</t>
  </si>
  <si>
    <t>f4c69872-2609-452c-9011-6af0f72f1c1b</t>
  </si>
  <si>
    <t>6fc34ae0-858f-48aa-a753-c75e441a8c63</t>
  </si>
  <si>
    <t>152.222.204.242</t>
  </si>
  <si>
    <t>85e389db-4d6c-4d7e-8ee0-a5b6b214f98e</t>
  </si>
  <si>
    <t>4af0873e-0159-4a35-8834-8bf55a6a2b1f</t>
  </si>
  <si>
    <t>214.124.129.191</t>
  </si>
  <si>
    <t>513f6b09-593b-4d01-aefb-0a3e0e11589a</t>
  </si>
  <si>
    <t>b648a4f7-3f43-42c4-b27d-cc292fa2c3f0</t>
  </si>
  <si>
    <t>154.172.247.205</t>
  </si>
  <si>
    <t>50ae5de2-a4e3-4581-b59f-e5c619cba018</t>
  </si>
  <si>
    <t>fee2268d-b8e4-4969-87e8-eed00d1fb165</t>
  </si>
  <si>
    <t>77.20.119.55</t>
  </si>
  <si>
    <t>4f02b202-996b-4c5f-a082-2b6616e050e9</t>
  </si>
  <si>
    <t>63b012c0-c971-4091-905c-2a21c886f09d</t>
  </si>
  <si>
    <t>108.218.137.205</t>
  </si>
  <si>
    <t>3318aec3-c19e-4668-b30f-df5cfb398769</t>
  </si>
  <si>
    <t>bdf75149-39c3-475c-8563-135ac8fa66cf</t>
  </si>
  <si>
    <t>152.14.83.85</t>
  </si>
  <si>
    <t>8f6cda1b-600d-41b9-8f2d-6e546966031c</t>
  </si>
  <si>
    <t>3d735ee6-69c5-4e08-a50f-8f5dc5079391</t>
  </si>
  <si>
    <t>237.153.101.71</t>
  </si>
  <si>
    <t>8a380965-69b3-4582-a99b-d642ca1259ba</t>
  </si>
  <si>
    <t>059edb76-3296-4aa4-924d-eb9dde723fdd</t>
  </si>
  <si>
    <t>34.170.27.46</t>
  </si>
  <si>
    <t>ebaadb3e-18df-4f90-b3d3-a2aa6a3551f0</t>
  </si>
  <si>
    <t>0bc43f5b-59e4-41da-879b-4a9fc95b53b2</t>
  </si>
  <si>
    <t>80.72.177.234</t>
  </si>
  <si>
    <t>71e4bcb2-c5c1-42b2-ae18-634fb7bcec17</t>
  </si>
  <si>
    <t>46137430-34df-4ed9-aec5-7e5c80993fb5</t>
  </si>
  <si>
    <t>102.84.235.0</t>
  </si>
  <si>
    <t>3b0c1e23-77e1-426f-9ada-63a4ab090207</t>
  </si>
  <si>
    <t>c77bc7c2-1abd-4968-be79-0c17c9f77c87</t>
  </si>
  <si>
    <t>169.75.102.88</t>
  </si>
  <si>
    <t>c0c44332-d0b5-4317-aba5-ca43c77dc448</t>
  </si>
  <si>
    <t>6c0f8a1e-d6ef-4902-aa42-9dd36e45bb96</t>
  </si>
  <si>
    <t>78.157.41.94</t>
  </si>
  <si>
    <t>ccfbe04b-c63c-48df-bd4c-e9f79f8791a0</t>
  </si>
  <si>
    <t>7436bb95-5626-42e7-a4ad-fa64acfbbf6e</t>
  </si>
  <si>
    <t>61.104.223.46</t>
  </si>
  <si>
    <t>204d77cb-59a8-47b5-9c70-b3ec13ed4402</t>
  </si>
  <si>
    <t>b66f3655-9026-487e-b2b1-0c4ec7975ca7</t>
  </si>
  <si>
    <t>186.125.78.191</t>
  </si>
  <si>
    <t>4ad3a5ac-d5d4-4f45-b142-ea817eef6610</t>
  </si>
  <si>
    <t>999bc10a-dd16-4b55-bd31-fa1c60136b4f</t>
  </si>
  <si>
    <t>2.244.81.176</t>
  </si>
  <si>
    <t>a3c9dda8-ff11-4f9a-b218-3d64ed6dface</t>
  </si>
  <si>
    <t>68e4340e-29f8-4701-b540-6c8a3fbcbe6f</t>
  </si>
  <si>
    <t>26.241.201.108</t>
  </si>
  <si>
    <t>98e2a5f5-2835-4975-add1-f8ae67c2225a</t>
  </si>
  <si>
    <t>aa305fe7-b776-47d3-aa73-9dd5b58b7a08</t>
  </si>
  <si>
    <t>234.241.192.237</t>
  </si>
  <si>
    <t>bd203a0f-ffcb-4e42-95b2-973d3cc8ac15</t>
  </si>
  <si>
    <t>ca7f24f6-e1f8-40aa-a8dd-d8c2fed34fc7</t>
  </si>
  <si>
    <t>181.124.49.198</t>
  </si>
  <si>
    <t>3a968b27-1a92-4d35-a932-8bd05700b966</t>
  </si>
  <si>
    <t>f405943a-0adf-47c9-84e3-17e89ee4c37d</t>
  </si>
  <si>
    <t>33.162.68.204</t>
  </si>
  <si>
    <t>c0abaaeb-52ad-4f5d-a5ee-5d07aa690d53</t>
  </si>
  <si>
    <t>8bc08fb3-655b-4028-afb4-7de1bd07d501</t>
  </si>
  <si>
    <t>198.167.144.217</t>
  </si>
  <si>
    <t>eea4b124-c414-4101-be78-1e223b6c50c7</t>
  </si>
  <si>
    <t>bfc261bd-564b-4d67-a52b-ca0b82b47aa3</t>
  </si>
  <si>
    <t>153.201.36.177</t>
  </si>
  <si>
    <t>bcc5edc8-2c8b-4940-8991-aa7a1ff33737</t>
  </si>
  <si>
    <t>aff6ccbd-4de5-45e3-a51a-a3338983582c</t>
  </si>
  <si>
    <t>126.13.113.91</t>
  </si>
  <si>
    <t>bb5471a4-26b5-48a0-903a-b6af6bd5a213</t>
  </si>
  <si>
    <t>b429daab-8d76-48db-993d-43c0a470b408</t>
  </si>
  <si>
    <t>197.120.188.185</t>
  </si>
  <si>
    <t>04961922-ac25-4d46-9c90-c3f7dea102af</t>
  </si>
  <si>
    <t>70499128-fd84-4004-9ffc-99bb996e2950</t>
  </si>
  <si>
    <t>88.0.203.39</t>
  </si>
  <si>
    <t>e08a71b7-160b-445a-beb1-9534b74bf061</t>
  </si>
  <si>
    <t>02ff8aef-b4d9-4b1e-bbb7-47774b109c72</t>
  </si>
  <si>
    <t>166.117.70.255</t>
  </si>
  <si>
    <t>0a855dfc-152f-498c-b09a-b44ce445febc</t>
  </si>
  <si>
    <t>37a5cfbb-b43d-49b5-ad9d-7a738398daa5</t>
  </si>
  <si>
    <t>49.22.108.154</t>
  </si>
  <si>
    <t>c92c6e49-c5b4-40ba-a007-d4fc19d98261</t>
  </si>
  <si>
    <t>1cc9acc3-8a00-4fce-9081-14ea6fd0c8c9</t>
  </si>
  <si>
    <t>112.47.173.196</t>
  </si>
  <si>
    <t>191bebd9-c57c-4122-8b04-a36bfe87b7f5</t>
  </si>
  <si>
    <t>b07c507c-0052-4a25-b04d-64538c2287a1</t>
  </si>
  <si>
    <t>168.92.217.77</t>
  </si>
  <si>
    <t>caf34f3d-f321-469b-b04b-c936aed03030</t>
  </si>
  <si>
    <t>bb2f0650-8199-4bc4-b5f0-f7c751b2ad13</t>
  </si>
  <si>
    <t>73.159.198.246</t>
  </si>
  <si>
    <t>04a77817-a4f0-4593-8397-1580f8b0bacd</t>
  </si>
  <si>
    <t>b7d7b894-61e2-452d-97c3-7be0099f79ff</t>
  </si>
  <si>
    <t>9.133.215.91</t>
  </si>
  <si>
    <t>a001fe9e-bfa2-49dc-920c-1b27db355444</t>
  </si>
  <si>
    <t>029784b9-8d11-4998-b36c-f5b4e16464a9</t>
  </si>
  <si>
    <t>42.203.54.238</t>
  </si>
  <si>
    <t>fb6f026c-e094-429a-ac13-cbcdcae682d2</t>
  </si>
  <si>
    <t>3a96ddc2-49bd-423c-a66b-92633bbc352c</t>
  </si>
  <si>
    <t>207.42.177.51</t>
  </si>
  <si>
    <t>f9737f17-03a4-490d-b3e8-bb35f837b32d</t>
  </si>
  <si>
    <t>7f08cd25-9073-44d0-bb48-0dcc852dd550</t>
  </si>
  <si>
    <t>168.207.6.82</t>
  </si>
  <si>
    <t>1e111286-5f4b-4725-bafe-09389a557786</t>
  </si>
  <si>
    <t>de58cee1-f609-49d9-8ce1-5f24e2a0c5f6</t>
  </si>
  <si>
    <t>82.65.196.232</t>
  </si>
  <si>
    <t>a1d9aab2-235e-45a0-bea5-2932afc0df36</t>
  </si>
  <si>
    <t>6b667c0b-01c6-4057-b649-ffa9238d8fc5</t>
  </si>
  <si>
    <t>3.248.205.216</t>
  </si>
  <si>
    <t>dad8b667-0a11-4168-b616-397b559d69d6</t>
  </si>
  <si>
    <t>ca6f9374-92e0-42c7-849a-8e7b0895637e</t>
  </si>
  <si>
    <t>198.27.155.217</t>
  </si>
  <si>
    <t>42fc86f5-4777-485b-a4ef-fb495336c0b6</t>
  </si>
  <si>
    <t>a7e6cddd-0e1b-48fa-acdf-105dcbfdf6c5</t>
  </si>
  <si>
    <t>67.59.230.190</t>
  </si>
  <si>
    <t>c7fae1ef-b4fc-4095-b6b8-9918de4cd13f</t>
  </si>
  <si>
    <t>b2200b9a-2c09-4f17-ab24-d1684542e897</t>
  </si>
  <si>
    <t>200.242.171.186</t>
  </si>
  <si>
    <t>0721f3f5-c3a5-4544-9401-3d535cb34174</t>
  </si>
  <si>
    <t>3eea5d3b-706d-4a87-b051-1ef8b87ee510</t>
  </si>
  <si>
    <t>29.91.217.196</t>
  </si>
  <si>
    <t>7a255ecd-0bf9-4753-9250-9e9a54ff8e10</t>
  </si>
  <si>
    <t>f28ec1de-ca60-4a6a-9512-d03ecf4e8dd5</t>
  </si>
  <si>
    <t>223.40.76.3</t>
  </si>
  <si>
    <t>82214463-b338-4b0c-8630-91bca86be934</t>
  </si>
  <si>
    <t>bb45f377-1c51-4ba2-bd28-cc3a4489dc16</t>
  </si>
  <si>
    <t>87.132.101.232</t>
  </si>
  <si>
    <t>b3d656a9-d0f7-4a31-a7e7-8f8b6ccf2be4</t>
  </si>
  <si>
    <t>48c4f112-8e0d-4572-9a28-eebcf540903a</t>
  </si>
  <si>
    <t>112.24.237.144</t>
  </si>
  <si>
    <t>eda4dc6a-3966-49e3-aa19-17c948c376dd</t>
  </si>
  <si>
    <t>1c8ac32a-f7e0-4c65-aa9f-bbf11933dc30</t>
  </si>
  <si>
    <t>11.62.250.235</t>
  </si>
  <si>
    <t>6be448e2-3c77-4f67-acfe-073fa4daea03</t>
  </si>
  <si>
    <t>efe81151-353e-4a79-8543-f369875fc091</t>
  </si>
  <si>
    <t>94.25.189.129</t>
  </si>
  <si>
    <t>acac08d6-82d4-4135-b3a9-d1d9c4b823bf</t>
  </si>
  <si>
    <t>a240b865-95db-4017-a0e8-e3d1b78aceb3</t>
  </si>
  <si>
    <t>109.172.151.12</t>
  </si>
  <si>
    <t>71a2717e-3e09-41c1-ada6-46bf6c3abb88</t>
  </si>
  <si>
    <t>5a678e53-6e05-43ee-8360-468d0dcb17c2</t>
  </si>
  <si>
    <t>139.136.91.150</t>
  </si>
  <si>
    <t>32027c9c-a538-4d26-9055-25d59f372a4f</t>
  </si>
  <si>
    <t>7fec6e8b-a530-4312-abad-d87ab6bd35e5</t>
  </si>
  <si>
    <t>92.213.8.228</t>
  </si>
  <si>
    <t>a6e8a556-64ff-4e18-8322-26f4bdd23f92</t>
  </si>
  <si>
    <t>5ebbffbd-dcf6-4fdd-8c04-3c51632fe163</t>
  </si>
  <si>
    <t>84.152.18.57</t>
  </si>
  <si>
    <t>aa02f36f-4b7b-4b15-b56b-fa2c3b4f5ce1</t>
  </si>
  <si>
    <t>80c55157-b720-4a32-9aa2-5a2cc3eac3b2</t>
  </si>
  <si>
    <t>92.18.202.127</t>
  </si>
  <si>
    <t>ae386fe3-2fa5-4683-a84f-d938dbbc8706</t>
  </si>
  <si>
    <t>330622b4-728f-4fc4-be7d-a7c98e650e83</t>
  </si>
  <si>
    <t>45.43.48.64</t>
  </si>
  <si>
    <t>c8ee04a5-be0d-44cc-bc9a-7d09ade15bf8</t>
  </si>
  <si>
    <t>3b5b0db5-741b-43a9-9c87-1221305a3d6e</t>
  </si>
  <si>
    <t>187.74.252.220</t>
  </si>
  <si>
    <t>da5ccd23-e31d-415c-9e8e-ca6d0dd4dbd5</t>
  </si>
  <si>
    <t>e5a57759-9f82-4ab4-b3cb-e752213da68e</t>
  </si>
  <si>
    <t>229.140.176.234</t>
  </si>
  <si>
    <t>663d14d1-1805-4d4b-86ce-d11818a4efd3</t>
  </si>
  <si>
    <t>62a5949a-5b04-4b83-95c7-4402d0c1df96</t>
  </si>
  <si>
    <t>177.124.234.20</t>
  </si>
  <si>
    <t>10f750ab-835d-4b17-a25a-7e313357ae79</t>
  </si>
  <si>
    <t>36d96ed8-ff9d-4599-93c4-47768eaf1620</t>
  </si>
  <si>
    <t>20.167.190.19</t>
  </si>
  <si>
    <t>970c1706-e0c2-4d05-a795-762e8255efb0</t>
  </si>
  <si>
    <t>f7383524-2bc8-4120-bd91-d24cbd2e9a68</t>
  </si>
  <si>
    <t>38.51.195.40</t>
  </si>
  <si>
    <t>65b394e9-4039-4c18-8484-b2d823768ad2</t>
  </si>
  <si>
    <t>49ebd494-e533-438e-aacb-68e927960aa3</t>
  </si>
  <si>
    <t>87.154.216.205</t>
  </si>
  <si>
    <t>c484c4fd-b32a-4416-878f-7e0dbc418ebd</t>
  </si>
  <si>
    <t>f8c8f3e3-7656-4d5f-bfa3-01f66070f18d</t>
  </si>
  <si>
    <t>6.94.131.40</t>
  </si>
  <si>
    <t>696cfe4d-2088-4fb8-b447-a9045669b16f</t>
  </si>
  <si>
    <t>71f5244c-db23-441b-9b8e-ccd9b8b74ddc</t>
  </si>
  <si>
    <t>215.221.59.98</t>
  </si>
  <si>
    <t>9ea7b2dd-a722-430e-9847-6fed9c1ee3fa</t>
  </si>
  <si>
    <t>6e79dbcd-8854-4673-9da5-43d398c37e33</t>
  </si>
  <si>
    <t>147.133.155.124</t>
  </si>
  <si>
    <t>46ae3b48-c51c-4199-a73a-d452cfaf9f0b</t>
  </si>
  <si>
    <t>c5fe31a6-db08-4739-8333-5d80ea8ffb62</t>
  </si>
  <si>
    <t>178.25.191.242</t>
  </si>
  <si>
    <t>99b15178-b540-4e30-bda6-06bf7b4a7a7f</t>
  </si>
  <si>
    <t>aafb19f8-1450-47a8-85d8-f5b7e0710d57</t>
  </si>
  <si>
    <t>56.223.140.95</t>
  </si>
  <si>
    <t>6420ccdd-eeb0-4292-8336-79e661791008</t>
  </si>
  <si>
    <t>cacb18fc-ea3a-48b9-accf-3a4ad669d852</t>
  </si>
  <si>
    <t>71.23.204.92</t>
  </si>
  <si>
    <t>d0ff2c55-fa8c-4458-9dce-40fc5bf0add6</t>
  </si>
  <si>
    <t>ee142986-65a5-49fb-b925-9443bed16053</t>
  </si>
  <si>
    <t>174.145.139.2</t>
  </si>
  <si>
    <t>e0d2d25d-3b50-48c5-a974-7770f0e5a088</t>
  </si>
  <si>
    <t>b0a2ae6b-0379-425b-86e6-303400ec5c30</t>
  </si>
  <si>
    <t>105.106.9.212</t>
  </si>
  <si>
    <t>fee7965f-6f7e-4a93-90f0-4ee37e4dd660</t>
  </si>
  <si>
    <t>7d5e678f-79f1-4533-a0d3-b78e13644b9d</t>
  </si>
  <si>
    <t>169.66.140.136</t>
  </si>
  <si>
    <t>86c11c4b-b43b-4f9e-b135-7f301a7a06f9</t>
  </si>
  <si>
    <t>61556d70-f741-4f74-93eb-0554951e7308</t>
  </si>
  <si>
    <t>119.162.49.113</t>
  </si>
  <si>
    <t>8039c1da-c93e-4cb3-9ab3-9a0a444fed45</t>
  </si>
  <si>
    <t>0ad77148-68f8-4a38-9d69-ae9cb60db120</t>
  </si>
  <si>
    <t>58.9.166.113</t>
  </si>
  <si>
    <t>17ab4c76-f45c-461b-80c0-ac8853c53543</t>
  </si>
  <si>
    <t>6db71c55-5d42-4e57-9529-7038babd4569</t>
  </si>
  <si>
    <t>17.147.235.215</t>
  </si>
  <si>
    <t>8087da15-40c7-4eec-9fe0-7313784b21c6</t>
  </si>
  <si>
    <t>7d1a4354-f82d-4cc4-bbda-3a0c18bda072</t>
  </si>
  <si>
    <t>163.168.199.243</t>
  </si>
  <si>
    <t>05fd4eaf-ed78-4f58-bc33-79bf17ad057a</t>
  </si>
  <si>
    <t>d661bdd3-0480-4a9a-acd2-8b69f4d01c12</t>
  </si>
  <si>
    <t>239.6.175.174</t>
  </si>
  <si>
    <t>1dab1b57-b9e3-42d5-a110-0d1fdefaca95</t>
  </si>
  <si>
    <t>201d27aa-bb64-4a94-a1fd-b53d66ed39d7</t>
  </si>
  <si>
    <t>82.177.227.77</t>
  </si>
  <si>
    <t>64b65098-fa66-45e1-8f5b-6e8c901cc9df</t>
  </si>
  <si>
    <t>227ed5ec-c1c2-4d7f-8829-59b74ebf72a4</t>
  </si>
  <si>
    <t>119.255.107.87</t>
  </si>
  <si>
    <t>f3bb95ee-1d1b-4dcb-a308-bbf20db0f2ad</t>
  </si>
  <si>
    <t>a60a4ca1-36f8-4e47-b7f0-fb97328d34de</t>
  </si>
  <si>
    <t>173.199.130.206</t>
  </si>
  <si>
    <t>ed5bf010-4eaf-4513-8b07-c99f58433834</t>
  </si>
  <si>
    <t>a632dabe-5a69-4ae2-9b7a-3ff1c2ebc367</t>
  </si>
  <si>
    <t>9.40.249.176</t>
  </si>
  <si>
    <t>e0aa6dcd-b87d-44a2-9ddd-543fb1933e06</t>
  </si>
  <si>
    <t>09102801-d8fc-4a46-b1b2-f555f2e3cdff</t>
  </si>
  <si>
    <t>22.106.189.155</t>
  </si>
  <si>
    <t>2befd3d4-68c4-469a-9d13-d1eab3610371</t>
  </si>
  <si>
    <t>764df91c-a735-4734-8940-5246ceb311f8</t>
  </si>
  <si>
    <t>75.161.231.239</t>
  </si>
  <si>
    <t>4ef8ee0d-7ffd-4bf2-923e-b62e5dd7bc11</t>
  </si>
  <si>
    <t>b7980331-2b43-4057-8d3a-afa671973eb1</t>
  </si>
  <si>
    <t>8.79.85.180</t>
  </si>
  <si>
    <t>2526853e-9a4b-462f-892e-1ca8545cb453</t>
  </si>
  <si>
    <t>fe5fe4e1-6bbb-4c33-90c7-f714bc9838fe</t>
  </si>
  <si>
    <t>145.220.212.11</t>
  </si>
  <si>
    <t>0c19210c-85e2-4aff-a8aa-642f09490f9f</t>
  </si>
  <si>
    <t>15dfd1d9-77e3-41b0-b43f-8912a0644b4c</t>
  </si>
  <si>
    <t>193.145.251.120</t>
  </si>
  <si>
    <t>ec3d8058-4ce8-456d-94a6-fcaf566a61bd</t>
  </si>
  <si>
    <t>58059eb9-e69b-42c1-a1e1-8c1f8d0a5103</t>
  </si>
  <si>
    <t>97.67.193.63</t>
  </si>
  <si>
    <t>026ca1ba-0456-461f-a4fe-d4c189857429</t>
  </si>
  <si>
    <t>7ca58759-782f-4c30-b0af-676507fc1b32</t>
  </si>
  <si>
    <t>25.202.111.108</t>
  </si>
  <si>
    <t>c232106f-3ae5-448c-abf5-c80ef49f0b39</t>
  </si>
  <si>
    <t>95e74e18-43b6-45d4-be45-a09e2aa4d316</t>
  </si>
  <si>
    <t>254.56.148.91</t>
  </si>
  <si>
    <t>f1641205-84f7-4faf-bb97-78d1b29ba0bd</t>
  </si>
  <si>
    <t>8ed30b6c-1a3c-4a19-ac5c-dcc81cc57fd5</t>
  </si>
  <si>
    <t>222.81.205.209</t>
  </si>
  <si>
    <t>b35af90f-a598-415a-b82e-a923e126a47d</t>
  </si>
  <si>
    <t>735dfb3b-fc5c-4616-90a5-bbce76d9fbb5</t>
  </si>
  <si>
    <t>91.111.214.142</t>
  </si>
  <si>
    <t>e2e1a9cb-3d3a-4e7f-a9f6-10205a1c4736</t>
  </si>
  <si>
    <t>8b427b7c-877e-4eae-a155-8cdc4f21b33d</t>
  </si>
  <si>
    <t>82.185.54.162</t>
  </si>
  <si>
    <t>7d142f98-a122-41ba-9b86-da81b52f5869</t>
  </si>
  <si>
    <t>c3727821-7385-45cd-bb9c-cc1044f45edc</t>
  </si>
  <si>
    <t>129.200.115.206</t>
  </si>
  <si>
    <t>9802d3ed-cf08-4870-828a-43f648da3dd1</t>
  </si>
  <si>
    <t>e63dc591-2a69-4a9c-bd75-8063f75aeb02</t>
  </si>
  <si>
    <t>127.237.146.230</t>
  </si>
  <si>
    <t>93746861-b4b9-4075-8220-236ec4ad095c</t>
  </si>
  <si>
    <t>b1cee1ff-c4ef-4901-8155-78f1bef8e70a</t>
  </si>
  <si>
    <t>41.90.204.147</t>
  </si>
  <si>
    <t>a1a9ad85-4aa5-4626-a07e-b9530e98b892</t>
  </si>
  <si>
    <t>11316d42-1ed0-4521-896d-905b41895799</t>
  </si>
  <si>
    <t>1.171.237.88</t>
  </si>
  <si>
    <t>9e278b4e-c041-483e-8fc1-7c2772abbdec</t>
  </si>
  <si>
    <t>01e0dbb5-bb7c-47a8-a1c5-092f78dd9528</t>
  </si>
  <si>
    <t>175.50.196.214</t>
  </si>
  <si>
    <t>81d34942-701a-4494-8d4e-c48577f05392</t>
  </si>
  <si>
    <t>3596310d-2ef5-4a34-b20c-c15d73163f22</t>
  </si>
  <si>
    <t>250.214.210.96</t>
  </si>
  <si>
    <t>ad0b8531-f17f-4e7b-80aa-8b081e93f36e</t>
  </si>
  <si>
    <t>5a370cc3-4091-400b-ac61-2a89eb74a499</t>
  </si>
  <si>
    <t>163.14.114.70</t>
  </si>
  <si>
    <t>26fc9418-110a-4a05-86db-f3185e22378d</t>
  </si>
  <si>
    <t>c0a1d633-1fd4-4cd2-a729-a7ab7481cc00</t>
  </si>
  <si>
    <t>157.41.209.11</t>
  </si>
  <si>
    <t>e48e9647-c8d6-4a8a-9c08-3ee1d21601a5</t>
  </si>
  <si>
    <t>2214a15f-d0a6-4b71-8420-d7076141a96c</t>
  </si>
  <si>
    <t>84.127.85.241</t>
  </si>
  <si>
    <t>8d408e4c-ee18-4921-b76c-08306d10ec4e</t>
  </si>
  <si>
    <t>f6bc1cc1-f929-4a00-a850-71b8d0ce25f4</t>
  </si>
  <si>
    <t>176.46.189.11</t>
  </si>
  <si>
    <t>1280ae45-5705-4bdd-bc52-65040d9e366e</t>
  </si>
  <si>
    <t>5f5de1b9-e905-4842-8bb8-38bc6972c8eb</t>
  </si>
  <si>
    <t>191.199.98.82</t>
  </si>
  <si>
    <t>1fd74687-ae18-4548-8fdc-ebba256ae8b7</t>
  </si>
  <si>
    <t>901d5785-57f8-4376-a487-2342e188a055</t>
  </si>
  <si>
    <t>118.188.122.89</t>
  </si>
  <si>
    <t>945118a5-6766-47de-91b1-7b546c4c382f</t>
  </si>
  <si>
    <t>083dd838-64c4-4e14-95c8-ee67ed8b130e</t>
  </si>
  <si>
    <t>121.102.165.67</t>
  </si>
  <si>
    <t>db38d889-04ee-4883-806a-37cf4367fbb1</t>
  </si>
  <si>
    <t>35596bf2-fc13-4f2b-8190-d603d1ccf088</t>
  </si>
  <si>
    <t>76.33.15.105</t>
  </si>
  <si>
    <t>e703fcab-009b-48b0-8639-d0eecbb99106</t>
  </si>
  <si>
    <t>f0a2806f-ea0c-40ad-94cb-73e2eee8917a</t>
  </si>
  <si>
    <t>148.236.235.125</t>
  </si>
  <si>
    <t>c7c8fe31-1e97-474b-b541-9bfcf1967687</t>
  </si>
  <si>
    <t>191eddf8-a937-400e-a687-712a89fd0c2a</t>
  </si>
  <si>
    <t>176.227.123.90</t>
  </si>
  <si>
    <t>43a2d058-4524-4a06-b2b8-cb86870f7234</t>
  </si>
  <si>
    <t>b80b536b-76f5-4176-b6a0-ab8ad8530287</t>
  </si>
  <si>
    <t>250.236.56.169</t>
  </si>
  <si>
    <t>e48f7bef-a91a-4023-a53b-a6d6b13cbb54</t>
  </si>
  <si>
    <t>3234534f-abc4-4f5f-955c-1b29a5935fce</t>
  </si>
  <si>
    <t>224.81.125.236</t>
  </si>
  <si>
    <t>03aa53bd-c241-4c3b-aa63-89ffa931e230</t>
  </si>
  <si>
    <t>91b7d8ce-6083-4132-9103-f60491ae6b10</t>
  </si>
  <si>
    <t>185.35.3.16</t>
  </si>
  <si>
    <t>b1ec3e89-e93f-4c84-942c-6feaf2f8e405</t>
  </si>
  <si>
    <t>66d01786-d62d-42fb-9161-198f9f800ac5</t>
  </si>
  <si>
    <t>175.208.240.197</t>
  </si>
  <si>
    <t>3f4cb011-47b7-463e-9258-56579b07291b</t>
  </si>
  <si>
    <t>e2b726ba-295d-42c2-b43c-33660a25b959</t>
  </si>
  <si>
    <t>19.213.133.61</t>
  </si>
  <si>
    <t>563e2507-ea73-4219-a65d-f2177860ecaa</t>
  </si>
  <si>
    <t>38251d67-e538-417b-8da1-b6f0d2a2b824</t>
  </si>
  <si>
    <t>184.12.224.246</t>
  </si>
  <si>
    <t>4af9373f-9442-457d-9b51-e5680cad14c6</t>
  </si>
  <si>
    <t>1611a85f-3de9-4786-8ca3-770f87dac069</t>
  </si>
  <si>
    <t>212.30.149.203</t>
  </si>
  <si>
    <t>7ac725e7-8a73-444b-bf5d-6bfd7cf5e177</t>
  </si>
  <si>
    <t>2d62b2d9-ddab-423d-b867-18f84d853a74</t>
  </si>
  <si>
    <t>213.20.186.204</t>
  </si>
  <si>
    <t>d36ef1c9-87df-4761-8f8c-dd704b418d2f</t>
  </si>
  <si>
    <t>a7bcc02c-4eb7-415a-900e-fe3cbbe584b6</t>
  </si>
  <si>
    <t>184.225.219.63</t>
  </si>
  <si>
    <t>274a4a76-3f98-4b64-bb4a-374f2e54b7d1</t>
  </si>
  <si>
    <t>d9f0976c-e913-4218-9805-d5e7c9528b2b</t>
  </si>
  <si>
    <t>27.74.134.57</t>
  </si>
  <si>
    <t>3a1043e2-4b7c-4ffd-9ffb-8fa5dfb86bbe</t>
  </si>
  <si>
    <t>318700ea-4b4e-46be-99bb-5da84cfb4353</t>
  </si>
  <si>
    <t>185.86.187.211</t>
  </si>
  <si>
    <t>f1ddd7c7-b1b3-4bca-8c8d-f61b12b117d1</t>
  </si>
  <si>
    <t>e11a6e0f-3ce3-49b0-89d2-7fca1f66f725</t>
  </si>
  <si>
    <t>169.173.72.124</t>
  </si>
  <si>
    <t>d71bd9d0-635a-4b66-af03-90b9c5aec8f4</t>
  </si>
  <si>
    <t>29f4bc7e-7d98-4887-8ba0-5aa26c048dd1</t>
  </si>
  <si>
    <t>204.247.107.135</t>
  </si>
  <si>
    <t>d3458b23-4e75-4be6-8192-ec58d1fc28c6</t>
  </si>
  <si>
    <t>b5a73a79-c40b-4596-ae7e-d4a23d16e0c2</t>
  </si>
  <si>
    <t>25.168.37.234</t>
  </si>
  <si>
    <t>d48ef5b3-1f7a-460b-b9bc-2268715a91a7</t>
  </si>
  <si>
    <t>6c0ef988-3852-4804-bcd8-fb1787b52432</t>
  </si>
  <si>
    <t>231.251.125.133</t>
  </si>
  <si>
    <t>14e04518-85f3-4e4a-9e3b-e4ea74d33e03</t>
  </si>
  <si>
    <t>5c5c4ff1-36e0-4abd-96d3-187ef9966691</t>
  </si>
  <si>
    <t>88.151.227.169</t>
  </si>
  <si>
    <t>3bcb6f83-c916-4ef3-9289-4389a60474b2</t>
  </si>
  <si>
    <t>e10f4eae-1660-4a09-a762-d8b2e73b9fbf</t>
  </si>
  <si>
    <t>202.230.132.140</t>
  </si>
  <si>
    <t>6e3c3d6a-2074-42db-92ef-69bc40937c84</t>
  </si>
  <si>
    <t>860f4a0a-8569-4c3e-95c8-e5c248451ed6</t>
  </si>
  <si>
    <t>153.18.71.75</t>
  </si>
  <si>
    <t>a78a5cc4-171c-42e3-916a-b9b3e7a2d23a</t>
  </si>
  <si>
    <t>8fe23216-974a-4930-82c4-f927cce50a32</t>
  </si>
  <si>
    <t>134.147.13.113</t>
  </si>
  <si>
    <t>7cc471d4-2a64-405e-bfa6-c6436dbd077b</t>
  </si>
  <si>
    <t>41c7e668-72da-45b4-a0fd-1a4176dd8c9a</t>
  </si>
  <si>
    <t>226.189.185.149</t>
  </si>
  <si>
    <t>f8a28e1c-c218-4a84-88d6-245620c9b80a</t>
  </si>
  <si>
    <t>8855da3a-e4b4-40f6-a9ed-e563d59b04d2</t>
  </si>
  <si>
    <t>79.81.156.243</t>
  </si>
  <si>
    <t>dd0aa3ad-6b51-47d5-bf29-c2c72c3773b1</t>
  </si>
  <si>
    <t>7296fc2d-3dea-4e94-8a66-e26a11142376</t>
  </si>
  <si>
    <t>183.225.150.79</t>
  </si>
  <si>
    <t>9fb37301-a185-4843-bd70-c7a47e20efc1</t>
  </si>
  <si>
    <t>d911a8fc-ae6a-4eb2-b2ed-7b7b7037aa78</t>
  </si>
  <si>
    <t>191.65.75.149</t>
  </si>
  <si>
    <t>89a01c1e-9407-46a0-9d5c-8cc200a6bc85</t>
  </si>
  <si>
    <t>06265dfe-1b58-4e88-a401-63b143419fec</t>
  </si>
  <si>
    <t>220.196.131.116</t>
  </si>
  <si>
    <t>d6abc13f-3b5c-406f-b75b-aa7366fe2a33</t>
  </si>
  <si>
    <t>0a9a8672-5f49-4431-a654-31a706755e6a</t>
  </si>
  <si>
    <t>8.108.155.75</t>
  </si>
  <si>
    <t>50073a35-9ec5-4d1f-b4ed-29b76bc6164e</t>
  </si>
  <si>
    <t>d3aa0d81-7f25-4d4d-90f6-7590a892ed01</t>
  </si>
  <si>
    <t>150.6.132.186</t>
  </si>
  <si>
    <t>30159e60-d3c5-446a-ad4c-2cf6a3b11f64</t>
  </si>
  <si>
    <t>2e8a3880-d1a4-4e4d-a67b-5678b87e5702</t>
  </si>
  <si>
    <t>185.207.244.87</t>
  </si>
  <si>
    <t>9fa843b4-5613-40f7-b899-76ea90d2f85b</t>
  </si>
  <si>
    <t>470d26a8-9ac0-4ba0-87a8-cc5d9bf5e7fa</t>
  </si>
  <si>
    <t>249.176.79.160</t>
  </si>
  <si>
    <t>980927b2-4e7a-4568-9bbc-9b8ebe11e9b3</t>
  </si>
  <si>
    <t>c614fa7f-ad95-44bb-81e2-06fd6a35ec5b</t>
  </si>
  <si>
    <t>134.191.193.248</t>
  </si>
  <si>
    <t>4dfea768-66bb-439a-9b97-3d19116a1e3c</t>
  </si>
  <si>
    <t>15b3e265-3626-4388-bc1d-107835183ab1</t>
  </si>
  <si>
    <t>166.86.246.89</t>
  </si>
  <si>
    <t>15c0d66f-e21f-404d-89cf-d4cb47a3f6c1</t>
  </si>
  <si>
    <t>fe56c5fa-71a8-42a7-893e-5c5fb0a5430e</t>
  </si>
  <si>
    <t>124.194.7.33</t>
  </si>
  <si>
    <t>abb472ab-aa20-4dc3-b5b3-3ce9b08b5831</t>
  </si>
  <si>
    <t>88dc1e9e-1080-4994-bb95-4d8033a84e6c</t>
  </si>
  <si>
    <t>88.115.158.105</t>
  </si>
  <si>
    <t>3cc947af-1ea8-4003-84cf-4231d9fa044e</t>
  </si>
  <si>
    <t>4049c69b-cb29-4946-b9a7-2982717d45e2</t>
  </si>
  <si>
    <t>58.76.142.61</t>
  </si>
  <si>
    <t>e051fafd-1cea-4f34-bdc4-b662abbe94bb</t>
  </si>
  <si>
    <t>dc6be06c-77ec-4417-9662-b827d11445b8</t>
  </si>
  <si>
    <t>167.100.182.255</t>
  </si>
  <si>
    <t>fff03982-4c4e-460d-a16c-ed5c4a461d0b</t>
  </si>
  <si>
    <t>3e52d3b1-b1e7-486e-a976-448bd3fafca9</t>
  </si>
  <si>
    <t>118.6.116.103</t>
  </si>
  <si>
    <t>1183e964-1936-4cd6-8f78-25c68508a3cc</t>
  </si>
  <si>
    <t>3ac42154-37c7-4562-9f59-e32a82165676</t>
  </si>
  <si>
    <t>94.16.204.50</t>
  </si>
  <si>
    <t>fdfe24cd-65bc-49e5-8976-f0a8b0d88084</t>
  </si>
  <si>
    <t>e9555ef1-5818-48e0-ab26-966014267011</t>
  </si>
  <si>
    <t>244.168.34.138</t>
  </si>
  <si>
    <t>39a46d3d-5d28-4fdc-8f6b-e9b3450fc87d</t>
  </si>
  <si>
    <t>3f9b3f21-0285-49a1-8c7f-aff4ac2346a8</t>
  </si>
  <si>
    <t>142.40.28.228</t>
  </si>
  <si>
    <t>eba7134d-8eb4-4999-991c-13367b407ab3</t>
  </si>
  <si>
    <t>32e8e52c-8255-4284-9eb8-e818d978cc84</t>
  </si>
  <si>
    <t>146.126.125.131</t>
  </si>
  <si>
    <t>e90969f3-ce54-48a0-9c5f-29168996c52f</t>
  </si>
  <si>
    <t>8c781785-91d8-450f-b734-4bea04bff299</t>
  </si>
  <si>
    <t>205.93.125.116</t>
  </si>
  <si>
    <t>ee50a183-c993-41e1-ba04-2a227fcd9811</t>
  </si>
  <si>
    <t>5f38ccad-0c1d-486e-9a7b-df6eae61971c</t>
  </si>
  <si>
    <t>177.233.90.20</t>
  </si>
  <si>
    <t>df00896b-6c1f-4e95-8c2e-bc154fbd9d73</t>
  </si>
  <si>
    <t>17297bdb-0c2e-4bd9-8de3-a37d66a7760b</t>
  </si>
  <si>
    <t>251.136.142.46</t>
  </si>
  <si>
    <t>66605942-9105-466b-a009-1182e1be61ef</t>
  </si>
  <si>
    <t>2dd8967e-5bd3-46b9-ad84-725dbf88c9af</t>
  </si>
  <si>
    <t>191.97.32.67</t>
  </si>
  <si>
    <t>33a5ad8b-08a2-4139-b378-dbc0059bd01d</t>
  </si>
  <si>
    <t>9ba2c56e-fa63-4b51-8484-c28aa4f3e070</t>
  </si>
  <si>
    <t>134.155.31.106</t>
  </si>
  <si>
    <t>2084d0dd-c229-4ddd-99f5-f4528a2f5101</t>
  </si>
  <si>
    <t>60db4c6b-4ce2-4501-8904-2a3a3895e5fe</t>
  </si>
  <si>
    <t>59.124.244.237</t>
  </si>
  <si>
    <t>4f0d7916-2098-4404-91e7-f3aaceaa2408</t>
  </si>
  <si>
    <t>260684be-0b03-4fcd-810f-954e554ddac9</t>
  </si>
  <si>
    <t>26.26.163.37</t>
  </si>
  <si>
    <t>e3a84ba2-3dbc-467e-b72d-e65a542fc9dc</t>
  </si>
  <si>
    <t>590e8a4d-3e14-4f54-aa8f-1903500a94d9</t>
  </si>
  <si>
    <t>51.244.59.226</t>
  </si>
  <si>
    <t>aa82e7af-f4cd-4a80-8201-abd1b4d1cc07</t>
  </si>
  <si>
    <t>7ea2bc76-c8a7-462c-b3e5-c3a9293cdc98</t>
  </si>
  <si>
    <t>22.243.101.51</t>
  </si>
  <si>
    <t>5e5cf0be-c77c-4a0a-854c-849537139d3d</t>
  </si>
  <si>
    <t>d6e783d2-00af-481c-ace0-8580aa7d673b</t>
  </si>
  <si>
    <t>139.110.249.153</t>
  </si>
  <si>
    <t>9e2d89d7-57b9-47bf-8d68-261ff99d595b</t>
  </si>
  <si>
    <t>c15ca7ae-5ef6-415c-a86f-e2b009ce95f3</t>
  </si>
  <si>
    <t>146.4.220.57</t>
  </si>
  <si>
    <t>2a511435-790e-49fc-a990-e160d388cfac</t>
  </si>
  <si>
    <t>7fbd4d9c-4789-4201-aaae-c6d1d7780412</t>
  </si>
  <si>
    <t>185.226.99.233</t>
  </si>
  <si>
    <t>e29268e2-7783-4f17-b1c8-2ea4e16e8324</t>
  </si>
  <si>
    <t>a67ecfc0-ded0-41e8-a2d8-63e86c14e45b</t>
  </si>
  <si>
    <t>255.0.128.208</t>
  </si>
  <si>
    <t>4c78fbd2-dbed-4447-9a19-f06f96c914b3</t>
  </si>
  <si>
    <t>2ddacb16-e6b3-4005-97c8-3e5688809615</t>
  </si>
  <si>
    <t>154.138.252.90</t>
  </si>
  <si>
    <t>9205532a-cf92-44cf-95a7-cea08de1546d</t>
  </si>
  <si>
    <t>cbd68c4b-4633-4cf1-a996-4e933cc320e6</t>
  </si>
  <si>
    <t>85.247.145.153</t>
  </si>
  <si>
    <t>f11dce99-04bd-471b-a859-e25954a12bd7</t>
  </si>
  <si>
    <t>70f493b8-ab6b-4f33-923e-a142c9325b95</t>
  </si>
  <si>
    <t>68.127.174.140</t>
  </si>
  <si>
    <t>e6a6d137-73cd-452e-8834-2fa0de22635b</t>
  </si>
  <si>
    <t>c1a54b6a-0065-4ecf-ab38-061ccd700ab1</t>
  </si>
  <si>
    <t>174.158.225.57</t>
  </si>
  <si>
    <t>0a780253-2847-4803-b394-a7c30ddb713d</t>
  </si>
  <si>
    <t>73e0ac53-ccd7-40d1-86ad-9fcb0bcee03e</t>
  </si>
  <si>
    <t>251.93.249.3</t>
  </si>
  <si>
    <t>b778fcbb-f885-4148-8a58-0bff83c3e2a8</t>
  </si>
  <si>
    <t>e0ac4d85-630a-4af6-b9a9-5b1230ac3b5b</t>
  </si>
  <si>
    <t>82.240.253.83</t>
  </si>
  <si>
    <t>f9cb60e2-538a-44d4-8632-4ee2c8b6e6c0</t>
  </si>
  <si>
    <t>d25f81e8-21f7-4411-a7e3-3f2b2d384417</t>
  </si>
  <si>
    <t>46.33.221.155</t>
  </si>
  <si>
    <t>c7a8eb4e-c724-4eae-b7a9-c210bbfad33f</t>
  </si>
  <si>
    <t>d74eb82c-ebd9-40cb-adbc-229c3be1a6be</t>
  </si>
  <si>
    <t>25.226.175.93</t>
  </si>
  <si>
    <t>c52efa63-5071-40c8-9dfc-ecb7aa75906f</t>
  </si>
  <si>
    <t>11964f0b-9700-48c1-bd0b-1bf6ae701922</t>
  </si>
  <si>
    <t>50.55.118.109</t>
  </si>
  <si>
    <t>7e38d022-07df-4761-9470-57c29cb1e269</t>
  </si>
  <si>
    <t>20ef2880-615a-45cf-b735-1dd3b27d1d85</t>
  </si>
  <si>
    <t>79.156.163.241</t>
  </si>
  <si>
    <t>062d51b9-c4b8-461c-9117-747035338489</t>
  </si>
  <si>
    <t>dd9acf29-8b82-4515-80cb-3b2cdaa99f58</t>
  </si>
  <si>
    <t>27.153.107.79</t>
  </si>
  <si>
    <t>ba2c4a18-4a76-44da-a9a6-402336da8083</t>
  </si>
  <si>
    <t>9890a402-c0f7-4f81-a7c0-4c133fee04cc</t>
  </si>
  <si>
    <t>83.80.98.202</t>
  </si>
  <si>
    <t>f6ed4f01-a4f3-4690-ae84-45f1282914fc</t>
  </si>
  <si>
    <t>eeef003b-7782-468d-821c-4bb6abf43818</t>
  </si>
  <si>
    <t>202.87.80.80</t>
  </si>
  <si>
    <t>ae76e95f-f16e-421e-845e-1ec4b8de0602</t>
  </si>
  <si>
    <t>076b6770-9823-44f8-a037-cfa3ee0d7fa5</t>
  </si>
  <si>
    <t>84.242.213.137</t>
  </si>
  <si>
    <t>667f5d60-bab5-4b19-b751-8f864fd375ea</t>
  </si>
  <si>
    <t>2f962798-7665-4535-b018-62357dff670c</t>
  </si>
  <si>
    <t>59.134.241.155</t>
  </si>
  <si>
    <t>a8eb9c20-c7a3-4037-aa85-5ba19b5f994f</t>
  </si>
  <si>
    <t>d940490d-f218-4d63-976c-f86e5c823fc5</t>
  </si>
  <si>
    <t>95.74.156.170</t>
  </si>
  <si>
    <t>cc25079f-6020-437a-9dab-7836e13188b8</t>
  </si>
  <si>
    <t>06182562-fedc-4eba-9dd9-1e955d904c87</t>
  </si>
  <si>
    <t>187.181.161.230</t>
  </si>
  <si>
    <t>4bc74bb7-3a1e-4d59-9b18-0db30900553d</t>
  </si>
  <si>
    <t>7ab12bb3-ebf2-4e31-bfee-d0e47bc37100</t>
  </si>
  <si>
    <t>79.217.201.213</t>
  </si>
  <si>
    <t>04660be2-d4ea-4d9f-9584-b1f21b0a4bbd</t>
  </si>
  <si>
    <t>0e6b726b-6033-454a-99d9-23dddb1f53cc</t>
  </si>
  <si>
    <t>2.206.28.209</t>
  </si>
  <si>
    <t>30ce27d8-efe4-46c3-9470-ee6a6643c2c3</t>
  </si>
  <si>
    <t>5654cede-4691-41bd-b9ce-2a8b4e7816a7</t>
  </si>
  <si>
    <t>91.71.233.140</t>
  </si>
  <si>
    <t>55107cae-c649-4caa-99c6-2e7db69329b1</t>
  </si>
  <si>
    <t>1608f3ca-0ead-43f3-8e89-443b38ce0fc9</t>
  </si>
  <si>
    <t>5.103.106.131</t>
  </si>
  <si>
    <t>e7547a76-df6a-42f3-b359-78d768da2c8a</t>
  </si>
  <si>
    <t>9c81c8d1-8bf0-4a4f-b5b8-f3055d326dbe</t>
  </si>
  <si>
    <t>76.191.12.164</t>
  </si>
  <si>
    <t>f79a5378-eacf-4434-82b1-88c6d02334a9</t>
  </si>
  <si>
    <t>c33dd876-49fe-4c0e-a716-24122e0ef510</t>
  </si>
  <si>
    <t>110.195.166.102</t>
  </si>
  <si>
    <t>08a015c7-f1a5-4de4-83ae-af676617af8f</t>
  </si>
  <si>
    <t>617fc5fe-a1a5-401d-a5cd-550cf8298280</t>
  </si>
  <si>
    <t>205.110.225.140</t>
  </si>
  <si>
    <t>2e5d3885-1969-4e08-a673-e49d028f48e8</t>
  </si>
  <si>
    <t>9559f110-79db-406c-ab0f-08c082ad1510</t>
  </si>
  <si>
    <t>28.38.124.82</t>
  </si>
  <si>
    <t>119250ce-a710-4b6a-a581-d46154cb39b5</t>
  </si>
  <si>
    <t>d4fb9fc5-d0e4-43b2-aaae-0d41e80c0943</t>
  </si>
  <si>
    <t>84.245.240.23</t>
  </si>
  <si>
    <t>9f7fb0d0-0d02-4dbd-b929-7ac846462fe9</t>
  </si>
  <si>
    <t>32842be1-9585-4d23-bc21-a24d8559476d</t>
  </si>
  <si>
    <t>200.199.249.127</t>
  </si>
  <si>
    <t>1ed40244-1dbb-4bd8-bc8a-6c9cf770d02d</t>
  </si>
  <si>
    <t>cd02f970-03bf-4ba8-b8b2-959cee0f99e6</t>
  </si>
  <si>
    <t>72.192.30.51</t>
  </si>
  <si>
    <t>5a11a780-fd93-4e14-9060-dcf70442cc34</t>
  </si>
  <si>
    <t>1f2dc6d4-c94d-4867-ad3c-8e76368695ff</t>
  </si>
  <si>
    <t>15.175.141.189</t>
  </si>
  <si>
    <t>ac55069c-267e-44dd-b0d4-094951b5aa93</t>
  </si>
  <si>
    <t>1e2f17b5-c25c-4d0b-996f-c393c6c05a98</t>
  </si>
  <si>
    <t>113.145.56.241</t>
  </si>
  <si>
    <t>1fa26441-6511-437b-af4f-d37aad503dde</t>
  </si>
  <si>
    <t>526cc95e-af32-4227-9b64-31b1a918e82c</t>
  </si>
  <si>
    <t>35.37.166.211</t>
  </si>
  <si>
    <t>0607ce6b-96e3-48dd-8445-4f443e95bd41</t>
  </si>
  <si>
    <t>9745fc4e-e345-4076-8009-0054b4b00089</t>
  </si>
  <si>
    <t>212.77.77.153</t>
  </si>
  <si>
    <t>141545f8-b314-45a4-ae83-0d1addf0458d</t>
  </si>
  <si>
    <t>fa42eec7-0027-4e95-b1a3-06e6230b3cf5</t>
  </si>
  <si>
    <t>147.102.45.224</t>
  </si>
  <si>
    <t>aff7bba8-4e7d-4823-82a9-0a4f346469b1</t>
  </si>
  <si>
    <t>8d70c951-9f82-4fac-b9b9-1b7b17e0aa36</t>
  </si>
  <si>
    <t>63.167.133.149</t>
  </si>
  <si>
    <t>4e035661-4ba1-4252-b6dc-7606d652d168</t>
  </si>
  <si>
    <t>d113dc1b-958f-491f-8267-f8adb6a268e3</t>
  </si>
  <si>
    <t>177.11.71.34</t>
  </si>
  <si>
    <t>b16eb00c-1035-45dc-a2c8-3c22def91e41</t>
  </si>
  <si>
    <t>b1a09111-3efc-4fcb-a905-c0ba0189dc35</t>
  </si>
  <si>
    <t>223.160.184.228</t>
  </si>
  <si>
    <t>b3672efa-5bfc-444c-b92f-b416a0aacb8c</t>
  </si>
  <si>
    <t>061823a2-e5b8-4274-a6a7-ebc59fcaff54</t>
  </si>
  <si>
    <t>192.109.94.164</t>
  </si>
  <si>
    <t>80156675-057a-44c1-ab35-290695f4a844</t>
  </si>
  <si>
    <t>784eb23c-0078-4297-a913-2951fd75d46a</t>
  </si>
  <si>
    <t>120.116.235.185</t>
  </si>
  <si>
    <t>21a08151-eb27-4c5d-a265-83c835190f2a</t>
  </si>
  <si>
    <t>df1aafea-9d77-464a-b42f-1230922a83a8</t>
  </si>
  <si>
    <t>86.101.132.130</t>
  </si>
  <si>
    <t>423d2580-b377-4e1b-8856-7a4a559d3ff2</t>
  </si>
  <si>
    <t>c834f9ed-bf39-4805-bb47-817a9b9d4d01</t>
  </si>
  <si>
    <t>155.11.71.61</t>
  </si>
  <si>
    <t>db0ac684-1292-4e18-acc2-7121d4ab9bdf</t>
  </si>
  <si>
    <t>ae9035e2-3ff9-4774-b9fa-57d0c57da98d</t>
  </si>
  <si>
    <t>165.210.218.202</t>
  </si>
  <si>
    <t>332a96a7-f9cc-4fbf-b50a-e0aff5be3a26</t>
  </si>
  <si>
    <t>9e7d5c43-32cf-4f35-be54-ea5340fdf615</t>
  </si>
  <si>
    <t>207.249.24.30</t>
  </si>
  <si>
    <t>b0e4897e-b985-4a21-9bbf-58acc05b8260</t>
  </si>
  <si>
    <t>c6806cd5-5699-4359-ab39-d6a6932c7a56</t>
  </si>
  <si>
    <t>234.191.8.223</t>
  </si>
  <si>
    <t>174ec8a5-8ba0-4a3a-b37c-5a53ff008a81</t>
  </si>
  <si>
    <t>948b0637-21a5-4a6f-bcf5-41036df2a54a</t>
  </si>
  <si>
    <t>255.16.167.251</t>
  </si>
  <si>
    <t>23de4530-f06b-4019-adce-5bad174a81a2</t>
  </si>
  <si>
    <t>35d7e770-a399-4f1c-8eb0-9736a261fdaa</t>
  </si>
  <si>
    <t>73.170.34.38</t>
  </si>
  <si>
    <t>c16187b1-86de-4d71-b185-3899fe149d2b</t>
  </si>
  <si>
    <t>874967e3-9971-4f69-8dc6-396ce738e4f0</t>
  </si>
  <si>
    <t>145.47.57.81</t>
  </si>
  <si>
    <t>728a6049-810e-4db0-b211-4645ec166340</t>
  </si>
  <si>
    <t>a998c98b-0dba-4360-96fb-3b3fa326ef9e</t>
  </si>
  <si>
    <t>205.44.239.97</t>
  </si>
  <si>
    <t>a0fd310f-70d1-4881-b941-f43ab140f13d</t>
  </si>
  <si>
    <t>a31063dd-bf3f-4ca9-84d5-f0e84d63b5e9</t>
  </si>
  <si>
    <t>193.37.220.141</t>
  </si>
  <si>
    <t>4bf290ac-dd78-4c88-8eb0-133262f7ddd0</t>
  </si>
  <si>
    <t>7926670c-88c2-4f20-8081-f4f7d3ceccc2</t>
  </si>
  <si>
    <t>120.231.77.169</t>
  </si>
  <si>
    <t>00196faa-626a-42aa-b1bd-a93fae0b475e</t>
  </si>
  <si>
    <t>e9b78ce1-8c76-4e52-8e96-e1ce524409d4</t>
  </si>
  <si>
    <t>19.93.173.232</t>
  </si>
  <si>
    <t>bdc21fb1-ddf4-4e9a-89ae-1ead1d2a33dc</t>
  </si>
  <si>
    <t>4b2c5a09-688e-4151-8e41-69651618e5e8</t>
  </si>
  <si>
    <t>136.221.10.205</t>
  </si>
  <si>
    <t>398ffa9a-b960-456c-bd08-7233047f3f64</t>
  </si>
  <si>
    <t>f45f65bd-7dd7-481c-9eb7-83c74e63b9b3</t>
  </si>
  <si>
    <t>148.150.3.199</t>
  </si>
  <si>
    <t>a38406ba-55b6-4faa-ab5c-03482ec82b9c</t>
  </si>
  <si>
    <t>9e5f03d9-7e52-4e46-985a-432692ca4501</t>
  </si>
  <si>
    <t>5.4.115.165</t>
  </si>
  <si>
    <t>8b201c63-7bbb-4b7b-a5d2-76aeb0df468d</t>
  </si>
  <si>
    <t>41e16fa3-6832-4b57-a5e9-b88246cb8701</t>
  </si>
  <si>
    <t>110.77.132.114</t>
  </si>
  <si>
    <t>0ef18f1a-f65c-4bfb-949e-4486867d8e7e</t>
  </si>
  <si>
    <t>3988686f-29e5-40a2-b18c-8fc2730c523a</t>
  </si>
  <si>
    <t>150.167.234.102</t>
  </si>
  <si>
    <t>86e0b2f8-cf4a-4c45-977a-3f928f6c1c92</t>
  </si>
  <si>
    <t>69e25c5f-401b-429f-8260-b8db96b7f610</t>
  </si>
  <si>
    <t>198.181.78.96</t>
  </si>
  <si>
    <t>e87b5ef1-d79a-4065-afff-46e3d503b9f0</t>
  </si>
  <si>
    <t>9ce29d0d-c550-4995-870c-e30eea9bc902</t>
  </si>
  <si>
    <t>198.75.105.157</t>
  </si>
  <si>
    <t>dc84726a-662a-4c6c-8b84-b5beaace642e</t>
  </si>
  <si>
    <t>1d005a3b-3a8b-4cfc-8fe2-2f2864d089c3</t>
  </si>
  <si>
    <t>47.51.13.20</t>
  </si>
  <si>
    <t>d4731e29-0549-4937-b55a-1c20af075ac1</t>
  </si>
  <si>
    <t>c85dc412-e90e-4cce-bf57-16a65bfabcc0</t>
  </si>
  <si>
    <t>200.65.178.35</t>
  </si>
  <si>
    <t>209a52e6-ef01-483a-a17d-c59b23dc0e0b</t>
  </si>
  <si>
    <t>d03b7c43-a8dd-4e67-81af-99f5722c5ee4</t>
  </si>
  <si>
    <t>84.161.117.106</t>
  </si>
  <si>
    <t>7f48144b-291b-4f85-b39f-cafd2613eb11</t>
  </si>
  <si>
    <t>924d84b4-018d-4d8e-a81e-39876d74662e</t>
  </si>
  <si>
    <t>52.155.83.217</t>
  </si>
  <si>
    <t>39d607b4-33e5-4201-89fb-233f5955b70d</t>
  </si>
  <si>
    <t>d5b6d12f-4ffc-471a-9db7-7e77915a1e73</t>
  </si>
  <si>
    <t>254.138.119.111</t>
  </si>
  <si>
    <t>23dc9d44-0cf2-4d96-9726-a3ba77f34acb</t>
  </si>
  <si>
    <t>902090ea-32ef-46f8-8b57-0613eb5a3228</t>
  </si>
  <si>
    <t>198.181.13.70</t>
  </si>
  <si>
    <t>128cdf7a-ea73-461c-b2bb-c0f18233e73c</t>
  </si>
  <si>
    <t>fdcf820d-2fe1-4d03-b47d-3554177064f1</t>
  </si>
  <si>
    <t>225.225.63.192</t>
  </si>
  <si>
    <t>1f8e8899-dc24-460c-aaa1-6d8476d10016</t>
  </si>
  <si>
    <t>a7bc4fe3-7d78-479a-9243-c6ea7d4579cf</t>
  </si>
  <si>
    <t>7.227.106.194</t>
  </si>
  <si>
    <t>78782c7c-c3b2-4273-817a-9e8be02070b1</t>
  </si>
  <si>
    <t>449eebf3-2299-4a70-bfe9-601a38eec383</t>
  </si>
  <si>
    <t>13.228.224.204</t>
  </si>
  <si>
    <t>91cab9e6-6aaa-4734-b0e8-af291c19223a</t>
  </si>
  <si>
    <t>3093b57a-2d28-4569-9931-b704a643963f</t>
  </si>
  <si>
    <t>51.105.194.63</t>
  </si>
  <si>
    <t>23e09955-6d2a-4066-8519-c987679cf309</t>
  </si>
  <si>
    <t>47852fdb-d265-40b9-9dc4-e6358f0d98d2</t>
  </si>
  <si>
    <t>24.89.62.83</t>
  </si>
  <si>
    <t>fc9f7e2a-bf7f-4d55-ba99-4d11b94b890a</t>
  </si>
  <si>
    <t>7a342d86-c063-4ad1-9ac6-ce27abf71011</t>
  </si>
  <si>
    <t>194.107.61.250</t>
  </si>
  <si>
    <t>0a4c7904-55d5-4851-bda4-2d467262c055</t>
  </si>
  <si>
    <t>2507a519-d08a-4d77-a88c-1bdccab73720</t>
  </si>
  <si>
    <t>190.183.162.212</t>
  </si>
  <si>
    <t>f5c49237-bd38-4311-8cb5-11a41b544c20</t>
  </si>
  <si>
    <t>f5dce78d-9bbf-4fc5-8df1-4622a245d14c</t>
  </si>
  <si>
    <t>49.107.46.184</t>
  </si>
  <si>
    <t>59b8a5fc-9861-4160-acab-85f3f0760274</t>
  </si>
  <si>
    <t>143f3d05-d651-46b6-a4ad-d43c2ddc2f0d</t>
  </si>
  <si>
    <t>123.130.57.233</t>
  </si>
  <si>
    <t>198e8155-a278-458c-9ef4-101fb1f17847</t>
  </si>
  <si>
    <t>f6a3e058-5af3-4bdb-9a29-0989d073d80f</t>
  </si>
  <si>
    <t>5.3.194.215</t>
  </si>
  <si>
    <t>261ad8da-3374-4169-9b23-29c6c9973ebf</t>
  </si>
  <si>
    <t>c8ada695-24f8-4956-b0df-6484e7f2b72a</t>
  </si>
  <si>
    <t>103.51.181.184</t>
  </si>
  <si>
    <t>c16616e9-9361-497b-834e-3aa58b51952c</t>
  </si>
  <si>
    <t>dc1820ea-34dd-43e0-82a6-843706a0375d</t>
  </si>
  <si>
    <t>243.158.33.222</t>
  </si>
  <si>
    <t>455a78b7-ba15-4ce3-bbdd-b9bd1349b111</t>
  </si>
  <si>
    <t>691e8004-988f-492d-91bd-481318d862ea</t>
  </si>
  <si>
    <t>243.153.117.43</t>
  </si>
  <si>
    <t>a051181d-2d94-4b29-8be6-2fb5d977a3ae</t>
  </si>
  <si>
    <t>5c2d3231-9174-4d2f-8b43-65e550a318b0</t>
  </si>
  <si>
    <t>167.199.241.8</t>
  </si>
  <si>
    <t>d5daa0ef-2b5f-4b7b-bcca-7951527b6d34</t>
  </si>
  <si>
    <t>402bb917-ad33-44a7-9663-ff001f6fd991</t>
  </si>
  <si>
    <t>244.140.165.23</t>
  </si>
  <si>
    <t>a4e3f26e-3374-4229-a026-235291ff9a5d</t>
  </si>
  <si>
    <t>19258eed-d0ae-46dd-ad80-457300b4cfb8</t>
  </si>
  <si>
    <t>37.127.90.4</t>
  </si>
  <si>
    <t>643bc934-6620-42f3-86c8-c918b15adb8d</t>
  </si>
  <si>
    <t>629c5223-381c-4ee6-8c41-8272b1da123f</t>
  </si>
  <si>
    <t>33.79.71.240</t>
  </si>
  <si>
    <t>5b0ae6ff-8f43-4482-aeaf-e14da006b951</t>
  </si>
  <si>
    <t>357f151c-7681-4efd-af33-c293e1ed93f2</t>
  </si>
  <si>
    <t>196.19.31.107</t>
  </si>
  <si>
    <t>0a1d08dd-4236-4a63-889d-73f631760544</t>
  </si>
  <si>
    <t>b4de99e0-a618-4dcd-a1a2-9f96bdd8a7f1</t>
  </si>
  <si>
    <t>222.150.190.212</t>
  </si>
  <si>
    <t>7314a2fb-0777-44cd-87ce-139fcffe43b7</t>
  </si>
  <si>
    <t>74718074-e19b-4a53-a629-f008e5123385</t>
  </si>
  <si>
    <t>211.80.214.88</t>
  </si>
  <si>
    <t>a9663ca7-b925-4ea9-b6dc-ebd7bfa742b6</t>
  </si>
  <si>
    <t>430be96e-8391-4fcb-944d-b2b5eaaf8cb8</t>
  </si>
  <si>
    <t>45.77.92.186</t>
  </si>
  <si>
    <t>3092eb34-2d53-4e6b-b25b-4dba6b5c0531</t>
  </si>
  <si>
    <t>be5d1acf-b100-4451-b9f1-e33742e90ddf</t>
  </si>
  <si>
    <t>226.56.83.15</t>
  </si>
  <si>
    <t>5bebb29b-5df6-409d-8efb-69f319e5a191</t>
  </si>
  <si>
    <t>ffc43a62-2dea-4079-bbc3-cb7ab50277a0</t>
  </si>
  <si>
    <t>128.104.156.206</t>
  </si>
  <si>
    <t>ad84140d-8547-4730-8478-fb1f5cf609d6</t>
  </si>
  <si>
    <t>a83fd08b-1f87-4422-abfa-e616ff57e1f6</t>
  </si>
  <si>
    <t>161.191.135.164</t>
  </si>
  <si>
    <t>65720cfe-5e24-48de-84e8-dbf5cdaa2a09</t>
  </si>
  <si>
    <t>234a74a6-9347-4433-8cec-8cb68e18fd81</t>
  </si>
  <si>
    <t>8.13.169.14</t>
  </si>
  <si>
    <t>d320d38f-5537-4142-bef8-bc0ed04d4199</t>
  </si>
  <si>
    <t>b7a4bb3a-2e63-4524-89e8-d8073ae31839</t>
  </si>
  <si>
    <t>228.240.17.73</t>
  </si>
  <si>
    <t>061e631d-fa9d-4c3a-920d-4d3a80002db5</t>
  </si>
  <si>
    <t>f11fa1af-0851-454c-bd4f-869ee5bd9d21</t>
  </si>
  <si>
    <t>234.208.23.193</t>
  </si>
  <si>
    <t>6bacac37-386e-4cc8-8e80-b1611910e20a</t>
  </si>
  <si>
    <t>1c362b7c-9182-4336-b6cd-2f43dce5cf71</t>
  </si>
  <si>
    <t>196.86.80.51</t>
  </si>
  <si>
    <t>687dae4c-d4c7-43cc-910a-d5ebf7709e74</t>
  </si>
  <si>
    <t>8c025070-9cc1-4b03-80e4-795256658456</t>
  </si>
  <si>
    <t>4.178.114.47</t>
  </si>
  <si>
    <t>21a76845-0af3-4295-acdc-ed9296a222ca</t>
  </si>
  <si>
    <t>f508d581-e7ef-4cf0-9a57-58dbfad8acd3</t>
  </si>
  <si>
    <t>108.33.57.243</t>
  </si>
  <si>
    <t>de1f9783-feef-4ad2-887e-ac223f75eca3</t>
  </si>
  <si>
    <t>4bdeb6b5-00d0-4cd0-9312-a962141117aa</t>
  </si>
  <si>
    <t>119.212.225.68</t>
  </si>
  <si>
    <t>b8cc2743-4b1e-4c7e-9621-86033f3e12dc</t>
  </si>
  <si>
    <t>26a58ff1-9f93-4a32-96da-baeb5aea0890</t>
  </si>
  <si>
    <t>220.0.159.243</t>
  </si>
  <si>
    <t>2eb4d480-8722-4447-a5db-e1eb8516714f</t>
  </si>
  <si>
    <t>3ca92934-3a34-4aa0-9eb3-0a082b91b1e9</t>
  </si>
  <si>
    <t>121.131.65.165</t>
  </si>
  <si>
    <t>ecc8b20e-df61-419c-adc8-30371986c3d5</t>
  </si>
  <si>
    <t>d5150d7c-f995-4e83-8bea-ad2bb5bc9149</t>
  </si>
  <si>
    <t>169.187.49.244</t>
  </si>
  <si>
    <t>8f70244b-14f2-4201-875b-98887bb7acef</t>
  </si>
  <si>
    <t>e85998ce-73ca-44c6-8183-f24613cdb2b8</t>
  </si>
  <si>
    <t>127.100.64.112</t>
  </si>
  <si>
    <t>fbae5183-ba38-4f55-aa65-482ba8d50961</t>
  </si>
  <si>
    <t>05eb4288-cdbb-4250-8004-7dd6be6909d9</t>
  </si>
  <si>
    <t>132.66.73.115</t>
  </si>
  <si>
    <t>69cec7f6-c975-4bcf-a419-d9ec3514d56c</t>
  </si>
  <si>
    <t>882d4c4d-9ac5-4046-925a-17a7ee5e2c28</t>
  </si>
  <si>
    <t>169.42.48.206</t>
  </si>
  <si>
    <t>7e485b84-1765-4de6-a5bd-57453c4fa98b</t>
  </si>
  <si>
    <t>4d814f1b-dbe0-4b4f-a646-7c7ac6ae9fcf</t>
  </si>
  <si>
    <t>73.53.127.115</t>
  </si>
  <si>
    <t>e688352f-24c1-4d9b-9935-e1c5a83504e3</t>
  </si>
  <si>
    <t>3d685a61-9c18-4dbb-9c9c-66d8343c27d1</t>
  </si>
  <si>
    <t>65.94.154.168</t>
  </si>
  <si>
    <t>57eef46a-84ee-455c-945c-749981574904</t>
  </si>
  <si>
    <t>62c74792-49ae-45b1-9d84-f65cee1b424f</t>
  </si>
  <si>
    <t>182.236.136.67</t>
  </si>
  <si>
    <t>173df0c3-bf3d-47b6-8fd9-476b8bee5290</t>
  </si>
  <si>
    <t>d04a01eb-20bf-4754-ab99-1a768d98c6a3</t>
  </si>
  <si>
    <t>84.216.191.74</t>
  </si>
  <si>
    <t>3964fa5e-bed7-466c-8562-aa7dd3d41353</t>
  </si>
  <si>
    <t>55791f1b-c937-431c-ba27-c4154d4f3142</t>
  </si>
  <si>
    <t>149.17.197.24</t>
  </si>
  <si>
    <t>16a8bd3d-216a-47b0-9018-c70508195279</t>
  </si>
  <si>
    <t>0c18dcf1-30c2-481a-b31a-4e93e842cd17</t>
  </si>
  <si>
    <t>204.101.93.7</t>
  </si>
  <si>
    <t>fa71c1eb-7d36-4a78-8c71-ac5ab2450548</t>
  </si>
  <si>
    <t>9f00c495-c121-47c5-8c8e-974e4a7243e3</t>
  </si>
  <si>
    <t>37.17.121.82</t>
  </si>
  <si>
    <t>cf640a7c-b5c7-478d-b46f-f7f59044078a</t>
  </si>
  <si>
    <t>124340c0-1950-4876-bdd8-add807689d6e</t>
  </si>
  <si>
    <t>102.165.5.246</t>
  </si>
  <si>
    <t>a5eba482-ad3c-47bd-9164-fb739197fbe7</t>
  </si>
  <si>
    <t>177a5bc0-e520-43dc-a437-34c8ce8147e9</t>
  </si>
  <si>
    <t>124.176.96.207</t>
  </si>
  <si>
    <t>11298290-36d7-4bd8-92bc-6729cc501ff5</t>
  </si>
  <si>
    <t>cfaf855a-d3c7-48ab-a5f3-9bd93d0f5d2c</t>
  </si>
  <si>
    <t>116.109.232.134</t>
  </si>
  <si>
    <t>0d573d2e-f861-4bd2-bf33-2d884d817623</t>
  </si>
  <si>
    <t>1f401b3b-f51a-4d6b-954d-0cea7fe15ffc</t>
  </si>
  <si>
    <t>140.225.60.143</t>
  </si>
  <si>
    <t>0b544866-1441-4857-9de3-c062c5ffd5bd</t>
  </si>
  <si>
    <t>e66c3f07-8afc-4466-93a9-a82d7740b7d5</t>
  </si>
  <si>
    <t>168.172.172.95</t>
  </si>
  <si>
    <t>ae250a7c-6796-405c-928e-19e3875c97b4</t>
  </si>
  <si>
    <t>d331c159-a5cc-410e-91fb-df738e1d758d</t>
  </si>
  <si>
    <t>66.174.249.233</t>
  </si>
  <si>
    <t>a3d9ad34-14d7-4ba3-9caa-08bbd21b4e54</t>
  </si>
  <si>
    <t>d07061fa-972b-4673-93fa-bb95326c1f66</t>
  </si>
  <si>
    <t>170.49.175.134</t>
  </si>
  <si>
    <t>03b84c33-9dd5-4f61-9b82-dab0009cd135</t>
  </si>
  <si>
    <t>a90485f6-33b2-47d2-b5a1-c193cc08c3e6</t>
  </si>
  <si>
    <t>17.187.218.13</t>
  </si>
  <si>
    <t>66cd7118-f62d-4404-838b-2854fc90e926</t>
  </si>
  <si>
    <t>a0bc192e-6e4a-4efb-95fa-efb92c9cb81d</t>
  </si>
  <si>
    <t>247.64.48.116</t>
  </si>
  <si>
    <t>4063164c-ba02-4328-9aab-2bb4090786d9</t>
  </si>
  <si>
    <t>24cffcc2-4a4a-4174-837e-deccbf814716</t>
  </si>
  <si>
    <t>250.234.56.61</t>
  </si>
  <si>
    <t>cc7c5d3e-149d-4489-9891-cf4c93aa98d1</t>
  </si>
  <si>
    <t>5841ea95-f2bb-41ca-b4b7-cb531a4aa1f3</t>
  </si>
  <si>
    <t>141.151.64.177</t>
  </si>
  <si>
    <t>22c392e0-bcc3-42db-a292-0cf7ab906f24</t>
  </si>
  <si>
    <t>fb0e170c-de3b-4492-9e5b-8c6e2c15fa4a</t>
  </si>
  <si>
    <t>79.231.223.42</t>
  </si>
  <si>
    <t>5b338ba4-52d9-4fd4-b471-f4a0fbec200a</t>
  </si>
  <si>
    <t>637f5490-5b76-4744-8592-f665f2e229c9</t>
  </si>
  <si>
    <t>248.93.203.99</t>
  </si>
  <si>
    <t>eebbec03-33ab-4abe-aeda-ca25ca776274</t>
  </si>
  <si>
    <t>dfb571e1-8127-4098-afd7-6cdc10a019ba</t>
  </si>
  <si>
    <t>37.113.8.101</t>
  </si>
  <si>
    <t>9cbab0c9-16a8-4a75-b9cd-b453d6df58f0</t>
  </si>
  <si>
    <t>f827c179-ade6-4b0b-b4ff-0a30b1e6b410</t>
  </si>
  <si>
    <t>188.181.77.24</t>
  </si>
  <si>
    <t>20e28f6a-d73d-4a04-8e2f-65294e5fe91a</t>
  </si>
  <si>
    <t>5466ceef-be1e-4bcd-8e86-5626c7d6567d</t>
  </si>
  <si>
    <t>205.185.117.85</t>
  </si>
  <si>
    <t>c29e1190-a155-4d1a-9ebf-d344df17ca97</t>
  </si>
  <si>
    <t>6b311158-4b35-43f5-9564-ead149834043</t>
  </si>
  <si>
    <t>96.81.51.84</t>
  </si>
  <si>
    <t>2153c22b-88b2-402b-a6ec-f65d99104a94</t>
  </si>
  <si>
    <t>a4a03510-03a6-47f7-9f8b-a8153a0f262d</t>
  </si>
  <si>
    <t>163.115.77.217</t>
  </si>
  <si>
    <t>c6c2a770-b6a4-4789-9b58-0fb34e55ef23</t>
  </si>
  <si>
    <t>25249d17-310e-476c-a154-8f474a732434</t>
  </si>
  <si>
    <t>220.103.142.25</t>
  </si>
  <si>
    <t>9398d7d0-cce6-4286-a7b7-d15738075233</t>
  </si>
  <si>
    <t>2b95cd47-c406-4889-869e-e1eac5ce7c38</t>
  </si>
  <si>
    <t>246.205.151.199</t>
  </si>
  <si>
    <t>f49d28c7-158f-482f-b2d2-b77eb3e9952d</t>
  </si>
  <si>
    <t>a9e422bc-1933-4750-8371-3b8d5adb8935</t>
  </si>
  <si>
    <t>231.215.243.239</t>
  </si>
  <si>
    <t>7272a60f-4eed-4a4b-a800-cdb698868497</t>
  </si>
  <si>
    <t>968e96fb-83c6-4e54-ad03-912e22b0f2f2</t>
  </si>
  <si>
    <t>83.69.153.0</t>
  </si>
  <si>
    <t>30fbb93a-09b3-490c-a873-489bc1281896</t>
  </si>
  <si>
    <t>eea94509-42ad-41fd-894b-41d51882abfe</t>
  </si>
  <si>
    <t>20.128.159.106</t>
  </si>
  <si>
    <t>41ce599f-05b3-42c0-a17f-2dc2b97ae298</t>
  </si>
  <si>
    <t>494700ca-e359-4bec-8bf1-5895fd8a391e</t>
  </si>
  <si>
    <t>237.34.30.210</t>
  </si>
  <si>
    <t>3f9b97b5-b3cf-4d4c-b3be-6972276307fe</t>
  </si>
  <si>
    <t>55b07097-1f67-4d96-941f-41aec7fd4e16</t>
  </si>
  <si>
    <t>36.73.246.82</t>
  </si>
  <si>
    <t>6b3ca8dc-1c92-4c59-8ce1-22bfc3c48095</t>
  </si>
  <si>
    <t>b4cc6d55-f202-4736-969f-f33b9dc55640</t>
  </si>
  <si>
    <t>196.124.200.81</t>
  </si>
  <si>
    <t>df4ee3ef-bfbc-4372-a55c-a43ea5536499</t>
  </si>
  <si>
    <t>c403733a-abc8-4372-bbe9-b89194633ab1</t>
  </si>
  <si>
    <t>166.214.200.99</t>
  </si>
  <si>
    <t>f122b2eb-3c8b-4060-aeac-d34755a3bc10</t>
  </si>
  <si>
    <t>db04a005-f148-45df-857d-b2954bd2f4c9</t>
  </si>
  <si>
    <t>64.179.36.115</t>
  </si>
  <si>
    <t>75a4643b-1424-4196-81d3-d2973b3c16e7</t>
  </si>
  <si>
    <t>82399092-8781-4a1b-b8b0-6639a083703e</t>
  </si>
  <si>
    <t>247.141.71.205</t>
  </si>
  <si>
    <t>faa271ca-ac9f-4673-bf61-69aaabd96f51</t>
  </si>
  <si>
    <t>9cbd3bef-a3a7-4349-9b7a-1efafad1a74b</t>
  </si>
  <si>
    <t>32.77.105.227</t>
  </si>
  <si>
    <t>526b07f3-23ff-4505-a0b4-404e56a0ca8b</t>
  </si>
  <si>
    <t>6d82d29d-30dc-435c-b4a9-4961d06b5bab</t>
  </si>
  <si>
    <t>37.141.167.5</t>
  </si>
  <si>
    <t>ea2ca96c-25d4-4bdb-9c6d-0a946a8a288b</t>
  </si>
  <si>
    <t>118c40ed-ae67-4e2e-aaa2-50d85d85b9dd</t>
  </si>
  <si>
    <t>164.60.159.52</t>
  </si>
  <si>
    <t>28f7b222-fe8c-4764-af96-72c2de3c49d9</t>
  </si>
  <si>
    <t>3041c630-5c6c-4929-a878-625b81297ed0</t>
  </si>
  <si>
    <t>198.241.118.224</t>
  </si>
  <si>
    <t>feca9f31-afb6-4b3a-b700-6cd743f4ae66</t>
  </si>
  <si>
    <t>f183e34d-43a8-4e8a-afa7-d62b4c8d934d</t>
  </si>
  <si>
    <t>77.63.232.78</t>
  </si>
  <si>
    <t>c5830b3d-2eb9-4413-b084-d3bac2f1ed54</t>
  </si>
  <si>
    <t>61e5673c-a669-4817-94cd-eea2ba9469bf</t>
  </si>
  <si>
    <t>19.174.139.20</t>
  </si>
  <si>
    <t>97a1f806-83e5-4f9e-8c2d-59afcdec0abf</t>
  </si>
  <si>
    <t>1db2e1a5-02ab-4410-b647-2e35f327a23f</t>
  </si>
  <si>
    <t>98.130.57.238</t>
  </si>
  <si>
    <t>a968aed8-65d8-44d1-9499-71f491034590</t>
  </si>
  <si>
    <t>c5a923cb-6cc3-426c-8eca-7abd29a7bc99</t>
  </si>
  <si>
    <t>110.86.249.149</t>
  </si>
  <si>
    <t>2eab004c-8f2b-46e9-a31f-9e091f0a340d</t>
  </si>
  <si>
    <t>868c9cbd-6853-4e2b-b7d1-7846ac025864</t>
  </si>
  <si>
    <t>58.52.45.185</t>
  </si>
  <si>
    <t>234022cb-50fd-4b9e-9a46-fe5ec2559421</t>
  </si>
  <si>
    <t>8f305a60-9818-4b61-bd02-211f75e13f59</t>
  </si>
  <si>
    <t>62.253.221.215</t>
  </si>
  <si>
    <t>397f30a4-cf02-41fe-9a9e-e8b1e6a4225b</t>
  </si>
  <si>
    <t>8a6bacef-6d97-48ea-8ca0-8ca5741dd3dc</t>
  </si>
  <si>
    <t>15.53.143.141</t>
  </si>
  <si>
    <t>d5febd60-5fe2-44db-aa39-ace4917729db</t>
  </si>
  <si>
    <t>2e778ebe-5feb-40df-8edd-577b0ba66a58</t>
  </si>
  <si>
    <t>232.128.168.214</t>
  </si>
  <si>
    <t>1091d8ab-27b4-48c7-ae75-8f5b62970490</t>
  </si>
  <si>
    <t>4b977c5f-9ff1-469b-8275-3e60bb248da1</t>
  </si>
  <si>
    <t>171.128.182.42</t>
  </si>
  <si>
    <t>7bb3b4c2-ab43-4391-95a8-92206c8ae383</t>
  </si>
  <si>
    <t>d284ebf1-5490-4b9b-b9d0-7976be0ba194</t>
  </si>
  <si>
    <t>4.51.248.124</t>
  </si>
  <si>
    <t>2ba0a6d2-f08d-4fe0-9ad5-43ec12a23fe8</t>
  </si>
  <si>
    <t>7067ae51-6763-417d-b151-22ad0df1858b</t>
  </si>
  <si>
    <t>150.253.113.222</t>
  </si>
  <si>
    <t>5e53ea63-e72f-413e-bf44-850bb46e4400</t>
  </si>
  <si>
    <t>e7932d12-1d93-411e-8ef9-de33cac62714</t>
  </si>
  <si>
    <t>171.136.53.249</t>
  </si>
  <si>
    <t>91a3c357-914d-4702-b7c7-5bec56cd5464</t>
  </si>
  <si>
    <t>0b29e6ef-303e-4f20-8c6c-f369e94fa93b</t>
  </si>
  <si>
    <t>144.192.195.21</t>
  </si>
  <si>
    <t>b78068b9-fcfc-4105-8d4e-7a2162b5bf9a</t>
  </si>
  <si>
    <t>2d6beabc-18e2-45c2-aadd-64108c5027aa</t>
  </si>
  <si>
    <t>155.55.50.48</t>
  </si>
  <si>
    <t>d45b135a-91c5-48de-a495-241aeebe3e4a</t>
  </si>
  <si>
    <t>03c57f9b-ba28-4607-8c93-108838bbbef4</t>
  </si>
  <si>
    <t>31.122.184.215</t>
  </si>
  <si>
    <t>5a3fd084-198c-4b54-bee0-e17f66929275</t>
  </si>
  <si>
    <t>556130c8-d425-419f-811c-e6bf1f904455</t>
  </si>
  <si>
    <t>209.201.20.177</t>
  </si>
  <si>
    <t>0ab4acec-3708-42b5-8a0d-f84d5e3da4c5</t>
  </si>
  <si>
    <t>6841fdd6-26f4-436a-850a-1e5852b51143</t>
  </si>
  <si>
    <t>166.225.235.19</t>
  </si>
  <si>
    <t>a8785df6-2590-4243-b51d-a08d90011324</t>
  </si>
  <si>
    <t>530ae1cf-8853-4da7-9b16-c88a88d5bfe5</t>
  </si>
  <si>
    <t>241.204.221.13</t>
  </si>
  <si>
    <t>3efe6086-06c5-479e-aa38-e7af4e9b7eb0</t>
  </si>
  <si>
    <t>35ee0e91-6680-488e-a76d-f77a40ac3daa</t>
  </si>
  <si>
    <t>56.92.12.168</t>
  </si>
  <si>
    <t>02e3812e-4502-4401-a4b0-59a068a8ca98</t>
  </si>
  <si>
    <t>59c19218-5121-4b78-8f32-5bcc23509544</t>
  </si>
  <si>
    <t>26.149.211.14</t>
  </si>
  <si>
    <t>53278f27-da77-410a-bd00-00343772e4cf</t>
  </si>
  <si>
    <t>91b9dfab-0c85-48eb-a393-43b0e1615859</t>
  </si>
  <si>
    <t>187.233.129.183</t>
  </si>
  <si>
    <t>1099a493-77af-4033-a9af-da602d25c032</t>
  </si>
  <si>
    <t>ef344ab0-d503-46ba-8980-0ecd1d2ae0e6</t>
  </si>
  <si>
    <t>210.176.180.127</t>
  </si>
  <si>
    <t>d13c19d0-cb7f-4e50-bb34-6a49892b064c</t>
  </si>
  <si>
    <t>28e0f814-23e2-4c6c-8c58-41ea85b443ae</t>
  </si>
  <si>
    <t>71.228.24.166</t>
  </si>
  <si>
    <t>cb9f0c78-c06c-4c81-8627-503750a956f2</t>
  </si>
  <si>
    <t>be1f3a54-06de-4c92-8c72-574b71b25804</t>
  </si>
  <si>
    <t>118.134.82.107</t>
  </si>
  <si>
    <t>38da66d4-ea04-41af-bdde-783cb7204ae3</t>
  </si>
  <si>
    <t>7bd483e7-fb44-4c7c-8cd8-7dbad7ec3b5a</t>
  </si>
  <si>
    <t>143.164.205.178</t>
  </si>
  <si>
    <t>09a80313-1f8b-48b6-876e-dac09fedf784</t>
  </si>
  <si>
    <t>55d9a099-526b-47b6-bdbf-3e0c0021a8a5</t>
  </si>
  <si>
    <t>200.88.255.45</t>
  </si>
  <si>
    <t>5714b446-7839-42dd-b8d0-5bc3d2041332</t>
  </si>
  <si>
    <t>2f628ed0-111d-45e5-8fe6-2c3a5f4955bf</t>
  </si>
  <si>
    <t>86.180.116.162</t>
  </si>
  <si>
    <t>27095acc-cc84-4959-93d4-f3f518fc32b2</t>
  </si>
  <si>
    <t>2c54bbbb-44eb-4e99-a3c3-766311885bf2</t>
  </si>
  <si>
    <t>213.156.51.46</t>
  </si>
  <si>
    <t>8f5cdc80-389a-4a86-bbe6-4aad2603d96a</t>
  </si>
  <si>
    <t>024a53dc-c6ed-46c7-851d-562e657a70cc</t>
  </si>
  <si>
    <t>164.207.160.254</t>
  </si>
  <si>
    <t>36fbb488-6c15-4dca-9ad8-3b340dcb2820</t>
  </si>
  <si>
    <t>da27fb6c-dd91-4f94-9b46-0343692c7018</t>
  </si>
  <si>
    <t>164.95.195.103</t>
  </si>
  <si>
    <t>ee4c529a-9483-4277-a2bc-2daa35bb35d2</t>
  </si>
  <si>
    <t>684727c9-57e1-449f-bb36-21d1d6dbc6a4</t>
  </si>
  <si>
    <t>68.248.179.172</t>
  </si>
  <si>
    <t>3ef45e14-6c22-4b8f-8b94-3592ebdadbc0</t>
  </si>
  <si>
    <t>88e2f1ed-0f8a-497d-8943-99e6ba9c7d35</t>
  </si>
  <si>
    <t>207.224.185.81</t>
  </si>
  <si>
    <t>b03e5622-65a6-4440-90e6-535249ad5c84</t>
  </si>
  <si>
    <t>94760811-5a2e-4c35-bbd5-297070c15a5e</t>
  </si>
  <si>
    <t>246.86.165.8</t>
  </si>
  <si>
    <t>a2424da0-43e4-4adb-8947-732154094cab</t>
  </si>
  <si>
    <t>7a04c725-4198-4d08-abf4-1acb5ca61869</t>
  </si>
  <si>
    <t>29.97.158.151</t>
  </si>
  <si>
    <t>8933f1c2-2842-4757-bba1-9034da818627</t>
  </si>
  <si>
    <t>5ccb1a8c-dba4-4466-a339-6ab3978b1673</t>
  </si>
  <si>
    <t>194.91.203.38</t>
  </si>
  <si>
    <t>c6cb0639-78c9-4a39-9eac-8bea2d4ae098</t>
  </si>
  <si>
    <t>13018f90-ca8b-4758-a819-8649ada76d56</t>
  </si>
  <si>
    <t>51.47.46.207</t>
  </si>
  <si>
    <t>22b2332a-8916-43f0-85e9-8a4bfacfeecb</t>
  </si>
  <si>
    <t>e23ae5c0-12ac-43d4-bf4a-704d8bb1f2a1</t>
  </si>
  <si>
    <t>219.134.74.174</t>
  </si>
  <si>
    <t>d85f9a4a-de08-467e-a186-5c936f656cbc</t>
  </si>
  <si>
    <t>d3ead36f-b657-4817-9ba7-0cf51ce27ab8</t>
  </si>
  <si>
    <t>137.181.203.68</t>
  </si>
  <si>
    <t>7e7cce89-3d93-4eba-871e-4eff2e03b9fd</t>
  </si>
  <si>
    <t>24ff7e2d-1bdd-4dc4-b3ec-c421a8e58f47</t>
  </si>
  <si>
    <t>236.197.53.150</t>
  </si>
  <si>
    <t>9e43e416-2070-493c-987f-ee89c84aa671</t>
  </si>
  <si>
    <t>b1f8622c-34cc-49ae-9663-dece2a7f312d</t>
  </si>
  <si>
    <t>158.42.165.115</t>
  </si>
  <si>
    <t>3e939b36-3870-47ec-aaa5-0f2ae6304c29</t>
  </si>
  <si>
    <t>1c28496e-29f4-4a35-91bb-d70aaff56d70</t>
  </si>
  <si>
    <t>114.20.125.79</t>
  </si>
  <si>
    <t>39e917c7-9be0-4dce-96c8-512c1f1e16ce</t>
  </si>
  <si>
    <t>965b50dc-3b47-4d27-8acd-1ae330dc8d0f</t>
  </si>
  <si>
    <t>171.140.13.253</t>
  </si>
  <si>
    <t>994a7324-d028-44e9-b65d-c02a68bb9dd4</t>
  </si>
  <si>
    <t>a545dce1-df84-44e4-b5f7-d15caa9309d5</t>
  </si>
  <si>
    <t>58.112.125.115</t>
  </si>
  <si>
    <t>296a756a-c7e1-45a1-80f7-dee37657beec</t>
  </si>
  <si>
    <t>1f73ec71-c71d-4263-ae8d-cff498a91200</t>
  </si>
  <si>
    <t>113.110.74.6</t>
  </si>
  <si>
    <t>71df7fc2-8346-42fe-b835-7e8cfbcf7e0e</t>
  </si>
  <si>
    <t>e580af6c-03be-49e4-9ce9-b5ae736a3020</t>
  </si>
  <si>
    <t>76.124.10.247</t>
  </si>
  <si>
    <t>7dacafea-111d-4856-9deb-a87d27658353</t>
  </si>
  <si>
    <t>1c6feac6-d891-42c8-b448-1fa9d94b1b66</t>
  </si>
  <si>
    <t>215.224.212.98</t>
  </si>
  <si>
    <t>bc6413f4-afb9-4354-b0f8-ff95da9c4ab4</t>
  </si>
  <si>
    <t>61d33cf1-4894-4f73-b074-35717db5ec38</t>
  </si>
  <si>
    <t>106.95.204.198</t>
  </si>
  <si>
    <t>f1bc0d62-39ae-459d-b974-d6fa085f4ccd</t>
  </si>
  <si>
    <t>92429e6a-dfa8-47ec-a4d7-4039f133a14c</t>
  </si>
  <si>
    <t>192.133.186.134</t>
  </si>
  <si>
    <t>4fa859f0-38e0-416b-8cfc-ae9c8e4b1958</t>
  </si>
  <si>
    <t>b7633e52-a8c5-431d-9f91-31e8306b8d5d</t>
  </si>
  <si>
    <t>111.189.186.120</t>
  </si>
  <si>
    <t>1b106f8a-5d69-4e24-89a8-f97f8c973fed</t>
  </si>
  <si>
    <t>052d844e-2d09-446c-a7d9-8aeb7e86084b</t>
  </si>
  <si>
    <t>82.182.39.68</t>
  </si>
  <si>
    <t>940eda46-3849-4296-b459-d7b5999c4306</t>
  </si>
  <si>
    <t>76a50cae-9105-45f4-8e36-4407c6f9ad20</t>
  </si>
  <si>
    <t>83.126.65.49</t>
  </si>
  <si>
    <t>b6e1304c-84ad-420a-99a2-560dc22bba10</t>
  </si>
  <si>
    <t>19df1b7c-77f1-4604-873d-2c31b3249617</t>
  </si>
  <si>
    <t>252.243.160.53</t>
  </si>
  <si>
    <t>77837968-eab4-41d2-9650-6d25184fe03f</t>
  </si>
  <si>
    <t>d4552f23-7552-45b2-93f0-535d472d3cbf</t>
  </si>
  <si>
    <t>207.116.178.114</t>
  </si>
  <si>
    <t>147a0f91-b67b-433e-bd79-adde7df6ca3c</t>
  </si>
  <si>
    <t>be68a2ba-923c-4411-974b-8be9f44d06b2</t>
  </si>
  <si>
    <t>120.137.27.235</t>
  </si>
  <si>
    <t>ad729e7d-3134-43b1-9583-52c88b65faa4</t>
  </si>
  <si>
    <t>ed367de6-002e-401e-a95d-068b8e902d55</t>
  </si>
  <si>
    <t>159.224.254.223</t>
  </si>
  <si>
    <t>0d7e7576-6305-4909-a9f1-5c880333415e</t>
  </si>
  <si>
    <t>66c5d89c-f23d-4bd7-9171-98defde04498</t>
  </si>
  <si>
    <t>17.87.11.229</t>
  </si>
  <si>
    <t>436a40f4-1371-43ef-990b-75210c688192</t>
  </si>
  <si>
    <t>3b03cad8-39c6-469f-9ab0-7e92a2164598</t>
  </si>
  <si>
    <t>144.29.177.244</t>
  </si>
  <si>
    <t>1f398a51-55b8-47e1-bd6f-f0807d02e982</t>
  </si>
  <si>
    <t>5127c22e-0b62-41b6-b491-70fd05b66b07</t>
  </si>
  <si>
    <t>223.75.32.181</t>
  </si>
  <si>
    <t>15a10107-6639-4873-8756-3a86d4bddea6</t>
  </si>
  <si>
    <t>c58d54de-9e6f-4ff1-ad5c-03c5f965f1f2</t>
  </si>
  <si>
    <t>17.141.129.14</t>
  </si>
  <si>
    <t>220dda54-c91d-41ae-8f2c-386c307d8903</t>
  </si>
  <si>
    <t>83d18762-3e4f-449c-a836-4c39bf602e97</t>
  </si>
  <si>
    <t>183.251.220.68</t>
  </si>
  <si>
    <t>8f4a30f4-b845-424c-b7bc-e716a854b0a1</t>
  </si>
  <si>
    <t>425cd08a-a749-4093-a3f9-61aa670021f0</t>
  </si>
  <si>
    <t>253.202.110.231</t>
  </si>
  <si>
    <t>18b3033c-ec9b-481a-b83b-5e73d709415e</t>
  </si>
  <si>
    <t>a32fe0fb-8908-48d1-9549-0e167d648201</t>
  </si>
  <si>
    <t>80.155.169.119</t>
  </si>
  <si>
    <t>eee6ef6a-d7e5-4293-90a8-fcf43a3eab4b</t>
  </si>
  <si>
    <t>6e8f9ee8-26b7-430c-80e7-d0ebd0d6f2dc</t>
  </si>
  <si>
    <t>146.208.73.161</t>
  </si>
  <si>
    <t>1d061b37-efd8-4505-8466-fb607efcb843</t>
  </si>
  <si>
    <t>41881e40-e37e-4350-8e90-c10a7aa367b7</t>
  </si>
  <si>
    <t>221.3.27.183</t>
  </si>
  <si>
    <t>0f782e07-3937-48d1-9263-064001b389eb</t>
  </si>
  <si>
    <t>b5a78b55-bde1-48a7-9fb3-70dbecb3b9eb</t>
  </si>
  <si>
    <t>151.61.36.32</t>
  </si>
  <si>
    <t>d59489d4-0382-4896-be32-4bc33db70a6b</t>
  </si>
  <si>
    <t>995a7044-4df6-4db1-a276-29a4d52c51b7</t>
  </si>
  <si>
    <t>136.211.82.99</t>
  </si>
  <si>
    <t>861c8b0d-fe84-483f-9059-d4db6609464c</t>
  </si>
  <si>
    <t>faa0703d-8e0f-4ab8-bd21-9b52b334f6d4</t>
  </si>
  <si>
    <t>64.91.92.15</t>
  </si>
  <si>
    <t>40941df6-2b1b-4e56-83b8-d6898049abf1</t>
  </si>
  <si>
    <t>c12ea6f5-9bda-4cbf-ad55-97e4d5b91ad3</t>
  </si>
  <si>
    <t>167.253.61.169</t>
  </si>
  <si>
    <t>5fe4b556-234d-4cf1-aac4-51ec576146e3</t>
  </si>
  <si>
    <t>89202c97-5ad9-4a66-a122-ec0100f04e35</t>
  </si>
  <si>
    <t>23.48.206.198</t>
  </si>
  <si>
    <t>1a0e7475-fa50-4146-9e62-8bd89ccbbc4a</t>
  </si>
  <si>
    <t>dde780f7-b6bf-416b-a0bf-c78fc54da8e0</t>
  </si>
  <si>
    <t>207.208.195.242</t>
  </si>
  <si>
    <t>8911b8e4-17be-4b61-b4fb-3d916e152677</t>
  </si>
  <si>
    <t>ab6149cb-4531-4e35-937f-46ea7f725edb</t>
  </si>
  <si>
    <t>36.175.93.49</t>
  </si>
  <si>
    <t>266935ac-36f4-4ab3-bfdb-d9107f8fb990</t>
  </si>
  <si>
    <t>a6d6b996-2147-42e6-88c2-1f1108543497</t>
  </si>
  <si>
    <t>80.181.90.220</t>
  </si>
  <si>
    <t>c15e8fab-043b-4703-8763-3621726181d7</t>
  </si>
  <si>
    <t>d976f98e-e8a1-41ea-bcf1-b5799406c849</t>
  </si>
  <si>
    <t>226.129.255.46</t>
  </si>
  <si>
    <t>40407454-7275-43ab-a311-1c0f9f05574c</t>
  </si>
  <si>
    <t>d91831db-96fe-4ce1-9436-5b328246ecf3</t>
  </si>
  <si>
    <t>48.133.205.102</t>
  </si>
  <si>
    <t>517c9f96-d0c6-4fe2-9daf-21f5a1c447d3</t>
  </si>
  <si>
    <t>d317ba68-40c4-42d6-b08c-44ecdcf1aec5</t>
  </si>
  <si>
    <t>59.179.41.173</t>
  </si>
  <si>
    <t>22307428-8c46-4333-8b9f-c6b898ffe09c</t>
  </si>
  <si>
    <t>d0638043-4f84-4592-89fc-551f6c9ad1c6</t>
  </si>
  <si>
    <t>116.48.131.10</t>
  </si>
  <si>
    <t>c84b92ac-530c-4ea0-a140-b93a2aea121e</t>
  </si>
  <si>
    <t>d4ff9c01-1a24-43cc-bb42-b5777c51adcd</t>
  </si>
  <si>
    <t>226.31.30.191</t>
  </si>
  <si>
    <t>361cd6e1-9bc7-4cd4-a722-fb93b73c3d2b</t>
  </si>
  <si>
    <t>63480fe9-2bcf-4f42-a874-374e8f193cfc</t>
  </si>
  <si>
    <t>25.86.0.6</t>
  </si>
  <si>
    <t>06e8af83-4ee9-4975-9383-c1b244e5c690</t>
  </si>
  <si>
    <t>11225912-2ab4-43e1-b441-769ab0ec7d14</t>
  </si>
  <si>
    <t>2.167.196.156</t>
  </si>
  <si>
    <t>c65ac662-467c-46a2-87e8-143f81c64b37</t>
  </si>
  <si>
    <t>2333d9ed-01c6-4c54-91ba-3f126577fa67</t>
  </si>
  <si>
    <t>8.191.35.88</t>
  </si>
  <si>
    <t>32411382-8578-4c10-8efa-a602ae624bbd</t>
  </si>
  <si>
    <t>7f254080-5c0d-440a-8719-a69cea2b130d</t>
  </si>
  <si>
    <t>49.255.93.111</t>
  </si>
  <si>
    <t>27d511ec-1bc6-4369-a6d6-74be6cf1c7d0</t>
  </si>
  <si>
    <t>50d23dac-8144-402f-9398-29f12e2f93a8</t>
  </si>
  <si>
    <t>250.176.49.79</t>
  </si>
  <si>
    <t>7e35a8b9-a16e-4fbe-833a-f5d301adbb10</t>
  </si>
  <si>
    <t>0a1419a5-f2fe-4871-85b0-bbdc2e179470</t>
  </si>
  <si>
    <t>154.191.90.225</t>
  </si>
  <si>
    <t>e3c0cb5c-6c6f-4c15-b14e-af9c1d427a10</t>
  </si>
  <si>
    <t>1bac418b-5fe2-4cfa-84ea-8547a5fc3ed9</t>
  </si>
  <si>
    <t>181.90.76.227</t>
  </si>
  <si>
    <t>f065df4b-1879-427d-a949-fc1a46a871a5</t>
  </si>
  <si>
    <t>cf3ba059-d6aa-4409-8378-8e49e8daf3b9</t>
  </si>
  <si>
    <t>8.19.61.159</t>
  </si>
  <si>
    <t>0291de22-d8e7-4413-aee5-1d00f412400a</t>
  </si>
  <si>
    <t>330054de-8e1d-4fbd-b778-5d55438b1d9f</t>
  </si>
  <si>
    <t>240.149.55.178</t>
  </si>
  <si>
    <t>4110c4b4-150d-4700-910a-b6b467eb4c7a</t>
  </si>
  <si>
    <t>2b9f460e-5053-479d-a33a-16f37102ed41</t>
  </si>
  <si>
    <t>175.92.85.51</t>
  </si>
  <si>
    <t>fd4498dd-4a35-4ed1-bdfe-f4dd24b3dd79</t>
  </si>
  <si>
    <t>a57dce5d-dfd9-4ae7-8d5f-70d0af0b7cdd</t>
  </si>
  <si>
    <t>128.98.79.172</t>
  </si>
  <si>
    <t>cd99a57b-a0dc-41f6-b19e-b30be5ab8a13</t>
  </si>
  <si>
    <t>b02cb057-170d-4570-8cf0-28ec88e68526</t>
  </si>
  <si>
    <t>241.232.199.229</t>
  </si>
  <si>
    <t>f9187876-94f9-41ae-9b1c-857f23b5f412</t>
  </si>
  <si>
    <t>e2391e25-404f-402f-b9b7-5a4ad2483e52</t>
  </si>
  <si>
    <t>242.59.33.173</t>
  </si>
  <si>
    <t>cfe6dcf9-2e0b-49f0-b668-f4e2f38374a0</t>
  </si>
  <si>
    <t>e08580d9-b170-441f-a72d-d6a2e2c22fcd</t>
  </si>
  <si>
    <t>64.187.72.122</t>
  </si>
  <si>
    <t>7f7ced85-01f6-4891-bdfa-e4764093c0b1</t>
  </si>
  <si>
    <t>97914078-e267-4451-a35d-d325d18c2368</t>
  </si>
  <si>
    <t>246.251.96.206</t>
  </si>
  <si>
    <t>2b2ade09-8aef-49b2-b1ac-cf01365c9697</t>
  </si>
  <si>
    <t>be059c91-3e6c-44c5-95c2-73fa8e3f5f63</t>
  </si>
  <si>
    <t>11.183.30.245</t>
  </si>
  <si>
    <t>c46d3d36-a229-4c11-b917-cd9e4bb56d94</t>
  </si>
  <si>
    <t>7732d8d7-323f-4b26-bd96-96a6a03ffcb4</t>
  </si>
  <si>
    <t>208.50.46.164</t>
  </si>
  <si>
    <t>d81a21f1-f9f4-4845-b8e4-2210495559d8</t>
  </si>
  <si>
    <t>03b1cf16-dcc0-4834-adc4-b28b7cbf31e1</t>
  </si>
  <si>
    <t>234.201.102.144</t>
  </si>
  <si>
    <t>ea38bbec-f852-4966-9f12-7976e3bc14ee</t>
  </si>
  <si>
    <t>55a780f2-8d99-44ca-b03c-b414c744dd49</t>
  </si>
  <si>
    <t>83.69.229.101</t>
  </si>
  <si>
    <t>ebe7a2e6-462f-451f-933b-a49b8fbba537</t>
  </si>
  <si>
    <t>dfeb43c5-431e-4dc3-8048-d5adab356939</t>
  </si>
  <si>
    <t>75.218.206.222</t>
  </si>
  <si>
    <t>4e4ece23-d35e-46d9-8e41-17b45d10b0c6</t>
  </si>
  <si>
    <t>56784f9c-121f-4fe0-9c78-0341b8f971f9</t>
  </si>
  <si>
    <t>97.42.251.12</t>
  </si>
  <si>
    <t>8b977508-1d88-4912-a783-ebcbb05497f3</t>
  </si>
  <si>
    <t>edd87d0d-c9db-4d4c-a401-d5f55ec460dc</t>
  </si>
  <si>
    <t>126.53.164.247</t>
  </si>
  <si>
    <t>6260a4fc-46b9-4dfb-b946-c6d8e79872b9</t>
  </si>
  <si>
    <t>0a2f94a6-e503-4597-a35f-f5091e118e9e</t>
  </si>
  <si>
    <t>157.199.156.254</t>
  </si>
  <si>
    <t>b106dd3c-c3b3-47b1-b900-f67b7c4b26c4</t>
  </si>
  <si>
    <t>cdf3d1dc-be97-4474-9d53-4766187c0fb9</t>
  </si>
  <si>
    <t>255.147.28.21</t>
  </si>
  <si>
    <t>42965310-788e-4055-ad8e-abc6a82c8a29</t>
  </si>
  <si>
    <t>2d374b22-7a09-4049-ba2f-a223bce307d1</t>
  </si>
  <si>
    <t>49.45.157.88</t>
  </si>
  <si>
    <t>44ba5311-29a0-40d5-8b4e-e049081732d4</t>
  </si>
  <si>
    <t>76de80cb-86af-49fa-a369-7274ef4b638c</t>
  </si>
  <si>
    <t>165.160.24.14</t>
  </si>
  <si>
    <t>9bdd6175-53f7-4556-8e8b-eb5c1d4e4ea2</t>
  </si>
  <si>
    <t>573bef0f-30eb-4139-bf94-b0454c25f56a</t>
  </si>
  <si>
    <t>13.155.197.96</t>
  </si>
  <si>
    <t>68e231a2-25cf-48a0-827d-db6389b62487</t>
  </si>
  <si>
    <t>b9c7531f-b518-40ec-a933-7ed07c465b0e</t>
  </si>
  <si>
    <t>91.26.222.91</t>
  </si>
  <si>
    <t>0935d6d3-9340-4bb2-9103-1759515e3217</t>
  </si>
  <si>
    <t>241ff40b-2287-454d-a5ec-4851e59351ce</t>
  </si>
  <si>
    <t>131.189.22.109</t>
  </si>
  <si>
    <t>ab58a166-53c8-4553-b3cf-4ea20ac5ad0a</t>
  </si>
  <si>
    <t>930ebca9-f95b-41e8-937c-21c2ca412d28</t>
  </si>
  <si>
    <t>26.234.95.113</t>
  </si>
  <si>
    <t>695a4a5d-65a4-4e26-9b81-506b3eda0379</t>
  </si>
  <si>
    <t>a2218574-7368-4973-8f82-0f0d425161cb</t>
  </si>
  <si>
    <t>183.163.37.104</t>
  </si>
  <si>
    <t>6d8b4aaa-671a-4c03-a3cf-a9e6414d9045</t>
  </si>
  <si>
    <t>51cd1b59-230e-4d18-a5c6-bc1d9f96ac0f</t>
  </si>
  <si>
    <t>127.105.7.23</t>
  </si>
  <si>
    <t>09e3d646-61fc-4984-bfab-fe27bdb61459</t>
  </si>
  <si>
    <t>d84d7298-d7d7-4e65-95cd-5507883ba0e8</t>
  </si>
  <si>
    <t>237.195.105.59</t>
  </si>
  <si>
    <t>0d2685c2-feb1-4775-84f6-f3e5bfb139c9</t>
  </si>
  <si>
    <t>caf7de7d-b491-4e83-b066-5cb3373f5c8c</t>
  </si>
  <si>
    <t>237.148.2.123</t>
  </si>
  <si>
    <t>d70572fe-cf95-447a-95cf-c361174942de</t>
  </si>
  <si>
    <t>f6fa4758-809a-43fc-bf28-0a331fe5d3c1</t>
  </si>
  <si>
    <t>169.169.90.199</t>
  </si>
  <si>
    <t>c0da9f38-7b45-4f02-9f23-b9812e00be68</t>
  </si>
  <si>
    <t>b7b6c24e-f8d9-4747-9bf0-e434d7b4f28a</t>
  </si>
  <si>
    <t>212.116.190.205</t>
  </si>
  <si>
    <t>76cc93f0-a329-4ab4-a070-ffeea080d6dc</t>
  </si>
  <si>
    <t>8cf36e43-6c9a-4b66-aea7-e8d59180db4e</t>
  </si>
  <si>
    <t>12.79.72.126</t>
  </si>
  <si>
    <t>8b8adc1f-aaa7-4149-aae2-da54d464ea88</t>
  </si>
  <si>
    <t>67251475-db39-4c72-8902-deb2d5aa005d</t>
  </si>
  <si>
    <t>160.132.216.158</t>
  </si>
  <si>
    <t>022a4adb-2540-4250-9a75-f7c73445f7ae</t>
  </si>
  <si>
    <t>cef84ef1-f373-4e1a-a2cd-480ff02ccc3b</t>
  </si>
  <si>
    <t>53.139.209.5</t>
  </si>
  <si>
    <t>209804ec-8558-4f66-b5eb-79a276b9c155</t>
  </si>
  <si>
    <t>59567b75-3a57-409e-aea0-a6aee67b57a4</t>
  </si>
  <si>
    <t>107.211.193.142</t>
  </si>
  <si>
    <t>2fb05029-88cc-4f9d-850c-057602bb0287</t>
  </si>
  <si>
    <t>2d5d3def-ee73-4bc6-aeb5-67c5a47567b7</t>
  </si>
  <si>
    <t>216.97.249.129</t>
  </si>
  <si>
    <t>89f06693-47ee-4039-a840-34121cf794f5</t>
  </si>
  <si>
    <t>64a93d31-5515-4689-a35e-91fb9b7cc065</t>
  </si>
  <si>
    <t>154.5.202.21</t>
  </si>
  <si>
    <t>7202c00c-94d4-46d7-9f76-6336bc7c225d</t>
  </si>
  <si>
    <t>090cea76-7a0b-4e76-9f2d-bc10cbd318b1</t>
  </si>
  <si>
    <t>179.229.65.114</t>
  </si>
  <si>
    <t>af953374-57f7-41cd-8e90-fb182935d241</t>
  </si>
  <si>
    <t>d03ba101-4889-4025-88ca-f5a57649f1da</t>
  </si>
  <si>
    <t>19.58.59.81</t>
  </si>
  <si>
    <t>332a6ace-489b-4bff-83d6-b816b8ee6c34</t>
  </si>
  <si>
    <t>beb24c5d-05ad-4bbc-b778-e98ce30223ae</t>
  </si>
  <si>
    <t>231.250.34.93</t>
  </si>
  <si>
    <t>69f497bb-6d5d-4b8e-a541-2d0750d21cb9</t>
  </si>
  <si>
    <t>f1d7887c-0eed-4f9f-8cb1-275ee2440fb0</t>
  </si>
  <si>
    <t>138.167.85.131</t>
  </si>
  <si>
    <t>0f79ab85-f039-4cd0-93f4-c399712504e2</t>
  </si>
  <si>
    <t>cb97e151-e90f-47a9-9e34-2be1e54f6795</t>
  </si>
  <si>
    <t>245.203.145.146</t>
  </si>
  <si>
    <t>239cd3f2-e110-4cab-88ec-17a0590d3690</t>
  </si>
  <si>
    <t>eb5e5b21-8dc8-446a-8470-2cc1b92a4b30</t>
  </si>
  <si>
    <t>73.133.55.61</t>
  </si>
  <si>
    <t>64ebd258-f638-4a80-b644-96da963e65b3</t>
  </si>
  <si>
    <t>8e2aa493-6b2b-4ae9-89ac-7c9608f802fc</t>
  </si>
  <si>
    <t>102.103.44.254</t>
  </si>
  <si>
    <t>98bdfd20-8677-48ce-800a-ba788ec583e7</t>
  </si>
  <si>
    <t>5bc60b19-ad20-44fb-9baf-fe56fb6fbc2f</t>
  </si>
  <si>
    <t>52.65.18.240</t>
  </si>
  <si>
    <t>174b2694-22c1-4ea6-befd-ad26b9d9f154</t>
  </si>
  <si>
    <t>d0046ae1-bf76-41ed-a7f8-ebd71baf41f0</t>
  </si>
  <si>
    <t>123.55.57.117</t>
  </si>
  <si>
    <t>57539dba-f3a9-44a8-b7bf-0914774bd588</t>
  </si>
  <si>
    <t>f443937d-02da-4bad-80f2-5edad68a68db</t>
  </si>
  <si>
    <t>10.198.94.42</t>
  </si>
  <si>
    <t>e372918c-43fd-43b4-8816-f6388a1cb387</t>
  </si>
  <si>
    <t>a133837d-bfde-4536-86fb-3767a5c9cec8</t>
  </si>
  <si>
    <t>196.34.123.223</t>
  </si>
  <si>
    <t>d3e9f26b-120f-436b-88cb-02fd48731925</t>
  </si>
  <si>
    <t>8ee7654d-cfaf-4365-a24c-8c14aa3945b5</t>
  </si>
  <si>
    <t>158.189.224.73</t>
  </si>
  <si>
    <t>c11eaa26-5fca-4c07-b985-bd21efc0b865</t>
  </si>
  <si>
    <t>60fcd05c-faa6-42df-9a3e-a1f8f7430cb1</t>
  </si>
  <si>
    <t>114.21.96.107</t>
  </si>
  <si>
    <t>d3bcf309-8dd9-430a-b511-b46d5bd33541</t>
  </si>
  <si>
    <t>92645ff1-726d-42a6-9b54-69e03a90ea05</t>
  </si>
  <si>
    <t>186.162.22.7</t>
  </si>
  <si>
    <t>7f485e74-785f-4d91-8146-e808c478be95</t>
  </si>
  <si>
    <t>b56736af-5427-4197-a7f1-0ab79d665d01</t>
  </si>
  <si>
    <t>243.78.174.128</t>
  </si>
  <si>
    <t>a4f37ff6-417e-4875-858c-51b292fa456c</t>
  </si>
  <si>
    <t>9d959130-cf10-4068-9ad5-1ccaee3843e2</t>
  </si>
  <si>
    <t>236.89.179.236</t>
  </si>
  <si>
    <t>37d7d47a-5443-4f24-96b5-93b38b66293e</t>
  </si>
  <si>
    <t>d17a0551-6193-42d6-a8a9-877c9f63ec44</t>
  </si>
  <si>
    <t>52.28.200.194</t>
  </si>
  <si>
    <t>be15b430-c39d-4bd4-82f7-8ed629e865e3</t>
  </si>
  <si>
    <t>3f5b878d-47b0-4a67-9935-2d7c415c5bfd</t>
  </si>
  <si>
    <t>40.149.32.115</t>
  </si>
  <si>
    <t>b5dd97ff-fa07-48a1-88fe-58708ec2c0c1</t>
  </si>
  <si>
    <t>b46f7382-11fd-470f-82c5-dba1faae7046</t>
  </si>
  <si>
    <t>48.99.171.224</t>
  </si>
  <si>
    <t>904eda8f-38e9-4b96-8201-6d25ab22e2c8</t>
  </si>
  <si>
    <t>41c9d799-52ec-4cdb-bb5c-1d272f29da87</t>
  </si>
  <si>
    <t>7.225.35.125</t>
  </si>
  <si>
    <t>dcc556c5-1424-4d2d-9ade-09202dc0c00c</t>
  </si>
  <si>
    <t>cc32c9c7-2d48-4d73-aa20-e1dcc2475d81</t>
  </si>
  <si>
    <t>155.147.82.73</t>
  </si>
  <si>
    <t>774b3faa-97d3-4350-aa9a-64461f401517</t>
  </si>
  <si>
    <t>ff39c5a6-367b-4d5c-811e-52f2761bfcf5</t>
  </si>
  <si>
    <t>141.162.29.57</t>
  </si>
  <si>
    <t>b40f4ba3-e5a6-403f-9c20-71289506992a</t>
  </si>
  <si>
    <t>5984e576-5702-45f7-9169-43efc5bf269b</t>
  </si>
  <si>
    <t>176.33.209.8</t>
  </si>
  <si>
    <t>af8c49e8-c010-4642-b9ec-c59426e5d3a4</t>
  </si>
  <si>
    <t>a3c8ab2e-376a-4a35-9df8-75663a49a33b</t>
  </si>
  <si>
    <t>159.86.164.189</t>
  </si>
  <si>
    <t>c31aee22-6efb-4708-8ac1-2800fc0162e8</t>
  </si>
  <si>
    <t>d468e067-70be-4a5c-b5d0-63689af3c4bc</t>
  </si>
  <si>
    <t>10.73.53.119</t>
  </si>
  <si>
    <t>3e7c1dd4-17dd-4158-b534-45f37953c1ec</t>
  </si>
  <si>
    <t>349dbaa9-f503-4464-8965-7e8787bf3659</t>
  </si>
  <si>
    <t>2.195.1.29</t>
  </si>
  <si>
    <t>1e603b1e-b04d-4c3a-a771-41d243fd4cd8</t>
  </si>
  <si>
    <t>c8a65f90-bdfb-4a75-9ab5-e4319a2a5edd</t>
  </si>
  <si>
    <t>209.198.61.114</t>
  </si>
  <si>
    <t>8c92dfab-c968-4adf-9e2c-1a2f9a6e2a7f</t>
  </si>
  <si>
    <t>f31dc896-173b-47c7-9a83-82b66846e735</t>
  </si>
  <si>
    <t>196.18.37.10</t>
  </si>
  <si>
    <t>2fba8e4a-7a5a-442e-b2c1-3144a9a8e1cf</t>
  </si>
  <si>
    <t>f4d20bbe-bfc9-45ff-b85d-238c6f8d4680</t>
  </si>
  <si>
    <t>167.243.197.144</t>
  </si>
  <si>
    <t>8ed22583-d045-472c-b805-1c21390a96f6</t>
  </si>
  <si>
    <t>0366b048-0c20-4d7e-9146-a0702a82c64d</t>
  </si>
  <si>
    <t>176.198.230.121</t>
  </si>
  <si>
    <t>1ec3edcb-2095-494f-aca9-46a8cec1cc5c</t>
  </si>
  <si>
    <t>4c13c349-29d4-47b1-8d90-6cff073c4fed</t>
  </si>
  <si>
    <t>175.251.128.176</t>
  </si>
  <si>
    <t>63154871-4e3c-4358-a433-4f63d74bc8d2</t>
  </si>
  <si>
    <t>67584b03-6caa-49a5-a887-02057edc89aa</t>
  </si>
  <si>
    <t>251.232.245.78</t>
  </si>
  <si>
    <t>02fc75c8-08c4-403a-bc43-6393d631fa15</t>
  </si>
  <si>
    <t>a0b83a15-2a43-4dbe-8816-1173041d94e3</t>
  </si>
  <si>
    <t>117.184.114.73</t>
  </si>
  <si>
    <t>06633257-1e54-4881-a5f0-4646c4bd5e84</t>
  </si>
  <si>
    <t>1ed0f60c-6d61-4008-bc4f-4eedc5e56aeb</t>
  </si>
  <si>
    <t>74.89.198.131</t>
  </si>
  <si>
    <t>1e6c825b-4058-4d5d-89b5-e5b471ecc45e</t>
  </si>
  <si>
    <t>a4abe3ca-ea2f-4b86-8e36-861f98ee137d</t>
  </si>
  <si>
    <t>226.82.188.10</t>
  </si>
  <si>
    <t>fd171338-88cc-427c-b9b8-fd2fdcf107ff</t>
  </si>
  <si>
    <t>6efa8182-9300-453c-bde1-66a4df55ff3a</t>
  </si>
  <si>
    <t>111.153.73.21</t>
  </si>
  <si>
    <t>1beee448-aa36-41f0-94b3-9a29f019cdac</t>
  </si>
  <si>
    <t>04117ae0-a308-4f8a-99d1-16e471336a1e</t>
  </si>
  <si>
    <t>118.210.116.205</t>
  </si>
  <si>
    <t>172ea724-abb4-452d-8070-6b10c6034abc</t>
  </si>
  <si>
    <t>36264b88-2a3c-4cff-9999-324cefdf8bd4</t>
  </si>
  <si>
    <t>33.180.106.207</t>
  </si>
  <si>
    <t>8802b521-2dd9-466f-96a0-f4ffc59cf2a2</t>
  </si>
  <si>
    <t>fa26d5cc-84bf-40bc-a280-365010f227b3</t>
  </si>
  <si>
    <t>108.213.235.231</t>
  </si>
  <si>
    <t>3c19fe9e-fb48-4d69-9ce9-82bfa3778fa2</t>
  </si>
  <si>
    <t>34882e13-51ba-4063-8149-a0dc93582fe8</t>
  </si>
  <si>
    <t>114.198.237.186</t>
  </si>
  <si>
    <t>a0ab6f02-5e8e-4e73-a311-093aa6aee44a</t>
  </si>
  <si>
    <t>f3c61818-7975-4811-98e8-fc480e50ee6d</t>
  </si>
  <si>
    <t>87.166.204.68</t>
  </si>
  <si>
    <t>a364ab59-0a25-4726-8c94-60b1cb01eebb</t>
  </si>
  <si>
    <t>53173031-06eb-4339-8673-3c547b627903</t>
  </si>
  <si>
    <t>186.105.125.111</t>
  </si>
  <si>
    <t>54d1896e-46e9-4a68-9ca7-c051225849f3</t>
  </si>
  <si>
    <t>a7b8d7f3-b547-4ad1-b06b-346e8d7b3a19</t>
  </si>
  <si>
    <t>183.97.99.186</t>
  </si>
  <si>
    <t>929c6c74-e70c-44e0-9534-a25f3f0a4092</t>
  </si>
  <si>
    <t>813fffc4-feb6-4e0f-9dff-d97dbac0b385</t>
  </si>
  <si>
    <t>231.237.209.191</t>
  </si>
  <si>
    <t>8cded5ad-39b6-43fa-8c09-810a50eb6248</t>
  </si>
  <si>
    <t>409d48b6-dff0-4faf-8aa8-79b2b16f78cb</t>
  </si>
  <si>
    <t>165.157.109.201</t>
  </si>
  <si>
    <t>830e8b9b-aa01-43a2-9d57-64168790fef6</t>
  </si>
  <si>
    <t>7a8b3130-f5a1-473b-b630-1a61016d6269</t>
  </si>
  <si>
    <t>37.240.55.231</t>
  </si>
  <si>
    <t>3fd34bea-2bde-4b86-b6f6-47cca0d43402</t>
  </si>
  <si>
    <t>afe597a2-3f60-4c95-9fe8-4aaf609f8fe3</t>
  </si>
  <si>
    <t>77.211.26.102</t>
  </si>
  <si>
    <t>809af322-fc07-4652-9cf6-324ec45f146d</t>
  </si>
  <si>
    <t>cb290f16-ad6e-4b80-ba34-bd3d130ddeb0</t>
  </si>
  <si>
    <t>56.172.80.196</t>
  </si>
  <si>
    <t>b3090353-a783-4573-a3a0-6ff92071c54f</t>
  </si>
  <si>
    <t>c777f802-cf30-40af-a639-c0b734052e3d</t>
  </si>
  <si>
    <t>240.221.92.226</t>
  </si>
  <si>
    <t>b0b41b6f-8511-43dc-99f5-1db7fb399710</t>
  </si>
  <si>
    <t>52071610-86ac-428b-8c8f-b6d80cf50456</t>
  </si>
  <si>
    <t>7.105.197.88</t>
  </si>
  <si>
    <t>2a27f954-7aea-4c39-a947-98e305148e97</t>
  </si>
  <si>
    <t>c6af4562-6879-41d5-9719-9c27651b71e4</t>
  </si>
  <si>
    <t>70.79.205.101</t>
  </si>
  <si>
    <t>be6cc1bc-df07-4d18-9252-ff6caa148a5b</t>
  </si>
  <si>
    <t>630c2a3f-fed3-4b82-a308-545baa1f94ad</t>
  </si>
  <si>
    <t>39.210.162.239</t>
  </si>
  <si>
    <t>33c7451a-5bbb-4e75-b90d-101745e238ec</t>
  </si>
  <si>
    <t>a4738a3e-7ee6-4edb-80f3-cbefa25e794f</t>
  </si>
  <si>
    <t>63.66.249.161</t>
  </si>
  <si>
    <t>301080cc-0e51-449e-a5fd-25f6bb203f78</t>
  </si>
  <si>
    <t>c6268ecb-3b44-43c7-ad95-06b5d189effa</t>
  </si>
  <si>
    <t>157.18.49.33</t>
  </si>
  <si>
    <t>001a6603-1da9-4231-b1db-94cc5abd1fcf</t>
  </si>
  <si>
    <t>f8eec5b5-e2eb-4044-8d10-25dcf74473e5</t>
  </si>
  <si>
    <t>22.10.4.27</t>
  </si>
  <si>
    <t>1445703b-1679-4ae6-9af6-2243f47df79b</t>
  </si>
  <si>
    <t>bdc2f7a1-2da6-4c99-9536-cf6e26586955</t>
  </si>
  <si>
    <t>85.46.160.182</t>
  </si>
  <si>
    <t>40b9d54e-9b7b-49aa-9b07-e771b4ed6b0b</t>
  </si>
  <si>
    <t>383978fe-fbba-4002-8886-126295184506</t>
  </si>
  <si>
    <t>52.77.109.157</t>
  </si>
  <si>
    <t>0d55bcfd-e6fb-4ed5-a8e2-73e195543cbe</t>
  </si>
  <si>
    <t>434ffdb0-4fea-4fa5-b5e8-5759c9cab421</t>
  </si>
  <si>
    <t>216.33.185.161</t>
  </si>
  <si>
    <t>78a05ce0-a193-491a-86a7-f1516629859d</t>
  </si>
  <si>
    <t>8b2bb135-f260-4832-80df-e0368b019d9a</t>
  </si>
  <si>
    <t>150.228.243.173</t>
  </si>
  <si>
    <t>dc6d1b70-87c2-42fc-ad83-a80fe501836a</t>
  </si>
  <si>
    <t>8b6a2c94-3730-4f43-ba5f-6ee88b99275e</t>
  </si>
  <si>
    <t>181.89.148.155</t>
  </si>
  <si>
    <t>3567b6bb-114a-44e7-8024-a80693d3fd24</t>
  </si>
  <si>
    <t>8add76f5-e944-4d62-ba27-1d7e5d6e055f</t>
  </si>
  <si>
    <t>26.81.77.83</t>
  </si>
  <si>
    <t>45911596-438d-464e-b17e-3fdc1417ad1e</t>
  </si>
  <si>
    <t>e8dfb75e-f651-40b1-8376-698a4c4d3a0f</t>
  </si>
  <si>
    <t>107.60.209.81</t>
  </si>
  <si>
    <t>80ecfd02-7380-47b9-a0ad-e91de8a77e59</t>
  </si>
  <si>
    <t>33274d6c-f6ec-4ceb-bd5e-7a613ecfaa98</t>
  </si>
  <si>
    <t>144.240.143.127</t>
  </si>
  <si>
    <t>c7cba734-15d0-4e9a-a301-0766d8ed3f35</t>
  </si>
  <si>
    <t>e43a15fb-c36a-4eb2-9a2d-30b796adb23b</t>
  </si>
  <si>
    <t>250.58.75.227</t>
  </si>
  <si>
    <t>132e9460-b227-4ebb-860e-22fcdac47af2</t>
  </si>
  <si>
    <t>ef183a5a-9d99-455a-a094-4f2cfbd6878a</t>
  </si>
  <si>
    <t>25.20.69.195</t>
  </si>
  <si>
    <t>087a9733-2e8e-4a9d-aca6-b219ce744ce5</t>
  </si>
  <si>
    <t>31a2a73b-650a-4d16-93df-ab3ed99f6f7b</t>
  </si>
  <si>
    <t>122.194.244.87</t>
  </si>
  <si>
    <t>6f31818a-10c6-4c16-a616-e261dba03b45</t>
  </si>
  <si>
    <t>383d9c59-5ed6-43f0-94cf-2aca8db47b16</t>
  </si>
  <si>
    <t>197.10.185.225</t>
  </si>
  <si>
    <t>14eb417e-565c-40b3-8e2c-de9acc0db51a</t>
  </si>
  <si>
    <t>5748a7a1-973b-4830-9cc0-6b27e1846002</t>
  </si>
  <si>
    <t>150.93.229.10</t>
  </si>
  <si>
    <t>83108c8e-2ede-4e86-a0f6-ea4875c9e523</t>
  </si>
  <si>
    <t>e94cecaf-9db8-49f4-97f6-a17bb5dd1187</t>
  </si>
  <si>
    <t>249.251.176.173</t>
  </si>
  <si>
    <t>Unknown</t>
  </si>
  <si>
    <t>Hours</t>
  </si>
  <si>
    <t>Z-Score</t>
  </si>
  <si>
    <t>High_Amount_Flag</t>
  </si>
  <si>
    <t>Odd_Hour_Flag</t>
  </si>
  <si>
    <t>Flag</t>
  </si>
  <si>
    <t>Unknown_payment_Flag</t>
  </si>
  <si>
    <t>Risk_Score</t>
  </si>
  <si>
    <t>Predicted_Fraud</t>
  </si>
  <si>
    <t>Row Labels</t>
  </si>
  <si>
    <t>Grand Total</t>
  </si>
  <si>
    <t>Sum of Fraud_Flag</t>
  </si>
  <si>
    <t>Count of Fraud_Flag2</t>
  </si>
  <si>
    <t>Fraud %</t>
  </si>
  <si>
    <t>Risky_Payment_Flag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</si>
</sst>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hh:mm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oom" refreshedDate="46072.543991550927" createdVersion="8" refreshedVersion="8" minRefreshableVersion="3" recordCount="2133" xr:uid="{8C8CCBE3-F11E-4A7F-A971-7A0960726E53}">
  <cacheSource type="worksheet">
    <worksheetSource name="Table1"/>
  </cacheSource>
  <cacheFields count="24">
    <cacheField name="Transaction_ID" numFmtId="0">
      <sharedItems/>
    </cacheField>
    <cacheField name="Customer_ID" numFmtId="0">
      <sharedItems/>
    </cacheField>
    <cacheField name="Transaction_Date" numFmtId="14">
      <sharedItems containsSemiMixedTypes="0" containsNonDate="0" containsDate="1" containsString="0" minDate="2025-02-14T00:00:00" maxDate="2025-08-13T00:00:00"/>
    </cacheField>
    <cacheField name="Transaction_Time" numFmtId="164">
      <sharedItems containsSemiMixedTypes="0" containsNonDate="0" containsDate="1" containsString="0" minDate="1899-12-30T00:02:15" maxDate="1899-12-30T23:59:52"/>
    </cacheField>
    <cacheField name="Hours" numFmtId="0">
      <sharedItems containsSemiMixedTypes="0" containsString="0" containsNumber="1" containsInteger="1" minValue="0" maxValue="23"/>
    </cacheField>
    <cacheField name="Customer_Age" numFmtId="0">
      <sharedItems containsSemiMixedTypes="0" containsString="0" containsNumber="1" containsInteger="1" minValue="18" maxValue="65"/>
    </cacheField>
    <cacheField name="Customer_Loyalty_Tier" numFmtId="0">
      <sharedItems/>
    </cacheField>
    <cacheField name="Location" numFmtId="0">
      <sharedItems/>
    </cacheField>
    <cacheField name="Store_ID" numFmtId="0">
      <sharedItems/>
    </cacheField>
    <cacheField name="Product_SKU" numFmtId="0">
      <sharedItems/>
    </cacheField>
    <cacheField name="Product_Category" numFmtId="0">
      <sharedItems/>
    </cacheField>
    <cacheField name="Purchase_Amount" numFmtId="0">
      <sharedItems containsSemiMixedTypes="0" containsString="0" containsNumber="1" minValue="50.26" maxValue="299.91000000000003"/>
    </cacheField>
    <cacheField name="Payment_Method" numFmtId="0">
      <sharedItems count="5">
        <s v="Mobile Payment"/>
        <s v="Gift Card"/>
        <s v="Unknown"/>
        <s v="Debit Card"/>
        <s v="Credit Card"/>
      </sharedItems>
    </cacheField>
    <cacheField name="Unknown_payment_Flag" numFmtId="0">
      <sharedItems containsSemiMixedTypes="0" containsString="0" containsNumber="1" containsInteger="1" minValue="0" maxValue="1"/>
    </cacheField>
    <cacheField name="Device_Type" numFmtId="0">
      <sharedItems/>
    </cacheField>
    <cacheField name="IP_Address" numFmtId="0">
      <sharedItems/>
    </cacheField>
    <cacheField name="Fraud_Flag" numFmtId="0">
      <sharedItems containsSemiMixedTypes="0" containsString="0" containsNumber="1" containsInteger="1" minValue="0" maxValue="1" count="2">
        <n v="0"/>
        <n v="1"/>
      </sharedItems>
    </cacheField>
    <cacheField name="Footfall_Count" numFmtId="0">
      <sharedItems containsSemiMixedTypes="0" containsString="0" containsNumber="1" containsInteger="1" minValue="50" maxValue="500"/>
    </cacheField>
    <cacheField name="Z-Score" numFmtId="0">
      <sharedItems containsSemiMixedTypes="0" containsString="0" containsNumber="1" minValue="-1.7215900683907039" maxValue="1.7346293098157779"/>
    </cacheField>
    <cacheField name="High_Amount_Flag" numFmtId="0">
      <sharedItems containsSemiMixedTypes="0" containsString="0" containsNumber="1" containsInteger="1" minValue="0" maxValue="0"/>
    </cacheField>
    <cacheField name="Odd_Hour_Flag" numFmtId="0">
      <sharedItems containsSemiMixedTypes="0" containsString="0" containsNumber="1" containsInteger="1" minValue="0" maxValue="1"/>
    </cacheField>
    <cacheField name="Flag" numFmtId="0">
      <sharedItems containsSemiMixedTypes="0" containsString="0" containsNumber="1" containsInteger="1" minValue="0" maxValue="1"/>
    </cacheField>
    <cacheField name="Risk_Score" numFmtId="0">
      <sharedItems containsSemiMixedTypes="0" containsString="0" containsNumber="1" containsInteger="1" minValue="0" maxValue="5"/>
    </cacheField>
    <cacheField name="Predicted_Frau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3">
  <r>
    <s v="fdfb3d60-69c7-4216-8ce5-6cee9068987a"/>
    <s v="18fe1a22-6405-4333-8de2-155667080a35"/>
    <d v="2025-08-05T00:00:00"/>
    <d v="1899-12-30T07:31:35"/>
    <n v="7"/>
    <n v="47"/>
    <s v="Silver"/>
    <s v="Geneva"/>
    <s v="POPUP-TOKYO"/>
    <s v="SOLAR-BLUSH-04"/>
    <s v="Setting Spray"/>
    <n v="299.91000000000003"/>
    <x v="0"/>
    <n v="0"/>
    <s v="Tablet"/>
    <s v="61.57.61.128"/>
    <x v="0"/>
    <n v="89"/>
    <n v="1.7346293098157779"/>
    <n v="0"/>
    <n v="0"/>
    <n v="1"/>
    <n v="1"/>
    <n v="0"/>
  </r>
  <r>
    <s v="1efd0bf4-3c4a-44df-969d-b82201cf6966"/>
    <s v="3f160312-fdba-4b34-aea9-e88855c986bd"/>
    <d v="2025-07-13T00:00:00"/>
    <d v="1899-12-30T14:06:08"/>
    <n v="14"/>
    <n v="33"/>
    <s v="Silver"/>
    <s v="Rome"/>
    <s v="FLAGSHIP-LA"/>
    <s v="AURORA-LIP-01"/>
    <s v="Foundation"/>
    <n v="299.83"/>
    <x v="0"/>
    <n v="0"/>
    <s v="Tablet"/>
    <s v="190.236.91.93"/>
    <x v="0"/>
    <n v="52"/>
    <n v="1.7335217690576898"/>
    <n v="0"/>
    <n v="0"/>
    <n v="1"/>
    <n v="1"/>
    <n v="0"/>
  </r>
  <r>
    <s v="0d62bd20-878a-47be-a91b-f0f02b5d3440"/>
    <s v="35c2cfa0-e200-4cad-a241-351112185195"/>
    <d v="2025-07-21T00:00:00"/>
    <d v="1899-12-30T23:07:30"/>
    <n v="23"/>
    <n v="62"/>
    <s v="Gold"/>
    <s v="Miami"/>
    <s v="POPUP-MILAN"/>
    <s v="SOLAR-BLUSH-04"/>
    <s v="Highlighter"/>
    <n v="299.77"/>
    <x v="1"/>
    <n v="0"/>
    <s v="Tablet"/>
    <s v="50.175.223.29"/>
    <x v="0"/>
    <n v="211"/>
    <n v="1.7326911134891243"/>
    <n v="0"/>
    <n v="0"/>
    <n v="1"/>
    <n v="1"/>
    <n v="0"/>
  </r>
  <r>
    <s v="2c5d4d89-fc0e-4c97-b956-3ec80cd3cb3e"/>
    <s v="3c945570-5c05-4bdc-8cd9-efdc73402455"/>
    <d v="2025-08-11T00:00:00"/>
    <d v="1899-12-30T00:24:43"/>
    <n v="0"/>
    <n v="31"/>
    <s v="Bronze"/>
    <s v="Las Vegas"/>
    <s v="FLAGSHIP-ROME"/>
    <s v="STELLAR-FOUND-03"/>
    <s v="Eyeshadow Palette"/>
    <n v="299.49"/>
    <x v="2"/>
    <n v="1"/>
    <s v="Tablet"/>
    <s v="148.229.103.139"/>
    <x v="0"/>
    <n v="103"/>
    <n v="1.7288147208358189"/>
    <n v="0"/>
    <n v="1"/>
    <n v="1"/>
    <n v="5"/>
    <n v="1"/>
  </r>
  <r>
    <s v="b4b08adf-75fa-45b8-8d55-74a8edcea540"/>
    <s v="7b8ad07b-bb99-48d9-bc5d-6ab19914c8ab"/>
    <d v="2025-03-08T00:00:00"/>
    <d v="1899-12-30T12:56:40"/>
    <n v="12"/>
    <n v="43"/>
    <s v="Silver"/>
    <s v="Las Vegas"/>
    <s v="POPUP-MILAN"/>
    <s v="ORION-CONCEAL-09"/>
    <s v="Highlighter"/>
    <n v="299.39"/>
    <x v="3"/>
    <n v="0"/>
    <s v="Laptop"/>
    <s v="97.13.217.190"/>
    <x v="0"/>
    <n v="133"/>
    <n v="1.7274302948882092"/>
    <n v="0"/>
    <n v="0"/>
    <n v="1"/>
    <n v="1"/>
    <n v="0"/>
  </r>
  <r>
    <s v="5fa9e6f9-fe75-4f20-ad99-60c54508ff5c"/>
    <s v="8e919042-af78-45a6-acd9-db3b0fede8cf"/>
    <d v="2025-04-11T00:00:00"/>
    <d v="1899-12-30T20:46:39"/>
    <n v="20"/>
    <n v="39"/>
    <s v="Silver"/>
    <s v="Shanghai"/>
    <s v="FLAGSHIP-ROME"/>
    <s v="CELESTE-EYE-05"/>
    <s v="Foundation"/>
    <n v="299.31"/>
    <x v="1"/>
    <n v="0"/>
    <s v="Tablet"/>
    <s v="41.14.248.59"/>
    <x v="0"/>
    <n v="238"/>
    <n v="1.726322754130122"/>
    <n v="0"/>
    <n v="0"/>
    <n v="1"/>
    <n v="1"/>
    <n v="0"/>
  </r>
  <r>
    <s v="28b8db4d-509a-4c59-afc4-e1c89b7346af"/>
    <s v="0aa83a64-c4b5-4d0b-b28a-cf471be169f8"/>
    <d v="2025-07-20T00:00:00"/>
    <d v="1899-12-30T12:23:32"/>
    <n v="12"/>
    <n v="43"/>
    <s v="Gold"/>
    <s v="Rome"/>
    <s v="POPUP-MILAN"/>
    <s v="LUNAR-MASC-02"/>
    <s v="Concealer"/>
    <n v="299.3"/>
    <x v="1"/>
    <n v="0"/>
    <s v="Laptop"/>
    <s v="156.15.89.164"/>
    <x v="0"/>
    <n v="270"/>
    <n v="1.7261843115353612"/>
    <n v="0"/>
    <n v="0"/>
    <n v="1"/>
    <n v="1"/>
    <n v="0"/>
  </r>
  <r>
    <s v="161902f4-b878-418b-9032-06e7d8bc8b62"/>
    <s v="ccee5506-d780-4aee-9fe8-7ef7d929d4b7"/>
    <d v="2025-07-30T00:00:00"/>
    <d v="1899-12-30T05:40:43"/>
    <n v="5"/>
    <n v="41"/>
    <s v="Silver"/>
    <s v="Rome"/>
    <s v="FLAGSHIP-PARIS"/>
    <s v="GALAXIA-SET-08"/>
    <s v="Concealer"/>
    <n v="299.20999999999998"/>
    <x v="0"/>
    <n v="0"/>
    <s v="Tablet"/>
    <s v="116.161.192.226"/>
    <x v="0"/>
    <n v="348"/>
    <n v="1.7249383281825126"/>
    <n v="0"/>
    <n v="1"/>
    <n v="0"/>
    <n v="2"/>
    <n v="0"/>
  </r>
  <r>
    <s v="311c722f-59a7-4404-8c99-b3df698a8ab8"/>
    <s v="f20a0d23-19df-4418-bdf7-98913d44ec01"/>
    <d v="2025-06-25T00:00:00"/>
    <d v="1899-12-30T12:40:00"/>
    <n v="12"/>
    <n v="40"/>
    <s v="Bronze"/>
    <s v="Cannes"/>
    <s v="CONCESSION-SINGAPORE"/>
    <s v="NEBULA-SERUM-07"/>
    <s v="Concealer"/>
    <n v="298.89"/>
    <x v="3"/>
    <n v="0"/>
    <s v="Laptop"/>
    <s v="162.101.92.232"/>
    <x v="0"/>
    <n v="416"/>
    <n v="1.720508165150163"/>
    <n v="0"/>
    <n v="0"/>
    <n v="0"/>
    <n v="0"/>
    <n v="0"/>
  </r>
  <r>
    <s v="deead04a-987e-4f04-97a3-4fdb8e1d2f98"/>
    <s v="d03b3f60-2186-48fe-9497-0f2a320d671e"/>
    <d v="2025-06-06T00:00:00"/>
    <d v="1899-12-30T17:18:40"/>
    <n v="17"/>
    <n v="24"/>
    <s v="Platinum"/>
    <s v="Sydney"/>
    <s v="CONCESSION-SINGAPORE"/>
    <s v="COSMIC-HIGHLIGHT-06"/>
    <s v="Mascara"/>
    <n v="298.61"/>
    <x v="4"/>
    <n v="0"/>
    <s v="Tablet"/>
    <s v="239.181.127.197"/>
    <x v="0"/>
    <n v="282"/>
    <n v="1.7166317724968576"/>
    <n v="0"/>
    <n v="0"/>
    <n v="0"/>
    <n v="0"/>
    <n v="0"/>
  </r>
  <r>
    <s v="2b0dae33-62ed-48e7-b166-5af1947dd59c"/>
    <s v="23b93497-a586-42c4-93ed-400d2c1b808d"/>
    <d v="2025-04-27T00:00:00"/>
    <d v="1899-12-30T22:20:53"/>
    <n v="22"/>
    <n v="47"/>
    <s v="Platinum"/>
    <s v="Milan"/>
    <s v="FLAGSHIP-ROME"/>
    <s v="AURORA-LIP-01"/>
    <s v="Highlighter"/>
    <n v="298.41000000000003"/>
    <x v="0"/>
    <n v="0"/>
    <s v="Tablet"/>
    <s v="42.35.153.45"/>
    <x v="0"/>
    <n v="499"/>
    <n v="1.7138629206016391"/>
    <n v="0"/>
    <n v="0"/>
    <n v="0"/>
    <n v="0"/>
    <n v="0"/>
  </r>
  <r>
    <s v="8441f19a-4573-4ab3-9dee-314f612b6582"/>
    <s v="18cb73e9-44da-45d3-941c-0903e4a1a33e"/>
    <d v="2025-05-21T00:00:00"/>
    <d v="1899-12-30T03:16:39"/>
    <n v="3"/>
    <n v="40"/>
    <s v="Bronze"/>
    <s v="Tokyo"/>
    <s v="BOUTIQUE-SHANGHAI"/>
    <s v="SOLAR-BLUSH-04"/>
    <s v="Eyeshadow Palette"/>
    <n v="298.35000000000002"/>
    <x v="0"/>
    <n v="0"/>
    <s v="Laptop"/>
    <s v="156.139.17.140"/>
    <x v="0"/>
    <n v="479"/>
    <n v="1.7130322650330736"/>
    <n v="0"/>
    <n v="1"/>
    <n v="0"/>
    <n v="2"/>
    <n v="0"/>
  </r>
  <r>
    <s v="bf27b581-5a34-4fc8-b8b7-c3696d4be98c"/>
    <s v="3bc5276a-8447-414b-afb0-d1fb14473252"/>
    <d v="2025-06-13T00:00:00"/>
    <d v="1899-12-30T18:40:48"/>
    <n v="18"/>
    <n v="56"/>
    <s v="Unknown"/>
    <s v="Monte Carlo"/>
    <s v="BOUTIQUE-NYC"/>
    <s v="LUNAR-MASC-02"/>
    <s v="Concealer"/>
    <n v="298.22000000000003"/>
    <x v="3"/>
    <n v="0"/>
    <s v="Tablet"/>
    <s v="221.120.202.111"/>
    <x v="0"/>
    <n v="130"/>
    <n v="1.7112325113011817"/>
    <n v="0"/>
    <n v="0"/>
    <n v="1"/>
    <n v="1"/>
    <n v="0"/>
  </r>
  <r>
    <s v="56c76bbe-2fdd-4e57-a32a-bd42a787cf52"/>
    <s v="fbf89ac7-0cc1-4409-b454-9aaa21c819a2"/>
    <d v="2025-07-22T00:00:00"/>
    <d v="1899-12-30T18:34:47"/>
    <n v="18"/>
    <n v="24"/>
    <s v="Bronze"/>
    <s v="Sydney"/>
    <s v="BOUTIQUE-DUBAI"/>
    <s v="CELESTE-EYE-05"/>
    <s v="Mascara"/>
    <n v="298.06"/>
    <x v="3"/>
    <n v="0"/>
    <s v="Tablet"/>
    <s v="237.70.235.61"/>
    <x v="0"/>
    <n v="146"/>
    <n v="1.7090174297850065"/>
    <n v="0"/>
    <n v="0"/>
    <n v="1"/>
    <n v="1"/>
    <n v="0"/>
  </r>
  <r>
    <s v="11187cec-b922-4e80-ac45-bcc5501812a5"/>
    <s v="ec765755-018a-493d-a13c-a9b8dc99eda9"/>
    <d v="2025-07-19T00:00:00"/>
    <d v="1899-12-30T15:32:29"/>
    <n v="15"/>
    <n v="35"/>
    <s v="Bronze"/>
    <s v="Monaco"/>
    <s v="BOUTIQUE-NYC"/>
    <s v="ECLIPSE-EYE-10"/>
    <s v="Serum"/>
    <n v="298.02999999999997"/>
    <x v="3"/>
    <n v="0"/>
    <s v="Desktop"/>
    <s v="146.183.170.155"/>
    <x v="0"/>
    <n v="365"/>
    <n v="1.7086021020007234"/>
    <n v="0"/>
    <n v="0"/>
    <n v="0"/>
    <n v="0"/>
    <n v="0"/>
  </r>
  <r>
    <s v="7101004c-4e62-43e7-9092-a802b0b98c88"/>
    <s v="07840895-cd59-40bd-abc1-50647b631f87"/>
    <d v="2025-03-10T00:00:00"/>
    <d v="1899-12-30T12:24:05"/>
    <n v="12"/>
    <n v="56"/>
    <s v="Silver"/>
    <s v="Hong Kong"/>
    <s v="FLAGSHIP-LA"/>
    <s v="ECLIPSE-EYE-10"/>
    <s v="Foundation"/>
    <n v="297.97000000000003"/>
    <x v="4"/>
    <n v="0"/>
    <s v="Mobile"/>
    <s v="210.7.111.98"/>
    <x v="0"/>
    <n v="235"/>
    <n v="1.7077714464321585"/>
    <n v="0"/>
    <n v="0"/>
    <n v="1"/>
    <n v="1"/>
    <n v="0"/>
  </r>
  <r>
    <s v="33c7451a-5bbb-4e75-b90d-101745e238ec"/>
    <s v="a4738a3e-7ee6-4edb-80f3-cbefa25e794f"/>
    <d v="2025-04-25T00:00:00"/>
    <d v="1899-12-30T14:54:10"/>
    <n v="14"/>
    <n v="38"/>
    <s v="Gold"/>
    <s v="Rome"/>
    <s v="FLAGSHIP-LA"/>
    <s v="ECLIPSE-EYE-10"/>
    <s v="Eyeliner"/>
    <n v="297.93"/>
    <x v="1"/>
    <n v="0"/>
    <s v="Laptop"/>
    <s v="63.66.249.161"/>
    <x v="0"/>
    <n v="89"/>
    <n v="1.7072176760531146"/>
    <n v="0"/>
    <n v="0"/>
    <n v="1"/>
    <n v="1"/>
    <n v="0"/>
  </r>
  <r>
    <s v="16b9dcd5-6c1b-4047-87e9-6f0d0c133bb4"/>
    <s v="feff8966-758a-4a7d-82d8-57c4211d52d2"/>
    <d v="2025-04-08T00:00:00"/>
    <d v="1899-12-30T06:53:03"/>
    <n v="6"/>
    <n v="23"/>
    <s v="Bronze"/>
    <s v="Cannes"/>
    <s v="FLAGSHIP-PARIS"/>
    <s v="ORION-CONCEAL-09"/>
    <s v="Lipstick"/>
    <n v="297.64999999999998"/>
    <x v="3"/>
    <n v="0"/>
    <s v="Desktop"/>
    <s v="31.215.250.253"/>
    <x v="0"/>
    <n v="226"/>
    <n v="1.7033412833998083"/>
    <n v="0"/>
    <n v="0"/>
    <n v="1"/>
    <n v="1"/>
    <n v="0"/>
  </r>
  <r>
    <s v="e6ac5479-05ca-41ca-ba64-900bb4dfbc9e"/>
    <s v="835d969b-ea8b-4342-90de-fbe6e71f575a"/>
    <d v="2025-07-05T00:00:00"/>
    <d v="1899-12-30T09:00:25"/>
    <n v="9"/>
    <n v="30"/>
    <s v="Bronze"/>
    <s v="Monaco"/>
    <s v="POPUP-TOKYO"/>
    <s v="LUNAR-MASC-02"/>
    <s v="Blush"/>
    <n v="297.57"/>
    <x v="0"/>
    <n v="0"/>
    <s v="Mobile"/>
    <s v="216.201.23.42"/>
    <x v="0"/>
    <n v="86"/>
    <n v="1.7022337426417211"/>
    <n v="0"/>
    <n v="0"/>
    <n v="1"/>
    <n v="1"/>
    <n v="0"/>
  </r>
  <r>
    <s v="4bc74bb7-3a1e-4d59-9b18-0db30900553d"/>
    <s v="7ab12bb3-ebf2-4e31-bfee-d0e47bc37100"/>
    <d v="2025-07-06T00:00:00"/>
    <d v="1899-12-30T07:15:04"/>
    <n v="7"/>
    <n v="33"/>
    <s v="Silver"/>
    <s v="Monaco"/>
    <s v="POPUP-MILAN"/>
    <s v="ECLIPSE-EYE-10"/>
    <s v="Mascara"/>
    <n v="297.56"/>
    <x v="0"/>
    <n v="0"/>
    <s v="Desktop"/>
    <s v="79.217.201.213"/>
    <x v="0"/>
    <n v="265"/>
    <n v="1.7020953000469603"/>
    <n v="0"/>
    <n v="0"/>
    <n v="1"/>
    <n v="1"/>
    <n v="0"/>
  </r>
  <r>
    <s v="23dc9d44-0cf2-4d96-9726-a3ba77f34acb"/>
    <s v="902090ea-32ef-46f8-8b57-0613eb5a3228"/>
    <d v="2025-04-04T00:00:00"/>
    <d v="1899-12-30T16:19:21"/>
    <n v="16"/>
    <n v="48"/>
    <s v="Gold"/>
    <s v="San Francisco"/>
    <s v="FLAGSHIP-PARIS"/>
    <s v="ECLIPSE-EYE-10"/>
    <s v="Eyeshadow Palette"/>
    <n v="297.29000000000002"/>
    <x v="3"/>
    <n v="0"/>
    <s v="Laptop"/>
    <s v="198.181.13.70"/>
    <x v="0"/>
    <n v="444"/>
    <n v="1.6983573499884157"/>
    <n v="0"/>
    <n v="0"/>
    <n v="0"/>
    <n v="0"/>
    <n v="0"/>
  </r>
  <r>
    <s v="d3bcf309-8dd9-430a-b511-b46d5bd33541"/>
    <s v="92645ff1-726d-42a6-9b54-69e03a90ea05"/>
    <d v="2025-06-05T00:00:00"/>
    <d v="1899-12-30T06:20:12"/>
    <n v="6"/>
    <n v="32"/>
    <s v="VIP"/>
    <s v="Monte Carlo"/>
    <s v="BOUTIQUE-NYC"/>
    <s v="AURORA-LIP-01"/>
    <s v="Foundation"/>
    <n v="297.20999999999998"/>
    <x v="4"/>
    <n v="0"/>
    <s v="Mobile"/>
    <s v="186.162.22.7"/>
    <x v="0"/>
    <n v="207"/>
    <n v="1.6972498092303276"/>
    <n v="0"/>
    <n v="0"/>
    <n v="1"/>
    <n v="1"/>
    <n v="0"/>
  </r>
  <r>
    <s v="097eef0a-10c9-4e6d-aaaa-12c0ad6ab39c"/>
    <s v="0f4c829f-f4e6-451c-8c13-c79a198be318"/>
    <d v="2025-04-17T00:00:00"/>
    <d v="1899-12-30T21:08:57"/>
    <n v="21"/>
    <n v="41"/>
    <s v="Silver"/>
    <s v="San Francisco"/>
    <s v="POPUP-TOKYO"/>
    <s v="NEBULA-SERUM-07"/>
    <s v="Serum"/>
    <n v="297.17"/>
    <x v="3"/>
    <n v="0"/>
    <s v="Desktop"/>
    <s v="22.127.151.172"/>
    <x v="0"/>
    <n v="340"/>
    <n v="1.6966960388512844"/>
    <n v="0"/>
    <n v="0"/>
    <n v="0"/>
    <n v="0"/>
    <n v="0"/>
  </r>
  <r>
    <s v="933b5990-4411-4be9-9c79-74abf5b817eb"/>
    <s v="3c72912e-58bf-4cc1-8d04-3073f291bdd2"/>
    <d v="2025-04-01T00:00:00"/>
    <d v="1899-12-30T12:00:02"/>
    <n v="12"/>
    <n v="61"/>
    <s v="Bronze"/>
    <s v="Cannes"/>
    <s v="BOUTIQUE-NYC"/>
    <s v="COSMIC-HIGHLIGHT-06"/>
    <s v="Eyeliner"/>
    <n v="297"/>
    <x v="1"/>
    <n v="0"/>
    <s v="Tablet"/>
    <s v="158.170.60.184"/>
    <x v="0"/>
    <n v="81"/>
    <n v="1.6943425147403486"/>
    <n v="0"/>
    <n v="0"/>
    <n v="1"/>
    <n v="1"/>
    <n v="0"/>
  </r>
  <r>
    <s v="33d89cb9-d0bd-4225-bfa7-f03de10cf9d6"/>
    <s v="89611d9b-7c01-4de6-9eac-c24649886fe7"/>
    <d v="2025-03-05T00:00:00"/>
    <d v="1899-12-30T14:51:08"/>
    <n v="14"/>
    <n v="54"/>
    <s v="Bronze"/>
    <s v="Sydney"/>
    <s v="POPUP-TOKYO"/>
    <s v="ORION-CONCEAL-09"/>
    <s v="Concealer"/>
    <n v="296.99"/>
    <x v="4"/>
    <n v="0"/>
    <s v="Desktop"/>
    <s v="18.98.26.72"/>
    <x v="0"/>
    <n v="125"/>
    <n v="1.6942040721455878"/>
    <n v="0"/>
    <n v="0"/>
    <n v="1"/>
    <n v="1"/>
    <n v="0"/>
  </r>
  <r>
    <s v="8b100951-969a-4a24-bc56-901331e4f9dc"/>
    <s v="08219565-d343-4310-aaaf-035ae05ab85b"/>
    <d v="2025-04-24T00:00:00"/>
    <d v="1899-12-30T23:34:16"/>
    <n v="23"/>
    <n v="29"/>
    <s v="Gold"/>
    <s v="London"/>
    <s v="CONCESSION-LONDON"/>
    <s v="AURORA-LIP-01"/>
    <s v="Eyeliner"/>
    <n v="296.92"/>
    <x v="3"/>
    <n v="0"/>
    <s v="Desktop"/>
    <s v="242.26.60.173"/>
    <x v="0"/>
    <n v="454"/>
    <n v="1.6932349739822614"/>
    <n v="0"/>
    <n v="0"/>
    <n v="0"/>
    <n v="0"/>
    <n v="0"/>
  </r>
  <r>
    <s v="ec152bc6-fb1f-48a8-ac66-a2b0e20239e1"/>
    <s v="71221039-ffed-44a8-a645-f826e4fc717d"/>
    <d v="2025-05-04T00:00:00"/>
    <d v="1899-12-30T21:14:52"/>
    <n v="21"/>
    <n v="56"/>
    <s v="Silver"/>
    <s v="Monaco"/>
    <s v="BOUTIQUE-NYC"/>
    <s v="LUNAR-MASC-02"/>
    <s v="Setting Spray"/>
    <n v="296.58"/>
    <x v="3"/>
    <n v="0"/>
    <s v="Mobile"/>
    <s v="54.250.127.42"/>
    <x v="0"/>
    <n v="231"/>
    <n v="1.6885279257603893"/>
    <n v="0"/>
    <n v="0"/>
    <n v="1"/>
    <n v="1"/>
    <n v="0"/>
  </r>
  <r>
    <s v="332a96a7-f9cc-4fbf-b50a-e0aff5be3a26"/>
    <s v="9e7d5c43-32cf-4f35-be54-ea5340fdf615"/>
    <d v="2025-05-21T00:00:00"/>
    <d v="1899-12-30T08:35:30"/>
    <n v="8"/>
    <n v="34"/>
    <s v="Bronze"/>
    <s v="Rome"/>
    <s v="BOUTIQUE-NYC"/>
    <s v="SOLAR-BLUSH-04"/>
    <s v="Highlighter"/>
    <n v="296.44"/>
    <x v="0"/>
    <n v="0"/>
    <s v="Mobile"/>
    <s v="207.249.24.30"/>
    <x v="0"/>
    <n v="231"/>
    <n v="1.6865897294337366"/>
    <n v="0"/>
    <n v="0"/>
    <n v="1"/>
    <n v="1"/>
    <n v="0"/>
  </r>
  <r>
    <s v="e35794bc-fd89-4522-8af3-8a8acda2f5ac"/>
    <s v="b025e5a2-6588-4f52-af1c-be07b6f80a7e"/>
    <d v="2025-05-02T00:00:00"/>
    <d v="1899-12-30T19:58:39"/>
    <n v="19"/>
    <n v="20"/>
    <s v="Bronze"/>
    <s v="Miami"/>
    <s v="BOUTIQUE-DUBAI"/>
    <s v="STELLAR-FOUND-03"/>
    <s v="Eyeliner"/>
    <n v="296.12"/>
    <x v="0"/>
    <n v="0"/>
    <s v="Laptop"/>
    <s v="137.51.141.115"/>
    <x v="0"/>
    <n v="353"/>
    <n v="1.6821595664013873"/>
    <n v="0"/>
    <n v="0"/>
    <n v="0"/>
    <n v="0"/>
    <n v="0"/>
  </r>
  <r>
    <s v="781ffa7d-4493-4b4c-b015-4d61558c4cec"/>
    <s v="d06af170-fec8-4563-b26d-617e9ebf980f"/>
    <d v="2025-08-04T00:00:00"/>
    <d v="1899-12-30T01:42:07"/>
    <n v="1"/>
    <n v="54"/>
    <s v="Platinum"/>
    <s v="New York"/>
    <s v="FLAGSHIP-ROME"/>
    <s v="LUNAR-MASC-02"/>
    <s v="Concealer"/>
    <n v="295.91000000000003"/>
    <x v="3"/>
    <n v="0"/>
    <s v="Mobile"/>
    <s v="105.139.212.89"/>
    <x v="0"/>
    <n v="236"/>
    <n v="1.679252271911408"/>
    <n v="0"/>
    <n v="1"/>
    <n v="1"/>
    <n v="3"/>
    <n v="0"/>
  </r>
  <r>
    <s v="8df739c8-d92a-407e-aa26-b53029e3c08e"/>
    <s v="3afc6010-ae7b-42d8-8888-f741f7396ab8"/>
    <d v="2025-04-17T00:00:00"/>
    <d v="1899-12-30T10:45:11"/>
    <n v="10"/>
    <n v="44"/>
    <s v="Silver"/>
    <s v="Rome"/>
    <s v="POPUP-TOKYO"/>
    <s v="NEBULA-SERUM-07"/>
    <s v="Setting Spray"/>
    <n v="295.77"/>
    <x v="2"/>
    <n v="1"/>
    <s v="Desktop"/>
    <s v="16.136.3.21"/>
    <x v="0"/>
    <n v="146"/>
    <n v="1.6773140755847544"/>
    <n v="0"/>
    <n v="0"/>
    <n v="1"/>
    <n v="3"/>
    <n v="0"/>
  </r>
  <r>
    <s v="a38406ba-55b6-4faa-ab5c-03482ec82b9c"/>
    <s v="9e5f03d9-7e52-4e46-985a-432692ca4501"/>
    <d v="2025-06-02T00:00:00"/>
    <d v="1899-12-30T21:23:55"/>
    <n v="21"/>
    <n v="28"/>
    <s v="Bronze"/>
    <s v="Los Angeles"/>
    <s v="FLAGSHIP-ROME"/>
    <s v="AURORA-LIP-01"/>
    <s v="Eyeliner"/>
    <n v="295.47000000000003"/>
    <x v="1"/>
    <n v="0"/>
    <s v="Desktop"/>
    <s v="5.4.115.165"/>
    <x v="0"/>
    <n v="229"/>
    <n v="1.6731607977419274"/>
    <n v="0"/>
    <n v="0"/>
    <n v="1"/>
    <n v="1"/>
    <n v="0"/>
  </r>
  <r>
    <s v="fc00e33a-c11f-4842-ad38-9c3c8dbc28cf"/>
    <s v="f1948c9e-4fd0-4b82-9330-9b6a880717ce"/>
    <d v="2025-04-03T00:00:00"/>
    <d v="1899-12-30T19:25:37"/>
    <n v="19"/>
    <n v="52"/>
    <s v="Gold"/>
    <s v="Los Angeles"/>
    <s v="BOUTIQUE-SHANGHAI"/>
    <s v="LUNAR-MASC-02"/>
    <s v="Eyeshadow Palette"/>
    <n v="295.42"/>
    <x v="3"/>
    <n v="0"/>
    <s v="Mobile"/>
    <s v="77.145.71.193"/>
    <x v="0"/>
    <n v="79"/>
    <n v="1.6724685847681227"/>
    <n v="0"/>
    <n v="0"/>
    <n v="1"/>
    <n v="1"/>
    <n v="0"/>
  </r>
  <r>
    <s v="67232ffe-b1e9-43ba-bb7c-05efdc870d75"/>
    <s v="448a6b76-d4c2-488d-885b-db63593bd0e2"/>
    <d v="2025-05-29T00:00:00"/>
    <d v="1899-12-30T09:24:11"/>
    <n v="9"/>
    <n v="37"/>
    <s v="Gold"/>
    <s v="Cannes"/>
    <s v="CONCESSION-LONDON"/>
    <s v="LUNAR-MASC-02"/>
    <s v="Mascara"/>
    <n v="295.23"/>
    <x v="0"/>
    <n v="0"/>
    <s v="Desktop"/>
    <s v="68.253.193.180"/>
    <x v="1"/>
    <n v="472"/>
    <n v="1.6698381754676652"/>
    <n v="0"/>
    <n v="0"/>
    <n v="0"/>
    <n v="0"/>
    <n v="0"/>
  </r>
  <r>
    <s v="e0feb107-5257-465f-ac0d-d81c5a0db79a"/>
    <s v="5ddbea63-65e2-4975-b042-865ac5468e07"/>
    <d v="2025-07-22T00:00:00"/>
    <d v="1899-12-30T22:32:25"/>
    <n v="22"/>
    <n v="23"/>
    <s v="Silver"/>
    <s v="Singapore"/>
    <s v="POPUP-TOKYO"/>
    <s v="CELESTE-EYE-05"/>
    <s v="Foundation"/>
    <n v="295.20999999999998"/>
    <x v="0"/>
    <n v="0"/>
    <s v="Laptop"/>
    <s v="92.101.56.97"/>
    <x v="0"/>
    <n v="325"/>
    <n v="1.6695612902781427"/>
    <n v="0"/>
    <n v="0"/>
    <n v="0"/>
    <n v="0"/>
    <n v="0"/>
  </r>
  <r>
    <s v="3e7c1dd4-17dd-4158-b534-45f37953c1ec"/>
    <s v="349dbaa9-f503-4464-8965-7e8787bf3659"/>
    <d v="2025-03-07T00:00:00"/>
    <d v="1899-12-30T19:57:21"/>
    <n v="19"/>
    <n v="52"/>
    <s v="Unknown"/>
    <s v="Singapore"/>
    <s v="BOUTIQUE-SHANGHAI"/>
    <s v="ECLIPSE-EYE-10"/>
    <s v="Foundation"/>
    <n v="295.14"/>
    <x v="2"/>
    <n v="1"/>
    <s v="Desktop"/>
    <s v="2.195.1.29"/>
    <x v="0"/>
    <n v="261"/>
    <n v="1.6685921921148164"/>
    <n v="0"/>
    <n v="0"/>
    <n v="1"/>
    <n v="3"/>
    <n v="0"/>
  </r>
  <r>
    <s v="0d7e7576-6305-4909-a9f1-5c880333415e"/>
    <s v="66c5d89c-f23d-4bd7-9171-98defde04498"/>
    <d v="2025-06-03T00:00:00"/>
    <d v="1899-12-30T13:33:13"/>
    <n v="13"/>
    <n v="29"/>
    <s v="Gold"/>
    <s v="Paris"/>
    <s v="CONCESSION-LONDON"/>
    <s v="SOLAR-BLUSH-04"/>
    <s v="Eyeshadow Palette"/>
    <n v="294.83999999999997"/>
    <x v="1"/>
    <n v="0"/>
    <s v="Desktop"/>
    <s v="17.87.11.229"/>
    <x v="0"/>
    <n v="147"/>
    <n v="1.6644389142719884"/>
    <n v="0"/>
    <n v="0"/>
    <n v="1"/>
    <n v="1"/>
    <n v="0"/>
  </r>
  <r>
    <s v="b86907a6-4e1f-401c-ad34-280fedd67ed9"/>
    <s v="be584e65-c3e3-4974-a2e9-ac125b2feba8"/>
    <d v="2025-03-09T00:00:00"/>
    <d v="1899-12-30T03:05:00"/>
    <n v="3"/>
    <n v="39"/>
    <s v="Bronze"/>
    <s v="Singapore"/>
    <s v="CONCESSION-SINGAPORE"/>
    <s v="AURORA-LIP-01"/>
    <s v="Highlighter"/>
    <n v="294.77999999999997"/>
    <x v="3"/>
    <n v="0"/>
    <s v="Desktop"/>
    <s v="206.144.165.28"/>
    <x v="0"/>
    <n v="381"/>
    <n v="1.6636082587034229"/>
    <n v="0"/>
    <n v="1"/>
    <n v="0"/>
    <n v="2"/>
    <n v="0"/>
  </r>
  <r>
    <s v="5d2b5d96-e4c5-43be-8a29-86d36c2470df"/>
    <s v="47444002-8c17-41ad-a8ba-d0bcab10c8b7"/>
    <d v="2025-03-26T00:00:00"/>
    <d v="1899-12-30T11:20:26"/>
    <n v="11"/>
    <n v="41"/>
    <s v="Bronze"/>
    <s v="Monte Carlo"/>
    <s v="BOUTIQUE-NYC"/>
    <s v="ECLIPSE-EYE-10"/>
    <s v="Eyeshadow Palette"/>
    <n v="294.20999999999998"/>
    <x v="0"/>
    <n v="0"/>
    <s v="Desktop"/>
    <s v="63.158.237.248"/>
    <x v="0"/>
    <n v="231"/>
    <n v="1.6557170308020503"/>
    <n v="0"/>
    <n v="0"/>
    <n v="1"/>
    <n v="1"/>
    <n v="0"/>
  </r>
  <r>
    <s v="d3458b23-4e75-4be6-8192-ec58d1fc28c6"/>
    <s v="b5a73a79-c40b-4596-ae7e-d4a23d16e0c2"/>
    <d v="2025-06-09T00:00:00"/>
    <d v="1899-12-30T23:20:38"/>
    <n v="23"/>
    <n v="28"/>
    <s v="Bronze"/>
    <s v="Rome"/>
    <s v="CONCESSION-LONDON"/>
    <s v="COSMIC-HIGHLIGHT-06"/>
    <s v="Blush"/>
    <n v="293.86"/>
    <x v="4"/>
    <n v="0"/>
    <s v="Desktop"/>
    <s v="25.168.37.234"/>
    <x v="0"/>
    <n v="328"/>
    <n v="1.6508715399854184"/>
    <n v="0"/>
    <n v="0"/>
    <n v="0"/>
    <n v="0"/>
    <n v="0"/>
  </r>
  <r>
    <s v="19150464-a1d5-4063-b951-925cbc20037a"/>
    <s v="4686de60-b6be-49b4-86e3-2f6b643fc847"/>
    <d v="2025-06-10T00:00:00"/>
    <d v="1899-12-30T05:41:38"/>
    <n v="5"/>
    <n v="63"/>
    <s v="Silver"/>
    <s v="San Francisco"/>
    <s v="BOUTIQUE-SHANGHAI"/>
    <s v="CELESTE-EYE-05"/>
    <s v="Blush"/>
    <n v="293.82"/>
    <x v="3"/>
    <n v="0"/>
    <s v="Mobile"/>
    <s v="3.155.17.227"/>
    <x v="0"/>
    <n v="290"/>
    <n v="1.6503177696063744"/>
    <n v="0"/>
    <n v="1"/>
    <n v="0"/>
    <n v="2"/>
    <n v="0"/>
  </r>
  <r>
    <s v="b9148e01-dfe9-446c-b462-38f12dd3f9cd"/>
    <s v="9c68be97-d06a-47ae-b339-68dc90dbda69"/>
    <d v="2025-04-28T00:00:00"/>
    <d v="1899-12-30T05:50:16"/>
    <n v="5"/>
    <n v="45"/>
    <s v="VIP"/>
    <s v="Paris"/>
    <s v="FLAGSHIP-ROME"/>
    <s v="GALAXIA-SET-08"/>
    <s v="Concealer"/>
    <n v="293.48"/>
    <x v="3"/>
    <n v="0"/>
    <s v="Laptop"/>
    <s v="128.15.125.220"/>
    <x v="0"/>
    <n v="271"/>
    <n v="1.6456107213845033"/>
    <n v="0"/>
    <n v="1"/>
    <n v="1"/>
    <n v="3"/>
    <n v="0"/>
  </r>
  <r>
    <s v="8f70244b-14f2-4201-875b-98887bb7acef"/>
    <s v="e85998ce-73ca-44c6-8183-f24613cdb2b8"/>
    <d v="2025-04-16T00:00:00"/>
    <d v="1899-12-30T06:06:08"/>
    <n v="6"/>
    <n v="30"/>
    <s v="Silver"/>
    <s v="Hong Kong"/>
    <s v="BOUTIQUE-DUBAI"/>
    <s v="CELESTE-EYE-05"/>
    <s v="Setting Spray"/>
    <n v="293.32"/>
    <x v="3"/>
    <n v="0"/>
    <s v="Mobile"/>
    <s v="127.100.64.112"/>
    <x v="0"/>
    <n v="329"/>
    <n v="1.6433956398683283"/>
    <n v="0"/>
    <n v="0"/>
    <n v="0"/>
    <n v="0"/>
    <n v="0"/>
  </r>
  <r>
    <s v="280ad17b-1893-440d-99a6-f3d674bcdce7"/>
    <s v="7607b1bb-abd9-4a57-af6b-2c82e2c952e3"/>
    <d v="2025-07-19T00:00:00"/>
    <d v="1899-12-30T04:22:18"/>
    <n v="4"/>
    <n v="20"/>
    <s v="Silver"/>
    <s v="Rome"/>
    <s v="POPUP-MILAN"/>
    <s v="CELESTE-EYE-05"/>
    <s v="Setting Spray"/>
    <n v="293.12"/>
    <x v="1"/>
    <n v="0"/>
    <s v="Tablet"/>
    <s v="215.97.67.158"/>
    <x v="0"/>
    <n v="273"/>
    <n v="1.6406267879731098"/>
    <n v="0"/>
    <n v="1"/>
    <n v="0"/>
    <n v="2"/>
    <n v="0"/>
  </r>
  <r>
    <s v="28336b8f-2ea7-48e0-9939-4220fb5471ee"/>
    <s v="8e2dfff2-2d1d-4591-9dda-d72abe879961"/>
    <d v="2025-04-26T00:00:00"/>
    <d v="1899-12-30T23:09:22"/>
    <n v="23"/>
    <n v="56"/>
    <s v="Gold"/>
    <s v="Miami"/>
    <s v="FLAGSHIP-PARIS"/>
    <s v="STELLAR-FOUND-03"/>
    <s v="Mascara"/>
    <n v="292.74"/>
    <x v="0"/>
    <n v="0"/>
    <s v="Laptop"/>
    <s v="188.50.78.186"/>
    <x v="0"/>
    <n v="112"/>
    <n v="1.6353659693721947"/>
    <n v="0"/>
    <n v="0"/>
    <n v="1"/>
    <n v="1"/>
    <n v="0"/>
  </r>
  <r>
    <s v="f5724feb-4604-4003-9e46-39220e455521"/>
    <s v="a6ad77d7-ba4f-42d4-84c4-208ea68534e1"/>
    <d v="2025-06-09T00:00:00"/>
    <d v="1899-12-30T06:51:08"/>
    <n v="6"/>
    <n v="32"/>
    <s v="Silver"/>
    <s v="Milan"/>
    <s v="FLAGSHIP-ROME"/>
    <s v="COSMIC-HIGHLIGHT-06"/>
    <s v="Serum"/>
    <n v="292.74"/>
    <x v="4"/>
    <n v="0"/>
    <s v="Mobile"/>
    <s v="123.248.51.4"/>
    <x v="0"/>
    <n v="87"/>
    <n v="1.6353659693721947"/>
    <n v="0"/>
    <n v="0"/>
    <n v="1"/>
    <n v="1"/>
    <n v="0"/>
  </r>
  <r>
    <s v="7f8b09c5-8dd0-4364-8c39-edce97c10b9a"/>
    <s v="5356cf4a-f551-4ecd-97f1-1412ef3ad5a4"/>
    <d v="2025-03-30T00:00:00"/>
    <d v="1899-12-30T19:28:11"/>
    <n v="19"/>
    <n v="21"/>
    <s v="Silver"/>
    <s v="Cannes"/>
    <s v="FLAGSHIP-LA"/>
    <s v="GALAXIA-SET-08"/>
    <s v="Setting Spray"/>
    <n v="292.64"/>
    <x v="0"/>
    <n v="0"/>
    <s v="Desktop"/>
    <s v="159.78.95.127"/>
    <x v="0"/>
    <n v="417"/>
    <n v="1.6339815434245852"/>
    <n v="0"/>
    <n v="0"/>
    <n v="0"/>
    <n v="0"/>
    <n v="0"/>
  </r>
  <r>
    <s v="d3b9d9a5-56cc-485c-8feb-c71ceba2ebd0"/>
    <s v="25c1569a-1d46-4ab9-a664-9040856d3d25"/>
    <d v="2025-08-09T00:00:00"/>
    <d v="1899-12-30T20:00:07"/>
    <n v="20"/>
    <n v="25"/>
    <s v="Bronze"/>
    <s v="Shanghai"/>
    <s v="FLAGSHIP-LA"/>
    <s v="ECLIPSE-EYE-10"/>
    <s v="Mascara"/>
    <n v="292.55"/>
    <x v="4"/>
    <n v="0"/>
    <s v="Mobile"/>
    <s v="28.25.127.56"/>
    <x v="0"/>
    <n v="329"/>
    <n v="1.6327355600717373"/>
    <n v="0"/>
    <n v="0"/>
    <n v="0"/>
    <n v="0"/>
    <n v="0"/>
  </r>
  <r>
    <s v="361cd6e1-9bc7-4cd4-a722-fb93b73c3d2b"/>
    <s v="63480fe9-2bcf-4f42-a874-374e8f193cfc"/>
    <d v="2025-02-25T00:00:00"/>
    <d v="1899-12-30T20:12:44"/>
    <n v="20"/>
    <n v="55"/>
    <s v="Gold"/>
    <s v="Shanghai"/>
    <s v="CONCESSION-SINGAPORE"/>
    <s v="ECLIPSE-EYE-10"/>
    <s v="Concealer"/>
    <n v="292.52"/>
    <x v="3"/>
    <n v="0"/>
    <s v="Laptop"/>
    <s v="25.86.0.6"/>
    <x v="0"/>
    <n v="379"/>
    <n v="1.6323202322874542"/>
    <n v="0"/>
    <n v="0"/>
    <n v="0"/>
    <n v="0"/>
    <n v="0"/>
  </r>
  <r>
    <s v="0004b5eb-d8e6-4d44-841d-6ba42d0aa54a"/>
    <s v="ee4ab850-16d6-44f8-ad0c-2d05af2e0900"/>
    <d v="2025-07-29T00:00:00"/>
    <d v="1899-12-30T14:38:30"/>
    <n v="14"/>
    <n v="28"/>
    <s v="Bronze"/>
    <s v="New York"/>
    <s v="FLAGSHIP-ROME"/>
    <s v="SOLAR-BLUSH-04"/>
    <s v="Concealer"/>
    <n v="292.47000000000003"/>
    <x v="0"/>
    <n v="0"/>
    <s v="Laptop"/>
    <s v="216.118.156.107"/>
    <x v="0"/>
    <n v="138"/>
    <n v="1.6316280193136501"/>
    <n v="0"/>
    <n v="0"/>
    <n v="1"/>
    <n v="1"/>
    <n v="0"/>
  </r>
  <r>
    <s v="274a4a76-3f98-4b64-bb4a-374f2e54b7d1"/>
    <s v="d9f0976c-e913-4218-9805-d5e7c9528b2b"/>
    <d v="2025-06-23T00:00:00"/>
    <d v="1899-12-30T14:59:22"/>
    <n v="14"/>
    <n v="52"/>
    <s v="Gold"/>
    <s v="Dubai"/>
    <s v="BOUTIQUE-NYC"/>
    <s v="STELLAR-FOUND-03"/>
    <s v="Highlighter"/>
    <n v="292.37"/>
    <x v="1"/>
    <n v="0"/>
    <s v="Mobile"/>
    <s v="27.74.134.57"/>
    <x v="0"/>
    <n v="71"/>
    <n v="1.6302435933660404"/>
    <n v="0"/>
    <n v="0"/>
    <n v="1"/>
    <n v="1"/>
    <n v="0"/>
  </r>
  <r>
    <s v="cf9c1925-dbf5-43b0-a588-3aceb856e758"/>
    <s v="b63a8b29-d734-45b4-9223-503f5b61b978"/>
    <d v="2025-06-01T00:00:00"/>
    <d v="1899-12-30T07:03:15"/>
    <n v="7"/>
    <n v="45"/>
    <s v="Silver"/>
    <s v="Sydney"/>
    <s v="FLAGSHIP-PARIS"/>
    <s v="ORION-CONCEAL-09"/>
    <s v="Lipstick"/>
    <n v="292.33"/>
    <x v="4"/>
    <n v="0"/>
    <s v="Laptop"/>
    <s v="133.180.117.21"/>
    <x v="0"/>
    <n v="185"/>
    <n v="1.6296898229869965"/>
    <n v="0"/>
    <n v="0"/>
    <n v="1"/>
    <n v="1"/>
    <n v="0"/>
  </r>
  <r>
    <s v="1ba3fca1-d44a-4598-857c-ebbc6a27ae43"/>
    <s v="bf016809-8e71-4897-81ae-1e956f767a58"/>
    <d v="2025-03-20T00:00:00"/>
    <d v="1899-12-30T23:08:50"/>
    <n v="23"/>
    <n v="41"/>
    <s v="Unknown"/>
    <s v="Zurich"/>
    <s v="FLAGSHIP-ROME"/>
    <s v="STELLAR-FOUND-03"/>
    <s v="Setting Spray"/>
    <n v="292.31"/>
    <x v="1"/>
    <n v="0"/>
    <s v="Mobile"/>
    <s v="112.84.161.251"/>
    <x v="0"/>
    <n v="97"/>
    <n v="1.6294129377974749"/>
    <n v="0"/>
    <n v="0"/>
    <n v="1"/>
    <n v="1"/>
    <n v="0"/>
  </r>
  <r>
    <s v="e88288bf-7e6b-4207-9eae-8151f95a53da"/>
    <s v="325c9216-d921-4cf4-9368-4270c6809497"/>
    <d v="2025-07-12T00:00:00"/>
    <d v="1899-12-30T12:40:11"/>
    <n v="12"/>
    <n v="18"/>
    <s v="Bronze"/>
    <s v="Paris"/>
    <s v="BOUTIQUE-DUBAI"/>
    <s v="LUNAR-MASC-02"/>
    <s v="Eyeliner"/>
    <n v="292.31"/>
    <x v="0"/>
    <n v="0"/>
    <s v="Laptop"/>
    <s v="227.155.160.176"/>
    <x v="0"/>
    <n v="329"/>
    <n v="1.6294129377974749"/>
    <n v="0"/>
    <n v="0"/>
    <n v="0"/>
    <n v="0"/>
    <n v="0"/>
  </r>
  <r>
    <s v="3a49804d-78cc-453f-a462-01948104050b"/>
    <s v="12e5c878-2320-4587-8c36-e0f7f2505f6e"/>
    <d v="2025-08-09T00:00:00"/>
    <d v="1899-12-30T20:10:03"/>
    <n v="20"/>
    <n v="59"/>
    <s v="Platinum"/>
    <s v="Monte Carlo"/>
    <s v="CONCESSION-LONDON"/>
    <s v="SOLAR-BLUSH-04"/>
    <s v="Eyeliner"/>
    <n v="292.11"/>
    <x v="4"/>
    <n v="0"/>
    <s v="Laptop"/>
    <s v="246.38.127.100"/>
    <x v="0"/>
    <n v="359"/>
    <n v="1.6266440859022566"/>
    <n v="0"/>
    <n v="0"/>
    <n v="0"/>
    <n v="0"/>
    <n v="0"/>
  </r>
  <r>
    <s v="c0abaaeb-52ad-4f5d-a5ee-5d07aa690d53"/>
    <s v="8bc08fb3-655b-4028-afb4-7de1bd07d501"/>
    <d v="2025-04-13T00:00:00"/>
    <d v="1899-12-30T22:15:24"/>
    <n v="22"/>
    <n v="57"/>
    <s v="Bronze"/>
    <s v="Zurich"/>
    <s v="POPUP-MILAN"/>
    <s v="GALAXIA-SET-08"/>
    <s v="Eyeshadow Palette"/>
    <n v="292.06"/>
    <x v="0"/>
    <n v="0"/>
    <s v="Laptop"/>
    <s v="198.167.144.217"/>
    <x v="0"/>
    <n v="219"/>
    <n v="1.6259518729284519"/>
    <n v="0"/>
    <n v="0"/>
    <n v="1"/>
    <n v="1"/>
    <n v="0"/>
  </r>
  <r>
    <s v="57835bda-194c-4e14-8bc3-043fcd6a49f0"/>
    <s v="0e76c94f-4224-498d-8e43-24c9a2014b01"/>
    <d v="2025-05-30T00:00:00"/>
    <d v="1899-12-30T04:21:57"/>
    <n v="4"/>
    <n v="54"/>
    <s v="Bronze"/>
    <s v="Milan"/>
    <s v="FLAGSHIP-LA"/>
    <s v="ORION-CONCEAL-09"/>
    <s v="Setting Spray"/>
    <n v="292.04000000000002"/>
    <x v="1"/>
    <n v="0"/>
    <s v="Mobile"/>
    <s v="137.117.196.42"/>
    <x v="0"/>
    <n v="449"/>
    <n v="1.6256749877389303"/>
    <n v="0"/>
    <n v="1"/>
    <n v="0"/>
    <n v="2"/>
    <n v="0"/>
  </r>
  <r>
    <s v="b9215155-07ba-4302-9bd1-cbec10c23b0e"/>
    <s v="984e006c-7038-489d-a33e-65b7d5793174"/>
    <d v="2025-03-15T00:00:00"/>
    <d v="1899-12-30T13:07:26"/>
    <n v="13"/>
    <n v="27"/>
    <s v="Gold"/>
    <s v="Hong Kong"/>
    <s v="FLAGSHIP-PARIS"/>
    <s v="NEBULA-SERUM-07"/>
    <s v="Highlighter"/>
    <n v="291.99"/>
    <x v="2"/>
    <n v="1"/>
    <s v="Laptop"/>
    <s v="253.181.239.146"/>
    <x v="0"/>
    <n v="277"/>
    <n v="1.6249827747651255"/>
    <n v="0"/>
    <n v="0"/>
    <n v="0"/>
    <n v="2"/>
    <n v="0"/>
  </r>
  <r>
    <s v="0a6b4625-7026-402e-9a92-bb9bf89f4365"/>
    <s v="079d7716-3601-4f48-a375-0280e88519a9"/>
    <d v="2025-07-07T00:00:00"/>
    <d v="1899-12-30T12:37:06"/>
    <n v="12"/>
    <n v="56"/>
    <s v="Platinum"/>
    <s v="Los Angeles"/>
    <s v="POPUP-TOKYO"/>
    <s v="SOLAR-BLUSH-04"/>
    <s v="Foundation"/>
    <n v="291.95"/>
    <x v="1"/>
    <n v="0"/>
    <s v="Laptop"/>
    <s v="118.103.51.135"/>
    <x v="0"/>
    <n v="224"/>
    <n v="1.6244290043860814"/>
    <n v="0"/>
    <n v="0"/>
    <n v="1"/>
    <n v="1"/>
    <n v="0"/>
  </r>
  <r>
    <s v="0cc85ed5-e402-4676-b77b-a44c4eb7d1a3"/>
    <s v="b598ca78-669f-4e50-b4c2-cb9d459ea161"/>
    <d v="2025-07-17T00:00:00"/>
    <d v="1899-12-30T18:08:36"/>
    <n v="18"/>
    <n v="42"/>
    <s v="Bronze"/>
    <s v="New York"/>
    <s v="BOUTIQUE-NYC"/>
    <s v="ECLIPSE-EYE-10"/>
    <s v="Foundation"/>
    <n v="291.85000000000002"/>
    <x v="3"/>
    <n v="0"/>
    <s v="Mobile"/>
    <s v="208.42.48.86"/>
    <x v="0"/>
    <n v="441"/>
    <n v="1.6230445784384726"/>
    <n v="0"/>
    <n v="0"/>
    <n v="0"/>
    <n v="0"/>
    <n v="0"/>
  </r>
  <r>
    <s v="399c72bc-551f-44a8-b0fd-716c9e40b253"/>
    <s v="5e27b093-a78b-4bf0-9d59-ff2515f1fdf5"/>
    <d v="2025-03-21T00:00:00"/>
    <d v="1899-12-30T21:13:33"/>
    <n v="21"/>
    <n v="53"/>
    <s v="Bronze"/>
    <s v="Monte Carlo"/>
    <s v="CONCESSION-SINGAPORE"/>
    <s v="STELLAR-FOUND-03"/>
    <s v="Lipstick"/>
    <n v="291.74"/>
    <x v="0"/>
    <n v="0"/>
    <s v="Laptop"/>
    <s v="110.192.36.40"/>
    <x v="0"/>
    <n v="342"/>
    <n v="1.6215217098961023"/>
    <n v="0"/>
    <n v="0"/>
    <n v="0"/>
    <n v="0"/>
    <n v="0"/>
  </r>
  <r>
    <s v="a4e3f26e-3374-4229-a026-235291ff9a5d"/>
    <s v="19258eed-d0ae-46dd-ad80-457300b4cfb8"/>
    <d v="2025-05-21T00:00:00"/>
    <d v="1899-12-30T19:21:28"/>
    <n v="19"/>
    <n v="63"/>
    <s v="Platinum"/>
    <s v="Las Vegas"/>
    <s v="FLAGSHIP-PARIS"/>
    <s v="ECLIPSE-EYE-10"/>
    <s v="Mascara"/>
    <n v="291.52"/>
    <x v="4"/>
    <n v="0"/>
    <s v="Tablet"/>
    <s v="37.127.90.4"/>
    <x v="0"/>
    <n v="99"/>
    <n v="1.6184759728113616"/>
    <n v="0"/>
    <n v="0"/>
    <n v="1"/>
    <n v="1"/>
    <n v="0"/>
  </r>
  <r>
    <s v="1af319ae-2313-4606-b0af-4d624e3ec5ce"/>
    <s v="079e69ce-5c50-4760-99cc-b6f8b5244714"/>
    <d v="2025-06-05T00:00:00"/>
    <d v="1899-12-30T02:36:06"/>
    <n v="2"/>
    <n v="45"/>
    <s v="Silver"/>
    <s v="Singapore"/>
    <s v="CONCESSION-LONDON"/>
    <s v="LUNAR-MASC-02"/>
    <s v="Highlighter"/>
    <n v="291.5"/>
    <x v="1"/>
    <n v="0"/>
    <s v="Desktop"/>
    <s v="214.155.216.56"/>
    <x v="0"/>
    <n v="341"/>
    <n v="1.6181990876218399"/>
    <n v="0"/>
    <n v="1"/>
    <n v="0"/>
    <n v="2"/>
    <n v="0"/>
  </r>
  <r>
    <s v="3e099389-0335-4f4a-9668-5056423dc798"/>
    <s v="9327b03c-4a29-4927-bbd9-fb8be6034504"/>
    <d v="2025-07-27T00:00:00"/>
    <d v="1899-12-30T23:38:18"/>
    <n v="23"/>
    <n v="65"/>
    <s v="Silver"/>
    <s v="Las Vegas"/>
    <s v="POPUP-MILAN"/>
    <s v="LUNAR-MASC-02"/>
    <s v="Serum"/>
    <n v="291.5"/>
    <x v="3"/>
    <n v="0"/>
    <s v="Mobile"/>
    <s v="236.1.114.117"/>
    <x v="0"/>
    <n v="135"/>
    <n v="1.6181990876218399"/>
    <n v="0"/>
    <n v="0"/>
    <n v="1"/>
    <n v="1"/>
    <n v="0"/>
  </r>
  <r>
    <s v="b1ec3e89-e93f-4c84-942c-6feaf2f8e405"/>
    <s v="66d01786-d62d-42fb-9161-198f9f800ac5"/>
    <d v="2025-07-25T00:00:00"/>
    <d v="1899-12-30T21:29:44"/>
    <n v="21"/>
    <n v="35"/>
    <s v="Gold"/>
    <s v="Cannes"/>
    <s v="POPUP-TOKYO"/>
    <s v="STELLAR-FOUND-03"/>
    <s v="Mascara"/>
    <n v="291.35000000000002"/>
    <x v="3"/>
    <n v="0"/>
    <s v="Desktop"/>
    <s v="175.208.240.197"/>
    <x v="0"/>
    <n v="73"/>
    <n v="1.6161224487004264"/>
    <n v="0"/>
    <n v="0"/>
    <n v="1"/>
    <n v="1"/>
    <n v="0"/>
  </r>
  <r>
    <s v="6cd05b93-6084-4f25-91ed-bfe62bb9a9d9"/>
    <s v="df4382f7-eb40-417f-bae6-1318ec514c10"/>
    <d v="2025-08-02T00:00:00"/>
    <d v="1899-12-30T07:46:08"/>
    <n v="7"/>
    <n v="38"/>
    <s v="Platinum"/>
    <s v="Hong Kong"/>
    <s v="CONCESSION-SINGAPORE"/>
    <s v="SOLAR-BLUSH-04"/>
    <s v="Serum"/>
    <n v="291.29000000000002"/>
    <x v="4"/>
    <n v="0"/>
    <s v="Tablet"/>
    <s v="246.68.56.30"/>
    <x v="0"/>
    <n v="82"/>
    <n v="1.6152917931318609"/>
    <n v="0"/>
    <n v="0"/>
    <n v="1"/>
    <n v="1"/>
    <n v="0"/>
  </r>
  <r>
    <s v="cf43e729-98c2-40ae-97a0-ce2a8f111584"/>
    <s v="e4db2b24-e5b1-4a9a-bd85-b775cf7b6af4"/>
    <d v="2025-08-05T00:00:00"/>
    <d v="1899-12-30T18:23:51"/>
    <n v="18"/>
    <n v="26"/>
    <s v="Bronze"/>
    <s v="Shanghai"/>
    <s v="BOUTIQUE-SHANGHAI"/>
    <s v="ORION-CONCEAL-09"/>
    <s v="Setting Spray"/>
    <n v="291.13"/>
    <x v="1"/>
    <n v="0"/>
    <s v="Tablet"/>
    <s v="124.94.120.133"/>
    <x v="0"/>
    <n v="264"/>
    <n v="1.6130767116156857"/>
    <n v="0"/>
    <n v="0"/>
    <n v="1"/>
    <n v="1"/>
    <n v="0"/>
  </r>
  <r>
    <s v="f3ef4124-5dfe-4419-96bb-92038d42be6d"/>
    <s v="b4a76e34-e382-4e17-919f-08ce9b74b02e"/>
    <d v="2025-06-06T00:00:00"/>
    <d v="1899-12-30T02:05:24"/>
    <n v="2"/>
    <n v="55"/>
    <s v="Unknown"/>
    <s v="New York"/>
    <s v="CONCESSION-SINGAPORE"/>
    <s v="SOLAR-BLUSH-04"/>
    <s v="Eyeliner"/>
    <n v="291.08"/>
    <x v="3"/>
    <n v="0"/>
    <s v="Laptop"/>
    <s v="243.199.92.176"/>
    <x v="0"/>
    <n v="52"/>
    <n v="1.6123844986418809"/>
    <n v="0"/>
    <n v="1"/>
    <n v="1"/>
    <n v="3"/>
    <n v="0"/>
  </r>
  <r>
    <s v="9a2697b0-b7d3-40fe-ac28-fa57c1a39be0"/>
    <s v="2eb23b57-cc2b-4a2d-9020-9a4f188512ce"/>
    <d v="2025-06-18T00:00:00"/>
    <d v="1899-12-30T21:31:09"/>
    <n v="21"/>
    <n v="23"/>
    <s v="Gold"/>
    <s v="Geneva"/>
    <s v="BOUTIQUE-DUBAI"/>
    <s v="COSMIC-HIGHLIGHT-06"/>
    <s v="Concealer"/>
    <n v="290.95999999999998"/>
    <x v="4"/>
    <n v="0"/>
    <s v="Mobile"/>
    <s v="180.49.169.208"/>
    <x v="0"/>
    <n v="288"/>
    <n v="1.6107231875047499"/>
    <n v="0"/>
    <n v="0"/>
    <n v="0"/>
    <n v="0"/>
    <n v="0"/>
  </r>
  <r>
    <s v="a3b557ad-f7ea-4150-8a2f-ff5a657a72d6"/>
    <s v="8e1bcfad-4fb1-444f-8b3e-a4b40dc2b04e"/>
    <d v="2025-04-25T00:00:00"/>
    <d v="1899-12-30T22:01:54"/>
    <n v="22"/>
    <n v="62"/>
    <s v="Bronze"/>
    <s v="London"/>
    <s v="POPUP-MILAN"/>
    <s v="ECLIPSE-EYE-10"/>
    <s v="Setting Spray"/>
    <n v="290.89"/>
    <x v="1"/>
    <n v="0"/>
    <s v="Laptop"/>
    <s v="120.109.122.246"/>
    <x v="0"/>
    <n v="216"/>
    <n v="1.6097540893414235"/>
    <n v="0"/>
    <n v="0"/>
    <n v="1"/>
    <n v="1"/>
    <n v="0"/>
  </r>
  <r>
    <s v="a426323a-43a9-42e9-acaa-9526c5bf39a7"/>
    <s v="ccbe478e-8861-422c-91e0-a80662cc528e"/>
    <d v="2025-03-04T00:00:00"/>
    <d v="1899-12-30T19:25:42"/>
    <n v="19"/>
    <n v="43"/>
    <s v="Bronze"/>
    <s v="Zurich"/>
    <s v="BOUTIQUE-SHANGHAI"/>
    <s v="NEBULA-SERUM-07"/>
    <s v="Foundation"/>
    <n v="290.74"/>
    <x v="1"/>
    <n v="0"/>
    <s v="Desktop"/>
    <s v="156.139.105.94"/>
    <x v="0"/>
    <n v="157"/>
    <n v="1.60767745042001"/>
    <n v="0"/>
    <n v="0"/>
    <n v="1"/>
    <n v="1"/>
    <n v="0"/>
  </r>
  <r>
    <s v="c979a9ff-ae68-474f-941d-af4f72a63b8f"/>
    <s v="e2812788-1558-44c0-b36d-359d6d5c98e9"/>
    <d v="2025-07-27T00:00:00"/>
    <d v="1899-12-30T13:21:45"/>
    <n v="13"/>
    <n v="23"/>
    <s v="Silver"/>
    <s v="San Francisco"/>
    <s v="CONCESSION-LONDON"/>
    <s v="ORION-CONCEAL-09"/>
    <s v="Blush"/>
    <n v="290.72000000000003"/>
    <x v="0"/>
    <n v="0"/>
    <s v="Mobile"/>
    <s v="121.149.231.188"/>
    <x v="0"/>
    <n v="147"/>
    <n v="1.6074005652304884"/>
    <n v="0"/>
    <n v="0"/>
    <n v="1"/>
    <n v="1"/>
    <n v="0"/>
  </r>
  <r>
    <s v="e52d6417-d06c-4481-8b3f-4a7f2edb7667"/>
    <s v="2f205511-33e8-4506-a663-2a62bf8cfc1c"/>
    <d v="2025-05-07T00:00:00"/>
    <d v="1899-12-30T02:03:14"/>
    <n v="2"/>
    <n v="55"/>
    <s v="Gold"/>
    <s v="Monte Carlo"/>
    <s v="FLAGSHIP-PARIS"/>
    <s v="CELESTE-EYE-05"/>
    <s v="Concealer"/>
    <n v="290.69"/>
    <x v="3"/>
    <n v="0"/>
    <s v="Desktop"/>
    <s v="252.209.225.55"/>
    <x v="0"/>
    <n v="156"/>
    <n v="1.606985237446205"/>
    <n v="0"/>
    <n v="1"/>
    <n v="1"/>
    <n v="3"/>
    <n v="0"/>
  </r>
  <r>
    <s v="d640c576-5f9b-45cb-8361-16ee5e99a720"/>
    <s v="3f8e1592-6cf6-4331-9d9f-343710c5f23b"/>
    <d v="2025-05-18T00:00:00"/>
    <d v="1899-12-30T09:20:38"/>
    <n v="9"/>
    <n v="45"/>
    <s v="Gold"/>
    <s v="Singapore"/>
    <s v="FLAGSHIP-ROME"/>
    <s v="SOLAR-BLUSH-04"/>
    <s v="Serum"/>
    <n v="290.5"/>
    <x v="4"/>
    <n v="0"/>
    <s v="Desktop"/>
    <s v="30.6.87.244"/>
    <x v="0"/>
    <n v="426"/>
    <n v="1.6043548281457476"/>
    <n v="0"/>
    <n v="0"/>
    <n v="0"/>
    <n v="0"/>
    <n v="0"/>
  </r>
  <r>
    <s v="6cb5ae01-e621-43be-b098-973873d93605"/>
    <s v="6da1a0da-7ff9-4204-906a-2132578ce5bc"/>
    <d v="2025-03-13T00:00:00"/>
    <d v="1899-12-30T01:06:27"/>
    <n v="1"/>
    <n v="53"/>
    <s v="Bronze"/>
    <s v="Geneva"/>
    <s v="CONCESSION-LONDON"/>
    <s v="ECLIPSE-EYE-10"/>
    <s v="Serum"/>
    <n v="290.42"/>
    <x v="4"/>
    <n v="0"/>
    <s v="Mobile"/>
    <s v="47.18.240.133"/>
    <x v="0"/>
    <n v="234"/>
    <n v="1.6032472873876604"/>
    <n v="0"/>
    <n v="1"/>
    <n v="1"/>
    <n v="3"/>
    <n v="0"/>
  </r>
  <r>
    <s v="9ca40dce-ba9a-4863-aa93-0a32671a4510"/>
    <s v="83cf468a-fa9e-43eb-b8e7-a7668d814109"/>
    <d v="2025-07-10T00:00:00"/>
    <d v="1899-12-30T19:40:19"/>
    <n v="19"/>
    <n v="60"/>
    <s v="Bronze"/>
    <s v="Zurich"/>
    <s v="CONCESSION-SINGAPORE"/>
    <s v="LUNAR-MASC-02"/>
    <s v="Highlighter"/>
    <n v="290.37"/>
    <x v="4"/>
    <n v="0"/>
    <s v="Tablet"/>
    <s v="23.8.210.53"/>
    <x v="0"/>
    <n v="491"/>
    <n v="1.6025550744138557"/>
    <n v="0"/>
    <n v="0"/>
    <n v="0"/>
    <n v="0"/>
    <n v="0"/>
  </r>
  <r>
    <s v="1fa26441-6511-437b-af4f-d37aad503dde"/>
    <s v="526cc95e-af32-4227-9b64-31b1a918e82c"/>
    <d v="2025-05-14T00:00:00"/>
    <d v="1899-12-30T11:09:48"/>
    <n v="11"/>
    <n v="46"/>
    <s v="Bronze"/>
    <s v="Singapore"/>
    <s v="POPUP-MILAN"/>
    <s v="LUNAR-MASC-02"/>
    <s v="Eyeliner"/>
    <n v="290.19"/>
    <x v="3"/>
    <n v="0"/>
    <s v="Desktop"/>
    <s v="35.37.166.211"/>
    <x v="0"/>
    <n v="379"/>
    <n v="1.6000631077081588"/>
    <n v="0"/>
    <n v="0"/>
    <n v="0"/>
    <n v="0"/>
    <n v="0"/>
  </r>
  <r>
    <s v="1091d8ab-27b4-48c7-ae75-8f5b62970490"/>
    <s v="4b977c5f-9ff1-469b-8275-3e60bb248da1"/>
    <d v="2025-05-06T00:00:00"/>
    <d v="1899-12-30T22:46:07"/>
    <n v="22"/>
    <n v="63"/>
    <s v="Gold"/>
    <s v="Tokyo"/>
    <s v="FLAGSHIP-ROME"/>
    <s v="ORION-CONCEAL-09"/>
    <s v="Mascara"/>
    <n v="290.18"/>
    <x v="0"/>
    <n v="0"/>
    <s v="Laptop"/>
    <s v="171.128.182.42"/>
    <x v="0"/>
    <n v="167"/>
    <n v="1.599924665113398"/>
    <n v="0"/>
    <n v="0"/>
    <n v="1"/>
    <n v="1"/>
    <n v="0"/>
  </r>
  <r>
    <s v="2cfd10ed-54e8-4632-872a-f9beca35aee6"/>
    <s v="67db9946-ccc1-4ee7-9a2c-3ff0b58877e5"/>
    <d v="2025-06-13T00:00:00"/>
    <d v="1899-12-30T17:40:50"/>
    <n v="17"/>
    <n v="43"/>
    <s v="Silver"/>
    <s v="Rome"/>
    <s v="BOUTIQUE-NYC"/>
    <s v="ORION-CONCEAL-09"/>
    <s v="Blush"/>
    <n v="289.94"/>
    <x v="2"/>
    <n v="1"/>
    <s v="Tablet"/>
    <s v="162.188.166.42"/>
    <x v="0"/>
    <n v="397"/>
    <n v="1.5966020428391356"/>
    <n v="0"/>
    <n v="0"/>
    <n v="0"/>
    <n v="2"/>
    <n v="0"/>
  </r>
  <r>
    <s v="98f9bc62-7de7-4de7-958b-b60150c3c285"/>
    <s v="ff3301a8-61f9-4c52-9dc2-ee371af43506"/>
    <d v="2025-04-13T00:00:00"/>
    <d v="1899-12-30T17:17:52"/>
    <n v="17"/>
    <n v="61"/>
    <s v="Silver"/>
    <s v="Cannes"/>
    <s v="FLAGSHIP-LA"/>
    <s v="ORION-CONCEAL-09"/>
    <s v="Blush"/>
    <n v="289.89"/>
    <x v="3"/>
    <n v="0"/>
    <s v="Mobile"/>
    <s v="4.88.25.157"/>
    <x v="0"/>
    <n v="197"/>
    <n v="1.5959098298653309"/>
    <n v="0"/>
    <n v="0"/>
    <n v="1"/>
    <n v="1"/>
    <n v="0"/>
  </r>
  <r>
    <s v="c07d0469-edd7-4e1b-aa05-fadc84acd8f4"/>
    <s v="8b6e74ac-1e04-4cd0-900c-79deb615cda1"/>
    <d v="2025-06-01T00:00:00"/>
    <d v="1899-12-30T23:46:19"/>
    <n v="23"/>
    <n v="45"/>
    <s v="Bronze"/>
    <s v="Paris"/>
    <s v="FLAGSHIP-ROME"/>
    <s v="ORION-CONCEAL-09"/>
    <s v="Foundation"/>
    <n v="289.77999999999997"/>
    <x v="1"/>
    <n v="0"/>
    <s v="Mobile"/>
    <s v="98.175.204.99"/>
    <x v="0"/>
    <n v="230"/>
    <n v="1.5943869613229606"/>
    <n v="0"/>
    <n v="0"/>
    <n v="1"/>
    <n v="1"/>
    <n v="0"/>
  </r>
  <r>
    <s v="a936c09a-c385-4dec-bc23-e6a2639a98c9"/>
    <s v="8e3fa559-98e0-4d78-ae26-72d041be661f"/>
    <d v="2025-02-20T00:00:00"/>
    <d v="1899-12-30T20:37:16"/>
    <n v="20"/>
    <n v="61"/>
    <s v="Bronze"/>
    <s v="Rome"/>
    <s v="CONCESSION-LONDON"/>
    <s v="COSMIC-HIGHLIGHT-06"/>
    <s v="Mascara"/>
    <n v="289.69"/>
    <x v="4"/>
    <n v="0"/>
    <s v="Mobile"/>
    <s v="250.208.191.240"/>
    <x v="0"/>
    <n v="294"/>
    <n v="1.5931409779701127"/>
    <n v="0"/>
    <n v="0"/>
    <n v="0"/>
    <n v="0"/>
    <n v="0"/>
  </r>
  <r>
    <s v="5a40aa0c-f032-411e-8704-4ebfc2c46044"/>
    <s v="33ab78e0-25df-4902-baf5-512fe48cb665"/>
    <d v="2025-03-09T00:00:00"/>
    <d v="1899-12-30T05:49:08"/>
    <n v="5"/>
    <n v="56"/>
    <s v="Bronze"/>
    <s v="Sydney"/>
    <s v="CONCESSION-LONDON"/>
    <s v="ORION-CONCEAL-09"/>
    <s v="Setting Spray"/>
    <n v="289.64"/>
    <x v="3"/>
    <n v="0"/>
    <s v="Desktop"/>
    <s v="4.57.89.77"/>
    <x v="0"/>
    <n v="470"/>
    <n v="1.5924487649963079"/>
    <n v="0"/>
    <n v="1"/>
    <n v="0"/>
    <n v="2"/>
    <n v="0"/>
  </r>
  <r>
    <s v="8e3b047f-716d-49ba-bcc6-4e59a8243559"/>
    <s v="b3b5a172-28ca-403f-ad10-6c25c04e5ff3"/>
    <d v="2025-08-02T00:00:00"/>
    <d v="1899-12-30T03:09:27"/>
    <n v="3"/>
    <n v="61"/>
    <s v="Bronze"/>
    <s v="London"/>
    <s v="FLAGSHIP-LA"/>
    <s v="GALAXIA-SET-08"/>
    <s v="Concealer"/>
    <n v="289.61"/>
    <x v="4"/>
    <n v="0"/>
    <s v="Tablet"/>
    <s v="7.167.184.171"/>
    <x v="0"/>
    <n v="336"/>
    <n v="1.5920334372120255"/>
    <n v="0"/>
    <n v="1"/>
    <n v="0"/>
    <n v="2"/>
    <n v="0"/>
  </r>
  <r>
    <s v="b14b426c-6579-49be-be9f-d0a54ce581cd"/>
    <s v="99afc1af-49d9-4349-90f4-71a219b8dac1"/>
    <d v="2025-05-14T00:00:00"/>
    <d v="1899-12-30T20:25:17"/>
    <n v="20"/>
    <n v="37"/>
    <s v="Silver"/>
    <s v="Cannes"/>
    <s v="FLAGSHIP-ROME"/>
    <s v="GALAXIA-SET-08"/>
    <s v="Blush"/>
    <n v="289.52"/>
    <x v="1"/>
    <n v="0"/>
    <s v="Mobile"/>
    <s v="109.241.167.154"/>
    <x v="0"/>
    <n v="388"/>
    <n v="1.5907874538591766"/>
    <n v="0"/>
    <n v="0"/>
    <n v="0"/>
    <n v="0"/>
    <n v="0"/>
  </r>
  <r>
    <s v="3fb0e64b-dcae-4fd6-ac14-0f8e876da5b4"/>
    <s v="06fefb5f-a907-4a79-a1e8-6a6e852a8dc3"/>
    <d v="2025-05-31T00:00:00"/>
    <d v="1899-12-30T04:17:05"/>
    <n v="4"/>
    <n v="37"/>
    <s v="VIP"/>
    <s v="London"/>
    <s v="CONCESSION-SINGAPORE"/>
    <s v="COSMIC-HIGHLIGHT-06"/>
    <s v="Setting Spray"/>
    <n v="289.5"/>
    <x v="4"/>
    <n v="0"/>
    <s v="Laptop"/>
    <s v="133.237.91.164"/>
    <x v="0"/>
    <n v="413"/>
    <n v="1.590510568669655"/>
    <n v="0"/>
    <n v="1"/>
    <n v="0"/>
    <n v="2"/>
    <n v="0"/>
  </r>
  <r>
    <s v="125b9245-42f5-476b-bfb3-cfad1ae8341b"/>
    <s v="168eac72-b788-480d-9d4b-783776b3497c"/>
    <d v="2025-05-04T00:00:00"/>
    <d v="1899-12-30T10:41:18"/>
    <n v="10"/>
    <n v="41"/>
    <s v="Gold"/>
    <s v="Milan"/>
    <s v="POPUP-MILAN"/>
    <s v="NEBULA-SERUM-07"/>
    <s v="Highlighter"/>
    <n v="289.43"/>
    <x v="3"/>
    <n v="0"/>
    <s v="Desktop"/>
    <s v="122.0.165.39"/>
    <x v="0"/>
    <n v="286"/>
    <n v="1.5895414705063287"/>
    <n v="0"/>
    <n v="0"/>
    <n v="0"/>
    <n v="0"/>
    <n v="0"/>
  </r>
  <r>
    <s v="696cfe4d-2088-4fb8-b447-a9045669b16f"/>
    <s v="71f5244c-db23-441b-9b8e-ccd9b8b74ddc"/>
    <d v="2025-05-26T00:00:00"/>
    <d v="1899-12-30T11:20:46"/>
    <n v="11"/>
    <n v="31"/>
    <s v="Silver"/>
    <s v="Miami"/>
    <s v="FLAGSHIP-ROME"/>
    <s v="STELLAR-FOUND-03"/>
    <s v="Eyeshadow Palette"/>
    <n v="289.38"/>
    <x v="4"/>
    <n v="0"/>
    <s v="Desktop"/>
    <s v="215.221.59.98"/>
    <x v="0"/>
    <n v="356"/>
    <n v="1.5888492575325239"/>
    <n v="0"/>
    <n v="0"/>
    <n v="0"/>
    <n v="0"/>
    <n v="0"/>
  </r>
  <r>
    <s v="89e5d44f-8738-4718-be49-3e55f8a1b598"/>
    <s v="7fba272e-c7cd-4f67-b62e-c72972c0f5ef"/>
    <d v="2025-05-17T00:00:00"/>
    <d v="1899-12-30T22:03:10"/>
    <n v="22"/>
    <n v="34"/>
    <s v="Silver"/>
    <s v="Shanghai"/>
    <s v="BOUTIQUE-NYC"/>
    <s v="SOLAR-BLUSH-04"/>
    <s v="Foundation"/>
    <n v="289.33"/>
    <x v="0"/>
    <n v="0"/>
    <s v="Mobile"/>
    <s v="105.215.75.253"/>
    <x v="0"/>
    <n v="465"/>
    <n v="1.5881570445587192"/>
    <n v="0"/>
    <n v="0"/>
    <n v="0"/>
    <n v="0"/>
    <n v="0"/>
  </r>
  <r>
    <s v="a8eb9c20-c7a3-4037-aa85-5ba19b5f994f"/>
    <s v="d940490d-f218-4d63-976c-f86e5c823fc5"/>
    <d v="2025-05-09T00:00:00"/>
    <d v="1899-12-30T18:12:35"/>
    <n v="18"/>
    <n v="32"/>
    <s v="Bronze"/>
    <s v="Monte Carlo"/>
    <s v="POPUP-TOKYO"/>
    <s v="COSMIC-HIGHLIGHT-06"/>
    <s v="Mascara"/>
    <n v="289.18"/>
    <x v="0"/>
    <n v="0"/>
    <s v="Desktop"/>
    <s v="95.74.156.170"/>
    <x v="0"/>
    <n v="364"/>
    <n v="1.5860804056373057"/>
    <n v="0"/>
    <n v="0"/>
    <n v="0"/>
    <n v="0"/>
    <n v="0"/>
  </r>
  <r>
    <s v="d365c04b-9192-41e7-b4ec-cc2684825774"/>
    <s v="47477ce7-9bcd-4ec8-a756-b4b88f35c186"/>
    <d v="2025-06-18T00:00:00"/>
    <d v="1899-12-30T18:40:04"/>
    <n v="18"/>
    <n v="36"/>
    <s v="Gold"/>
    <s v="Cannes"/>
    <s v="CONCESSION-LONDON"/>
    <s v="GALAXIA-SET-08"/>
    <s v="Blush"/>
    <n v="289.14"/>
    <x v="3"/>
    <n v="0"/>
    <s v="Desktop"/>
    <s v="133.239.236.174"/>
    <x v="0"/>
    <n v="64"/>
    <n v="1.5855266352582615"/>
    <n v="0"/>
    <n v="0"/>
    <n v="1"/>
    <n v="1"/>
    <n v="0"/>
  </r>
  <r>
    <s v="eec46acb-8331-4744-98c5-6bca33e52899"/>
    <s v="1a8b93d1-681c-4b20-a769-dc11cf7cf0ab"/>
    <d v="2025-03-22T00:00:00"/>
    <d v="1899-12-30T14:21:39"/>
    <n v="14"/>
    <n v="54"/>
    <s v="VIP"/>
    <s v="Monte Carlo"/>
    <s v="POPUP-MILAN"/>
    <s v="ECLIPSE-EYE-10"/>
    <s v="Eyeliner"/>
    <n v="288.97000000000003"/>
    <x v="4"/>
    <n v="0"/>
    <s v="Desktop"/>
    <s v="64.104.53.242"/>
    <x v="0"/>
    <n v="426"/>
    <n v="1.5831731111473264"/>
    <n v="0"/>
    <n v="0"/>
    <n v="0"/>
    <n v="0"/>
    <n v="0"/>
  </r>
  <r>
    <s v="b7654f68-cc63-4d37-862d-79dba4d107ad"/>
    <s v="4bb411ff-dd62-4231-b78a-5a23788e917b"/>
    <d v="2025-05-30T00:00:00"/>
    <d v="1899-12-30T12:34:32"/>
    <n v="12"/>
    <n v="39"/>
    <s v="VIP"/>
    <s v="Geneva"/>
    <s v="CONCESSION-SINGAPORE"/>
    <s v="GALAXIA-SET-08"/>
    <s v="Lipstick"/>
    <n v="288.95999999999998"/>
    <x v="1"/>
    <n v="0"/>
    <s v="Tablet"/>
    <s v="160.177.229.223"/>
    <x v="0"/>
    <n v="399"/>
    <n v="1.5830346685525649"/>
    <n v="0"/>
    <n v="0"/>
    <n v="0"/>
    <n v="0"/>
    <n v="0"/>
  </r>
  <r>
    <s v="0b544866-1441-4857-9de3-c062c5ffd5bd"/>
    <s v="e66c3f07-8afc-4466-93a9-a82d7740b7d5"/>
    <d v="2025-03-27T00:00:00"/>
    <d v="1899-12-30T13:14:47"/>
    <n v="13"/>
    <n v="28"/>
    <s v="Bronze"/>
    <s v="Sydney"/>
    <s v="BOUTIQUE-SHANGHAI"/>
    <s v="SOLAR-BLUSH-04"/>
    <s v="Eyeliner"/>
    <n v="288.76"/>
    <x v="0"/>
    <n v="0"/>
    <s v="Laptop"/>
    <s v="168.172.172.95"/>
    <x v="0"/>
    <n v="245"/>
    <n v="1.5802658166573467"/>
    <n v="0"/>
    <n v="0"/>
    <n v="1"/>
    <n v="1"/>
    <n v="0"/>
  </r>
  <r>
    <s v="8ed22583-d045-472c-b805-1c21390a96f6"/>
    <s v="0366b048-0c20-4d7e-9146-a0702a82c64d"/>
    <d v="2025-07-18T00:00:00"/>
    <d v="1899-12-30T12:03:05"/>
    <n v="12"/>
    <n v="50"/>
    <s v="Platinum"/>
    <s v="Tokyo"/>
    <s v="FLAGSHIP-LA"/>
    <s v="ECLIPSE-EYE-10"/>
    <s v="Setting Spray"/>
    <n v="288.66000000000003"/>
    <x v="4"/>
    <n v="0"/>
    <s v="Desktop"/>
    <s v="176.198.230.121"/>
    <x v="0"/>
    <n v="59"/>
    <n v="1.5788813907097379"/>
    <n v="0"/>
    <n v="0"/>
    <n v="1"/>
    <n v="1"/>
    <n v="0"/>
  </r>
  <r>
    <s v="f49d28c7-158f-482f-b2d2-b77eb3e9952d"/>
    <s v="a9e422bc-1933-4750-8371-3b8d5adb8935"/>
    <d v="2025-04-24T00:00:00"/>
    <d v="1899-12-30T16:34:25"/>
    <n v="16"/>
    <n v="24"/>
    <s v="Bronze"/>
    <s v="London"/>
    <s v="CONCESSION-SINGAPORE"/>
    <s v="LUNAR-MASC-02"/>
    <s v="Eyeliner"/>
    <n v="288.62"/>
    <x v="0"/>
    <n v="0"/>
    <s v="Tablet"/>
    <s v="231.215.243.239"/>
    <x v="0"/>
    <n v="309"/>
    <n v="1.5783276203306937"/>
    <n v="0"/>
    <n v="0"/>
    <n v="0"/>
    <n v="0"/>
    <n v="0"/>
  </r>
  <r>
    <s v="e87b5ef1-d79a-4065-afff-46e3d503b9f0"/>
    <s v="9ce29d0d-c550-4995-870c-e30eea9bc902"/>
    <d v="2025-05-17T00:00:00"/>
    <d v="1899-12-30T03:57:20"/>
    <n v="3"/>
    <n v="38"/>
    <s v="Gold"/>
    <s v="Tokyo"/>
    <s v="FLAGSHIP-LA"/>
    <s v="AURORA-LIP-01"/>
    <s v="Serum"/>
    <n v="288.58999999999997"/>
    <x v="0"/>
    <n v="0"/>
    <s v="Mobile"/>
    <s v="198.75.105.157"/>
    <x v="0"/>
    <n v="197"/>
    <n v="1.5779122925464106"/>
    <n v="0"/>
    <n v="1"/>
    <n v="1"/>
    <n v="3"/>
    <n v="0"/>
  </r>
  <r>
    <s v="eea4b124-c414-4101-be78-1e223b6c50c7"/>
    <s v="bfc261bd-564b-4d67-a52b-ca0b82b47aa3"/>
    <d v="2025-06-22T00:00:00"/>
    <d v="1899-12-30T14:15:47"/>
    <n v="14"/>
    <n v="44"/>
    <s v="Silver"/>
    <s v="New York"/>
    <s v="CONCESSION-LONDON"/>
    <s v="ECLIPSE-EYE-10"/>
    <s v="Eyeliner"/>
    <n v="288.54000000000002"/>
    <x v="4"/>
    <n v="0"/>
    <s v="Desktop"/>
    <s v="153.201.36.177"/>
    <x v="0"/>
    <n v="51"/>
    <n v="1.5772200795726066"/>
    <n v="0"/>
    <n v="0"/>
    <n v="1"/>
    <n v="1"/>
    <n v="0"/>
  </r>
  <r>
    <s v="5864f66e-c778-42f0-a593-de0096e2d7ac"/>
    <s v="774bd995-4996-4427-b733-dc04f572060c"/>
    <d v="2025-04-03T00:00:00"/>
    <d v="1899-12-30T16:16:10"/>
    <n v="16"/>
    <n v="51"/>
    <s v="Silver"/>
    <s v="Geneva"/>
    <s v="BOUTIQUE-SHANGHAI"/>
    <s v="ORION-CONCEAL-09"/>
    <s v="Serum"/>
    <n v="288.52999999999997"/>
    <x v="4"/>
    <n v="0"/>
    <s v="Laptop"/>
    <s v="151.196.153.43"/>
    <x v="0"/>
    <n v="210"/>
    <n v="1.5770816369778451"/>
    <n v="0"/>
    <n v="0"/>
    <n v="1"/>
    <n v="1"/>
    <n v="0"/>
  </r>
  <r>
    <s v="91e37477-9dcf-4d68-932f-18bf2818d794"/>
    <s v="f1639f46-65f5-4b6b-84b2-2b2f9b3178ae"/>
    <d v="2025-05-15T00:00:00"/>
    <d v="1899-12-30T16:50:52"/>
    <n v="16"/>
    <n v="64"/>
    <s v="Silver"/>
    <s v="Dubai"/>
    <s v="FLAGSHIP-LA"/>
    <s v="ECLIPSE-EYE-10"/>
    <s v="Mascara"/>
    <n v="288.27"/>
    <x v="1"/>
    <n v="0"/>
    <s v="Tablet"/>
    <s v="140.102.170.100"/>
    <x v="0"/>
    <n v="243"/>
    <n v="1.5734821295140611"/>
    <n v="0"/>
    <n v="0"/>
    <n v="1"/>
    <n v="1"/>
    <n v="0"/>
  </r>
  <r>
    <s v="30fbb93a-09b3-490c-a873-489bc1281896"/>
    <s v="eea94509-42ad-41fd-894b-41d51882abfe"/>
    <d v="2025-06-25T00:00:00"/>
    <d v="1899-12-30T12:33:48"/>
    <n v="12"/>
    <n v="37"/>
    <s v="Platinum"/>
    <s v="New York"/>
    <s v="BOUTIQUE-DUBAI"/>
    <s v="SOLAR-BLUSH-04"/>
    <s v="Lipstick"/>
    <n v="287.87"/>
    <x v="2"/>
    <n v="1"/>
    <s v="Tablet"/>
    <s v="20.128.159.106"/>
    <x v="0"/>
    <n v="162"/>
    <n v="1.5679444257236244"/>
    <n v="0"/>
    <n v="0"/>
    <n v="1"/>
    <n v="3"/>
    <n v="0"/>
  </r>
  <r>
    <s v="52009fa0-73d9-45d7-9bc6-86afca9640da"/>
    <s v="47b71226-eb42-4cbb-9b7b-e29632153746"/>
    <d v="2025-02-21T00:00:00"/>
    <d v="1899-12-30T08:48:50"/>
    <n v="8"/>
    <n v="41"/>
    <s v="Bronze"/>
    <s v="Sydney"/>
    <s v="FLAGSHIP-LA"/>
    <s v="ECLIPSE-EYE-10"/>
    <s v="Eyeshadow Palette"/>
    <n v="287.79000000000002"/>
    <x v="4"/>
    <n v="0"/>
    <s v="Laptop"/>
    <s v="51.100.25.252"/>
    <x v="0"/>
    <n v="338"/>
    <n v="1.5668368849655372"/>
    <n v="0"/>
    <n v="0"/>
    <n v="0"/>
    <n v="0"/>
    <n v="0"/>
  </r>
  <r>
    <s v="eeadc998-1249-42b8-8e5f-8d7788c1dea6"/>
    <s v="165210ea-c401-4a41-a9ea-d6d216b60ee4"/>
    <d v="2025-03-29T00:00:00"/>
    <d v="1899-12-30T01:00:47"/>
    <n v="1"/>
    <n v="41"/>
    <s v="Gold"/>
    <s v="Monte Carlo"/>
    <s v="POPUP-TOKYO"/>
    <s v="GALAXIA-SET-08"/>
    <s v="Serum"/>
    <n v="287.77999999999997"/>
    <x v="3"/>
    <n v="0"/>
    <s v="Mobile"/>
    <s v="58.87.45.97"/>
    <x v="0"/>
    <n v="331"/>
    <n v="1.5666984423707757"/>
    <n v="0"/>
    <n v="1"/>
    <n v="0"/>
    <n v="2"/>
    <n v="0"/>
  </r>
  <r>
    <s v="ac588540-cb8d-4e8c-935e-cd0d7f77f53a"/>
    <s v="94afa51f-e65d-46c1-a798-14dc32b61254"/>
    <d v="2025-06-18T00:00:00"/>
    <d v="1899-12-30T12:16:52"/>
    <n v="12"/>
    <n v="53"/>
    <s v="Bronze"/>
    <s v="Sydney"/>
    <s v="FLAGSHIP-PARIS"/>
    <s v="GALAXIA-SET-08"/>
    <s v="Highlighter"/>
    <n v="287.68"/>
    <x v="1"/>
    <n v="0"/>
    <s v="Tablet"/>
    <s v="220.72.116.157"/>
    <x v="0"/>
    <n v="126"/>
    <n v="1.5653140164231669"/>
    <n v="0"/>
    <n v="0"/>
    <n v="1"/>
    <n v="1"/>
    <n v="0"/>
  </r>
  <r>
    <s v="96999259-b3e0-4dc5-a5c3-806c5896d557"/>
    <s v="65e69e9a-fcb9-48d7-b7e6-f2e044a3a1af"/>
    <d v="2025-04-18T00:00:00"/>
    <d v="1899-12-30T21:52:20"/>
    <n v="21"/>
    <n v="65"/>
    <s v="Unknown"/>
    <s v="Shanghai"/>
    <s v="POPUP-MILAN"/>
    <s v="GALAXIA-SET-08"/>
    <s v="Eyeliner"/>
    <n v="287.55"/>
    <x v="3"/>
    <n v="0"/>
    <s v="Laptop"/>
    <s v="155.167.78.155"/>
    <x v="0"/>
    <n v="200"/>
    <n v="1.563514262691275"/>
    <n v="0"/>
    <n v="0"/>
    <n v="1"/>
    <n v="1"/>
    <n v="0"/>
  </r>
  <r>
    <s v="5e6ff5b2-dbf5-48c2-881d-438c10dcc3a4"/>
    <s v="6837f073-a755-465a-b34d-5ed249c3da21"/>
    <d v="2025-07-18T00:00:00"/>
    <d v="1899-12-30T13:17:33"/>
    <n v="13"/>
    <n v="53"/>
    <s v="Unknown"/>
    <s v="Milan"/>
    <s v="BOUTIQUE-SHANGHAI"/>
    <s v="LUNAR-MASC-02"/>
    <s v="Eyeshadow Palette"/>
    <n v="287.47000000000003"/>
    <x v="1"/>
    <n v="0"/>
    <s v="Mobile"/>
    <s v="222.203.116.116"/>
    <x v="0"/>
    <n v="156"/>
    <n v="1.5624067219331879"/>
    <n v="0"/>
    <n v="0"/>
    <n v="1"/>
    <n v="1"/>
    <n v="0"/>
  </r>
  <r>
    <s v="ab61bed6-240a-4108-9355-f7c2a85d9cdb"/>
    <s v="72a03ccb-f535-401e-908f-880059b338f8"/>
    <d v="2025-07-04T00:00:00"/>
    <d v="1899-12-30T07:26:19"/>
    <n v="7"/>
    <n v="37"/>
    <s v="Silver"/>
    <s v="Dubai"/>
    <s v="FLAGSHIP-LA"/>
    <s v="ORION-CONCEAL-09"/>
    <s v="Concealer"/>
    <n v="287.39999999999998"/>
    <x v="2"/>
    <n v="1"/>
    <s v="Tablet"/>
    <s v="170.254.251.133"/>
    <x v="0"/>
    <n v="291"/>
    <n v="1.5614376237698606"/>
    <n v="0"/>
    <n v="0"/>
    <n v="0"/>
    <n v="2"/>
    <n v="0"/>
  </r>
  <r>
    <s v="8247af4e-0c21-4399-aa72-cb397a32d2b5"/>
    <s v="84025261-d14e-495c-8742-1998be3f422f"/>
    <d v="2025-06-24T00:00:00"/>
    <d v="1899-12-30T10:12:29"/>
    <n v="10"/>
    <n v="44"/>
    <s v="Silver"/>
    <s v="Monte Carlo"/>
    <s v="CONCESSION-SINGAPORE"/>
    <s v="SOLAR-BLUSH-04"/>
    <s v="Serum"/>
    <n v="287.29000000000002"/>
    <x v="4"/>
    <n v="0"/>
    <s v="Mobile"/>
    <s v="161.181.63.24"/>
    <x v="0"/>
    <n v="368"/>
    <n v="1.559914755227491"/>
    <n v="0"/>
    <n v="0"/>
    <n v="0"/>
    <n v="0"/>
    <n v="0"/>
  </r>
  <r>
    <s v="94741035-f034-4efd-9424-3232dd3d8038"/>
    <s v="d7415f5a-3eee-451e-9c8d-86ae5bc03b4c"/>
    <d v="2025-06-13T00:00:00"/>
    <d v="1899-12-30T01:35:51"/>
    <n v="1"/>
    <n v="28"/>
    <s v="Silver"/>
    <s v="Cannes"/>
    <s v="FLAGSHIP-ROME"/>
    <s v="COSMIC-HIGHLIGHT-06"/>
    <s v="Serum"/>
    <n v="287.24"/>
    <x v="3"/>
    <n v="0"/>
    <s v="Tablet"/>
    <s v="44.53.90.16"/>
    <x v="0"/>
    <n v="130"/>
    <n v="1.5592225422536863"/>
    <n v="0"/>
    <n v="1"/>
    <n v="1"/>
    <n v="3"/>
    <n v="0"/>
  </r>
  <r>
    <s v="57d23547-1b9a-46cd-bbc6-f8175068f1c6"/>
    <s v="e46b9b28-e8f1-41d5-bc5b-0750b446f4ef"/>
    <d v="2025-06-25T00:00:00"/>
    <d v="1899-12-30T13:28:24"/>
    <n v="13"/>
    <n v="35"/>
    <s v="Unknown"/>
    <s v="Shanghai"/>
    <s v="POPUP-TOKYO"/>
    <s v="COSMIC-HIGHLIGHT-06"/>
    <s v="Mascara"/>
    <n v="287.23"/>
    <x v="2"/>
    <n v="1"/>
    <s v="Tablet"/>
    <s v="192.153.240.210"/>
    <x v="0"/>
    <n v="123"/>
    <n v="1.5590840996589255"/>
    <n v="0"/>
    <n v="0"/>
    <n v="1"/>
    <n v="3"/>
    <n v="0"/>
  </r>
  <r>
    <s v="89727522-95da-4be8-8563-fc0260a65d1f"/>
    <s v="0e374890-0bc8-4c9d-92cd-f9d6732a3cac"/>
    <d v="2025-05-19T00:00:00"/>
    <d v="1899-12-30T16:58:02"/>
    <n v="16"/>
    <n v="59"/>
    <s v="Gold"/>
    <s v="Tokyo"/>
    <s v="BOUTIQUE-DUBAI"/>
    <s v="ECLIPSE-EYE-10"/>
    <s v="Serum"/>
    <n v="287.22000000000003"/>
    <x v="1"/>
    <n v="0"/>
    <s v="Desktop"/>
    <s v="121.68.165.203"/>
    <x v="0"/>
    <n v="401"/>
    <n v="1.5589456570641647"/>
    <n v="0"/>
    <n v="0"/>
    <n v="0"/>
    <n v="0"/>
    <n v="0"/>
  </r>
  <r>
    <s v="736a689c-0a72-4bee-b469-8eb67aeb57ae"/>
    <s v="4e239956-f8ce-41ad-a668-8e00c2a76578"/>
    <d v="2025-03-31T00:00:00"/>
    <d v="1899-12-30T04:06:39"/>
    <n v="4"/>
    <n v="39"/>
    <s v="Gold"/>
    <s v="Miami"/>
    <s v="CONCESSION-LONDON"/>
    <s v="STELLAR-FOUND-03"/>
    <s v="Setting Spray"/>
    <n v="287.20999999999998"/>
    <x v="4"/>
    <n v="0"/>
    <s v="Desktop"/>
    <s v="36.171.122.58"/>
    <x v="0"/>
    <n v="435"/>
    <n v="1.5588072144694032"/>
    <n v="0"/>
    <n v="1"/>
    <n v="0"/>
    <n v="2"/>
    <n v="0"/>
  </r>
  <r>
    <s v="07baafd9-637c-4424-8498-502b2175c722"/>
    <s v="4ff031a3-9518-4874-a83d-b74e18bf6adf"/>
    <d v="2025-07-16T00:00:00"/>
    <d v="1899-12-30T06:21:14"/>
    <n v="6"/>
    <n v="51"/>
    <s v="Platinum"/>
    <s v="Shanghai"/>
    <s v="FLAGSHIP-LA"/>
    <s v="CELESTE-EYE-05"/>
    <s v="Concealer"/>
    <n v="287.08"/>
    <x v="0"/>
    <n v="0"/>
    <s v="Desktop"/>
    <s v="222.32.208.186"/>
    <x v="0"/>
    <n v="246"/>
    <n v="1.5570074607375111"/>
    <n v="0"/>
    <n v="0"/>
    <n v="1"/>
    <n v="1"/>
    <n v="0"/>
  </r>
  <r>
    <s v="7bedd398-0e0e-4db9-a19c-16ca5b75aac7"/>
    <s v="eb5c3495-eef2-438b-b65d-26fd3df72e8f"/>
    <d v="2025-03-24T00:00:00"/>
    <d v="1899-12-30T05:04:48"/>
    <n v="5"/>
    <n v="60"/>
    <s v="Gold"/>
    <s v="Shanghai"/>
    <s v="FLAGSHIP-PARIS"/>
    <s v="GALAXIA-SET-08"/>
    <s v="Eyeliner"/>
    <n v="286.98"/>
    <x v="2"/>
    <n v="1"/>
    <s v="Tablet"/>
    <s v="128.162.58.208"/>
    <x v="0"/>
    <n v="213"/>
    <n v="1.5556230347899023"/>
    <n v="0"/>
    <n v="1"/>
    <n v="1"/>
    <n v="5"/>
    <n v="1"/>
  </r>
  <r>
    <s v="eb08e09f-5c71-4379-94ca-f9faa8d7bbfa"/>
    <s v="489672c6-52b5-4a86-a18e-1bf6644b4b6d"/>
    <d v="2025-07-23T00:00:00"/>
    <d v="1899-12-30T12:29:36"/>
    <n v="12"/>
    <n v="59"/>
    <s v="Bronze"/>
    <s v="Singapore"/>
    <s v="POPUP-MILAN"/>
    <s v="LUNAR-MASC-02"/>
    <s v="Eyeliner"/>
    <n v="286.79000000000002"/>
    <x v="0"/>
    <n v="0"/>
    <s v="Laptop"/>
    <s v="180.86.25.205"/>
    <x v="0"/>
    <n v="223"/>
    <n v="1.5529926254894448"/>
    <n v="0"/>
    <n v="0"/>
    <n v="1"/>
    <n v="1"/>
    <n v="0"/>
  </r>
  <r>
    <s v="f3bb95ee-1d1b-4dcb-a308-bbf20db0f2ad"/>
    <s v="a60a4ca1-36f8-4e47-b7f0-fb97328d34de"/>
    <d v="2025-07-29T00:00:00"/>
    <d v="1899-12-30T15:49:35"/>
    <n v="15"/>
    <n v="41"/>
    <s v="Bronze"/>
    <s v="Los Angeles"/>
    <s v="CONCESSION-LONDON"/>
    <s v="ORION-CONCEAL-09"/>
    <s v="Setting Spray"/>
    <n v="286.63"/>
    <x v="1"/>
    <n v="0"/>
    <s v="Laptop"/>
    <s v="173.199.130.206"/>
    <x v="0"/>
    <n v="191"/>
    <n v="1.5507775439732696"/>
    <n v="0"/>
    <n v="0"/>
    <n v="1"/>
    <n v="1"/>
    <n v="0"/>
  </r>
  <r>
    <s v="695b2b59-8814-4368-89d7-5ef1f996bad0"/>
    <s v="c3facadf-53b2-4932-84eb-109711a188bb"/>
    <d v="2025-07-01T00:00:00"/>
    <d v="1899-12-30T04:20:07"/>
    <n v="4"/>
    <n v="20"/>
    <s v="Bronze"/>
    <s v="Las Vegas"/>
    <s v="BOUTIQUE-DUBAI"/>
    <s v="GALAXIA-SET-08"/>
    <s v="Mascara"/>
    <n v="286.45999999999998"/>
    <x v="0"/>
    <n v="0"/>
    <s v="Tablet"/>
    <s v="115.39.189.206"/>
    <x v="0"/>
    <n v="199"/>
    <n v="1.5484240198623338"/>
    <n v="0"/>
    <n v="1"/>
    <n v="1"/>
    <n v="3"/>
    <n v="0"/>
  </r>
  <r>
    <s v="7e485b84-1765-4de6-a5bd-57453c4fa98b"/>
    <s v="4d814f1b-dbe0-4b4f-a646-7c7ac6ae9fcf"/>
    <d v="2025-04-04T00:00:00"/>
    <d v="1899-12-30T19:36:39"/>
    <n v="19"/>
    <n v="56"/>
    <s v="Gold"/>
    <s v="Tokyo"/>
    <s v="FLAGSHIP-LA"/>
    <s v="LUNAR-MASC-02"/>
    <s v="Setting Spray"/>
    <n v="286.33999999999997"/>
    <x v="3"/>
    <n v="0"/>
    <s v="Mobile"/>
    <s v="73.53.127.115"/>
    <x v="0"/>
    <n v="425"/>
    <n v="1.5467627087252025"/>
    <n v="0"/>
    <n v="0"/>
    <n v="0"/>
    <n v="0"/>
    <n v="0"/>
  </r>
  <r>
    <s v="fc5f93c2-a371-4c78-a3eb-ab6c046f0466"/>
    <s v="fcf9043c-2546-40ae-b048-ab272dc47322"/>
    <d v="2025-03-08T00:00:00"/>
    <d v="1899-12-30T05:31:33"/>
    <n v="5"/>
    <n v="28"/>
    <s v="Gold"/>
    <s v="Dubai"/>
    <s v="CONCESSION-SINGAPORE"/>
    <s v="GALAXIA-SET-08"/>
    <s v="Serum"/>
    <n v="286.26"/>
    <x v="0"/>
    <n v="0"/>
    <s v="Laptop"/>
    <s v="150.4.206.65"/>
    <x v="0"/>
    <n v="77"/>
    <n v="1.5456551679671153"/>
    <n v="0"/>
    <n v="1"/>
    <n v="1"/>
    <n v="3"/>
    <n v="0"/>
  </r>
  <r>
    <s v="718f66ed-3b10-41a1-9d36-eb125cb74f2d"/>
    <s v="976d9dea-1043-467c-b91c-344e67ea105c"/>
    <d v="2025-06-10T00:00:00"/>
    <d v="1899-12-30T17:46:59"/>
    <n v="17"/>
    <n v="58"/>
    <s v="Platinum"/>
    <s v="Las Vegas"/>
    <s v="BOUTIQUE-DUBAI"/>
    <s v="LUNAR-MASC-02"/>
    <s v="Concealer"/>
    <n v="286.25"/>
    <x v="3"/>
    <n v="0"/>
    <s v="Tablet"/>
    <s v="25.182.242.91"/>
    <x v="0"/>
    <n v="170"/>
    <n v="1.5455167253723545"/>
    <n v="0"/>
    <n v="0"/>
    <n v="1"/>
    <n v="1"/>
    <n v="0"/>
  </r>
  <r>
    <s v="b3672efa-5bfc-444c-b92f-b416a0aacb8c"/>
    <s v="061823a2-e5b8-4274-a6a7-ebc59fcaff54"/>
    <d v="2025-03-19T00:00:00"/>
    <d v="1899-12-30T22:51:07"/>
    <n v="22"/>
    <n v="32"/>
    <s v="Bronze"/>
    <s v="Monte Carlo"/>
    <s v="FLAGSHIP-LA"/>
    <s v="AURORA-LIP-01"/>
    <s v="Serum"/>
    <n v="286.24"/>
    <x v="4"/>
    <n v="0"/>
    <s v="Tablet"/>
    <s v="192.109.94.164"/>
    <x v="0"/>
    <n v="124"/>
    <n v="1.5453782827775939"/>
    <n v="0"/>
    <n v="0"/>
    <n v="1"/>
    <n v="1"/>
    <n v="0"/>
  </r>
  <r>
    <s v="5761c096-d80f-4ebd-b227-b1538e23e36d"/>
    <s v="5a99d7ee-76ac-4e57-86bc-217777c462a2"/>
    <d v="2025-06-22T00:00:00"/>
    <d v="1899-12-30T18:54:03"/>
    <n v="18"/>
    <n v="41"/>
    <s v="Gold"/>
    <s v="Monaco"/>
    <s v="POPUP-MILAN"/>
    <s v="CELESTE-EYE-05"/>
    <s v="Foundation"/>
    <n v="286.06"/>
    <x v="3"/>
    <n v="0"/>
    <s v="Tablet"/>
    <s v="172.3.236.235"/>
    <x v="0"/>
    <n v="488"/>
    <n v="1.5428863160718971"/>
    <n v="0"/>
    <n v="0"/>
    <n v="0"/>
    <n v="0"/>
    <n v="0"/>
  </r>
  <r>
    <s v="e2ae2a5b-3c8c-4641-9d2f-0fd6c24792d4"/>
    <s v="227dfaaa-a2f6-4cde-a8ac-b7776fe47764"/>
    <d v="2025-03-12T00:00:00"/>
    <d v="1899-12-30T14:46:33"/>
    <n v="14"/>
    <n v="25"/>
    <s v="Silver"/>
    <s v="Geneva"/>
    <s v="CONCESSION-LONDON"/>
    <s v="LUNAR-MASC-02"/>
    <s v="Eyeshadow Palette"/>
    <n v="285.81"/>
    <x v="4"/>
    <n v="0"/>
    <s v="Tablet"/>
    <s v="127.217.246.211"/>
    <x v="0"/>
    <n v="481"/>
    <n v="1.5394252512028739"/>
    <n v="0"/>
    <n v="0"/>
    <n v="0"/>
    <n v="0"/>
    <n v="0"/>
  </r>
  <r>
    <s v="fc5ec241-560d-4f1c-b62f-22c658ffc045"/>
    <s v="b98af465-6f89-4474-9563-ac74a74a8943"/>
    <d v="2025-04-11T00:00:00"/>
    <d v="1899-12-30T02:45:06"/>
    <n v="2"/>
    <n v="22"/>
    <s v="Silver"/>
    <s v="Miami"/>
    <s v="FLAGSHIP-LA"/>
    <s v="AURORA-LIP-01"/>
    <s v="Serum"/>
    <n v="285.60000000000002"/>
    <x v="1"/>
    <n v="0"/>
    <s v="Tablet"/>
    <s v="64.55.242.122"/>
    <x v="0"/>
    <n v="212"/>
    <n v="1.5365179567128948"/>
    <n v="0"/>
    <n v="1"/>
    <n v="1"/>
    <n v="3"/>
    <n v="0"/>
  </r>
  <r>
    <s v="3ab90b8b-761e-49dd-89ac-6ab38bc12af8"/>
    <s v="97d35805-42ea-43ba-8aa3-819e18558dcb"/>
    <d v="2025-06-08T00:00:00"/>
    <d v="1899-12-30T15:01:23"/>
    <n v="15"/>
    <n v="42"/>
    <s v="Unknown"/>
    <s v="Dubai"/>
    <s v="BOUTIQUE-NYC"/>
    <s v="LUNAR-MASC-02"/>
    <s v="Foundation"/>
    <n v="285.54000000000002"/>
    <x v="0"/>
    <n v="0"/>
    <s v="Laptop"/>
    <s v="29.246.40.72"/>
    <x v="0"/>
    <n v="266"/>
    <n v="1.5356873011443293"/>
    <n v="0"/>
    <n v="0"/>
    <n v="1"/>
    <n v="1"/>
    <n v="0"/>
  </r>
  <r>
    <s v="93f2d91c-4e95-4a16-a3f5-c6dc7465c9ff"/>
    <s v="2df46caf-e75b-4ed2-b597-72203af2fa77"/>
    <d v="2025-07-29T00:00:00"/>
    <d v="1899-12-30T18:46:20"/>
    <n v="18"/>
    <n v="33"/>
    <s v="Bronze"/>
    <s v="Monte Carlo"/>
    <s v="BOUTIQUE-NYC"/>
    <s v="LUNAR-MASC-02"/>
    <s v="Mascara"/>
    <n v="285.31"/>
    <x v="3"/>
    <n v="0"/>
    <s v="Mobile"/>
    <s v="112.206.35.115"/>
    <x v="0"/>
    <n v="436"/>
    <n v="1.5325031214648277"/>
    <n v="0"/>
    <n v="0"/>
    <n v="0"/>
    <n v="0"/>
    <n v="0"/>
  </r>
  <r>
    <s v="9b0c1f84-a641-4c45-9a75-70e93385d6ab"/>
    <s v="b9a08b7c-88da-4b52-8385-3b70d2691791"/>
    <d v="2025-05-27T00:00:00"/>
    <d v="1899-12-30T23:03:37"/>
    <n v="23"/>
    <n v="61"/>
    <s v="Bronze"/>
    <s v="Miami"/>
    <s v="BOUTIQUE-DUBAI"/>
    <s v="GALAXIA-SET-08"/>
    <s v="Lipstick"/>
    <n v="285.24"/>
    <x v="1"/>
    <n v="0"/>
    <s v="Tablet"/>
    <s v="112.128.171.232"/>
    <x v="0"/>
    <n v="70"/>
    <n v="1.5315340233015013"/>
    <n v="0"/>
    <n v="0"/>
    <n v="1"/>
    <n v="1"/>
    <n v="0"/>
  </r>
  <r>
    <s v="bff32406-4dd6-4d01-b137-5b53dad4def3"/>
    <s v="fc967b0f-1d58-47be-a628-525c7c9e70d7"/>
    <d v="2025-03-18T00:00:00"/>
    <d v="1899-12-30T22:47:41"/>
    <n v="22"/>
    <n v="29"/>
    <s v="Bronze"/>
    <s v="Geneva"/>
    <s v="POPUP-MILAN"/>
    <s v="ECLIPSE-EYE-10"/>
    <s v="Serum"/>
    <n v="285.02999999999997"/>
    <x v="3"/>
    <n v="0"/>
    <s v="Mobile"/>
    <s v="212.250.13.95"/>
    <x v="0"/>
    <n v="399"/>
    <n v="1.5286267288115214"/>
    <n v="0"/>
    <n v="0"/>
    <n v="0"/>
    <n v="0"/>
    <n v="0"/>
  </r>
  <r>
    <s v="1637e4b3-0355-4b21-a6fe-25eb63f7c246"/>
    <s v="53a25222-9514-4c08-ad78-cb91fe0fbe21"/>
    <d v="2025-07-15T00:00:00"/>
    <d v="1899-12-30T22:47:46"/>
    <n v="22"/>
    <n v="22"/>
    <s v="Gold"/>
    <s v="Monaco"/>
    <s v="BOUTIQUE-SHANGHAI"/>
    <s v="AURORA-LIP-01"/>
    <s v="Mascara"/>
    <n v="284.44"/>
    <x v="3"/>
    <n v="0"/>
    <s v="Tablet"/>
    <s v="162.200.133.81"/>
    <x v="0"/>
    <n v="351"/>
    <n v="1.5204586157206272"/>
    <n v="0"/>
    <n v="0"/>
    <n v="0"/>
    <n v="0"/>
    <n v="0"/>
  </r>
  <r>
    <s v="8d7301bf-9d20-44bd-8ec8-b9ef2b3521c0"/>
    <s v="09dcad18-1302-4ae5-b8e1-ccaf9839a9e2"/>
    <d v="2025-08-08T00:00:00"/>
    <d v="1899-12-30T08:24:41"/>
    <n v="8"/>
    <n v="42"/>
    <s v="Silver"/>
    <s v="Dubai"/>
    <s v="CONCESSION-SINGAPORE"/>
    <s v="ORION-CONCEAL-09"/>
    <s v="Mascara"/>
    <n v="284.27"/>
    <x v="0"/>
    <n v="0"/>
    <s v="Mobile"/>
    <s v="174.69.245.254"/>
    <x v="0"/>
    <n v="492"/>
    <n v="1.5181050916096912"/>
    <n v="0"/>
    <n v="0"/>
    <n v="0"/>
    <n v="0"/>
    <n v="0"/>
  </r>
  <r>
    <s v="69f497bb-6d5d-4b8e-a541-2d0750d21cb9"/>
    <s v="f1d7887c-0eed-4f9f-8cb1-275ee2440fb0"/>
    <d v="2025-07-29T00:00:00"/>
    <d v="1899-12-30T23:02:29"/>
    <n v="23"/>
    <n v="45"/>
    <s v="Bronze"/>
    <s v="Shanghai"/>
    <s v="BOUTIQUE-NYC"/>
    <s v="STELLAR-FOUND-03"/>
    <s v="Blush"/>
    <n v="284.25"/>
    <x v="0"/>
    <n v="0"/>
    <s v="Desktop"/>
    <s v="138.167.85.131"/>
    <x v="0"/>
    <n v="433"/>
    <n v="1.5178282064201698"/>
    <n v="0"/>
    <n v="0"/>
    <n v="0"/>
    <n v="0"/>
    <n v="0"/>
  </r>
  <r>
    <s v="2a511435-790e-49fc-a990-e160d388cfac"/>
    <s v="7fbd4d9c-4789-4201-aaae-c6d1d7780412"/>
    <d v="2025-06-28T00:00:00"/>
    <d v="1899-12-30T16:02:20"/>
    <n v="16"/>
    <n v="64"/>
    <s v="Bronze"/>
    <s v="Los Angeles"/>
    <s v="CONCESSION-LONDON"/>
    <s v="NEBULA-SERUM-07"/>
    <s v="Lipstick"/>
    <n v="283.99"/>
    <x v="1"/>
    <n v="0"/>
    <s v="Desktop"/>
    <s v="185.226.99.233"/>
    <x v="0"/>
    <n v="400"/>
    <n v="1.5142286989563858"/>
    <n v="0"/>
    <n v="0"/>
    <n v="0"/>
    <n v="0"/>
    <n v="0"/>
  </r>
  <r>
    <s v="4d91286a-972d-4827-a4b3-91051b5ac707"/>
    <s v="b115bc18-2220-4876-88f7-4f7fe76d0edc"/>
    <d v="2025-03-19T00:00:00"/>
    <d v="1899-12-30T16:09:10"/>
    <n v="16"/>
    <n v="35"/>
    <s v="Silver"/>
    <s v="New York"/>
    <s v="FLAGSHIP-LA"/>
    <s v="SOLAR-BLUSH-04"/>
    <s v="Highlighter"/>
    <n v="283.97000000000003"/>
    <x v="0"/>
    <n v="0"/>
    <s v="Laptop"/>
    <s v="234.13.215.45"/>
    <x v="0"/>
    <n v="199"/>
    <n v="1.5139518137668642"/>
    <n v="0"/>
    <n v="0"/>
    <n v="1"/>
    <n v="1"/>
    <n v="0"/>
  </r>
  <r>
    <s v="bae6e5fd-d3d2-4874-b577-6df43a0beb95"/>
    <s v="14af8253-10d4-44f3-a982-6e92de39273a"/>
    <d v="2025-07-24T00:00:00"/>
    <d v="1899-12-30T15:12:38"/>
    <n v="15"/>
    <n v="41"/>
    <s v="Bronze"/>
    <s v="Sydney"/>
    <s v="CONCESSION-LONDON"/>
    <s v="STELLAR-FOUND-03"/>
    <s v="Eyeshadow Palette"/>
    <n v="283.95"/>
    <x v="4"/>
    <n v="0"/>
    <s v="Mobile"/>
    <s v="70.55.53.39"/>
    <x v="0"/>
    <n v="302"/>
    <n v="1.5136749285773419"/>
    <n v="0"/>
    <n v="0"/>
    <n v="0"/>
    <n v="0"/>
    <n v="0"/>
  </r>
  <r>
    <s v="9e43e416-2070-493c-987f-ee89c84aa671"/>
    <s v="b1f8622c-34cc-49ae-9663-dece2a7f312d"/>
    <d v="2025-06-01T00:00:00"/>
    <d v="1899-12-30T01:42:36"/>
    <n v="1"/>
    <n v="45"/>
    <s v="Bronze"/>
    <s v="Dubai"/>
    <s v="BOUTIQUE-DUBAI"/>
    <s v="ORION-CONCEAL-09"/>
    <s v="Lipstick"/>
    <n v="283.92"/>
    <x v="4"/>
    <n v="0"/>
    <s v="Mobile"/>
    <s v="158.42.165.115"/>
    <x v="0"/>
    <n v="279"/>
    <n v="1.5132596007930594"/>
    <n v="0"/>
    <n v="1"/>
    <n v="0"/>
    <n v="2"/>
    <n v="0"/>
  </r>
  <r>
    <s v="ce7fee8c-6214-49e1-99f8-71723142231d"/>
    <s v="93c6f05e-c288-4e70-a168-20e498d34ca8"/>
    <d v="2025-07-03T00:00:00"/>
    <d v="1899-12-30T00:21:51"/>
    <n v="0"/>
    <n v="41"/>
    <s v="Bronze"/>
    <s v="Rome"/>
    <s v="BOUTIQUE-SHANGHAI"/>
    <s v="LUNAR-MASC-02"/>
    <s v="Eyeshadow Palette"/>
    <n v="283.89"/>
    <x v="1"/>
    <n v="0"/>
    <s v="Mobile"/>
    <s v="211.6.241.76"/>
    <x v="0"/>
    <n v="446"/>
    <n v="1.5128442730087763"/>
    <n v="0"/>
    <n v="1"/>
    <n v="0"/>
    <n v="2"/>
    <n v="0"/>
  </r>
  <r>
    <s v="6b3ca8dc-1c92-4c59-8ce1-22bfc3c48095"/>
    <s v="b4cc6d55-f202-4736-969f-f33b9dc55640"/>
    <d v="2025-03-09T00:00:00"/>
    <d v="1899-12-30T09:49:52"/>
    <n v="9"/>
    <n v="23"/>
    <s v="Bronze"/>
    <s v="Hong Kong"/>
    <s v="BOUTIQUE-DUBAI"/>
    <s v="COSMIC-HIGHLIGHT-06"/>
    <s v="Concealer"/>
    <n v="283.85000000000002"/>
    <x v="3"/>
    <n v="0"/>
    <s v="Laptop"/>
    <s v="196.124.200.81"/>
    <x v="0"/>
    <n v="293"/>
    <n v="1.5122905026297331"/>
    <n v="0"/>
    <n v="0"/>
    <n v="0"/>
    <n v="0"/>
    <n v="0"/>
  </r>
  <r>
    <s v="40e61130-8029-4ead-ad59-338f447831ae"/>
    <s v="7b8e4fc5-330b-44ac-abf1-01c534aa9114"/>
    <d v="2025-03-01T00:00:00"/>
    <d v="1899-12-30T13:38:09"/>
    <n v="13"/>
    <n v="56"/>
    <s v="Silver"/>
    <s v="London"/>
    <s v="FLAGSHIP-LA"/>
    <s v="COSMIC-HIGHLIGHT-06"/>
    <s v="Blush"/>
    <n v="283.82"/>
    <x v="3"/>
    <n v="0"/>
    <s v="Tablet"/>
    <s v="251.120.225.232"/>
    <x v="0"/>
    <n v="279"/>
    <n v="1.5118751748454498"/>
    <n v="0"/>
    <n v="0"/>
    <n v="0"/>
    <n v="0"/>
    <n v="0"/>
  </r>
  <r>
    <s v="6ea4c0ac-2126-4d4c-854d-033624bb8c8c"/>
    <s v="8fd16f5b-52bb-47d5-ae12-1c1edd62f9be"/>
    <d v="2025-06-29T00:00:00"/>
    <d v="1899-12-30T10:58:13"/>
    <n v="10"/>
    <n v="47"/>
    <s v="Gold"/>
    <s v="Las Vegas"/>
    <s v="FLAGSHIP-PARIS"/>
    <s v="SOLAR-BLUSH-04"/>
    <s v="Concealer"/>
    <n v="283.63"/>
    <x v="1"/>
    <n v="0"/>
    <s v="Desktop"/>
    <s v="30.76.98.14"/>
    <x v="0"/>
    <n v="119"/>
    <n v="1.5092447655449923"/>
    <n v="0"/>
    <n v="0"/>
    <n v="1"/>
    <n v="1"/>
    <n v="0"/>
  </r>
  <r>
    <s v="3bcb6f83-c916-4ef3-9289-4389a60474b2"/>
    <s v="e10f4eae-1660-4a09-a762-d8b2e73b9fbf"/>
    <d v="2025-05-19T00:00:00"/>
    <d v="1899-12-30T17:59:47"/>
    <n v="17"/>
    <n v="64"/>
    <s v="Silver"/>
    <s v="Hong Kong"/>
    <s v="FLAGSHIP-PARIS"/>
    <s v="NEBULA-SERUM-07"/>
    <s v="Lipstick"/>
    <n v="283.45"/>
    <x v="0"/>
    <n v="0"/>
    <s v="Laptop"/>
    <s v="202.230.132.140"/>
    <x v="0"/>
    <n v="286"/>
    <n v="1.5067527988392957"/>
    <n v="0"/>
    <n v="0"/>
    <n v="0"/>
    <n v="0"/>
    <n v="0"/>
  </r>
  <r>
    <s v="b26cc24c-dd28-456f-988d-26573560a205"/>
    <s v="11ad3f37-22fb-4d21-afab-b9a06fc41bc9"/>
    <d v="2025-06-19T00:00:00"/>
    <d v="1899-12-30T05:26:56"/>
    <n v="5"/>
    <n v="18"/>
    <s v="Unknown"/>
    <s v="Singapore"/>
    <s v="POPUP-TOKYO"/>
    <s v="STELLAR-FOUND-03"/>
    <s v="Eyeliner"/>
    <n v="283.27999999999997"/>
    <x v="3"/>
    <n v="0"/>
    <s v="Desktop"/>
    <s v="44.133.116.247"/>
    <x v="0"/>
    <n v="63"/>
    <n v="1.5043992747283597"/>
    <n v="0"/>
    <n v="1"/>
    <n v="1"/>
    <n v="3"/>
    <n v="0"/>
  </r>
  <r>
    <s v="bb5471a4-26b5-48a0-903a-b6af6bd5a213"/>
    <s v="b429daab-8d76-48db-993d-43c0a470b408"/>
    <d v="2025-08-04T00:00:00"/>
    <d v="1899-12-30T23:49:06"/>
    <n v="23"/>
    <n v="62"/>
    <s v="Silver"/>
    <s v="Singapore"/>
    <s v="BOUTIQUE-NYC"/>
    <s v="AURORA-LIP-01"/>
    <s v="Serum"/>
    <n v="283.10000000000002"/>
    <x v="3"/>
    <n v="0"/>
    <s v="Desktop"/>
    <s v="197.120.188.185"/>
    <x v="0"/>
    <n v="176"/>
    <n v="1.5019073080226637"/>
    <n v="0"/>
    <n v="0"/>
    <n v="1"/>
    <n v="1"/>
    <n v="0"/>
  </r>
  <r>
    <s v="96dac936-5460-47e0-93e4-97387bb5352e"/>
    <s v="0ad7048e-5da6-41ba-9013-637a631f3747"/>
    <d v="2025-07-04T00:00:00"/>
    <d v="1899-12-30T06:11:39"/>
    <n v="6"/>
    <n v="41"/>
    <s v="Bronze"/>
    <s v="San Francisco"/>
    <s v="BOUTIQUE-NYC"/>
    <s v="STELLAR-FOUND-03"/>
    <s v="Serum"/>
    <n v="283.02999999999997"/>
    <x v="4"/>
    <n v="0"/>
    <s v="Tablet"/>
    <s v="150.113.142.100"/>
    <x v="0"/>
    <n v="277"/>
    <n v="1.5009382098593365"/>
    <n v="0"/>
    <n v="0"/>
    <n v="0"/>
    <n v="0"/>
    <n v="0"/>
  </r>
  <r>
    <s v="ce6cf172-bb00-4c05-ac51-5139e44db5e1"/>
    <s v="5d606545-bde4-4be4-90b4-6a885ce490bb"/>
    <d v="2025-06-03T00:00:00"/>
    <d v="1899-12-30T08:24:08"/>
    <n v="8"/>
    <n v="41"/>
    <s v="Platinum"/>
    <s v="Geneva"/>
    <s v="BOUTIQUE-SHANGHAI"/>
    <s v="CELESTE-EYE-05"/>
    <s v="Eyeliner"/>
    <n v="282.95999999999998"/>
    <x v="1"/>
    <n v="0"/>
    <s v="Desktop"/>
    <s v="35.240.100.79"/>
    <x v="0"/>
    <n v="377"/>
    <n v="1.4999691116960101"/>
    <n v="0"/>
    <n v="0"/>
    <n v="0"/>
    <n v="0"/>
    <n v="0"/>
  </r>
  <r>
    <s v="6f5afd22-8732-4439-a9f0-fe8a5a7cc757"/>
    <s v="c59ccd4d-99d3-4094-a7b5-9b4d8f3323d5"/>
    <d v="2025-07-14T00:00:00"/>
    <d v="1899-12-30T10:26:36"/>
    <n v="10"/>
    <n v="54"/>
    <s v="Bronze"/>
    <s v="Zurich"/>
    <s v="BOUTIQUE-DUBAI"/>
    <s v="ORION-CONCEAL-09"/>
    <s v="Eyeliner"/>
    <n v="282.85000000000002"/>
    <x v="1"/>
    <n v="0"/>
    <s v="Tablet"/>
    <s v="139.173.43.103"/>
    <x v="0"/>
    <n v="88"/>
    <n v="1.4984462431536405"/>
    <n v="0"/>
    <n v="0"/>
    <n v="1"/>
    <n v="1"/>
    <n v="0"/>
  </r>
  <r>
    <s v="a40dc1aa-b2e6-41e4-ad23-9ecf5ebc6f9a"/>
    <s v="908e533c-92fe-4766-949e-cbff332e99c1"/>
    <d v="2025-05-30T00:00:00"/>
    <d v="1899-12-30T13:42:06"/>
    <n v="13"/>
    <n v="31"/>
    <s v="Bronze"/>
    <s v="Miami"/>
    <s v="POPUP-MILAN"/>
    <s v="ORION-CONCEAL-09"/>
    <s v="Eyeliner"/>
    <n v="282.77999999999997"/>
    <x v="0"/>
    <n v="0"/>
    <s v="Laptop"/>
    <s v="142.132.156.116"/>
    <x v="0"/>
    <n v="102"/>
    <n v="1.4974771449903135"/>
    <n v="0"/>
    <n v="0"/>
    <n v="1"/>
    <n v="1"/>
    <n v="0"/>
  </r>
  <r>
    <s v="07dc4894-e0eb-48f1-99a7-1942b1973d9b"/>
    <s v="7a67e184-9369-49ee-aeac-18f5b51b230f"/>
    <d v="2025-04-25T00:00:00"/>
    <d v="1899-12-30T19:09:43"/>
    <n v="19"/>
    <n v="60"/>
    <s v="Bronze"/>
    <s v="London"/>
    <s v="BOUTIQUE-NYC"/>
    <s v="GALAXIA-SET-08"/>
    <s v="Serum"/>
    <n v="282.76"/>
    <x v="1"/>
    <n v="0"/>
    <s v="Mobile"/>
    <s v="176.194.167.253"/>
    <x v="0"/>
    <n v="186"/>
    <n v="1.4972002598007919"/>
    <n v="0"/>
    <n v="0"/>
    <n v="1"/>
    <n v="1"/>
    <n v="0"/>
  </r>
  <r>
    <s v="28a7d0de-b2e4-4f29-95fe-98c8f2c5c1c0"/>
    <s v="54ac3849-1f63-47b4-b3ef-5f10e7f8ef61"/>
    <d v="2025-03-27T00:00:00"/>
    <d v="1899-12-30T10:18:41"/>
    <n v="10"/>
    <n v="47"/>
    <s v="Unknown"/>
    <s v="Zurich"/>
    <s v="POPUP-TOKYO"/>
    <s v="LUNAR-MASC-02"/>
    <s v="Eyeshadow Palette"/>
    <n v="282.62"/>
    <x v="3"/>
    <n v="0"/>
    <s v="Mobile"/>
    <s v="107.67.242.177"/>
    <x v="0"/>
    <n v="179"/>
    <n v="1.4952620634741391"/>
    <n v="0"/>
    <n v="0"/>
    <n v="1"/>
    <n v="1"/>
    <n v="0"/>
  </r>
  <r>
    <s v="6f5f3060-34b3-4cc2-8ecc-6277615b6c00"/>
    <s v="f9c9d104-babe-433e-9855-d43777da9a3e"/>
    <d v="2025-06-14T00:00:00"/>
    <d v="1899-12-30T20:43:41"/>
    <n v="20"/>
    <n v="31"/>
    <s v="Bronze"/>
    <s v="Los Angeles"/>
    <s v="CONCESSION-SINGAPORE"/>
    <s v="AURORA-LIP-01"/>
    <s v="Serum"/>
    <n v="282.36"/>
    <x v="0"/>
    <n v="0"/>
    <s v="Mobile"/>
    <s v="204.212.252.155"/>
    <x v="0"/>
    <n v="219"/>
    <n v="1.4916625560103551"/>
    <n v="0"/>
    <n v="0"/>
    <n v="1"/>
    <n v="1"/>
    <n v="0"/>
  </r>
  <r>
    <s v="584646be-13c7-46ab-a2f8-6a10a98ee2fe"/>
    <s v="abf64723-9446-4fa9-8ba5-63de5896067f"/>
    <d v="2025-03-10T00:00:00"/>
    <d v="1899-12-30T02:18:48"/>
    <n v="2"/>
    <n v="38"/>
    <s v="Bronze"/>
    <s v="New York"/>
    <s v="FLAGSHIP-ROME"/>
    <s v="STELLAR-FOUND-03"/>
    <s v="Mascara"/>
    <n v="282.27999999999997"/>
    <x v="1"/>
    <n v="0"/>
    <s v="Mobile"/>
    <s v="111.180.0.25"/>
    <x v="0"/>
    <n v="184"/>
    <n v="1.4905550152522673"/>
    <n v="0"/>
    <n v="1"/>
    <n v="1"/>
    <n v="3"/>
    <n v="0"/>
  </r>
  <r>
    <s v="5d6ae6ee-9761-4fc5-91af-d268ec78d5f6"/>
    <s v="9c0e5252-cfa1-4fb3-a5eb-29dc9da4f76a"/>
    <d v="2025-05-29T00:00:00"/>
    <d v="1899-12-30T14:29:42"/>
    <n v="14"/>
    <n v="57"/>
    <s v="Bronze"/>
    <s v="Monaco"/>
    <s v="CONCESSION-SINGAPORE"/>
    <s v="GALAXIA-SET-08"/>
    <s v="Eyeliner"/>
    <n v="282.2"/>
    <x v="4"/>
    <n v="0"/>
    <s v="Tablet"/>
    <s v="240.73.11.52"/>
    <x v="0"/>
    <n v="166"/>
    <n v="1.4894474744941799"/>
    <n v="0"/>
    <n v="0"/>
    <n v="1"/>
    <n v="1"/>
    <n v="0"/>
  </r>
  <r>
    <s v="99623f78-c3b6-4a33-9fbc-92a623eba5f1"/>
    <s v="f8880f31-cc85-42dd-b96f-36c796b4272a"/>
    <d v="2025-03-15T00:00:00"/>
    <d v="1899-12-30T15:53:40"/>
    <n v="15"/>
    <n v="18"/>
    <s v="Bronze"/>
    <s v="Milan"/>
    <s v="BOUTIQUE-NYC"/>
    <s v="ECLIPSE-EYE-10"/>
    <s v="Setting Spray"/>
    <n v="281.91000000000003"/>
    <x v="0"/>
    <n v="0"/>
    <s v="Desktop"/>
    <s v="112.150.138.165"/>
    <x v="0"/>
    <n v="376"/>
    <n v="1.4854326392461137"/>
    <n v="0"/>
    <n v="0"/>
    <n v="0"/>
    <n v="0"/>
    <n v="0"/>
  </r>
  <r>
    <s v="06e8af83-4ee9-4975-9383-c1b244e5c690"/>
    <s v="11225912-2ab4-43e1-b441-769ab0ec7d14"/>
    <d v="2025-07-26T00:00:00"/>
    <d v="1899-12-30T09:16:50"/>
    <n v="9"/>
    <n v="62"/>
    <s v="Gold"/>
    <s v="Zurich"/>
    <s v="POPUP-TOKYO"/>
    <s v="NEBULA-SERUM-07"/>
    <s v="Foundation"/>
    <n v="281.64999999999998"/>
    <x v="3"/>
    <n v="0"/>
    <s v="Desktop"/>
    <s v="2.167.196.156"/>
    <x v="0"/>
    <n v="112"/>
    <n v="1.481833131782329"/>
    <n v="0"/>
    <n v="0"/>
    <n v="1"/>
    <n v="1"/>
    <n v="0"/>
  </r>
  <r>
    <s v="c4fa1643-35a0-43f6-8ad2-61978300488b"/>
    <s v="3d607c3e-3aaa-4d09-9504-64ebcec6d0bc"/>
    <d v="2025-07-23T00:00:00"/>
    <d v="1899-12-30T17:10:31"/>
    <n v="17"/>
    <n v="29"/>
    <s v="Silver"/>
    <s v="Monaco"/>
    <s v="CONCESSION-LONDON"/>
    <s v="SOLAR-BLUSH-04"/>
    <s v="Concealer"/>
    <n v="281.54000000000002"/>
    <x v="1"/>
    <n v="0"/>
    <s v="Laptop"/>
    <s v="134.78.60.190"/>
    <x v="0"/>
    <n v="343"/>
    <n v="1.4803102632399594"/>
    <n v="0"/>
    <n v="0"/>
    <n v="0"/>
    <n v="0"/>
    <n v="0"/>
  </r>
  <r>
    <s v="539e0099-7f66-46cf-aad7-d6d5faf686de"/>
    <s v="8608192a-0407-4ddf-ba24-16f9a26caa6b"/>
    <d v="2025-08-08T00:00:00"/>
    <d v="1899-12-30T07:19:07"/>
    <n v="7"/>
    <n v="18"/>
    <s v="Bronze"/>
    <s v="Los Angeles"/>
    <s v="POPUP-TOKYO"/>
    <s v="CELESTE-EYE-05"/>
    <s v="Lipstick"/>
    <n v="281.44"/>
    <x v="3"/>
    <n v="0"/>
    <s v="Tablet"/>
    <s v="151.202.135.255"/>
    <x v="0"/>
    <n v="410"/>
    <n v="1.4789258372923499"/>
    <n v="0"/>
    <n v="0"/>
    <n v="0"/>
    <n v="0"/>
    <n v="0"/>
  </r>
  <r>
    <s v="a5c48cad-07a5-4c6c-9e28-8d413e78851b"/>
    <s v="487ac8da-633f-45b2-a61c-e15f437f6edd"/>
    <d v="2025-05-16T00:00:00"/>
    <d v="1899-12-30T15:10:14"/>
    <n v="15"/>
    <n v="53"/>
    <s v="VIP"/>
    <s v="New York"/>
    <s v="CONCESSION-LONDON"/>
    <s v="LUNAR-MASC-02"/>
    <s v="Blush"/>
    <n v="281.18"/>
    <x v="3"/>
    <n v="0"/>
    <s v="Tablet"/>
    <s v="32.190.72.18"/>
    <x v="0"/>
    <n v="177"/>
    <n v="1.4753263298285659"/>
    <n v="0"/>
    <n v="0"/>
    <n v="1"/>
    <n v="1"/>
    <n v="0"/>
  </r>
  <r>
    <s v="81e53ceb-dbeb-4c6d-981c-2b2040d388b8"/>
    <s v="d48eb1ae-55ca-4db7-b6b4-3723c958e874"/>
    <d v="2025-07-11T00:00:00"/>
    <d v="1899-12-30T02:59:30"/>
    <n v="2"/>
    <n v="37"/>
    <s v="Bronze"/>
    <s v="Los Angeles"/>
    <s v="FLAGSHIP-PARIS"/>
    <s v="STELLAR-FOUND-03"/>
    <s v="Serum"/>
    <n v="281.16000000000003"/>
    <x v="4"/>
    <n v="0"/>
    <s v="Mobile"/>
    <s v="121.60.129.22"/>
    <x v="0"/>
    <n v="188"/>
    <n v="1.4750494446390443"/>
    <n v="0"/>
    <n v="1"/>
    <n v="1"/>
    <n v="3"/>
    <n v="0"/>
  </r>
  <r>
    <s v="d36ef1c9-87df-4761-8f8c-dd704b418d2f"/>
    <s v="a7bcc02c-4eb7-415a-900e-fe3cbbe584b6"/>
    <d v="2025-05-15T00:00:00"/>
    <d v="1899-12-30T05:34:38"/>
    <n v="5"/>
    <n v="53"/>
    <s v="Bronze"/>
    <s v="Geneva"/>
    <s v="FLAGSHIP-PARIS"/>
    <s v="ORION-CONCEAL-09"/>
    <s v="Blush"/>
    <n v="281.02"/>
    <x v="1"/>
    <n v="0"/>
    <s v="Laptop"/>
    <s v="184.225.219.63"/>
    <x v="0"/>
    <n v="287"/>
    <n v="1.4731112483123909"/>
    <n v="0"/>
    <n v="1"/>
    <n v="0"/>
    <n v="2"/>
    <n v="0"/>
  </r>
  <r>
    <s v="1fd74687-ae18-4548-8fdc-ebba256ae8b7"/>
    <s v="901d5785-57f8-4376-a487-2342e188a055"/>
    <d v="2025-05-07T00:00:00"/>
    <d v="1899-12-30T16:06:06"/>
    <n v="16"/>
    <n v="34"/>
    <s v="Bronze"/>
    <s v="Milan"/>
    <s v="FLAGSHIP-ROME"/>
    <s v="SOLAR-BLUSH-04"/>
    <s v="Highlighter"/>
    <n v="280.95999999999998"/>
    <x v="1"/>
    <n v="0"/>
    <s v="Tablet"/>
    <s v="118.188.122.89"/>
    <x v="0"/>
    <n v="418"/>
    <n v="1.4722805927438252"/>
    <n v="0"/>
    <n v="0"/>
    <n v="0"/>
    <n v="0"/>
    <n v="0"/>
  </r>
  <r>
    <s v="4dfd6c84-c9ed-4615-b682-8a5d256d6522"/>
    <s v="01551dd3-0892-4dd7-8192-18f765c56e5e"/>
    <d v="2025-05-02T00:00:00"/>
    <d v="1899-12-30T18:14:35"/>
    <n v="18"/>
    <n v="31"/>
    <s v="Gold"/>
    <s v="Milan"/>
    <s v="BOUTIQUE-SHANGHAI"/>
    <s v="AURORA-LIP-01"/>
    <s v="Mascara"/>
    <n v="280.92"/>
    <x v="0"/>
    <n v="0"/>
    <s v="Laptop"/>
    <s v="220.110.68.110"/>
    <x v="0"/>
    <n v="148"/>
    <n v="1.4717268223647821"/>
    <n v="0"/>
    <n v="0"/>
    <n v="1"/>
    <n v="1"/>
    <n v="0"/>
  </r>
  <r>
    <s v="fef4f182-24c2-47c7-9a7c-6e313e307475"/>
    <s v="1dbd16c4-f554-4d77-9966-24cd991afa9f"/>
    <d v="2025-07-24T00:00:00"/>
    <d v="1899-12-30T16:14:40"/>
    <n v="16"/>
    <n v="59"/>
    <s v="Silver"/>
    <s v="Miami"/>
    <s v="CONCESSION-SINGAPORE"/>
    <s v="LUNAR-MASC-02"/>
    <s v="Serum"/>
    <n v="280.85000000000002"/>
    <x v="0"/>
    <n v="0"/>
    <s v="Mobile"/>
    <s v="71.27.32.190"/>
    <x v="0"/>
    <n v="341"/>
    <n v="1.4707577242014558"/>
    <n v="0"/>
    <n v="0"/>
    <n v="0"/>
    <n v="0"/>
    <n v="0"/>
  </r>
  <r>
    <s v="d0ff2c55-fa8c-4458-9dce-40fc5bf0add6"/>
    <s v="ee142986-65a5-49fb-b925-9443bed16053"/>
    <d v="2025-03-29T00:00:00"/>
    <d v="1899-12-30T09:52:16"/>
    <n v="9"/>
    <n v="19"/>
    <s v="Silver"/>
    <s v="Sydney"/>
    <s v="BOUTIQUE-NYC"/>
    <s v="STELLAR-FOUND-03"/>
    <s v="Concealer"/>
    <n v="280.82"/>
    <x v="3"/>
    <n v="0"/>
    <s v="Mobile"/>
    <s v="174.145.139.2"/>
    <x v="0"/>
    <n v="339"/>
    <n v="1.4703423964171725"/>
    <n v="0"/>
    <n v="0"/>
    <n v="0"/>
    <n v="0"/>
    <n v="0"/>
  </r>
  <r>
    <s v="e4e0923e-cb00-466c-a675-be59fe8b25ce"/>
    <s v="6df7e950-8432-4892-b56e-a01c21f1f175"/>
    <d v="2025-05-27T00:00:00"/>
    <d v="1899-12-30T09:02:51"/>
    <n v="9"/>
    <n v="41"/>
    <s v="Bronze"/>
    <s v="Tokyo"/>
    <s v="POPUP-MILAN"/>
    <s v="GALAXIA-SET-08"/>
    <s v="Mascara"/>
    <n v="280.8"/>
    <x v="1"/>
    <n v="0"/>
    <s v="Desktop"/>
    <s v="39.215.116.70"/>
    <x v="0"/>
    <n v="361"/>
    <n v="1.4700655112276508"/>
    <n v="0"/>
    <n v="0"/>
    <n v="0"/>
    <n v="0"/>
    <n v="0"/>
  </r>
  <r>
    <s v="30283d1b-fa40-470f-82b2-35553c75ddae"/>
    <s v="a9b34e8c-80e6-4899-8286-b07e8f3f3287"/>
    <d v="2025-05-28T00:00:00"/>
    <d v="1899-12-30T15:10:05"/>
    <n v="15"/>
    <n v="43"/>
    <s v="Silver"/>
    <s v="Monaco"/>
    <s v="BOUTIQUE-DUBAI"/>
    <s v="AURORA-LIP-01"/>
    <s v="Lipstick"/>
    <n v="280.67"/>
    <x v="4"/>
    <n v="0"/>
    <s v="Laptop"/>
    <s v="195.230.229.76"/>
    <x v="0"/>
    <n v="262"/>
    <n v="1.4682657574957589"/>
    <n v="0"/>
    <n v="0"/>
    <n v="1"/>
    <n v="1"/>
    <n v="0"/>
  </r>
  <r>
    <s v="66e7abe5-836b-4e0e-a914-4a85d6d9d75d"/>
    <s v="dd068142-d206-434f-a507-dee13223cd73"/>
    <d v="2025-08-02T00:00:00"/>
    <d v="1899-12-30T03:48:42"/>
    <n v="3"/>
    <n v="57"/>
    <s v="Gold"/>
    <s v="Hong Kong"/>
    <s v="POPUP-MILAN"/>
    <s v="NEBULA-SERUM-07"/>
    <s v="Eyeliner"/>
    <n v="280.67"/>
    <x v="1"/>
    <n v="0"/>
    <s v="Mobile"/>
    <s v="9.7.13.78"/>
    <x v="1"/>
    <n v="192"/>
    <n v="1.4682657574957589"/>
    <n v="0"/>
    <n v="1"/>
    <n v="1"/>
    <n v="3"/>
    <n v="0"/>
  </r>
  <r>
    <s v="942aa7bd-3146-4059-84d2-fa4ca5d1bb29"/>
    <s v="0151b1aa-7f4c-4fb8-b363-322cc4a77a5b"/>
    <d v="2025-06-25T00:00:00"/>
    <d v="1899-12-30T19:14:50"/>
    <n v="19"/>
    <n v="42"/>
    <s v="Silver"/>
    <s v="Cannes"/>
    <s v="FLAGSHIP-ROME"/>
    <s v="ECLIPSE-EYE-10"/>
    <s v="Eyeshadow Palette"/>
    <n v="280.12"/>
    <x v="4"/>
    <n v="0"/>
    <s v="Laptop"/>
    <s v="68.47.250.181"/>
    <x v="0"/>
    <n v="84"/>
    <n v="1.460651414783908"/>
    <n v="0"/>
    <n v="0"/>
    <n v="1"/>
    <n v="1"/>
    <n v="0"/>
  </r>
  <r>
    <s v="8a651cb4-28f7-4ef8-9cad-c7826a82f5c8"/>
    <s v="61c88aae-8366-4b17-9334-14b270a75066"/>
    <d v="2025-05-19T00:00:00"/>
    <d v="1899-12-30T10:09:05"/>
    <n v="10"/>
    <n v="51"/>
    <s v="Bronze"/>
    <s v="Sydney"/>
    <s v="POPUP-TOKYO"/>
    <s v="CELESTE-EYE-05"/>
    <s v="Foundation"/>
    <n v="279.73"/>
    <x v="0"/>
    <n v="0"/>
    <s v="Mobile"/>
    <s v="174.68.170.89"/>
    <x v="0"/>
    <n v="466"/>
    <n v="1.4552521535882321"/>
    <n v="0"/>
    <n v="0"/>
    <n v="0"/>
    <n v="0"/>
    <n v="0"/>
  </r>
  <r>
    <s v="8d0bc397-6158-4169-ba9e-78efd15eeae8"/>
    <s v="b50b61a0-98b3-47e9-b577-069470a9bc8f"/>
    <d v="2025-06-07T00:00:00"/>
    <d v="1899-12-30T22:18:18"/>
    <n v="22"/>
    <n v="49"/>
    <s v="Silver"/>
    <s v="Zurich"/>
    <s v="CONCESSION-LONDON"/>
    <s v="ORION-CONCEAL-09"/>
    <s v="Concealer"/>
    <n v="279.38"/>
    <x v="1"/>
    <n v="0"/>
    <s v="Mobile"/>
    <s v="64.64.155.208"/>
    <x v="0"/>
    <n v="196"/>
    <n v="1.4504066627715995"/>
    <n v="0"/>
    <n v="0"/>
    <n v="1"/>
    <n v="1"/>
    <n v="0"/>
  </r>
  <r>
    <s v="39351eda-337f-46d0-be09-a7448656651e"/>
    <s v="fddfe81b-29be-4514-9d2d-bbce3b7cc301"/>
    <d v="2025-07-05T00:00:00"/>
    <d v="1899-12-30T22:02:32"/>
    <n v="22"/>
    <n v="62"/>
    <s v="Platinum"/>
    <s v="Las Vegas"/>
    <s v="CONCESSION-SINGAPORE"/>
    <s v="AURORA-LIP-01"/>
    <s v="Highlighter"/>
    <n v="279.22000000000003"/>
    <x v="3"/>
    <n v="0"/>
    <s v="Mobile"/>
    <s v="145.83.214.78"/>
    <x v="0"/>
    <n v="353"/>
    <n v="1.4481915812554251"/>
    <n v="0"/>
    <n v="0"/>
    <n v="0"/>
    <n v="0"/>
    <n v="0"/>
  </r>
  <r>
    <s v="c0da9f38-7b45-4f02-9f23-b9812e00be68"/>
    <s v="b7b6c24e-f8d9-4747-9bf0-e434d7b4f28a"/>
    <d v="2025-04-06T00:00:00"/>
    <d v="1899-12-30T11:50:02"/>
    <n v="11"/>
    <n v="47"/>
    <s v="Gold"/>
    <s v="San Francisco"/>
    <s v="FLAGSHIP-ROME"/>
    <s v="COSMIC-HIGHLIGHT-06"/>
    <s v="Foundation"/>
    <n v="279.16000000000003"/>
    <x v="0"/>
    <n v="0"/>
    <s v="Laptop"/>
    <s v="212.116.190.205"/>
    <x v="0"/>
    <n v="213"/>
    <n v="1.4473609256868594"/>
    <n v="0"/>
    <n v="0"/>
    <n v="1"/>
    <n v="1"/>
    <n v="0"/>
  </r>
  <r>
    <s v="cf640a7c-b5c7-478d-b46f-f7f59044078a"/>
    <s v="124340c0-1950-4876-bdd8-add807689d6e"/>
    <d v="2025-05-22T00:00:00"/>
    <d v="1899-12-30T12:31:30"/>
    <n v="12"/>
    <n v="51"/>
    <s v="Bronze"/>
    <s v="Miami"/>
    <s v="CONCESSION-LONDON"/>
    <s v="COSMIC-HIGHLIGHT-06"/>
    <s v="Mascara"/>
    <n v="279.04000000000002"/>
    <x v="1"/>
    <n v="0"/>
    <s v="Laptop"/>
    <s v="102.165.5.246"/>
    <x v="0"/>
    <n v="155"/>
    <n v="1.4456996145497283"/>
    <n v="0"/>
    <n v="0"/>
    <n v="1"/>
    <n v="1"/>
    <n v="0"/>
  </r>
  <r>
    <s v="a6f033df-be32-40fe-9a20-7a5a04be59db"/>
    <s v="fca59f1d-36b1-4a82-a4bf-b8463109e66d"/>
    <d v="2025-05-08T00:00:00"/>
    <d v="1899-12-30T16:16:56"/>
    <n v="16"/>
    <n v="48"/>
    <s v="Silver"/>
    <s v="Zurich"/>
    <s v="BOUTIQUE-NYC"/>
    <s v="AURORA-LIP-01"/>
    <s v="Mascara"/>
    <n v="278.97000000000003"/>
    <x v="0"/>
    <n v="0"/>
    <s v="Mobile"/>
    <s v="117.37.161.19"/>
    <x v="0"/>
    <n v="294"/>
    <n v="1.4447305163864019"/>
    <n v="0"/>
    <n v="0"/>
    <n v="0"/>
    <n v="0"/>
    <n v="0"/>
  </r>
  <r>
    <s v="7e3eac40-f14f-401f-b4b4-85b1da0e215b"/>
    <s v="4a477d17-0352-4ec7-aad1-df9333f6dcf4"/>
    <d v="2025-08-05T00:00:00"/>
    <d v="1899-12-30T20:34:11"/>
    <n v="20"/>
    <n v="54"/>
    <s v="Gold"/>
    <s v="Singapore"/>
    <s v="BOUTIQUE-SHANGHAI"/>
    <s v="ECLIPSE-EYE-10"/>
    <s v="Lipstick"/>
    <n v="278.89999999999998"/>
    <x v="4"/>
    <n v="0"/>
    <s v="Desktop"/>
    <s v="138.234.169.48"/>
    <x v="0"/>
    <n v="109"/>
    <n v="1.4437614182230747"/>
    <n v="0"/>
    <n v="0"/>
    <n v="1"/>
    <n v="1"/>
    <n v="0"/>
  </r>
  <r>
    <s v="af8c49e8-c010-4642-b9ec-c59426e5d3a4"/>
    <s v="a3c8ab2e-376a-4a35-9df8-75663a49a33b"/>
    <d v="2025-06-26T00:00:00"/>
    <d v="1899-12-30T09:36:15"/>
    <n v="9"/>
    <n v="46"/>
    <s v="Gold"/>
    <s v="Tokyo"/>
    <s v="FLAGSHIP-LA"/>
    <s v="CELESTE-EYE-05"/>
    <s v="Concealer"/>
    <n v="278.88"/>
    <x v="1"/>
    <n v="0"/>
    <s v="Tablet"/>
    <s v="159.86.164.189"/>
    <x v="0"/>
    <n v="133"/>
    <n v="1.4434845330335531"/>
    <n v="0"/>
    <n v="0"/>
    <n v="1"/>
    <n v="1"/>
    <n v="0"/>
  </r>
  <r>
    <s v="a3b3f0d6-187e-4d3d-86af-3501767edd76"/>
    <s v="9818dc37-7248-41f0-a591-8936ec3b27e2"/>
    <d v="2025-06-29T00:00:00"/>
    <d v="1899-12-30T16:50:50"/>
    <n v="16"/>
    <n v="45"/>
    <s v="Bronze"/>
    <s v="Milan"/>
    <s v="BOUTIQUE-DUBAI"/>
    <s v="CELESTE-EYE-05"/>
    <s v="Eyeshadow Palette"/>
    <n v="278.45"/>
    <x v="3"/>
    <n v="0"/>
    <s v="Laptop"/>
    <s v="143.160.252.24"/>
    <x v="1"/>
    <n v="327"/>
    <n v="1.4375315014588332"/>
    <n v="0"/>
    <n v="0"/>
    <n v="0"/>
    <n v="0"/>
    <n v="0"/>
  </r>
  <r>
    <s v="563e2507-ea73-4219-a65d-f2177860ecaa"/>
    <s v="38251d67-e538-417b-8da1-b6f0d2a2b824"/>
    <d v="2025-04-25T00:00:00"/>
    <d v="1899-12-30T03:10:50"/>
    <n v="3"/>
    <n v="64"/>
    <s v="Silver"/>
    <s v="Dubai"/>
    <s v="CONCESSION-SINGAPORE"/>
    <s v="ECLIPSE-EYE-10"/>
    <s v="Blush"/>
    <n v="278.3"/>
    <x v="1"/>
    <n v="0"/>
    <s v="Mobile"/>
    <s v="184.12.224.246"/>
    <x v="0"/>
    <n v="361"/>
    <n v="1.4354548625374197"/>
    <n v="0"/>
    <n v="1"/>
    <n v="0"/>
    <n v="2"/>
    <n v="0"/>
  </r>
  <r>
    <s v="fbe1e0b6-31c6-447e-834e-3963c92b929f"/>
    <s v="833f47c5-99d5-4850-99cd-b86427868076"/>
    <d v="2025-03-17T00:00:00"/>
    <d v="1899-12-30T19:03:55"/>
    <n v="19"/>
    <n v="19"/>
    <s v="Bronze"/>
    <s v="Las Vegas"/>
    <s v="BOUTIQUE-DUBAI"/>
    <s v="AURORA-LIP-01"/>
    <s v="Foundation"/>
    <n v="278.20999999999998"/>
    <x v="0"/>
    <n v="0"/>
    <s v="Desktop"/>
    <s v="201.215.24.156"/>
    <x v="0"/>
    <n v="375"/>
    <n v="1.4342088791845711"/>
    <n v="0"/>
    <n v="0"/>
    <n v="0"/>
    <n v="0"/>
    <n v="0"/>
  </r>
  <r>
    <s v="0f3d54c4-319a-43ff-842a-f4053c55e167"/>
    <s v="24d57d41-7a6e-4dd7-b8b0-8e86abaf52ba"/>
    <d v="2025-07-19T00:00:00"/>
    <d v="1899-12-30T17:11:23"/>
    <n v="17"/>
    <n v="49"/>
    <s v="Silver"/>
    <s v="Tokyo"/>
    <s v="BOUTIQUE-NYC"/>
    <s v="ECLIPSE-EYE-10"/>
    <s v="Foundation"/>
    <n v="277.94"/>
    <x v="1"/>
    <n v="0"/>
    <s v="Desktop"/>
    <s v="188.30.190.132"/>
    <x v="0"/>
    <n v="197"/>
    <n v="1.4304709291260262"/>
    <n v="0"/>
    <n v="0"/>
    <n v="1"/>
    <n v="1"/>
    <n v="0"/>
  </r>
  <r>
    <s v="0dcafd18-ab97-475f-b297-f592f24c789b"/>
    <s v="c81c9d97-edef-43e0-a499-e85252378823"/>
    <d v="2025-03-12T00:00:00"/>
    <d v="1899-12-30T23:25:31"/>
    <n v="23"/>
    <n v="41"/>
    <s v="Bronze"/>
    <s v="Milan"/>
    <s v="POPUP-TOKYO"/>
    <s v="STELLAR-FOUND-03"/>
    <s v="Foundation"/>
    <n v="277.88"/>
    <x v="1"/>
    <n v="0"/>
    <s v="Tablet"/>
    <s v="46.127.155.146"/>
    <x v="0"/>
    <n v="133"/>
    <n v="1.4296402735574607"/>
    <n v="0"/>
    <n v="0"/>
    <n v="1"/>
    <n v="1"/>
    <n v="0"/>
  </r>
  <r>
    <s v="c2e6fc2e-dce6-4ebf-83d7-9380063c2710"/>
    <s v="eb7c163d-488f-46ab-b07f-9afbb5a98866"/>
    <d v="2025-05-07T00:00:00"/>
    <d v="1899-12-30T01:58:58"/>
    <n v="1"/>
    <n v="50"/>
    <s v="Bronze"/>
    <s v="Paris"/>
    <s v="CONCESSION-SINGAPORE"/>
    <s v="CELESTE-EYE-05"/>
    <s v="Lipstick"/>
    <n v="277.81"/>
    <x v="0"/>
    <n v="0"/>
    <s v="Laptop"/>
    <s v="118.155.67.156"/>
    <x v="0"/>
    <n v="117"/>
    <n v="1.4286711753941344"/>
    <n v="0"/>
    <n v="1"/>
    <n v="1"/>
    <n v="3"/>
    <n v="0"/>
  </r>
  <r>
    <s v="1a704a06-5844-402c-9695-bc192ba53f04"/>
    <s v="fc963ae5-6392-450b-ad1f-017eca01e770"/>
    <d v="2025-04-10T00:00:00"/>
    <d v="1899-12-30T14:43:33"/>
    <n v="14"/>
    <n v="24"/>
    <s v="Silver"/>
    <s v="Monte Carlo"/>
    <s v="BOUTIQUE-SHANGHAI"/>
    <s v="CELESTE-EYE-05"/>
    <s v="Serum"/>
    <n v="277.58999999999997"/>
    <x v="4"/>
    <n v="0"/>
    <s v="Mobile"/>
    <s v="125.42.64.39"/>
    <x v="0"/>
    <n v="152"/>
    <n v="1.4256254383093936"/>
    <n v="0"/>
    <n v="0"/>
    <n v="1"/>
    <n v="1"/>
    <n v="0"/>
  </r>
  <r>
    <s v="61ee09f1-fe37-4376-b0f1-2e573ebb2102"/>
    <s v="f7d384d5-48b1-40d6-bd4b-228ce8dac381"/>
    <d v="2025-07-21T00:00:00"/>
    <d v="1899-12-30T18:36:41"/>
    <n v="18"/>
    <n v="29"/>
    <s v="Silver"/>
    <s v="Cannes"/>
    <s v="FLAGSHIP-LA"/>
    <s v="COSMIC-HIGHLIGHT-06"/>
    <s v="Highlighter"/>
    <n v="277.49"/>
    <x v="3"/>
    <n v="0"/>
    <s v="Tablet"/>
    <s v="80.96.102.48"/>
    <x v="0"/>
    <n v="365"/>
    <n v="1.4242410123617848"/>
    <n v="0"/>
    <n v="0"/>
    <n v="0"/>
    <n v="0"/>
    <n v="0"/>
  </r>
  <r>
    <s v="e6635281-cd5a-4ede-9f0d-8a104a6cdabf"/>
    <s v="c0096d7b-a106-4606-9147-678f370b6b9a"/>
    <d v="2025-08-04T00:00:00"/>
    <d v="1899-12-30T11:31:50"/>
    <n v="11"/>
    <n v="44"/>
    <s v="VIP"/>
    <s v="Dubai"/>
    <s v="BOUTIQUE-DUBAI"/>
    <s v="LUNAR-MASC-02"/>
    <s v="Setting Spray"/>
    <n v="277.38"/>
    <x v="4"/>
    <n v="0"/>
    <s v="Desktop"/>
    <s v="252.36.213.41"/>
    <x v="0"/>
    <n v="187"/>
    <n v="1.4227181438194145"/>
    <n v="0"/>
    <n v="0"/>
    <n v="1"/>
    <n v="1"/>
    <n v="0"/>
  </r>
  <r>
    <s v="a5eba482-ad3c-47bd-9164-fb739197fbe7"/>
    <s v="177a5bc0-e520-43dc-a437-34c8ce8147e9"/>
    <d v="2025-06-22T00:00:00"/>
    <d v="1899-12-30T04:10:12"/>
    <n v="4"/>
    <n v="41"/>
    <s v="Platinum"/>
    <s v="Monaco"/>
    <s v="CONCESSION-LONDON"/>
    <s v="LUNAR-MASC-02"/>
    <s v="Foundation"/>
    <n v="277.12"/>
    <x v="0"/>
    <n v="0"/>
    <s v="Tablet"/>
    <s v="124.176.96.207"/>
    <x v="0"/>
    <n v="374"/>
    <n v="1.4191186363556305"/>
    <n v="0"/>
    <n v="1"/>
    <n v="0"/>
    <n v="2"/>
    <n v="0"/>
  </r>
  <r>
    <s v="a051181d-2d94-4b29-8be6-2fb5d977a3ae"/>
    <s v="5c2d3231-9174-4d2f-8b43-65e550a318b0"/>
    <d v="2025-03-19T00:00:00"/>
    <d v="1899-12-30T13:15:36"/>
    <n v="13"/>
    <n v="34"/>
    <s v="Bronze"/>
    <s v="London"/>
    <s v="FLAGSHIP-PARIS"/>
    <s v="GALAXIA-SET-08"/>
    <s v="Setting Spray"/>
    <n v="276.74"/>
    <x v="2"/>
    <n v="1"/>
    <s v="Mobile"/>
    <s v="167.199.241.8"/>
    <x v="0"/>
    <n v="336"/>
    <n v="1.4138578177547154"/>
    <n v="0"/>
    <n v="0"/>
    <n v="0"/>
    <n v="2"/>
    <n v="0"/>
  </r>
  <r>
    <s v="c7c8fe31-1e97-474b-b541-9bfcf1967687"/>
    <s v="191eddf8-a937-400e-a687-712a89fd0c2a"/>
    <d v="2025-06-06T00:00:00"/>
    <d v="1899-12-30T18:40:11"/>
    <n v="18"/>
    <n v="27"/>
    <s v="Platinum"/>
    <s v="Paris"/>
    <s v="FLAGSHIP-ROME"/>
    <s v="COSMIC-HIGHLIGHT-06"/>
    <s v="Mascara"/>
    <n v="276.52999999999997"/>
    <x v="3"/>
    <n v="0"/>
    <s v="Desktop"/>
    <s v="176.227.123.90"/>
    <x v="0"/>
    <n v="135"/>
    <n v="1.4109505232647357"/>
    <n v="0"/>
    <n v="0"/>
    <n v="1"/>
    <n v="1"/>
    <n v="0"/>
  </r>
  <r>
    <s v="5d0761e1-3aca-4411-bd93-22f69119c997"/>
    <s v="92b9c1db-cbe6-40b7-8c09-b95513303a58"/>
    <d v="2025-07-09T00:00:00"/>
    <d v="1899-12-30T13:06:47"/>
    <n v="13"/>
    <n v="38"/>
    <s v="Bronze"/>
    <s v="Singapore"/>
    <s v="FLAGSHIP-PARIS"/>
    <s v="ORION-CONCEAL-09"/>
    <s v="Foundation"/>
    <n v="276.52"/>
    <x v="1"/>
    <n v="0"/>
    <s v="Desktop"/>
    <s v="7.162.195.131"/>
    <x v="0"/>
    <n v="140"/>
    <n v="1.4108120806699749"/>
    <n v="0"/>
    <n v="0"/>
    <n v="1"/>
    <n v="1"/>
    <n v="0"/>
  </r>
  <r>
    <s v="47331797-19b5-4cd3-be3f-e51322dded88"/>
    <s v="3748ca6b-92a9-4951-a8d1-67a32a05249b"/>
    <d v="2025-07-11T00:00:00"/>
    <d v="1899-12-30T10:38:24"/>
    <n v="10"/>
    <n v="29"/>
    <s v="Silver"/>
    <s v="London"/>
    <s v="CONCESSION-LONDON"/>
    <s v="SOLAR-BLUSH-04"/>
    <s v="Eyeshadow Palette"/>
    <n v="276.47000000000003"/>
    <x v="3"/>
    <n v="0"/>
    <s v="Tablet"/>
    <s v="252.120.119.179"/>
    <x v="0"/>
    <n v="393"/>
    <n v="1.4101198676961708"/>
    <n v="0"/>
    <n v="0"/>
    <n v="0"/>
    <n v="0"/>
    <n v="0"/>
  </r>
  <r>
    <s v="e25400be-b9d0-456c-b709-e41ddb57580b"/>
    <s v="886cd567-975c-4747-afd0-3edc143d9b84"/>
    <d v="2025-05-28T00:00:00"/>
    <d v="1899-12-30T15:50:55"/>
    <n v="15"/>
    <n v="49"/>
    <s v="Platinum"/>
    <s v="Monte Carlo"/>
    <s v="POPUP-MILAN"/>
    <s v="CELESTE-EYE-05"/>
    <s v="Blush"/>
    <n v="276.16000000000003"/>
    <x v="1"/>
    <n v="0"/>
    <s v="Tablet"/>
    <s v="129.63.140.244"/>
    <x v="0"/>
    <n v="72"/>
    <n v="1.4058281472585821"/>
    <n v="0"/>
    <n v="0"/>
    <n v="1"/>
    <n v="1"/>
    <n v="0"/>
  </r>
  <r>
    <s v="7b19ccf5-f548-4445-9657-b53a65329b56"/>
    <s v="db451019-dee1-48e6-ab4a-5334b11a4d2d"/>
    <d v="2025-03-13T00:00:00"/>
    <d v="1899-12-30T17:54:36"/>
    <n v="17"/>
    <n v="35"/>
    <s v="Bronze"/>
    <s v="Monte Carlo"/>
    <s v="CONCESSION-LONDON"/>
    <s v="SOLAR-BLUSH-04"/>
    <s v="Eyeshadow Palette"/>
    <n v="276.08999999999997"/>
    <x v="4"/>
    <n v="0"/>
    <s v="Tablet"/>
    <s v="43.101.224.58"/>
    <x v="0"/>
    <n v="463"/>
    <n v="1.4048590490952548"/>
    <n v="0"/>
    <n v="0"/>
    <n v="0"/>
    <n v="0"/>
    <n v="0"/>
  </r>
  <r>
    <s v="8b1492ae-bd3a-4197-acc3-2f7b7f72ea69"/>
    <s v="f0696f51-2266-4446-83c6-ae59273940db"/>
    <d v="2025-08-01T00:00:00"/>
    <d v="1899-12-30T05:32:54"/>
    <n v="5"/>
    <n v="53"/>
    <s v="Bronze"/>
    <s v="Las Vegas"/>
    <s v="CONCESSION-LONDON"/>
    <s v="COSMIC-HIGHLIGHT-06"/>
    <s v="Serum"/>
    <n v="276.08"/>
    <x v="4"/>
    <n v="0"/>
    <s v="Desktop"/>
    <s v="20.74.165.162"/>
    <x v="0"/>
    <n v="136"/>
    <n v="1.4047206065004942"/>
    <n v="0"/>
    <n v="1"/>
    <n v="1"/>
    <n v="3"/>
    <n v="0"/>
  </r>
  <r>
    <s v="7f56e2b8-546f-4a8c-a86f-e5dc5d94fbf3"/>
    <s v="49835874-25b3-49fa-8e18-823a4a23dbe7"/>
    <d v="2025-08-06T00:00:00"/>
    <d v="1899-12-30T23:37:02"/>
    <n v="23"/>
    <n v="63"/>
    <s v="Unknown"/>
    <s v="Monte Carlo"/>
    <s v="BOUTIQUE-SHANGHAI"/>
    <s v="STELLAR-FOUND-03"/>
    <s v="Mascara"/>
    <n v="276.04000000000002"/>
    <x v="0"/>
    <n v="0"/>
    <s v="Laptop"/>
    <s v="120.76.148.83"/>
    <x v="0"/>
    <n v="438"/>
    <n v="1.404166836121451"/>
    <n v="0"/>
    <n v="0"/>
    <n v="0"/>
    <n v="0"/>
    <n v="0"/>
  </r>
  <r>
    <s v="b68c97ad-fd87-4233-bc88-fc0287231474"/>
    <s v="7172477a-15b6-4ff9-a24b-d79dab03c70d"/>
    <d v="2025-03-17T00:00:00"/>
    <d v="1899-12-30T23:43:21"/>
    <n v="23"/>
    <n v="64"/>
    <s v="Gold"/>
    <s v="New York"/>
    <s v="BOUTIQUE-DUBAI"/>
    <s v="COSMIC-HIGHLIGHT-06"/>
    <s v="Eyeliner"/>
    <n v="275.58999999999997"/>
    <x v="3"/>
    <n v="0"/>
    <s v="Laptop"/>
    <s v="16.142.196.253"/>
    <x v="0"/>
    <n v="401"/>
    <n v="1.3979369193572087"/>
    <n v="0"/>
    <n v="0"/>
    <n v="0"/>
    <n v="0"/>
    <n v="0"/>
  </r>
  <r>
    <s v="3beb1f39-5071-4e4c-8762-f70ff851fcb8"/>
    <s v="9474dd6e-8be5-4f9a-9aec-8887d0491a5e"/>
    <d v="2025-06-14T00:00:00"/>
    <d v="1899-12-30T01:09:45"/>
    <n v="1"/>
    <n v="30"/>
    <s v="Gold"/>
    <s v="Paris"/>
    <s v="FLAGSHIP-ROME"/>
    <s v="AURORA-LIP-01"/>
    <s v="Highlighter"/>
    <n v="275.55"/>
    <x v="1"/>
    <n v="0"/>
    <s v="Laptop"/>
    <s v="125.236.34.42"/>
    <x v="0"/>
    <n v="313"/>
    <n v="1.3973831489781656"/>
    <n v="0"/>
    <n v="1"/>
    <n v="0"/>
    <n v="2"/>
    <n v="0"/>
  </r>
  <r>
    <s v="30afcc73-874f-45fe-b99e-c13aef4a5c69"/>
    <s v="1592f6fc-7011-4b41-9552-98677ac4ceba"/>
    <d v="2025-05-11T00:00:00"/>
    <d v="1899-12-30T07:47:32"/>
    <n v="7"/>
    <n v="48"/>
    <s v="Silver"/>
    <s v="Tokyo"/>
    <s v="POPUP-MILAN"/>
    <s v="AURORA-LIP-01"/>
    <s v="Mascara"/>
    <n v="275.54000000000002"/>
    <x v="0"/>
    <n v="0"/>
    <s v="Laptop"/>
    <s v="84.11.16.71"/>
    <x v="0"/>
    <n v="341"/>
    <n v="1.3972447063834048"/>
    <n v="0"/>
    <n v="0"/>
    <n v="0"/>
    <n v="0"/>
    <n v="0"/>
  </r>
  <r>
    <s v="2d7f8f32-e3ae-4c25-b8e4-b1fcdd967006"/>
    <s v="be55139d-85fc-46d3-8a77-2d513fdf31ff"/>
    <d v="2025-07-09T00:00:00"/>
    <d v="1899-12-30T23:02:37"/>
    <n v="23"/>
    <n v="37"/>
    <s v="Silver"/>
    <s v="Hong Kong"/>
    <s v="FLAGSHIP-LA"/>
    <s v="SOLAR-BLUSH-04"/>
    <s v="Lipstick"/>
    <n v="275.18"/>
    <x v="4"/>
    <n v="0"/>
    <s v="Desktop"/>
    <s v="12.121.149.20"/>
    <x v="0"/>
    <n v="425"/>
    <n v="1.3922607729720113"/>
    <n v="0"/>
    <n v="0"/>
    <n v="0"/>
    <n v="0"/>
    <n v="0"/>
  </r>
  <r>
    <s v="32eba6a0-0a3c-406a-a5fd-0a7ecf93f0c5"/>
    <s v="9738c9ec-97ae-4e76-b82b-318f352b370b"/>
    <d v="2025-07-20T00:00:00"/>
    <d v="1899-12-30T04:49:07"/>
    <n v="4"/>
    <n v="50"/>
    <s v="Bronze"/>
    <s v="Sydney"/>
    <s v="BOUTIQUE-NYC"/>
    <s v="LUNAR-MASC-02"/>
    <s v="Foundation"/>
    <n v="275.16000000000003"/>
    <x v="3"/>
    <n v="0"/>
    <s v="Laptop"/>
    <s v="194.172.219.172"/>
    <x v="0"/>
    <n v="406"/>
    <n v="1.3919838877824897"/>
    <n v="0"/>
    <n v="1"/>
    <n v="0"/>
    <n v="2"/>
    <n v="0"/>
  </r>
  <r>
    <s v="6f31818a-10c6-4c16-a616-e261dba03b45"/>
    <s v="383d9c59-5ed6-43f0-94cf-2aca8db47b16"/>
    <d v="2025-08-06T00:00:00"/>
    <d v="1899-12-30T10:34:44"/>
    <n v="10"/>
    <n v="27"/>
    <s v="Gold"/>
    <s v="Dubai"/>
    <s v="POPUP-MILAN"/>
    <s v="CELESTE-EYE-05"/>
    <s v="Serum"/>
    <n v="275.14999999999998"/>
    <x v="4"/>
    <n v="0"/>
    <s v="Desktop"/>
    <s v="197.10.185.225"/>
    <x v="0"/>
    <n v="192"/>
    <n v="1.391845445187728"/>
    <n v="0"/>
    <n v="0"/>
    <n v="1"/>
    <n v="1"/>
    <n v="0"/>
  </r>
  <r>
    <s v="ebaadb3e-18df-4f90-b3d3-a2aa6a3551f0"/>
    <s v="0bc43f5b-59e4-41da-879b-4a9fc95b53b2"/>
    <d v="2025-04-20T00:00:00"/>
    <d v="1899-12-30T02:09:00"/>
    <n v="2"/>
    <n v="45"/>
    <s v="Bronze"/>
    <s v="Paris"/>
    <s v="FLAGSHIP-LA"/>
    <s v="SOLAR-BLUSH-04"/>
    <s v="Highlighter"/>
    <n v="274.99"/>
    <x v="0"/>
    <n v="0"/>
    <s v="Tablet"/>
    <s v="80.72.177.234"/>
    <x v="0"/>
    <n v="196"/>
    <n v="1.3896303636715537"/>
    <n v="0"/>
    <n v="1"/>
    <n v="1"/>
    <n v="3"/>
    <n v="0"/>
  </r>
  <r>
    <s v="132e9460-b227-4ebb-860e-22fcdac47af2"/>
    <s v="ef183a5a-9d99-455a-a094-4f2cfbd6878a"/>
    <d v="2025-03-22T00:00:00"/>
    <d v="1899-12-30T22:37:27"/>
    <n v="22"/>
    <n v="43"/>
    <s v="Silver"/>
    <s v="Monte Carlo"/>
    <s v="BOUTIQUE-NYC"/>
    <s v="NEBULA-SERUM-07"/>
    <s v="Eyeshadow Palette"/>
    <n v="274.97000000000003"/>
    <x v="1"/>
    <n v="0"/>
    <s v="Desktop"/>
    <s v="25.20.69.195"/>
    <x v="0"/>
    <n v="302"/>
    <n v="1.3893534784820321"/>
    <n v="0"/>
    <n v="0"/>
    <n v="0"/>
    <n v="0"/>
    <n v="0"/>
  </r>
  <r>
    <s v="bc723c04-a842-4026-8df7-ab57bcbb7524"/>
    <s v="f62347d2-bd78-49f6-95ea-451df5909763"/>
    <d v="2025-05-04T00:00:00"/>
    <d v="1899-12-30T05:01:02"/>
    <n v="5"/>
    <n v="35"/>
    <s v="Unknown"/>
    <s v="San Francisco"/>
    <s v="FLAGSHIP-PARIS"/>
    <s v="CELESTE-EYE-05"/>
    <s v="Mascara"/>
    <n v="274.79000000000002"/>
    <x v="4"/>
    <n v="0"/>
    <s v="Desktop"/>
    <s v="181.90.67.42"/>
    <x v="0"/>
    <n v="110"/>
    <n v="1.3868615117763354"/>
    <n v="0"/>
    <n v="1"/>
    <n v="1"/>
    <n v="3"/>
    <n v="0"/>
  </r>
  <r>
    <s v="e276ed52-c50b-4d9d-b221-91ab20996d42"/>
    <s v="72bb2878-f38a-44b0-b9be-80c451d238d8"/>
    <d v="2025-03-10T00:00:00"/>
    <d v="1899-12-30T07:55:16"/>
    <n v="7"/>
    <n v="21"/>
    <s v="Bronze"/>
    <s v="Tokyo"/>
    <s v="FLAGSHIP-PARIS"/>
    <s v="ORION-CONCEAL-09"/>
    <s v="Eyeshadow Palette"/>
    <n v="274.52999999999997"/>
    <x v="4"/>
    <n v="0"/>
    <s v="Laptop"/>
    <s v="67.27.137.248"/>
    <x v="0"/>
    <n v="330"/>
    <n v="1.3832620043125508"/>
    <n v="0"/>
    <n v="0"/>
    <n v="0"/>
    <n v="0"/>
    <n v="0"/>
  </r>
  <r>
    <s v="15b21bba-d004-4d8c-9639-755ed281df83"/>
    <s v="6be1cd34-3471-42a5-8372-9f9b9cd4de71"/>
    <d v="2025-04-01T00:00:00"/>
    <d v="1899-12-30T09:14:52"/>
    <n v="9"/>
    <n v="41"/>
    <s v="VIP"/>
    <s v="Miami"/>
    <s v="FLAGSHIP-ROME"/>
    <s v="NEBULA-SERUM-07"/>
    <s v="Setting Spray"/>
    <n v="274.47000000000003"/>
    <x v="1"/>
    <n v="0"/>
    <s v="Desktop"/>
    <s v="161.68.15.50"/>
    <x v="0"/>
    <n v="129"/>
    <n v="1.3824313487439859"/>
    <n v="0"/>
    <n v="0"/>
    <n v="1"/>
    <n v="1"/>
    <n v="0"/>
  </r>
  <r>
    <s v="b74b1c16-552a-47bb-ac09-42222099b4cc"/>
    <s v="ef58fd94-f64d-44ef-88c6-4b16c9be96cd"/>
    <d v="2025-07-11T00:00:00"/>
    <d v="1899-12-30T23:11:07"/>
    <n v="23"/>
    <n v="61"/>
    <s v="VIP"/>
    <s v="Las Vegas"/>
    <s v="BOUTIQUE-DUBAI"/>
    <s v="STELLAR-FOUND-03"/>
    <s v="Blush"/>
    <n v="274.44"/>
    <x v="1"/>
    <n v="0"/>
    <s v="Tablet"/>
    <s v="60.135.38.183"/>
    <x v="0"/>
    <n v="367"/>
    <n v="1.3820160209597028"/>
    <n v="0"/>
    <n v="0"/>
    <n v="0"/>
    <n v="0"/>
    <n v="0"/>
  </r>
  <r>
    <s v="b6da7648-c70f-478e-b722-aea9172dd846"/>
    <s v="5d6d6fd6-7f64-4925-9c06-2ca4727210e3"/>
    <d v="2025-04-07T00:00:00"/>
    <d v="1899-12-30T20:42:59"/>
    <n v="20"/>
    <n v="58"/>
    <s v="Gold"/>
    <s v="Sydney"/>
    <s v="POPUP-TOKYO"/>
    <s v="COSMIC-HIGHLIGHT-06"/>
    <s v="Setting Spray"/>
    <n v="274.37"/>
    <x v="3"/>
    <n v="0"/>
    <s v="Laptop"/>
    <s v="189.211.170.216"/>
    <x v="0"/>
    <n v="171"/>
    <n v="1.3810469227963764"/>
    <n v="0"/>
    <n v="0"/>
    <n v="1"/>
    <n v="1"/>
    <n v="0"/>
  </r>
  <r>
    <s v="e0ca3033-9bf8-4652-b5bc-910c431b9fb0"/>
    <s v="3fbafcab-36ad-43b3-ae6e-931ad79ad41c"/>
    <d v="2025-05-09T00:00:00"/>
    <d v="1899-12-30T20:59:11"/>
    <n v="20"/>
    <n v="30"/>
    <s v="Bronze"/>
    <s v="London"/>
    <s v="CONCESSION-LONDON"/>
    <s v="STELLAR-FOUND-03"/>
    <s v="Eyeshadow Palette"/>
    <n v="274.26"/>
    <x v="0"/>
    <n v="0"/>
    <s v="Mobile"/>
    <s v="31.189.148.20"/>
    <x v="0"/>
    <n v="468"/>
    <n v="1.3795240542540059"/>
    <n v="0"/>
    <n v="0"/>
    <n v="0"/>
    <n v="0"/>
    <n v="0"/>
  </r>
  <r>
    <s v="774b3faa-97d3-4350-aa9a-64461f401517"/>
    <s v="ff39c5a6-367b-4d5c-811e-52f2761bfcf5"/>
    <d v="2025-06-21T00:00:00"/>
    <d v="1899-12-30T11:35:20"/>
    <n v="11"/>
    <n v="37"/>
    <s v="Bronze"/>
    <s v="Los Angeles"/>
    <s v="CONCESSION-LONDON"/>
    <s v="SOLAR-BLUSH-04"/>
    <s v="Lipstick"/>
    <n v="274.06"/>
    <x v="4"/>
    <n v="0"/>
    <s v="Tablet"/>
    <s v="141.162.29.57"/>
    <x v="0"/>
    <n v="423"/>
    <n v="1.3767552023587877"/>
    <n v="0"/>
    <n v="0"/>
    <n v="0"/>
    <n v="0"/>
    <n v="0"/>
  </r>
  <r>
    <s v="af4708cd-49a4-44de-bf03-d156aafb5a70"/>
    <s v="ad0c1c84-189b-4750-9dd8-513d5c52b6ed"/>
    <d v="2025-06-12T00:00:00"/>
    <d v="1899-12-30T18:42:55"/>
    <n v="18"/>
    <n v="54"/>
    <s v="Bronze"/>
    <s v="Rome"/>
    <s v="CONCESSION-SINGAPORE"/>
    <s v="ECLIPSE-EYE-10"/>
    <s v="Lipstick"/>
    <n v="273.95999999999998"/>
    <x v="3"/>
    <n v="0"/>
    <s v="Mobile"/>
    <s v="23.12.49.104"/>
    <x v="0"/>
    <n v="458"/>
    <n v="1.375370776411178"/>
    <n v="0"/>
    <n v="0"/>
    <n v="0"/>
    <n v="0"/>
    <n v="0"/>
  </r>
  <r>
    <s v="e08a71b7-160b-445a-beb1-9534b74bf061"/>
    <s v="02ff8aef-b4d9-4b1e-bbb7-47774b109c72"/>
    <d v="2025-03-04T00:00:00"/>
    <d v="1899-12-30T15:24:43"/>
    <n v="15"/>
    <n v="23"/>
    <s v="Unknown"/>
    <s v="Zurich"/>
    <s v="BOUTIQUE-SHANGHAI"/>
    <s v="NEBULA-SERUM-07"/>
    <s v="Highlighter"/>
    <n v="273.89999999999998"/>
    <x v="0"/>
    <n v="0"/>
    <s v="Desktop"/>
    <s v="166.117.70.255"/>
    <x v="0"/>
    <n v="243"/>
    <n v="1.3745401208426125"/>
    <n v="0"/>
    <n v="0"/>
    <n v="1"/>
    <n v="1"/>
    <n v="0"/>
  </r>
  <r>
    <s v="e246582e-88b2-4d12-a63b-ca83777b0416"/>
    <s v="66e425e2-5bc4-4f63-a2cd-2ef5f148f643"/>
    <d v="2025-04-05T00:00:00"/>
    <d v="1899-12-30T23:05:46"/>
    <n v="23"/>
    <n v="36"/>
    <s v="VIP"/>
    <s v="Los Angeles"/>
    <s v="BOUTIQUE-SHANGHAI"/>
    <s v="STELLAR-FOUND-03"/>
    <s v="Blush"/>
    <n v="273.85000000000002"/>
    <x v="4"/>
    <n v="0"/>
    <s v="Laptop"/>
    <s v="212.183.198.90"/>
    <x v="0"/>
    <n v="476"/>
    <n v="1.3738479078688084"/>
    <n v="0"/>
    <n v="0"/>
    <n v="0"/>
    <n v="0"/>
    <n v="0"/>
  </r>
  <r>
    <s v="d3bc55cb-cfdd-4c2d-b780-ca5a09d61f94"/>
    <s v="b151be34-e1b2-4da3-97ed-06a7828a49d1"/>
    <d v="2025-06-26T00:00:00"/>
    <d v="1899-12-30T22:07:40"/>
    <n v="22"/>
    <n v="36"/>
    <s v="Bronze"/>
    <s v="Rome"/>
    <s v="POPUP-MILAN"/>
    <s v="STELLAR-FOUND-03"/>
    <s v="Eyeshadow Palette"/>
    <n v="273.69"/>
    <x v="4"/>
    <n v="0"/>
    <s v="Tablet"/>
    <s v="144.237.114.13"/>
    <x v="0"/>
    <n v="304"/>
    <n v="1.3716328263526334"/>
    <n v="0"/>
    <n v="0"/>
    <n v="0"/>
    <n v="0"/>
    <n v="0"/>
  </r>
  <r>
    <s v="94d62b9b-8d8a-4616-8ef3-b7739caa95d1"/>
    <s v="73592500-6547-44ef-bf9d-e861bb71cf44"/>
    <d v="2025-06-13T00:00:00"/>
    <d v="1899-12-30T23:43:41"/>
    <n v="23"/>
    <n v="32"/>
    <s v="Silver"/>
    <s v="Las Vegas"/>
    <s v="FLAGSHIP-PARIS"/>
    <s v="COSMIC-HIGHLIGHT-06"/>
    <s v="Eyeshadow Palette"/>
    <n v="273.60000000000002"/>
    <x v="2"/>
    <n v="1"/>
    <s v="Laptop"/>
    <s v="4.219.126.126"/>
    <x v="0"/>
    <n v="295"/>
    <n v="1.3703868429997854"/>
    <n v="0"/>
    <n v="0"/>
    <n v="0"/>
    <n v="2"/>
    <n v="0"/>
  </r>
  <r>
    <s v="d5daa0ef-2b5f-4b7b-bcca-7951527b6d34"/>
    <s v="402bb917-ad33-44a7-9663-ff001f6fd991"/>
    <d v="2025-07-16T00:00:00"/>
    <d v="1899-12-30T04:27:19"/>
    <n v="4"/>
    <n v="29"/>
    <s v="Bronze"/>
    <s v="Singapore"/>
    <s v="BOUTIQUE-NYC"/>
    <s v="ECLIPSE-EYE-10"/>
    <s v="Eyeliner"/>
    <n v="273.5"/>
    <x v="0"/>
    <n v="0"/>
    <s v="Mobile"/>
    <s v="244.140.165.23"/>
    <x v="0"/>
    <n v="130"/>
    <n v="1.3690024170521757"/>
    <n v="0"/>
    <n v="1"/>
    <n v="1"/>
    <n v="3"/>
    <n v="0"/>
  </r>
  <r>
    <s v="6e3c3d6a-2074-42db-92ef-69bc40937c84"/>
    <s v="860f4a0a-8569-4c3e-95c8-e5c248451ed6"/>
    <d v="2025-04-28T00:00:00"/>
    <d v="1899-12-30T08:23:28"/>
    <n v="8"/>
    <n v="32"/>
    <s v="Bronze"/>
    <s v="Dubai"/>
    <s v="BOUTIQUE-NYC"/>
    <s v="STELLAR-FOUND-03"/>
    <s v="Concealer"/>
    <n v="273.49"/>
    <x v="3"/>
    <n v="0"/>
    <s v="Tablet"/>
    <s v="153.18.71.75"/>
    <x v="0"/>
    <n v="253"/>
    <n v="1.3688639744574149"/>
    <n v="0"/>
    <n v="0"/>
    <n v="1"/>
    <n v="1"/>
    <n v="0"/>
  </r>
  <r>
    <s v="f7001a14-e769-4c60-8111-a4ae4c56f933"/>
    <s v="4cf5ccc3-5d9a-477b-a245-fc1a5e7f2419"/>
    <d v="2025-04-30T00:00:00"/>
    <d v="1899-12-30T07:18:02"/>
    <n v="7"/>
    <n v="43"/>
    <s v="Gold"/>
    <s v="San Francisco"/>
    <s v="POPUP-MILAN"/>
    <s v="STELLAR-FOUND-03"/>
    <s v="Mascara"/>
    <n v="273.45"/>
    <x v="3"/>
    <n v="0"/>
    <s v="Desktop"/>
    <s v="100.119.202.173"/>
    <x v="0"/>
    <n v="151"/>
    <n v="1.368310204078371"/>
    <n v="0"/>
    <n v="0"/>
    <n v="1"/>
    <n v="1"/>
    <n v="0"/>
  </r>
  <r>
    <s v="bcfe8de3-fd5e-46ba-91fc-e4db39cce14b"/>
    <s v="6120fb20-203e-4932-817a-ccd2616732c1"/>
    <d v="2025-03-05T00:00:00"/>
    <d v="1899-12-30T06:20:31"/>
    <n v="6"/>
    <n v="22"/>
    <s v="Gold"/>
    <s v="Paris"/>
    <s v="FLAGSHIP-PARIS"/>
    <s v="AURORA-LIP-01"/>
    <s v="Concealer"/>
    <n v="273.26"/>
    <x v="1"/>
    <n v="0"/>
    <s v="Desktop"/>
    <s v="1.78.61.49"/>
    <x v="0"/>
    <n v="381"/>
    <n v="1.3656797947779136"/>
    <n v="0"/>
    <n v="0"/>
    <n v="0"/>
    <n v="0"/>
    <n v="0"/>
  </r>
  <r>
    <s v="fd06c22b-dadd-4496-a901-eebbb578f82a"/>
    <s v="6c6969c9-8bd1-42a8-9f61-adf095366a4f"/>
    <d v="2025-06-15T00:00:00"/>
    <d v="1899-12-30T06:15:44"/>
    <n v="6"/>
    <n v="28"/>
    <s v="Bronze"/>
    <s v="Shanghai"/>
    <s v="BOUTIQUE-SHANGHAI"/>
    <s v="STELLAR-FOUND-03"/>
    <s v="Eyeshadow Palette"/>
    <n v="273.14999999999998"/>
    <x v="0"/>
    <n v="0"/>
    <s v="Tablet"/>
    <s v="219.160.194.0"/>
    <x v="0"/>
    <n v="183"/>
    <n v="1.3641569262355431"/>
    <n v="0"/>
    <n v="0"/>
    <n v="1"/>
    <n v="1"/>
    <n v="0"/>
  </r>
  <r>
    <s v="4aa27d20-fc68-4501-b201-d32b14df70d1"/>
    <s v="17fdfcbc-e567-4f1a-84c6-e6b7e2c850e6"/>
    <d v="2025-05-18T00:00:00"/>
    <d v="1899-12-30T00:35:55"/>
    <n v="0"/>
    <n v="50"/>
    <s v="Bronze"/>
    <s v="New York"/>
    <s v="CONCESSION-SINGAPORE"/>
    <s v="SOLAR-BLUSH-04"/>
    <s v="Lipstick"/>
    <n v="273.14"/>
    <x v="0"/>
    <n v="0"/>
    <s v="Tablet"/>
    <s v="145.223.165.71"/>
    <x v="0"/>
    <n v="122"/>
    <n v="1.3640184836407823"/>
    <n v="0"/>
    <n v="1"/>
    <n v="1"/>
    <n v="3"/>
    <n v="0"/>
  </r>
  <r>
    <s v="9088470f-d8bf-48f9-8cd3-cac113fab320"/>
    <s v="690d6cb7-ced6-416e-be0a-8a0da8eb1567"/>
    <d v="2025-06-23T00:00:00"/>
    <d v="1899-12-30T23:09:30"/>
    <n v="23"/>
    <n v="47"/>
    <s v="Silver"/>
    <s v="San Francisco"/>
    <s v="FLAGSHIP-ROME"/>
    <s v="NEBULA-SERUM-07"/>
    <s v="Eyeliner"/>
    <n v="273.08"/>
    <x v="0"/>
    <n v="0"/>
    <s v="Tablet"/>
    <s v="83.208.2.137"/>
    <x v="0"/>
    <n v="485"/>
    <n v="1.3631878280722167"/>
    <n v="0"/>
    <n v="0"/>
    <n v="0"/>
    <n v="0"/>
    <n v="0"/>
  </r>
  <r>
    <s v="de215091-7b51-419a-bf52-01fa5d7f4184"/>
    <s v="bcb4c346-5b3e-4ab4-bfab-5fa5947e45a3"/>
    <d v="2025-05-04T00:00:00"/>
    <d v="1899-12-30T11:29:31"/>
    <n v="11"/>
    <n v="29"/>
    <s v="Silver"/>
    <s v="Singapore"/>
    <s v="FLAGSHIP-PARIS"/>
    <s v="ECLIPSE-EYE-10"/>
    <s v="Foundation"/>
    <n v="273.01"/>
    <x v="4"/>
    <n v="0"/>
    <s v="Mobile"/>
    <s v="202.39.15.227"/>
    <x v="0"/>
    <n v="59"/>
    <n v="1.3622187299088904"/>
    <n v="0"/>
    <n v="0"/>
    <n v="1"/>
    <n v="1"/>
    <n v="0"/>
  </r>
  <r>
    <s v="e49ad7f5-3fca-45d4-8c7f-69edd7d80922"/>
    <s v="c05bba53-1b5b-4a6d-9cae-0a3777a30df1"/>
    <d v="2025-04-17T00:00:00"/>
    <d v="1899-12-30T17:24:15"/>
    <n v="17"/>
    <n v="43"/>
    <s v="Unknown"/>
    <s v="Miami"/>
    <s v="CONCESSION-SINGAPORE"/>
    <s v="ORION-CONCEAL-09"/>
    <s v="Eyeliner"/>
    <n v="272.95"/>
    <x v="1"/>
    <n v="0"/>
    <s v="Mobile"/>
    <s v="82.177.204.40"/>
    <x v="0"/>
    <n v="145"/>
    <n v="1.3613880743403248"/>
    <n v="0"/>
    <n v="0"/>
    <n v="1"/>
    <n v="1"/>
    <n v="0"/>
  </r>
  <r>
    <s v="3cbc3316-0459-46e0-b81f-7ade177419d8"/>
    <s v="711df6bc-3ca2-4476-b9a8-01a7ee198bd5"/>
    <d v="2025-03-18T00:00:00"/>
    <d v="1899-12-30T01:57:10"/>
    <n v="1"/>
    <n v="65"/>
    <s v="Gold"/>
    <s v="Dubai"/>
    <s v="FLAGSHIP-ROME"/>
    <s v="ORION-CONCEAL-09"/>
    <s v="Eyeshadow Palette"/>
    <n v="272.82"/>
    <x v="3"/>
    <n v="0"/>
    <s v="Mobile"/>
    <s v="232.162.81.223"/>
    <x v="0"/>
    <n v="346"/>
    <n v="1.3595883206084329"/>
    <n v="0"/>
    <n v="1"/>
    <n v="0"/>
    <n v="2"/>
    <n v="0"/>
  </r>
  <r>
    <s v="394c15f4-5188-4de2-9001-9752a5d6076d"/>
    <s v="b94a982f-f162-4a62-8c79-a7d8bfe29b74"/>
    <d v="2025-03-25T00:00:00"/>
    <d v="1899-12-30T15:30:41"/>
    <n v="15"/>
    <n v="61"/>
    <s v="Bronze"/>
    <s v="Monaco"/>
    <s v="FLAGSHIP-ROME"/>
    <s v="SOLAR-BLUSH-04"/>
    <s v="Eyeshadow Palette"/>
    <n v="272.70999999999998"/>
    <x v="4"/>
    <n v="0"/>
    <s v="Laptop"/>
    <s v="71.57.75.254"/>
    <x v="0"/>
    <n v="415"/>
    <n v="1.3580654520660624"/>
    <n v="0"/>
    <n v="0"/>
    <n v="0"/>
    <n v="0"/>
    <n v="0"/>
  </r>
  <r>
    <s v="e2f70938-3c54-4ea2-a6b8-ef19e3ad5fc7"/>
    <s v="b3cae48d-b27c-4593-9fa0-68f27995468c"/>
    <d v="2025-06-13T00:00:00"/>
    <d v="1899-12-30T17:17:38"/>
    <n v="17"/>
    <n v="41"/>
    <s v="Platinum"/>
    <s v="Los Angeles"/>
    <s v="BOUTIQUE-DUBAI"/>
    <s v="COSMIC-HIGHLIGHT-06"/>
    <s v="Foundation"/>
    <n v="272.69"/>
    <x v="0"/>
    <n v="0"/>
    <s v="Mobile"/>
    <s v="124.14.208.119"/>
    <x v="0"/>
    <n v="389"/>
    <n v="1.3577885668765408"/>
    <n v="0"/>
    <n v="0"/>
    <n v="0"/>
    <n v="0"/>
    <n v="0"/>
  </r>
  <r>
    <s v="b5dd97ff-fa07-48a1-88fe-58708ec2c0c1"/>
    <s v="b46f7382-11fd-470f-82c5-dba1faae7046"/>
    <d v="2025-04-02T00:00:00"/>
    <d v="1899-12-30T08:07:00"/>
    <n v="8"/>
    <n v="19"/>
    <s v="Bronze"/>
    <s v="Milan"/>
    <s v="POPUP-MILAN"/>
    <s v="COSMIC-HIGHLIGHT-06"/>
    <s v="Serum"/>
    <n v="272.64999999999998"/>
    <x v="0"/>
    <n v="0"/>
    <s v="Laptop"/>
    <s v="48.99.171.224"/>
    <x v="0"/>
    <n v="299"/>
    <n v="1.3572347964974969"/>
    <n v="0"/>
    <n v="0"/>
    <n v="0"/>
    <n v="0"/>
    <n v="0"/>
  </r>
  <r>
    <s v="65afd9c0-783a-4e39-a305-93da57faca61"/>
    <s v="e5758159-605f-416f-bf94-72b134ea0839"/>
    <d v="2025-07-04T00:00:00"/>
    <d v="1899-12-30T10:07:51"/>
    <n v="10"/>
    <n v="35"/>
    <s v="Gold"/>
    <s v="Miami"/>
    <s v="POPUP-MILAN"/>
    <s v="AURORA-LIP-01"/>
    <s v="Blush"/>
    <n v="272.60000000000002"/>
    <x v="4"/>
    <n v="0"/>
    <s v="Desktop"/>
    <s v="84.80.171.141"/>
    <x v="0"/>
    <n v="184"/>
    <n v="1.3565425835236928"/>
    <n v="0"/>
    <n v="0"/>
    <n v="1"/>
    <n v="1"/>
    <n v="0"/>
  </r>
  <r>
    <s v="a16fd268-b1f4-46cb-accb-73760508bd0b"/>
    <s v="28ce6227-8f87-4078-834a-c17b539864f9"/>
    <d v="2025-08-09T00:00:00"/>
    <d v="1899-12-30T06:54:14"/>
    <n v="6"/>
    <n v="20"/>
    <s v="Unknown"/>
    <s v="Monte Carlo"/>
    <s v="FLAGSHIP-PARIS"/>
    <s v="CELESTE-EYE-05"/>
    <s v="Concealer"/>
    <n v="272.49"/>
    <x v="1"/>
    <n v="0"/>
    <s v="Mobile"/>
    <s v="5.102.46.26"/>
    <x v="0"/>
    <n v="137"/>
    <n v="1.3550197149813226"/>
    <n v="0"/>
    <n v="0"/>
    <n v="1"/>
    <n v="1"/>
    <n v="0"/>
  </r>
  <r>
    <s v="bdc21fb1-ddf4-4e9a-89ae-1ead1d2a33dc"/>
    <s v="4b2c5a09-688e-4151-8e41-69651618e5e8"/>
    <d v="2025-07-29T00:00:00"/>
    <d v="1899-12-30T00:04:24"/>
    <n v="0"/>
    <n v="41"/>
    <s v="Bronze"/>
    <s v="Miami"/>
    <s v="BOUTIQUE-DUBAI"/>
    <s v="COSMIC-HIGHLIGHT-06"/>
    <s v="Eyeshadow Palette"/>
    <n v="272.31"/>
    <x v="4"/>
    <n v="0"/>
    <s v="Laptop"/>
    <s v="136.221.10.205"/>
    <x v="0"/>
    <n v="120"/>
    <n v="1.3525277482756259"/>
    <n v="0"/>
    <n v="1"/>
    <n v="1"/>
    <n v="3"/>
    <n v="0"/>
  </r>
  <r>
    <s v="8802b521-2dd9-466f-96a0-f4ffc59cf2a2"/>
    <s v="fa26d5cc-84bf-40bc-a280-365010f227b3"/>
    <d v="2025-04-30T00:00:00"/>
    <d v="1899-12-30T14:36:08"/>
    <n v="14"/>
    <n v="46"/>
    <s v="Silver"/>
    <s v="Rome"/>
    <s v="BOUTIQUE-SHANGHAI"/>
    <s v="AURORA-LIP-01"/>
    <s v="Mascara"/>
    <n v="272.31"/>
    <x v="3"/>
    <n v="0"/>
    <s v="Tablet"/>
    <s v="108.213.235.231"/>
    <x v="0"/>
    <n v="430"/>
    <n v="1.3525277482756259"/>
    <n v="0"/>
    <n v="0"/>
    <n v="0"/>
    <n v="0"/>
    <n v="0"/>
  </r>
  <r>
    <s v="ea43d8ad-e5ce-4655-9ed5-68d484be3fb2"/>
    <s v="330cef7d-e997-4e38-aa6d-13761ac33a05"/>
    <d v="2025-05-29T00:00:00"/>
    <d v="1899-12-30T09:08:06"/>
    <n v="9"/>
    <n v="18"/>
    <s v="VIP"/>
    <s v="Cannes"/>
    <s v="FLAGSHIP-ROME"/>
    <s v="STELLAR-FOUND-03"/>
    <s v="Eyeliner"/>
    <n v="272.3"/>
    <x v="2"/>
    <n v="1"/>
    <s v="Laptop"/>
    <s v="100.228.244.34"/>
    <x v="0"/>
    <n v="323"/>
    <n v="1.3523893056808651"/>
    <n v="0"/>
    <n v="0"/>
    <n v="0"/>
    <n v="2"/>
    <n v="0"/>
  </r>
  <r>
    <s v="2134b6ae-701d-48a1-b190-2f5e8c43ad26"/>
    <s v="2c06f08f-b56a-4b31-aaad-648385f82304"/>
    <d v="2025-06-18T00:00:00"/>
    <d v="1899-12-30T05:16:49"/>
    <n v="5"/>
    <n v="58"/>
    <s v="Bronze"/>
    <s v="Cannes"/>
    <s v="BOUTIQUE-DUBAI"/>
    <s v="NEBULA-SERUM-07"/>
    <s v="Highlighter"/>
    <n v="272.22000000000003"/>
    <x v="3"/>
    <n v="0"/>
    <s v="Tablet"/>
    <s v="148.65.156.4"/>
    <x v="0"/>
    <n v="296"/>
    <n v="1.351281764922778"/>
    <n v="0"/>
    <n v="1"/>
    <n v="0"/>
    <n v="2"/>
    <n v="0"/>
  </r>
  <r>
    <s v="128cdf7a-ea73-461c-b2bb-c0f18233e73c"/>
    <s v="fdcf820d-2fe1-4d03-b47d-3554177064f1"/>
    <d v="2025-04-12T00:00:00"/>
    <d v="1899-12-30T15:25:47"/>
    <n v="15"/>
    <n v="55"/>
    <s v="Gold"/>
    <s v="Rome"/>
    <s v="FLAGSHIP-ROME"/>
    <s v="GALAXIA-SET-08"/>
    <s v="Lipstick"/>
    <n v="272.2"/>
    <x v="3"/>
    <n v="0"/>
    <s v="Laptop"/>
    <s v="225.225.63.192"/>
    <x v="0"/>
    <n v="165"/>
    <n v="1.3510048797332554"/>
    <n v="0"/>
    <n v="0"/>
    <n v="1"/>
    <n v="1"/>
    <n v="0"/>
  </r>
  <r>
    <s v="78f390a1-8847-4b34-8523-ed9384d183f8"/>
    <s v="7a78a536-bb08-4b83-9b63-6301ae2e7ef5"/>
    <d v="2025-07-09T00:00:00"/>
    <d v="1899-12-30T23:31:29"/>
    <n v="23"/>
    <n v="50"/>
    <s v="Silver"/>
    <s v="London"/>
    <s v="FLAGSHIP-ROME"/>
    <s v="COSMIC-HIGHLIGHT-06"/>
    <s v="Lipstick"/>
    <n v="272.19"/>
    <x v="2"/>
    <n v="1"/>
    <s v="Desktop"/>
    <s v="37.54.89.109"/>
    <x v="1"/>
    <n v="399"/>
    <n v="1.3508664371384946"/>
    <n v="0"/>
    <n v="0"/>
    <n v="0"/>
    <n v="2"/>
    <n v="0"/>
  </r>
  <r>
    <s v="7e2ea837-3f68-46aa-87ba-df2195c59adc"/>
    <s v="a0e12eb7-92bb-4880-9ac1-3ec2b6d69e1e"/>
    <d v="2025-04-23T00:00:00"/>
    <d v="1899-12-30T03:27:42"/>
    <n v="3"/>
    <n v="29"/>
    <s v="Silver"/>
    <s v="Rome"/>
    <s v="POPUP-MILAN"/>
    <s v="AURORA-LIP-01"/>
    <s v="Blush"/>
    <n v="272"/>
    <x v="3"/>
    <n v="0"/>
    <s v="Desktop"/>
    <s v="135.109.132.94"/>
    <x v="0"/>
    <n v="362"/>
    <n v="1.3482360278380372"/>
    <n v="0"/>
    <n v="1"/>
    <n v="0"/>
    <n v="2"/>
    <n v="0"/>
  </r>
  <r>
    <s v="a0fd310f-70d1-4881-b941-f43ab140f13d"/>
    <s v="a31063dd-bf3f-4ca9-84d5-f0e84d63b5e9"/>
    <d v="2025-08-08T00:00:00"/>
    <d v="1899-12-30T09:12:50"/>
    <n v="9"/>
    <n v="65"/>
    <s v="Bronze"/>
    <s v="Monte Carlo"/>
    <s v="FLAGSHIP-ROME"/>
    <s v="STELLAR-FOUND-03"/>
    <s v="Blush"/>
    <n v="271.98"/>
    <x v="3"/>
    <n v="0"/>
    <s v="Mobile"/>
    <s v="193.37.220.141"/>
    <x v="0"/>
    <n v="374"/>
    <n v="1.3479591426485156"/>
    <n v="0"/>
    <n v="0"/>
    <n v="0"/>
    <n v="0"/>
    <n v="0"/>
  </r>
  <r>
    <s v="27f164e5-29df-4bd9-9d79-9e8f3d70c25d"/>
    <s v="e05e73df-7fd2-4159-8fd2-9990a0b5e806"/>
    <d v="2025-02-15T00:00:00"/>
    <d v="1899-12-30T12:40:19"/>
    <n v="12"/>
    <n v="56"/>
    <s v="Unknown"/>
    <s v="Dubai"/>
    <s v="FLAGSHIP-ROME"/>
    <s v="GALAXIA-SET-08"/>
    <s v="Foundation"/>
    <n v="271.79000000000002"/>
    <x v="4"/>
    <n v="0"/>
    <s v="Mobile"/>
    <s v="43.168.159.32"/>
    <x v="0"/>
    <n v="448"/>
    <n v="1.3453287333480579"/>
    <n v="0"/>
    <n v="0"/>
    <n v="0"/>
    <n v="0"/>
    <n v="0"/>
  </r>
  <r>
    <s v="4de2d213-8eec-4f03-b970-ced97bcf8d8c"/>
    <s v="9560ceb7-d3d2-4d13-ae5d-507ff3409ad4"/>
    <d v="2025-07-27T00:00:00"/>
    <d v="1899-12-30T04:10:37"/>
    <n v="4"/>
    <n v="47"/>
    <s v="VIP"/>
    <s v="Monte Carlo"/>
    <s v="POPUP-MILAN"/>
    <s v="LUNAR-MASC-02"/>
    <s v="Concealer"/>
    <n v="271.75"/>
    <x v="1"/>
    <n v="0"/>
    <s v="Laptop"/>
    <s v="4.110.239.197"/>
    <x v="0"/>
    <n v="115"/>
    <n v="1.344774962969014"/>
    <n v="0"/>
    <n v="1"/>
    <n v="1"/>
    <n v="3"/>
    <n v="0"/>
  </r>
  <r>
    <s v="a93104f3-dd97-4099-b3ae-18ed212eb669"/>
    <s v="37960b37-c616-4023-ae5e-f7378293ce5c"/>
    <d v="2025-03-28T00:00:00"/>
    <d v="1899-12-30T23:01:41"/>
    <n v="23"/>
    <n v="36"/>
    <s v="Bronze"/>
    <s v="Miami"/>
    <s v="FLAGSHIP-LA"/>
    <s v="ORION-CONCEAL-09"/>
    <s v="Eyeshadow Palette"/>
    <n v="271.73"/>
    <x v="4"/>
    <n v="0"/>
    <s v="Laptop"/>
    <s v="226.233.132.155"/>
    <x v="0"/>
    <n v="225"/>
    <n v="1.3444980777794924"/>
    <n v="0"/>
    <n v="0"/>
    <n v="1"/>
    <n v="1"/>
    <n v="0"/>
  </r>
  <r>
    <s v="cb6563c3-8802-4957-98a3-e4cf9078c048"/>
    <s v="f3e5dba2-4664-42ea-93be-fb63140db001"/>
    <d v="2025-03-09T00:00:00"/>
    <d v="1899-12-30T01:00:36"/>
    <n v="1"/>
    <n v="38"/>
    <s v="Silver"/>
    <s v="Dubai"/>
    <s v="CONCESSION-LONDON"/>
    <s v="COSMIC-HIGHLIGHT-06"/>
    <s v="Concealer"/>
    <n v="271.70999999999998"/>
    <x v="1"/>
    <n v="0"/>
    <s v="Tablet"/>
    <s v="107.102.154.156"/>
    <x v="0"/>
    <n v="280"/>
    <n v="1.3442211925899701"/>
    <n v="0"/>
    <n v="1"/>
    <n v="0"/>
    <n v="2"/>
    <n v="0"/>
  </r>
  <r>
    <s v="07747720-b9ca-4726-af6c-1cc4f72f174e"/>
    <s v="1f25d19e-7183-46f2-83a8-b4a3c5190b52"/>
    <d v="2025-03-09T00:00:00"/>
    <d v="1899-12-30T11:35:30"/>
    <n v="11"/>
    <n v="19"/>
    <s v="Platinum"/>
    <s v="Zurich"/>
    <s v="FLAGSHIP-ROME"/>
    <s v="ORION-CONCEAL-09"/>
    <s v="Eyeliner"/>
    <n v="271.64999999999998"/>
    <x v="4"/>
    <n v="0"/>
    <s v="Tablet"/>
    <s v="208.165.219.95"/>
    <x v="0"/>
    <n v="492"/>
    <n v="1.3433905370214045"/>
    <n v="0"/>
    <n v="0"/>
    <n v="0"/>
    <n v="0"/>
    <n v="0"/>
  </r>
  <r>
    <s v="0cc7e281-276d-4be9-a9d1-1b58a8b810c9"/>
    <s v="333824df-2d21-4068-b092-33b43ad2a639"/>
    <d v="2025-07-16T00:00:00"/>
    <d v="1899-12-30T15:49:14"/>
    <n v="15"/>
    <n v="42"/>
    <s v="Bronze"/>
    <s v="London"/>
    <s v="FLAGSHIP-ROME"/>
    <s v="LUNAR-MASC-02"/>
    <s v="Setting Spray"/>
    <n v="271.61"/>
    <x v="3"/>
    <n v="0"/>
    <s v="Desktop"/>
    <s v="60.58.19.94"/>
    <x v="0"/>
    <n v="490"/>
    <n v="1.3428367666423613"/>
    <n v="0"/>
    <n v="0"/>
    <n v="0"/>
    <n v="0"/>
    <n v="0"/>
  </r>
  <r>
    <s v="4e0f02c1-aa55-460e-b4ec-2ea272dd7193"/>
    <s v="15e37330-0040-49d4-b091-b9fc3ba5c559"/>
    <d v="2025-04-13T00:00:00"/>
    <d v="1899-12-30T22:07:48"/>
    <n v="22"/>
    <n v="55"/>
    <s v="Gold"/>
    <s v="Paris"/>
    <s v="BOUTIQUE-NYC"/>
    <s v="ORION-CONCEAL-09"/>
    <s v="Lipstick"/>
    <n v="271.38"/>
    <x v="1"/>
    <n v="0"/>
    <s v="Tablet"/>
    <s v="102.15.58.92"/>
    <x v="0"/>
    <n v="218"/>
    <n v="1.3396525869628597"/>
    <n v="0"/>
    <n v="0"/>
    <n v="1"/>
    <n v="1"/>
    <n v="0"/>
  </r>
  <r>
    <s v="fcee3381-c334-4c89-80f0-6cdda39151ce"/>
    <s v="0f641f8c-1f75-49d8-9cc9-5572cfa109ad"/>
    <d v="2025-05-13T00:00:00"/>
    <d v="1899-12-30T02:22:14"/>
    <n v="2"/>
    <n v="45"/>
    <s v="Bronze"/>
    <s v="Las Vegas"/>
    <s v="FLAGSHIP-LA"/>
    <s v="CELESTE-EYE-05"/>
    <s v="Mascara"/>
    <n v="271.27999999999997"/>
    <x v="0"/>
    <n v="0"/>
    <s v="Tablet"/>
    <s v="129.220.170.27"/>
    <x v="0"/>
    <n v="228"/>
    <n v="1.3382681610152503"/>
    <n v="0"/>
    <n v="1"/>
    <n v="1"/>
    <n v="3"/>
    <n v="0"/>
  </r>
  <r>
    <s v="643bc934-6620-42f3-86c8-c918b15adb8d"/>
    <s v="629c5223-381c-4ee6-8c41-8272b1da123f"/>
    <d v="2025-03-25T00:00:00"/>
    <d v="1899-12-30T17:08:13"/>
    <n v="17"/>
    <n v="49"/>
    <s v="Gold"/>
    <s v="San Francisco"/>
    <s v="POPUP-MILAN"/>
    <s v="NEBULA-SERUM-07"/>
    <s v="Foundation"/>
    <n v="271.27999999999997"/>
    <x v="1"/>
    <n v="0"/>
    <s v="Desktop"/>
    <s v="33.79.71.240"/>
    <x v="0"/>
    <n v="136"/>
    <n v="1.3382681610152503"/>
    <n v="0"/>
    <n v="0"/>
    <n v="1"/>
    <n v="1"/>
    <n v="0"/>
  </r>
  <r>
    <s v="aff7bba8-4e7d-4823-82a9-0a4f346469b1"/>
    <s v="8d70c951-9f82-4fac-b9b9-1b7b17e0aa36"/>
    <d v="2025-08-11T00:00:00"/>
    <d v="1899-12-30T07:39:59"/>
    <n v="7"/>
    <n v="20"/>
    <s v="Bronze"/>
    <s v="Milan"/>
    <s v="POPUP-MILAN"/>
    <s v="AURORA-LIP-01"/>
    <s v="Concealer"/>
    <n v="271.18"/>
    <x v="4"/>
    <n v="0"/>
    <s v="Desktop"/>
    <s v="63.167.133.149"/>
    <x v="0"/>
    <n v="478"/>
    <n v="1.3368837350676415"/>
    <n v="0"/>
    <n v="0"/>
    <n v="0"/>
    <n v="0"/>
    <n v="0"/>
  </r>
  <r>
    <s v="3435a074-8335-4b35-80a6-e793597219e0"/>
    <s v="5da10e79-1c44-4433-9c34-13d9233c22af"/>
    <d v="2025-07-20T00:00:00"/>
    <d v="1899-12-30T20:45:45"/>
    <n v="20"/>
    <n v="45"/>
    <s v="Bronze"/>
    <s v="Sydney"/>
    <s v="BOUTIQUE-NYC"/>
    <s v="LUNAR-MASC-02"/>
    <s v="Eyeliner"/>
    <n v="271.04000000000002"/>
    <x v="0"/>
    <n v="0"/>
    <s v="Laptop"/>
    <s v="243.155.38.135"/>
    <x v="0"/>
    <n v="430"/>
    <n v="1.3349455387409888"/>
    <n v="0"/>
    <n v="0"/>
    <n v="0"/>
    <n v="0"/>
    <n v="0"/>
  </r>
  <r>
    <s v="7dc3f0b5-fac7-4c98-8ee1-0d27decddef6"/>
    <s v="2e84ec4e-6ac9-4b4c-b1f2-93f605fa2f50"/>
    <d v="2025-02-25T00:00:00"/>
    <d v="1899-12-30T12:39:41"/>
    <n v="12"/>
    <n v="42"/>
    <s v="Gold"/>
    <s v="Monaco"/>
    <s v="FLAGSHIP-PARIS"/>
    <s v="NEBULA-SERUM-07"/>
    <s v="Lipstick"/>
    <n v="270.97000000000003"/>
    <x v="0"/>
    <n v="0"/>
    <s v="Desktop"/>
    <s v="31.172.172.55"/>
    <x v="0"/>
    <n v="152"/>
    <n v="1.3339764405776624"/>
    <n v="0"/>
    <n v="0"/>
    <n v="1"/>
    <n v="1"/>
    <n v="0"/>
  </r>
  <r>
    <s v="e238d143-bbc0-47f6-809c-fcd51543c7c3"/>
    <s v="f0e6347d-2634-40bc-be3b-b66ca20956b7"/>
    <d v="2025-07-05T00:00:00"/>
    <d v="1899-12-30T08:14:34"/>
    <n v="8"/>
    <n v="51"/>
    <s v="Gold"/>
    <s v="San Francisco"/>
    <s v="POPUP-MILAN"/>
    <s v="GALAXIA-SET-08"/>
    <s v="Setting Spray"/>
    <n v="270.95999999999998"/>
    <x v="3"/>
    <n v="0"/>
    <s v="Mobile"/>
    <s v="139.23.226.142"/>
    <x v="0"/>
    <n v="335"/>
    <n v="1.3338379979829007"/>
    <n v="0"/>
    <n v="0"/>
    <n v="0"/>
    <n v="0"/>
    <n v="0"/>
  </r>
  <r>
    <s v="aa2e92cd-f4e5-4a04-8b4b-40f5c32e3dc6"/>
    <s v="7274b575-21d3-4dc1-9f74-16b005587288"/>
    <d v="2025-04-16T00:00:00"/>
    <d v="1899-12-30T07:23:31"/>
    <n v="7"/>
    <n v="65"/>
    <s v="Bronze"/>
    <s v="Hong Kong"/>
    <s v="BOUTIQUE-NYC"/>
    <s v="STELLAR-FOUND-03"/>
    <s v="Eyeliner"/>
    <n v="270.77999999999997"/>
    <x v="1"/>
    <n v="0"/>
    <s v="Mobile"/>
    <s v="125.42.219.126"/>
    <x v="0"/>
    <n v="292"/>
    <n v="1.3313460312772041"/>
    <n v="0"/>
    <n v="0"/>
    <n v="0"/>
    <n v="0"/>
    <n v="0"/>
  </r>
  <r>
    <s v="15795ce9-31b9-46bd-a19e-f5e73b535ff6"/>
    <s v="98598ec5-23b1-4d13-b2ea-71316b5cca2e"/>
    <d v="2025-07-16T00:00:00"/>
    <d v="1899-12-30T15:54:44"/>
    <n v="15"/>
    <n v="53"/>
    <s v="Bronze"/>
    <s v="Dubai"/>
    <s v="POPUP-MILAN"/>
    <s v="ECLIPSE-EYE-10"/>
    <s v="Blush"/>
    <n v="270.74"/>
    <x v="0"/>
    <n v="0"/>
    <s v="Desktop"/>
    <s v="238.18.237.249"/>
    <x v="0"/>
    <n v="227"/>
    <n v="1.3307922608981608"/>
    <n v="0"/>
    <n v="0"/>
    <n v="1"/>
    <n v="1"/>
    <n v="0"/>
  </r>
  <r>
    <s v="5a1e6dbb-0313-4d05-ae74-57a2696bc1db"/>
    <s v="d4fa0e26-eae0-430a-9870-fa0ff5ba7e10"/>
    <d v="2025-05-22T00:00:00"/>
    <d v="1899-12-30T13:30:29"/>
    <n v="13"/>
    <n v="61"/>
    <s v="Bronze"/>
    <s v="San Francisco"/>
    <s v="FLAGSHIP-PARIS"/>
    <s v="ECLIPSE-EYE-10"/>
    <s v="Foundation"/>
    <n v="270.43"/>
    <x v="1"/>
    <n v="0"/>
    <s v="Mobile"/>
    <s v="66.82.37.141"/>
    <x v="0"/>
    <n v="107"/>
    <n v="1.3265005404605721"/>
    <n v="0"/>
    <n v="0"/>
    <n v="1"/>
    <n v="1"/>
    <n v="0"/>
  </r>
  <r>
    <s v="d9684df5-a6bf-4e3f-aeda-9fc1ab6748b6"/>
    <s v="bbf0a3f7-e34c-415d-8985-f3a4133ab679"/>
    <d v="2025-07-16T00:00:00"/>
    <d v="1899-12-30T04:11:46"/>
    <n v="4"/>
    <n v="41"/>
    <s v="Silver"/>
    <s v="Monte Carlo"/>
    <s v="FLAGSHIP-LA"/>
    <s v="CELESTE-EYE-05"/>
    <s v="Concealer"/>
    <n v="270.39"/>
    <x v="1"/>
    <n v="0"/>
    <s v="Mobile"/>
    <s v="33.254.44.154"/>
    <x v="0"/>
    <n v="420"/>
    <n v="1.3259467700815282"/>
    <n v="0"/>
    <n v="1"/>
    <n v="0"/>
    <n v="2"/>
    <n v="0"/>
  </r>
  <r>
    <s v="42cb6225-c75b-44cd-8808-031672803880"/>
    <s v="95ebedcd-f361-4e04-9547-fb1c104df1eb"/>
    <d v="2025-03-09T00:00:00"/>
    <d v="1899-12-30T22:58:31"/>
    <n v="22"/>
    <n v="20"/>
    <s v="VIP"/>
    <s v="Milan"/>
    <s v="CONCESSION-LONDON"/>
    <s v="SOLAR-BLUSH-04"/>
    <s v="Serum"/>
    <n v="270.14"/>
    <x v="2"/>
    <n v="1"/>
    <s v="Laptop"/>
    <s v="104.195.222.108"/>
    <x v="0"/>
    <n v="65"/>
    <n v="1.322485705212505"/>
    <n v="0"/>
    <n v="0"/>
    <n v="1"/>
    <n v="3"/>
    <n v="0"/>
  </r>
  <r>
    <s v="f11dce99-04bd-471b-a859-e25954a12bd7"/>
    <s v="70f493b8-ab6b-4f33-923e-a142c9325b95"/>
    <d v="2025-05-18T00:00:00"/>
    <d v="1899-12-30T21:46:25"/>
    <n v="21"/>
    <n v="23"/>
    <s v="Bronze"/>
    <s v="Singapore"/>
    <s v="CONCESSION-SINGAPORE"/>
    <s v="COSMIC-HIGHLIGHT-06"/>
    <s v="Setting Spray"/>
    <n v="269.98"/>
    <x v="1"/>
    <n v="0"/>
    <s v="Tablet"/>
    <s v="68.127.174.140"/>
    <x v="0"/>
    <n v="299"/>
    <n v="1.3202706236963306"/>
    <n v="0"/>
    <n v="0"/>
    <n v="0"/>
    <n v="0"/>
    <n v="0"/>
  </r>
  <r>
    <s v="0a4c7904-55d5-4851-bda4-2d467262c055"/>
    <s v="2507a519-d08a-4d77-a88c-1bdccab73720"/>
    <d v="2025-06-23T00:00:00"/>
    <d v="1899-12-30T12:56:52"/>
    <n v="12"/>
    <n v="55"/>
    <s v="Gold"/>
    <s v="Geneva"/>
    <s v="BOUTIQUE-DUBAI"/>
    <s v="LUNAR-MASC-02"/>
    <s v="Foundation"/>
    <n v="269.95"/>
    <x v="1"/>
    <n v="0"/>
    <s v="Laptop"/>
    <s v="190.183.162.212"/>
    <x v="0"/>
    <n v="154"/>
    <n v="1.3198552959120475"/>
    <n v="0"/>
    <n v="0"/>
    <n v="1"/>
    <n v="1"/>
    <n v="0"/>
  </r>
  <r>
    <s v="856ee6a3-3326-4512-88cf-b85af1f3e2b9"/>
    <s v="c1a4a2f2-bfb5-4e32-9439-4c9913f26079"/>
    <d v="2025-05-07T00:00:00"/>
    <d v="1899-12-30T01:42:06"/>
    <n v="1"/>
    <n v="62"/>
    <s v="Silver"/>
    <s v="New York"/>
    <s v="FLAGSHIP-ROME"/>
    <s v="ECLIPSE-EYE-10"/>
    <s v="Concealer"/>
    <n v="269.92"/>
    <x v="4"/>
    <n v="0"/>
    <s v="Tablet"/>
    <s v="94.72.40.125"/>
    <x v="0"/>
    <n v="235"/>
    <n v="1.3194399681277651"/>
    <n v="0"/>
    <n v="1"/>
    <n v="1"/>
    <n v="3"/>
    <n v="0"/>
  </r>
  <r>
    <s v="969dc3aa-d8be-466d-a71c-26af43d7820c"/>
    <s v="b15a6034-b453-4c7e-b0f0-c970436e4308"/>
    <d v="2025-03-21T00:00:00"/>
    <d v="1899-12-30T03:18:50"/>
    <n v="3"/>
    <n v="21"/>
    <s v="Bronze"/>
    <s v="Monaco"/>
    <s v="POPUP-MILAN"/>
    <s v="COSMIC-HIGHLIGHT-06"/>
    <s v="Concealer"/>
    <n v="269.73"/>
    <x v="1"/>
    <n v="0"/>
    <s v="Tablet"/>
    <s v="11.111.144.63"/>
    <x v="0"/>
    <n v="101"/>
    <n v="1.3168095588273074"/>
    <n v="0"/>
    <n v="1"/>
    <n v="1"/>
    <n v="3"/>
    <n v="0"/>
  </r>
  <r>
    <s v="234022cb-50fd-4b9e-9a46-fe5ec2559421"/>
    <s v="8f305a60-9818-4b61-bd02-211f75e13f59"/>
    <d v="2025-05-20T00:00:00"/>
    <d v="1899-12-30T14:05:16"/>
    <n v="14"/>
    <n v="42"/>
    <s v="Bronze"/>
    <s v="Singapore"/>
    <s v="FLAGSHIP-ROME"/>
    <s v="CELESTE-EYE-05"/>
    <s v="Blush"/>
    <n v="269.7"/>
    <x v="1"/>
    <n v="0"/>
    <s v="Desktop"/>
    <s v="62.253.221.215"/>
    <x v="0"/>
    <n v="497"/>
    <n v="1.3163942310430243"/>
    <n v="0"/>
    <n v="0"/>
    <n v="0"/>
    <n v="0"/>
    <n v="0"/>
  </r>
  <r>
    <s v="acac08d6-82d4-4135-b3a9-d1d9c4b823bf"/>
    <s v="a240b865-95db-4017-a0e8-e3d1b78aceb3"/>
    <d v="2025-07-22T00:00:00"/>
    <d v="1899-12-30T11:41:09"/>
    <n v="11"/>
    <n v="62"/>
    <s v="Gold"/>
    <s v="Los Angeles"/>
    <s v="POPUP-MILAN"/>
    <s v="SOLAR-BLUSH-04"/>
    <s v="Setting Spray"/>
    <n v="269.69"/>
    <x v="4"/>
    <n v="0"/>
    <s v="Tablet"/>
    <s v="109.172.151.12"/>
    <x v="0"/>
    <n v="109"/>
    <n v="1.3162557884482635"/>
    <n v="0"/>
    <n v="0"/>
    <n v="1"/>
    <n v="1"/>
    <n v="0"/>
  </r>
  <r>
    <s v="28136bd8-d15a-4c67-be48-fbf15ed90053"/>
    <s v="a90a9105-73a5-4a26-a284-3d2c139222cd"/>
    <d v="2025-06-02T00:00:00"/>
    <d v="1899-12-30T04:46:14"/>
    <n v="4"/>
    <n v="45"/>
    <s v="Silver"/>
    <s v="Milan"/>
    <s v="FLAGSHIP-LA"/>
    <s v="GALAXIA-SET-08"/>
    <s v="Foundation"/>
    <n v="269.63"/>
    <x v="0"/>
    <n v="0"/>
    <s v="Tablet"/>
    <s v="55.116.208.57"/>
    <x v="0"/>
    <n v="102"/>
    <n v="1.315425132879698"/>
    <n v="0"/>
    <n v="1"/>
    <n v="1"/>
    <n v="3"/>
    <n v="0"/>
  </r>
  <r>
    <s v="7ed010a7-7759-459f-bc36-a44963f4b725"/>
    <s v="cd65454c-2d4a-4a74-a981-bd24dda03189"/>
    <d v="2025-08-07T00:00:00"/>
    <d v="1899-12-30T10:30:22"/>
    <n v="10"/>
    <n v="21"/>
    <s v="Bronze"/>
    <s v="Monte Carlo"/>
    <s v="BOUTIQUE-DUBAI"/>
    <s v="ECLIPSE-EYE-10"/>
    <s v="Eyeliner"/>
    <n v="269.45999999999998"/>
    <x v="1"/>
    <n v="0"/>
    <s v="Desktop"/>
    <s v="34.183.151.122"/>
    <x v="0"/>
    <n v="147"/>
    <n v="1.3130716087687619"/>
    <n v="0"/>
    <n v="0"/>
    <n v="1"/>
    <n v="1"/>
    <n v="0"/>
  </r>
  <r>
    <s v="a001fe9e-bfa2-49dc-920c-1b27db355444"/>
    <s v="029784b9-8d11-4998-b36c-f5b4e16464a9"/>
    <d v="2025-03-05T00:00:00"/>
    <d v="1899-12-30T09:12:23"/>
    <n v="9"/>
    <n v="50"/>
    <s v="Silver"/>
    <s v="Zurich"/>
    <s v="BOUTIQUE-SHANGHAI"/>
    <s v="ECLIPSE-EYE-10"/>
    <s v="Serum"/>
    <n v="269.41000000000003"/>
    <x v="1"/>
    <n v="0"/>
    <s v="Tablet"/>
    <s v="42.203.54.238"/>
    <x v="0"/>
    <n v="251"/>
    <n v="1.3123793957949581"/>
    <n v="0"/>
    <n v="0"/>
    <n v="1"/>
    <n v="1"/>
    <n v="0"/>
  </r>
  <r>
    <s v="96b9dca7-93c1-409d-bacc-2f828b815eab"/>
    <s v="c46931ac-44ad-4ca9-b46e-f2ff95f744fe"/>
    <d v="2025-05-31T00:00:00"/>
    <d v="1899-12-30T04:11:10"/>
    <n v="4"/>
    <n v="29"/>
    <s v="Platinum"/>
    <s v="Zurich"/>
    <s v="BOUTIQUE-SHANGHAI"/>
    <s v="COSMIC-HIGHLIGHT-06"/>
    <s v="Highlighter"/>
    <n v="269.37"/>
    <x v="0"/>
    <n v="0"/>
    <s v="Tablet"/>
    <s v="137.194.9.246"/>
    <x v="0"/>
    <n v="342"/>
    <n v="1.311825625415914"/>
    <n v="0"/>
    <n v="1"/>
    <n v="0"/>
    <n v="2"/>
    <n v="0"/>
  </r>
  <r>
    <s v="1e1f6d22-8537-4704-b0b7-de1e39c8c41b"/>
    <s v="664d810b-748c-416d-9ec7-6c862c270d6d"/>
    <d v="2025-07-26T00:00:00"/>
    <d v="1899-12-30T04:36:40"/>
    <n v="4"/>
    <n v="65"/>
    <s v="Bronze"/>
    <s v="Hong Kong"/>
    <s v="FLAGSHIP-ROME"/>
    <s v="COSMIC-HIGHLIGHT-06"/>
    <s v="Foundation"/>
    <n v="269.29000000000002"/>
    <x v="3"/>
    <n v="0"/>
    <s v="Desktop"/>
    <s v="227.175.133.231"/>
    <x v="0"/>
    <n v="212"/>
    <n v="1.3107180846578268"/>
    <n v="0"/>
    <n v="1"/>
    <n v="1"/>
    <n v="3"/>
    <n v="0"/>
  </r>
  <r>
    <s v="d803023d-ec9d-4449-9249-f821da56189e"/>
    <s v="a3ae70aa-5d74-44c2-8438-8b5a55ae9ca8"/>
    <d v="2025-04-12T00:00:00"/>
    <d v="1899-12-30T11:35:35"/>
    <n v="11"/>
    <n v="26"/>
    <s v="Silver"/>
    <s v="Shanghai"/>
    <s v="BOUTIQUE-DUBAI"/>
    <s v="SOLAR-BLUSH-04"/>
    <s v="Eyeshadow Palette"/>
    <n v="268.55"/>
    <x v="0"/>
    <n v="0"/>
    <s v="Mobile"/>
    <s v="121.236.107.169"/>
    <x v="0"/>
    <n v="450"/>
    <n v="1.3004733326455182"/>
    <n v="0"/>
    <n v="0"/>
    <n v="0"/>
    <n v="0"/>
    <n v="0"/>
  </r>
  <r>
    <s v="72e6aa5f-f324-4984-8e8b-96f72bddf828"/>
    <s v="b18a6e02-15c2-4316-84e2-8741f2176e8a"/>
    <d v="2025-08-08T00:00:00"/>
    <d v="1899-12-30T15:23:39"/>
    <n v="15"/>
    <n v="62"/>
    <s v="VIP"/>
    <s v="Las Vegas"/>
    <s v="CONCESSION-SINGAPORE"/>
    <s v="ORION-CONCEAL-09"/>
    <s v="Eyeshadow Palette"/>
    <n v="268.31"/>
    <x v="2"/>
    <n v="1"/>
    <s v="Desktop"/>
    <s v="138.101.80.202"/>
    <x v="0"/>
    <n v="99"/>
    <n v="1.2971507103712561"/>
    <n v="0"/>
    <n v="0"/>
    <n v="1"/>
    <n v="3"/>
    <n v="0"/>
  </r>
  <r>
    <s v="37d7d47a-5443-4f24-96b5-93b38b66293e"/>
    <s v="d17a0551-6193-42d6-a8a9-877c9f63ec44"/>
    <d v="2025-05-23T00:00:00"/>
    <d v="1899-12-30T14:42:07"/>
    <n v="14"/>
    <n v="37"/>
    <s v="Gold"/>
    <s v="Sydney"/>
    <s v="BOUTIQUE-NYC"/>
    <s v="STELLAR-FOUND-03"/>
    <s v="Serum"/>
    <n v="268.10000000000002"/>
    <x v="1"/>
    <n v="0"/>
    <s v="Desktop"/>
    <s v="52.28.200.194"/>
    <x v="0"/>
    <n v="433"/>
    <n v="1.2942434158812768"/>
    <n v="0"/>
    <n v="0"/>
    <n v="0"/>
    <n v="0"/>
    <n v="0"/>
  </r>
  <r>
    <s v="d48ef5b3-1f7a-460b-b9bc-2268715a91a7"/>
    <s v="6c0ef988-3852-4804-bcd8-fb1787b52432"/>
    <d v="2025-02-23T00:00:00"/>
    <d v="1899-12-30T07:36:34"/>
    <n v="7"/>
    <n v="50"/>
    <s v="Gold"/>
    <s v="Rome"/>
    <s v="BOUTIQUE-SHANGHAI"/>
    <s v="ECLIPSE-EYE-10"/>
    <s v="Highlighter"/>
    <n v="268.04000000000002"/>
    <x v="0"/>
    <n v="0"/>
    <s v="Desktop"/>
    <s v="231.251.125.133"/>
    <x v="0"/>
    <n v="273"/>
    <n v="1.2934127603127112"/>
    <n v="0"/>
    <n v="0"/>
    <n v="0"/>
    <n v="0"/>
    <n v="0"/>
  </r>
  <r>
    <s v="c84b92ac-530c-4ea0-a140-b93a2aea121e"/>
    <s v="d4ff9c01-1a24-43cc-bb42-b5777c51adcd"/>
    <d v="2025-06-14T00:00:00"/>
    <d v="1899-12-30T20:13:00"/>
    <n v="20"/>
    <n v="22"/>
    <s v="Silver"/>
    <s v="Milan"/>
    <s v="CONCESSION-SINGAPORE"/>
    <s v="ECLIPSE-EYE-10"/>
    <s v="Concealer"/>
    <n v="267.77999999999997"/>
    <x v="0"/>
    <n v="0"/>
    <s v="Mobile"/>
    <s v="226.31.30.191"/>
    <x v="0"/>
    <n v="346"/>
    <n v="1.2898132528489266"/>
    <n v="0"/>
    <n v="0"/>
    <n v="0"/>
    <n v="0"/>
    <n v="0"/>
  </r>
  <r>
    <s v="72a5c4a9-146e-4024-86cf-d5fa2d84ff83"/>
    <s v="210ec61e-f06b-4e1f-a232-54fed273d48b"/>
    <d v="2025-02-22T00:00:00"/>
    <d v="1899-12-30T20:53:26"/>
    <n v="20"/>
    <n v="38"/>
    <s v="Bronze"/>
    <s v="Singapore"/>
    <s v="FLAGSHIP-ROME"/>
    <s v="ORION-CONCEAL-09"/>
    <s v="Serum"/>
    <n v="267.68"/>
    <x v="2"/>
    <n v="1"/>
    <s v="Tablet"/>
    <s v="224.127.29.39"/>
    <x v="0"/>
    <n v="402"/>
    <n v="1.2884288269013178"/>
    <n v="0"/>
    <n v="0"/>
    <n v="0"/>
    <n v="2"/>
    <n v="0"/>
  </r>
  <r>
    <s v="e8f2c854-ea05-47fa-8ddf-c6dc6ebcb645"/>
    <s v="7474e52d-afaa-4c17-96dd-3ecbb96d0b9b"/>
    <d v="2025-08-01T00:00:00"/>
    <d v="1899-12-30T04:44:55"/>
    <n v="4"/>
    <n v="52"/>
    <s v="VIP"/>
    <s v="Geneva"/>
    <s v="FLAGSHIP-ROME"/>
    <s v="COSMIC-HIGHLIGHT-06"/>
    <s v="Eyeliner"/>
    <n v="267.42"/>
    <x v="2"/>
    <n v="1"/>
    <s v="Desktop"/>
    <s v="154.128.194.179"/>
    <x v="0"/>
    <n v="379"/>
    <n v="1.284829319437534"/>
    <n v="0"/>
    <n v="1"/>
    <n v="0"/>
    <n v="4"/>
    <n v="0"/>
  </r>
  <r>
    <s v="dff3b167-348d-4565-bea8-cd688ecc5913"/>
    <s v="9431658c-52f6-4adb-926e-5555ef4be7f3"/>
    <d v="2025-05-18T00:00:00"/>
    <d v="1899-12-30T07:45:47"/>
    <n v="7"/>
    <n v="52"/>
    <s v="VIP"/>
    <s v="San Francisco"/>
    <s v="FLAGSHIP-PARIS"/>
    <s v="CELESTE-EYE-05"/>
    <s v="Eyeshadow Palette"/>
    <n v="267.24"/>
    <x v="0"/>
    <n v="0"/>
    <s v="Laptop"/>
    <s v="210.123.87.102"/>
    <x v="0"/>
    <n v="60"/>
    <n v="1.2823373527318371"/>
    <n v="0"/>
    <n v="0"/>
    <n v="1"/>
    <n v="1"/>
    <n v="0"/>
  </r>
  <r>
    <s v="e59573c1-142c-4d10-a677-56c84b99826a"/>
    <s v="816a1a36-1fb3-4bac-960e-66367dda796f"/>
    <d v="2025-06-17T00:00:00"/>
    <d v="1899-12-30T03:12:46"/>
    <n v="3"/>
    <n v="19"/>
    <s v="Bronze"/>
    <s v="Tokyo"/>
    <s v="FLAGSHIP-ROME"/>
    <s v="LUNAR-MASC-02"/>
    <s v="Serum"/>
    <n v="267.13"/>
    <x v="4"/>
    <n v="0"/>
    <s v="Mobile"/>
    <s v="222.31.62.27"/>
    <x v="0"/>
    <n v="130"/>
    <n v="1.2808144841894669"/>
    <n v="0"/>
    <n v="1"/>
    <n v="1"/>
    <n v="3"/>
    <n v="0"/>
  </r>
  <r>
    <s v="df4ee3ef-bfbc-4372-a55c-a43ea5536499"/>
    <s v="c403733a-abc8-4372-bbe9-b89194633ab1"/>
    <d v="2025-04-11T00:00:00"/>
    <d v="1899-12-30T09:29:10"/>
    <n v="9"/>
    <n v="39"/>
    <s v="Gold"/>
    <s v="Tokyo"/>
    <s v="FLAGSHIP-PARIS"/>
    <s v="LUNAR-MASC-02"/>
    <s v="Lipstick"/>
    <n v="267.13"/>
    <x v="3"/>
    <n v="0"/>
    <s v="Laptop"/>
    <s v="166.214.200.99"/>
    <x v="0"/>
    <n v="429"/>
    <n v="1.2808144841894669"/>
    <n v="0"/>
    <n v="0"/>
    <n v="0"/>
    <n v="0"/>
    <n v="0"/>
  </r>
  <r>
    <s v="ff586bb4-04d4-4d86-a2a2-d5014641c102"/>
    <s v="0e9d2622-4532-4534-962a-13472a73c5e0"/>
    <d v="2025-04-12T00:00:00"/>
    <d v="1899-12-30T07:08:19"/>
    <n v="7"/>
    <n v="39"/>
    <s v="Silver"/>
    <s v="Zurich"/>
    <s v="BOUTIQUE-NYC"/>
    <s v="ORION-CONCEAL-09"/>
    <s v="Blush"/>
    <n v="267.12"/>
    <x v="1"/>
    <n v="0"/>
    <s v="Desktop"/>
    <s v="85.152.181.54"/>
    <x v="0"/>
    <n v="461"/>
    <n v="1.280676041594706"/>
    <n v="0"/>
    <n v="0"/>
    <n v="0"/>
    <n v="0"/>
    <n v="0"/>
  </r>
  <r>
    <s v="c881a530-9338-46dc-971f-fe0437f10342"/>
    <s v="4eb17fd1-7cfb-4472-aa1b-6d69f6d2eabd"/>
    <d v="2025-07-02T00:00:00"/>
    <d v="1899-12-30T05:14:39"/>
    <n v="5"/>
    <n v="19"/>
    <s v="Gold"/>
    <s v="San Francisco"/>
    <s v="CONCESSION-SINGAPORE"/>
    <s v="SOLAR-BLUSH-04"/>
    <s v="Lipstick"/>
    <n v="266.91000000000003"/>
    <x v="1"/>
    <n v="0"/>
    <s v="Desktop"/>
    <s v="194.71.154.124"/>
    <x v="0"/>
    <n v="341"/>
    <n v="1.277768747104727"/>
    <n v="0"/>
    <n v="1"/>
    <n v="0"/>
    <n v="2"/>
    <n v="0"/>
  </r>
  <r>
    <s v="a3d630cc-d604-4ea8-b8c2-1aba6e6d93dd"/>
    <s v="05d6b103-19d0-4477-bdda-d374c9fd301b"/>
    <d v="2025-05-22T00:00:00"/>
    <d v="1899-12-30T20:43:30"/>
    <n v="20"/>
    <n v="46"/>
    <s v="Silver"/>
    <s v="Monaco"/>
    <s v="POPUP-MILAN"/>
    <s v="GALAXIA-SET-08"/>
    <s v="Serum"/>
    <n v="266.89"/>
    <x v="3"/>
    <n v="0"/>
    <s v="Tablet"/>
    <s v="36.18.98.12"/>
    <x v="0"/>
    <n v="123"/>
    <n v="1.2774918619152045"/>
    <n v="0"/>
    <n v="0"/>
    <n v="1"/>
    <n v="1"/>
    <n v="0"/>
  </r>
  <r>
    <s v="6afb384b-7982-4849-bc66-a66401c41f55"/>
    <s v="728e5a69-5885-47c3-99f8-850bda2614af"/>
    <d v="2025-04-03T00:00:00"/>
    <d v="1899-12-30T18:06:59"/>
    <n v="18"/>
    <n v="60"/>
    <s v="Silver"/>
    <s v="Singapore"/>
    <s v="CONCESSION-LONDON"/>
    <s v="LUNAR-MASC-02"/>
    <s v="Foundation"/>
    <n v="266.7"/>
    <x v="1"/>
    <n v="0"/>
    <s v="Desktop"/>
    <s v="57.131.243.63"/>
    <x v="0"/>
    <n v="108"/>
    <n v="1.274861452614747"/>
    <n v="0"/>
    <n v="0"/>
    <n v="1"/>
    <n v="1"/>
    <n v="0"/>
  </r>
  <r>
    <s v="60f6f45b-bf7b-41f7-b380-7d74c868c940"/>
    <s v="723588c1-daba-47ca-84ab-febbf76480e7"/>
    <d v="2025-05-28T00:00:00"/>
    <d v="1899-12-30T15:23:24"/>
    <n v="15"/>
    <n v="33"/>
    <s v="Silver"/>
    <s v="Miami"/>
    <s v="POPUP-TOKYO"/>
    <s v="AURORA-LIP-01"/>
    <s v="Lipstick"/>
    <n v="266.52999999999997"/>
    <x v="0"/>
    <n v="0"/>
    <s v="Tablet"/>
    <s v="49.243.55.168"/>
    <x v="0"/>
    <n v="163"/>
    <n v="1.272507928503811"/>
    <n v="0"/>
    <n v="0"/>
    <n v="1"/>
    <n v="1"/>
    <n v="0"/>
  </r>
  <r>
    <s v="faf10090-2b5d-4825-8ac0-fd3e228cfdaf"/>
    <s v="7f425fa8-c8de-4360-bc81-dcae40c5c15f"/>
    <d v="2025-06-10T00:00:00"/>
    <d v="1899-12-30T02:46:51"/>
    <n v="2"/>
    <n v="26"/>
    <s v="Bronze"/>
    <s v="Monte Carlo"/>
    <s v="FLAGSHIP-LA"/>
    <s v="COSMIC-HIGHLIGHT-06"/>
    <s v="Foundation"/>
    <n v="266.45999999999998"/>
    <x v="0"/>
    <n v="0"/>
    <s v="Desktop"/>
    <s v="218.195.205.49"/>
    <x v="0"/>
    <n v="341"/>
    <n v="1.2715388303404846"/>
    <n v="0"/>
    <n v="1"/>
    <n v="0"/>
    <n v="2"/>
    <n v="0"/>
  </r>
  <r>
    <s v="1f3b090c-b769-41f1-8b2f-2a4a72091aa2"/>
    <s v="041a97c3-0a23-4251-9cd4-ba79c81bb3ec"/>
    <d v="2025-04-29T00:00:00"/>
    <d v="1899-12-30T13:41:56"/>
    <n v="13"/>
    <n v="41"/>
    <s v="Bronze"/>
    <s v="Monaco"/>
    <s v="FLAGSHIP-LA"/>
    <s v="SOLAR-BLUSH-04"/>
    <s v="Foundation"/>
    <n v="266.3"/>
    <x v="3"/>
    <n v="0"/>
    <s v="Laptop"/>
    <s v="175.211.230.134"/>
    <x v="0"/>
    <n v="398"/>
    <n v="1.2693237488243103"/>
    <n v="0"/>
    <n v="0"/>
    <n v="0"/>
    <n v="0"/>
    <n v="0"/>
  </r>
  <r>
    <s v="50dc5adf-f4f4-4c5a-b287-d5760b1be0f7"/>
    <s v="9e253ec5-4f56-44cf-b58d-5b1887126e0c"/>
    <d v="2025-04-17T00:00:00"/>
    <d v="1899-12-30T07:13:37"/>
    <n v="7"/>
    <n v="42"/>
    <s v="Silver"/>
    <s v="Monte Carlo"/>
    <s v="FLAGSHIP-LA"/>
    <s v="AURORA-LIP-01"/>
    <s v="Lipstick"/>
    <n v="266.19"/>
    <x v="4"/>
    <n v="0"/>
    <s v="Laptop"/>
    <s v="142.20.196.97"/>
    <x v="0"/>
    <n v="331"/>
    <n v="1.26780088028194"/>
    <n v="0"/>
    <n v="0"/>
    <n v="0"/>
    <n v="0"/>
    <n v="0"/>
  </r>
  <r>
    <s v="d47db77b-24ab-4b02-a3c2-164931d4cb74"/>
    <s v="105ba3e1-0667-490c-8def-cb834c50631d"/>
    <d v="2025-06-07T00:00:00"/>
    <d v="1899-12-30T17:34:25"/>
    <n v="17"/>
    <n v="19"/>
    <s v="Bronze"/>
    <s v="Shanghai"/>
    <s v="FLAGSHIP-PARIS"/>
    <s v="NEBULA-SERUM-07"/>
    <s v="Eyeshadow Palette"/>
    <n v="266.19"/>
    <x v="0"/>
    <n v="0"/>
    <s v="Tablet"/>
    <s v="111.108.77.203"/>
    <x v="1"/>
    <n v="423"/>
    <n v="1.26780088028194"/>
    <n v="0"/>
    <n v="0"/>
    <n v="0"/>
    <n v="0"/>
    <n v="0"/>
  </r>
  <r>
    <s v="e688352f-24c1-4d9b-9935-e1c5a83504e3"/>
    <s v="3d685a61-9c18-4dbb-9c9c-66d8343c27d1"/>
    <d v="2025-05-19T00:00:00"/>
    <d v="1899-12-30T07:38:14"/>
    <n v="7"/>
    <n v="19"/>
    <s v="Bronze"/>
    <s v="Hong Kong"/>
    <s v="BOUTIQUE-NYC"/>
    <s v="SOLAR-BLUSH-04"/>
    <s v="Lipstick"/>
    <n v="266.18"/>
    <x v="2"/>
    <n v="1"/>
    <s v="Laptop"/>
    <s v="65.94.154.168"/>
    <x v="0"/>
    <n v="271"/>
    <n v="1.2676624376871792"/>
    <n v="0"/>
    <n v="0"/>
    <n v="1"/>
    <n v="3"/>
    <n v="0"/>
  </r>
  <r>
    <s v="f122b2eb-3c8b-4060-aeac-d34755a3bc10"/>
    <s v="db04a005-f148-45df-857d-b2954bd2f4c9"/>
    <d v="2025-06-09T00:00:00"/>
    <d v="1899-12-30T13:18:39"/>
    <n v="13"/>
    <n v="43"/>
    <s v="Bronze"/>
    <s v="Zurich"/>
    <s v="POPUP-TOKYO"/>
    <s v="CELESTE-EYE-05"/>
    <s v="Concealer"/>
    <n v="266.10000000000002"/>
    <x v="4"/>
    <n v="0"/>
    <s v="Tablet"/>
    <s v="64.179.36.115"/>
    <x v="0"/>
    <n v="166"/>
    <n v="1.2665548969290921"/>
    <n v="0"/>
    <n v="0"/>
    <n v="1"/>
    <n v="1"/>
    <n v="0"/>
  </r>
  <r>
    <s v="83304f89-5be5-45f1-92d7-580c7644377e"/>
    <s v="ae048803-9b0d-44c4-b839-3a9e44ec3188"/>
    <d v="2025-04-03T00:00:00"/>
    <d v="1899-12-30T12:26:02"/>
    <n v="12"/>
    <n v="64"/>
    <s v="Bronze"/>
    <s v="Los Angeles"/>
    <s v="BOUTIQUE-NYC"/>
    <s v="NEBULA-SERUM-07"/>
    <s v="Foundation"/>
    <n v="265.76"/>
    <x v="3"/>
    <n v="0"/>
    <s v="Desktop"/>
    <s v="96.90.83.223"/>
    <x v="0"/>
    <n v="222"/>
    <n v="1.26184784870722"/>
    <n v="0"/>
    <n v="0"/>
    <n v="1"/>
    <n v="1"/>
    <n v="0"/>
  </r>
  <r>
    <s v="18d4735d-592f-4bf9-b6b3-90d1a6894188"/>
    <s v="0589c7e9-d0f3-4d72-8bf4-489ff8e832f6"/>
    <d v="2025-08-04T00:00:00"/>
    <d v="1899-12-30T19:58:30"/>
    <n v="19"/>
    <n v="54"/>
    <s v="Bronze"/>
    <s v="Los Angeles"/>
    <s v="FLAGSHIP-ROME"/>
    <s v="ORION-CONCEAL-09"/>
    <s v="Mascara"/>
    <n v="265.7"/>
    <x v="2"/>
    <n v="1"/>
    <s v="Tablet"/>
    <s v="225.51.82.133"/>
    <x v="0"/>
    <n v="410"/>
    <n v="1.2610171931386545"/>
    <n v="0"/>
    <n v="0"/>
    <n v="0"/>
    <n v="2"/>
    <n v="0"/>
  </r>
  <r>
    <s v="3318aec3-c19e-4668-b30f-df5cfb398769"/>
    <s v="bdf75149-39c3-475c-8563-135ac8fa66cf"/>
    <d v="2025-05-02T00:00:00"/>
    <d v="1899-12-30T03:18:17"/>
    <n v="3"/>
    <n v="54"/>
    <s v="Unknown"/>
    <s v="New York"/>
    <s v="POPUP-TOKYO"/>
    <s v="GALAXIA-SET-08"/>
    <s v="Blush"/>
    <n v="265.58"/>
    <x v="3"/>
    <n v="0"/>
    <s v="Mobile"/>
    <s v="152.14.83.85"/>
    <x v="0"/>
    <n v="263"/>
    <n v="1.2593558820015234"/>
    <n v="0"/>
    <n v="1"/>
    <n v="1"/>
    <n v="3"/>
    <n v="0"/>
  </r>
  <r>
    <s v="89a01c1e-9407-46a0-9d5c-8cc200a6bc85"/>
    <s v="06265dfe-1b58-4e88-a401-63b143419fec"/>
    <d v="2025-06-23T00:00:00"/>
    <d v="1899-12-30T06:54:20"/>
    <n v="6"/>
    <n v="63"/>
    <s v="Bronze"/>
    <s v="Shanghai"/>
    <s v="CONCESSION-LONDON"/>
    <s v="ORION-CONCEAL-09"/>
    <s v="Foundation"/>
    <n v="265.49"/>
    <x v="4"/>
    <n v="0"/>
    <s v="Desktop"/>
    <s v="220.196.131.116"/>
    <x v="0"/>
    <n v="110"/>
    <n v="1.2581098986486754"/>
    <n v="0"/>
    <n v="0"/>
    <n v="1"/>
    <n v="1"/>
    <n v="0"/>
  </r>
  <r>
    <s v="14e04518-85f3-4e4a-9e3b-e4ea74d33e03"/>
    <s v="5c5c4ff1-36e0-4abd-96d3-187ef9966691"/>
    <d v="2025-02-28T00:00:00"/>
    <d v="1899-12-30T06:24:49"/>
    <n v="6"/>
    <n v="23"/>
    <s v="Gold"/>
    <s v="Singapore"/>
    <s v="FLAGSHIP-LA"/>
    <s v="LUNAR-MASC-02"/>
    <s v="Foundation"/>
    <n v="265.45"/>
    <x v="3"/>
    <n v="0"/>
    <s v="Mobile"/>
    <s v="88.151.227.169"/>
    <x v="0"/>
    <n v="267"/>
    <n v="1.2575561282696315"/>
    <n v="0"/>
    <n v="0"/>
    <n v="1"/>
    <n v="1"/>
    <n v="0"/>
  </r>
  <r>
    <s v="0aa5d501-7edd-4558-acf1-80203139e701"/>
    <s v="65cb5c83-ad46-4e81-ab95-6479da4b91c2"/>
    <d v="2025-08-12T00:00:00"/>
    <d v="1899-12-30T13:15:55"/>
    <n v="13"/>
    <n v="41"/>
    <s v="Silver"/>
    <s v="Miami"/>
    <s v="POPUP-TOKYO"/>
    <s v="NEBULA-SERUM-07"/>
    <s v="Highlighter"/>
    <n v="265.32"/>
    <x v="0"/>
    <n v="0"/>
    <s v="Mobile"/>
    <s v="69.77.168.200"/>
    <x v="0"/>
    <n v="462"/>
    <n v="1.2557563745377394"/>
    <n v="0"/>
    <n v="0"/>
    <n v="0"/>
    <n v="0"/>
    <n v="0"/>
  </r>
  <r>
    <s v="3c338e8a-4ae4-4be8-b990-61c288b01085"/>
    <s v="2adc069e-2ace-4ee1-af19-6bafe11812f3"/>
    <d v="2025-02-15T00:00:00"/>
    <d v="1899-12-30T15:22:33"/>
    <n v="15"/>
    <n v="62"/>
    <s v="Gold"/>
    <s v="Rome"/>
    <s v="CONCESSION-LONDON"/>
    <s v="ORION-CONCEAL-09"/>
    <s v="Concealer"/>
    <n v="265.18"/>
    <x v="3"/>
    <n v="0"/>
    <s v="Mobile"/>
    <s v="31.36.184.19"/>
    <x v="0"/>
    <n v="128"/>
    <n v="1.2538181782110867"/>
    <n v="0"/>
    <n v="0"/>
    <n v="1"/>
    <n v="1"/>
    <n v="0"/>
  </r>
  <r>
    <s v="21fcf6be-3da4-4ebe-a8e5-1a3253a89121"/>
    <s v="7c124c6d-993c-4e06-b9be-9e6db5f3a56e"/>
    <d v="2025-03-09T00:00:00"/>
    <d v="1899-12-30T20:50:56"/>
    <n v="20"/>
    <n v="30"/>
    <s v="Bronze"/>
    <s v="Geneva"/>
    <s v="BOUTIQUE-NYC"/>
    <s v="LUNAR-MASC-02"/>
    <s v="Setting Spray"/>
    <n v="265.16000000000003"/>
    <x v="0"/>
    <n v="0"/>
    <s v="Mobile"/>
    <s v="234.68.1.243"/>
    <x v="0"/>
    <n v="376"/>
    <n v="1.253541293021565"/>
    <n v="0"/>
    <n v="0"/>
    <n v="0"/>
    <n v="0"/>
    <n v="0"/>
  </r>
  <r>
    <s v="79939c44-103b-40ca-a473-9847ab7d2431"/>
    <s v="c119b5be-9a4b-407c-a9e2-49acc39340d9"/>
    <d v="2025-06-17T00:00:00"/>
    <d v="1899-12-30T15:31:57"/>
    <n v="15"/>
    <n v="47"/>
    <s v="Bronze"/>
    <s v="Zurich"/>
    <s v="BOUTIQUE-NYC"/>
    <s v="SOLAR-BLUSH-04"/>
    <s v="Blush"/>
    <n v="265.14999999999998"/>
    <x v="1"/>
    <n v="0"/>
    <s v="Desktop"/>
    <s v="17.63.106.60"/>
    <x v="0"/>
    <n v="276"/>
    <n v="1.2534028504268035"/>
    <n v="0"/>
    <n v="0"/>
    <n v="0"/>
    <n v="0"/>
    <n v="0"/>
  </r>
  <r>
    <s v="cfe6dcf9-2e0b-49f0-b668-f4e2f38374a0"/>
    <s v="e08580d9-b170-441f-a72d-d6a2e2c22fcd"/>
    <d v="2025-07-12T00:00:00"/>
    <d v="1899-12-30T14:57:55"/>
    <n v="14"/>
    <n v="45"/>
    <s v="Bronze"/>
    <s v="Los Angeles"/>
    <s v="BOUTIQUE-DUBAI"/>
    <s v="SOLAR-BLUSH-04"/>
    <s v="Setting Spray"/>
    <n v="264.79000000000002"/>
    <x v="0"/>
    <n v="0"/>
    <s v="Mobile"/>
    <s v="64.187.72.122"/>
    <x v="0"/>
    <n v="278"/>
    <n v="1.2484189170154107"/>
    <n v="0"/>
    <n v="0"/>
    <n v="0"/>
    <n v="0"/>
    <n v="0"/>
  </r>
  <r>
    <s v="bc6413f4-afb9-4354-b0f8-ff95da9c4ab4"/>
    <s v="61d33cf1-4894-4f73-b074-35717db5ec38"/>
    <d v="2025-07-16T00:00:00"/>
    <d v="1899-12-30T17:11:29"/>
    <n v="17"/>
    <n v="51"/>
    <s v="Bronze"/>
    <s v="London"/>
    <s v="FLAGSHIP-LA"/>
    <s v="SOLAR-BLUSH-04"/>
    <s v="Concealer"/>
    <n v="264.69"/>
    <x v="3"/>
    <n v="0"/>
    <s v="Laptop"/>
    <s v="106.95.204.198"/>
    <x v="0"/>
    <n v="452"/>
    <n v="1.2470344910678013"/>
    <n v="0"/>
    <n v="0"/>
    <n v="0"/>
    <n v="0"/>
    <n v="0"/>
  </r>
  <r>
    <s v="927ccae0-76ce-4786-8b8b-4e576b12a7e2"/>
    <s v="ed8346da-a917-4081-9f0f-1f7ecb3a12ef"/>
    <d v="2025-03-13T00:00:00"/>
    <d v="1899-12-30T23:39:56"/>
    <n v="23"/>
    <n v="21"/>
    <s v="Bronze"/>
    <s v="Cannes"/>
    <s v="POPUP-MILAN"/>
    <s v="STELLAR-FOUND-03"/>
    <s v="Blush"/>
    <n v="264.58"/>
    <x v="1"/>
    <n v="0"/>
    <s v="Desktop"/>
    <s v="228.207.101.154"/>
    <x v="0"/>
    <n v="420"/>
    <n v="1.245511622525431"/>
    <n v="0"/>
    <n v="0"/>
    <n v="0"/>
    <n v="0"/>
    <n v="0"/>
  </r>
  <r>
    <s v="10a0e858-d643-47dc-8503-ff6651a75bdc"/>
    <s v="d29ed971-3114-45fb-a337-a23c8038b84c"/>
    <d v="2025-04-25T00:00:00"/>
    <d v="1899-12-30T02:11:27"/>
    <n v="2"/>
    <n v="41"/>
    <s v="Platinum"/>
    <s v="Hong Kong"/>
    <s v="BOUTIQUE-NYC"/>
    <s v="COSMIC-HIGHLIGHT-06"/>
    <s v="Lipstick"/>
    <n v="264.33"/>
    <x v="3"/>
    <n v="0"/>
    <s v="Tablet"/>
    <s v="248.204.45.10"/>
    <x v="0"/>
    <n v="468"/>
    <n v="1.2420505576564078"/>
    <n v="0"/>
    <n v="1"/>
    <n v="0"/>
    <n v="2"/>
    <n v="0"/>
  </r>
  <r>
    <s v="f5c49237-bd38-4311-8cb5-11a41b544c20"/>
    <s v="f5dce78d-9bbf-4fc5-8df1-4622a245d14c"/>
    <d v="2025-07-02T00:00:00"/>
    <d v="1899-12-30T00:35:17"/>
    <n v="0"/>
    <n v="41"/>
    <s v="None"/>
    <s v="Los Angeles"/>
    <s v="BOUTIQUE-NYC"/>
    <s v="SOLAR-BLUSH-04"/>
    <s v="Highlighter"/>
    <n v="264.3"/>
    <x v="3"/>
    <n v="0"/>
    <s v="Laptop"/>
    <s v="49.107.46.184"/>
    <x v="0"/>
    <n v="84"/>
    <n v="1.2416352298721254"/>
    <n v="0"/>
    <n v="1"/>
    <n v="1"/>
    <n v="3"/>
    <n v="0"/>
  </r>
  <r>
    <s v="33cd0454-8a2e-48c1-9873-c623ac13d74e"/>
    <s v="3e58a2ea-5aae-4fb0-ba32-4f60fffbfcc6"/>
    <d v="2025-03-04T00:00:00"/>
    <d v="1899-12-30T06:33:00"/>
    <n v="6"/>
    <n v="38"/>
    <s v="Silver"/>
    <s v="Paris"/>
    <s v="BOUTIQUE-NYC"/>
    <s v="NEBULA-SERUM-07"/>
    <s v="Setting Spray"/>
    <n v="264.16000000000003"/>
    <x v="0"/>
    <n v="0"/>
    <s v="Tablet"/>
    <s v="227.86.147.132"/>
    <x v="0"/>
    <n v="364"/>
    <n v="1.2396970335454727"/>
    <n v="0"/>
    <n v="0"/>
    <n v="0"/>
    <n v="0"/>
    <n v="0"/>
  </r>
  <r>
    <s v="ec6630f1-6aee-418b-858e-cc8ac080fa11"/>
    <s v="4b9aed17-907f-4b72-ac27-6294e78c33c6"/>
    <d v="2025-03-28T00:00:00"/>
    <d v="1899-12-30T17:33:08"/>
    <n v="17"/>
    <n v="46"/>
    <s v="Unknown"/>
    <s v="Dubai"/>
    <s v="BOUTIQUE-DUBAI"/>
    <s v="ECLIPSE-EYE-10"/>
    <s v="Mascara"/>
    <n v="264.14"/>
    <x v="3"/>
    <n v="0"/>
    <s v="Mobile"/>
    <s v="64.120.159.43"/>
    <x v="0"/>
    <n v="339"/>
    <n v="1.2394201483559502"/>
    <n v="0"/>
    <n v="0"/>
    <n v="0"/>
    <n v="0"/>
    <n v="0"/>
  </r>
  <r>
    <s v="4e3bb4bc-3af7-47b3-a28d-0611887fbe09"/>
    <s v="8273e436-0633-4986-bd5c-e70ef76be1cb"/>
    <d v="2025-04-11T00:00:00"/>
    <d v="1899-12-30T02:38:02"/>
    <n v="2"/>
    <n v="42"/>
    <s v="Bronze"/>
    <s v="Monte Carlo"/>
    <s v="POPUP-TOKYO"/>
    <s v="SOLAR-BLUSH-04"/>
    <s v="Eyeshadow Palette"/>
    <n v="264.14"/>
    <x v="3"/>
    <n v="0"/>
    <s v="Desktop"/>
    <s v="132.198.216.181"/>
    <x v="0"/>
    <n v="241"/>
    <n v="1.2394201483559502"/>
    <n v="0"/>
    <n v="1"/>
    <n v="1"/>
    <n v="3"/>
    <n v="0"/>
  </r>
  <r>
    <s v="1ba0b3ce-6f6a-4c2d-8a43-c7c13d00867f"/>
    <s v="be324da9-6626-4e45-bcfc-30f49517dfab"/>
    <d v="2025-02-23T00:00:00"/>
    <d v="1899-12-30T17:40:13"/>
    <n v="17"/>
    <n v="27"/>
    <s v="Silver"/>
    <s v="Sydney"/>
    <s v="POPUP-MILAN"/>
    <s v="SOLAR-BLUSH-04"/>
    <s v="Lipstick"/>
    <n v="264.11"/>
    <x v="3"/>
    <n v="0"/>
    <s v="Laptop"/>
    <s v="27.159.84.105"/>
    <x v="0"/>
    <n v="444"/>
    <n v="1.2390048205716679"/>
    <n v="0"/>
    <n v="0"/>
    <n v="0"/>
    <n v="0"/>
    <n v="0"/>
  </r>
  <r>
    <s v="0b2510ae-dbce-4957-906b-bac751631c86"/>
    <s v="a8e7b5dc-b305-4c1a-8e6f-69b10809761d"/>
    <d v="2025-03-02T00:00:00"/>
    <d v="1899-12-30T12:20:11"/>
    <n v="12"/>
    <n v="56"/>
    <s v="VIP"/>
    <s v="Dubai"/>
    <s v="POPUP-MILAN"/>
    <s v="STELLAR-FOUND-03"/>
    <s v="Mascara"/>
    <n v="264.04000000000002"/>
    <x v="3"/>
    <n v="0"/>
    <s v="Tablet"/>
    <s v="44.175.112.151"/>
    <x v="0"/>
    <n v="408"/>
    <n v="1.2380357224083416"/>
    <n v="0"/>
    <n v="0"/>
    <n v="0"/>
    <n v="0"/>
    <n v="0"/>
  </r>
  <r>
    <s v="ead74066-2c8a-4e26-a8e0-b883b540389c"/>
    <s v="4028adb8-8d19-4f3d-8abf-536efae7760e"/>
    <d v="2025-03-11T00:00:00"/>
    <d v="1899-12-30T12:13:29"/>
    <n v="12"/>
    <n v="45"/>
    <s v="Bronze"/>
    <s v="Singapore"/>
    <s v="POPUP-TOKYO"/>
    <s v="GALAXIA-SET-08"/>
    <s v="Mascara"/>
    <n v="263.88"/>
    <x v="1"/>
    <n v="0"/>
    <s v="Desktop"/>
    <s v="147.195.12.66"/>
    <x v="0"/>
    <n v="321"/>
    <n v="1.2358206408921664"/>
    <n v="0"/>
    <n v="0"/>
    <n v="0"/>
    <n v="0"/>
    <n v="0"/>
  </r>
  <r>
    <s v="da0a8c73-8495-4c1b-9c92-e2e61971f199"/>
    <s v="5984baaa-3e88-4afa-8082-16799ba2cbac"/>
    <d v="2025-08-09T00:00:00"/>
    <d v="1899-12-30T08:46:23"/>
    <n v="8"/>
    <n v="18"/>
    <s v="Silver"/>
    <s v="Hong Kong"/>
    <s v="CONCESSION-SINGAPORE"/>
    <s v="CELESTE-EYE-05"/>
    <s v="Eyeshadow Palette"/>
    <n v="263.37"/>
    <x v="4"/>
    <n v="0"/>
    <s v="Mobile"/>
    <s v="248.8.18.173"/>
    <x v="0"/>
    <n v="145"/>
    <n v="1.2287600685593594"/>
    <n v="0"/>
    <n v="0"/>
    <n v="1"/>
    <n v="1"/>
    <n v="0"/>
  </r>
  <r>
    <s v="8402ca68-32d8-4333-9d9d-9712eb52f447"/>
    <s v="96b8b0b0-bd36-484c-934f-eac1572cb307"/>
    <d v="2025-05-03T00:00:00"/>
    <d v="1899-12-30T14:04:51"/>
    <n v="14"/>
    <n v="46"/>
    <s v="Silver"/>
    <s v="Hong Kong"/>
    <s v="POPUP-MILAN"/>
    <s v="NEBULA-SERUM-07"/>
    <s v="Concealer"/>
    <n v="263.29000000000002"/>
    <x v="3"/>
    <n v="0"/>
    <s v="Tablet"/>
    <s v="40.107.115.26"/>
    <x v="0"/>
    <n v="193"/>
    <n v="1.2276525278012722"/>
    <n v="0"/>
    <n v="0"/>
    <n v="1"/>
    <n v="1"/>
    <n v="0"/>
  </r>
  <r>
    <s v="8933f1c2-2842-4757-bba1-9034da818627"/>
    <s v="5ccb1a8c-dba4-4466-a339-6ab3978b1673"/>
    <d v="2025-04-15T00:00:00"/>
    <d v="1899-12-30T17:17:39"/>
    <n v="17"/>
    <n v="48"/>
    <s v="Silver"/>
    <s v="Tokyo"/>
    <s v="FLAGSHIP-PARIS"/>
    <s v="GALAXIA-SET-08"/>
    <s v="Lipstick"/>
    <n v="263.29000000000002"/>
    <x v="1"/>
    <n v="0"/>
    <s v="Mobile"/>
    <s v="194.91.203.38"/>
    <x v="0"/>
    <n v="88"/>
    <n v="1.2276525278012722"/>
    <n v="0"/>
    <n v="0"/>
    <n v="1"/>
    <n v="1"/>
    <n v="0"/>
  </r>
  <r>
    <s v="3f4cb011-47b7-463e-9258-56579b07291b"/>
    <s v="e2b726ba-295d-42c2-b43c-33660a25b959"/>
    <d v="2025-05-02T00:00:00"/>
    <d v="1899-12-30T21:27:56"/>
    <n v="21"/>
    <n v="31"/>
    <s v="Silver"/>
    <s v="Paris"/>
    <s v="BOUTIQUE-NYC"/>
    <s v="GALAXIA-SET-08"/>
    <s v="Mascara"/>
    <n v="263"/>
    <x v="4"/>
    <n v="0"/>
    <s v="Laptop"/>
    <s v="19.213.133.61"/>
    <x v="0"/>
    <n v="113"/>
    <n v="1.2236376925532051"/>
    <n v="0"/>
    <n v="0"/>
    <n v="1"/>
    <n v="1"/>
    <n v="0"/>
  </r>
  <r>
    <s v="1c76a4fb-2703-4116-9b8e-0288d820f406"/>
    <s v="9dd09fc6-d796-4e00-9bca-5da74d7579df"/>
    <d v="2025-02-17T00:00:00"/>
    <d v="1899-12-30T01:22:41"/>
    <n v="1"/>
    <n v="25"/>
    <s v="Unknown"/>
    <s v="Dubai"/>
    <s v="BOUTIQUE-DUBAI"/>
    <s v="ORION-CONCEAL-09"/>
    <s v="Highlighter"/>
    <n v="262.81"/>
    <x v="3"/>
    <n v="0"/>
    <s v="Desktop"/>
    <s v="143.155.84.251"/>
    <x v="0"/>
    <n v="311"/>
    <n v="1.2210072832527474"/>
    <n v="0"/>
    <n v="1"/>
    <n v="0"/>
    <n v="2"/>
    <n v="0"/>
  </r>
  <r>
    <s v="a2ddc13a-091a-42d8-8179-5d08154834d3"/>
    <s v="ea26ae10-7cca-4490-a2ed-09ee39bb3418"/>
    <d v="2025-04-29T00:00:00"/>
    <d v="1899-12-30T18:57:33"/>
    <n v="18"/>
    <n v="43"/>
    <s v="Gold"/>
    <s v="Tokyo"/>
    <s v="FLAGSHIP-LA"/>
    <s v="GALAXIA-SET-08"/>
    <s v="Blush"/>
    <n v="262.7"/>
    <x v="0"/>
    <n v="0"/>
    <s v="Desktop"/>
    <s v="81.222.194.13"/>
    <x v="0"/>
    <n v="465"/>
    <n v="1.2194844147103772"/>
    <n v="0"/>
    <n v="0"/>
    <n v="0"/>
    <n v="0"/>
    <n v="0"/>
  </r>
  <r>
    <s v="eba7134d-8eb4-4999-991c-13367b407ab3"/>
    <s v="32e8e52c-8255-4284-9eb8-e818d978cc84"/>
    <d v="2025-03-01T00:00:00"/>
    <d v="1899-12-30T22:44:36"/>
    <n v="22"/>
    <n v="64"/>
    <s v="Silver"/>
    <s v="Las Vegas"/>
    <s v="POPUP-TOKYO"/>
    <s v="NEBULA-SERUM-07"/>
    <s v="Foundation"/>
    <n v="262.55"/>
    <x v="3"/>
    <n v="0"/>
    <s v="Desktop"/>
    <s v="146.126.125.131"/>
    <x v="0"/>
    <n v="367"/>
    <n v="1.2174077757889636"/>
    <n v="0"/>
    <n v="0"/>
    <n v="0"/>
    <n v="0"/>
    <n v="0"/>
  </r>
  <r>
    <s v="4006d82f-2e93-49d5-88f0-aeb003684aa0"/>
    <s v="8908da17-a168-4c7a-bae1-edeeae4ef76b"/>
    <d v="2025-03-14T00:00:00"/>
    <d v="1899-12-30T10:26:23"/>
    <n v="10"/>
    <n v="54"/>
    <s v="Silver"/>
    <s v="New York"/>
    <s v="POPUP-TOKYO"/>
    <s v="AURORA-LIP-01"/>
    <s v="Eyeliner"/>
    <n v="262.42"/>
    <x v="3"/>
    <n v="0"/>
    <s v="Mobile"/>
    <s v="165.218.144.73"/>
    <x v="0"/>
    <n v="290"/>
    <n v="1.2156080220570717"/>
    <n v="0"/>
    <n v="0"/>
    <n v="0"/>
    <n v="0"/>
    <n v="0"/>
  </r>
  <r>
    <s v="bd203a0f-ffcb-4e42-95b2-973d3cc8ac15"/>
    <s v="ca7f24f6-e1f8-40aa-a8dd-d8c2fed34fc7"/>
    <d v="2025-05-22T00:00:00"/>
    <d v="1899-12-30T08:52:24"/>
    <n v="8"/>
    <n v="57"/>
    <s v="Bronze"/>
    <s v="Rome"/>
    <s v="FLAGSHIP-PARIS"/>
    <s v="ORION-CONCEAL-09"/>
    <s v="Foundation"/>
    <n v="262.42"/>
    <x v="4"/>
    <n v="0"/>
    <s v="Laptop"/>
    <s v="181.124.49.198"/>
    <x v="0"/>
    <n v="224"/>
    <n v="1.2156080220570717"/>
    <n v="0"/>
    <n v="0"/>
    <n v="1"/>
    <n v="1"/>
    <n v="0"/>
  </r>
  <r>
    <s v="7272a60f-4eed-4a4b-a800-cdb698868497"/>
    <s v="968e96fb-83c6-4e54-ad03-912e22b0f2f2"/>
    <d v="2025-06-09T00:00:00"/>
    <d v="1899-12-30T23:02:35"/>
    <n v="23"/>
    <n v="28"/>
    <s v="Unknown"/>
    <s v="Dubai"/>
    <s v="FLAGSHIP-PARIS"/>
    <s v="SOLAR-BLUSH-04"/>
    <s v="Setting Spray"/>
    <n v="262.37"/>
    <x v="0"/>
    <n v="0"/>
    <s v="Mobile"/>
    <s v="83.69.153.0"/>
    <x v="0"/>
    <n v="106"/>
    <n v="1.2149158090832668"/>
    <n v="0"/>
    <n v="0"/>
    <n v="1"/>
    <n v="1"/>
    <n v="0"/>
  </r>
  <r>
    <s v="1beee448-aa36-41f0-94b3-9a29f019cdac"/>
    <s v="04117ae0-a308-4f8a-99d1-16e471336a1e"/>
    <d v="2025-05-08T00:00:00"/>
    <d v="1899-12-30T22:48:42"/>
    <n v="22"/>
    <n v="51"/>
    <s v="Bronze"/>
    <s v="Shanghai"/>
    <s v="BOUTIQUE-NYC"/>
    <s v="LUNAR-MASC-02"/>
    <s v="Lipstick"/>
    <n v="262.35000000000002"/>
    <x v="4"/>
    <n v="0"/>
    <s v="Laptop"/>
    <s v="118.210.116.205"/>
    <x v="0"/>
    <n v="229"/>
    <n v="1.2146389238937452"/>
    <n v="0"/>
    <n v="0"/>
    <n v="1"/>
    <n v="1"/>
    <n v="0"/>
  </r>
  <r>
    <s v="b2e82037-5fda-4f7f-a8ce-8f6653137b37"/>
    <s v="bc40e81d-f9f5-4a5f-9f4a-27c99a1339ce"/>
    <d v="2025-07-11T00:00:00"/>
    <d v="1899-12-30T20:11:20"/>
    <n v="20"/>
    <n v="28"/>
    <s v="Platinum"/>
    <s v="Zurich"/>
    <s v="CONCESSION-SINGAPORE"/>
    <s v="CELESTE-EYE-05"/>
    <s v="Foundation"/>
    <n v="262.14"/>
    <x v="0"/>
    <n v="0"/>
    <s v="Desktop"/>
    <s v="6.22.52.151"/>
    <x v="0"/>
    <n v="139"/>
    <n v="1.2117316294037654"/>
    <n v="0"/>
    <n v="0"/>
    <n v="1"/>
    <n v="1"/>
    <n v="0"/>
  </r>
  <r>
    <s v="ecef6965-1614-4fe7-b4ef-352c4f9e65a8"/>
    <s v="204762f7-6577-4bb8-bf10-8ee3fd8af006"/>
    <d v="2025-08-01T00:00:00"/>
    <d v="1899-12-30T23:21:50"/>
    <n v="23"/>
    <n v="49"/>
    <s v="Gold"/>
    <s v="Cannes"/>
    <s v="BOUTIQUE-NYC"/>
    <s v="ECLIPSE-EYE-10"/>
    <s v="Concealer"/>
    <n v="261.89"/>
    <x v="4"/>
    <n v="0"/>
    <s v="Desktop"/>
    <s v="103.112.228.182"/>
    <x v="0"/>
    <n v="299"/>
    <n v="1.2082705645347422"/>
    <n v="0"/>
    <n v="0"/>
    <n v="0"/>
    <n v="0"/>
    <n v="0"/>
  </r>
  <r>
    <s v="90a1c018-a98f-4769-8998-aeee999bb414"/>
    <s v="86c49195-4eec-4be9-8d0c-3b4223bdd432"/>
    <d v="2025-02-14T00:00:00"/>
    <d v="1899-12-30T22:05:18"/>
    <n v="22"/>
    <n v="48"/>
    <s v="Bronze"/>
    <s v="Paris"/>
    <s v="POPUP-TOKYO"/>
    <s v="GALAXIA-SET-08"/>
    <s v="Eyeshadow Palette"/>
    <n v="261.89"/>
    <x v="3"/>
    <n v="0"/>
    <s v="Tablet"/>
    <s v="255.76.117.61"/>
    <x v="0"/>
    <n v="194"/>
    <n v="1.2082705645347422"/>
    <n v="0"/>
    <n v="0"/>
    <n v="1"/>
    <n v="1"/>
    <n v="0"/>
  </r>
  <r>
    <s v="4af9373f-9442-457d-9b51-e5680cad14c6"/>
    <s v="1611a85f-3de9-4786-8ca3-770f87dac069"/>
    <d v="2025-07-15T00:00:00"/>
    <d v="1899-12-30T05:35:25"/>
    <n v="5"/>
    <n v="46"/>
    <s v="Bronze"/>
    <s v="Shanghai"/>
    <s v="FLAGSHIP-ROME"/>
    <s v="LUNAR-MASC-02"/>
    <s v="Eyeshadow Palette"/>
    <n v="261.8"/>
    <x v="2"/>
    <n v="1"/>
    <s v="Tablet"/>
    <s v="212.30.149.203"/>
    <x v="0"/>
    <n v="287"/>
    <n v="1.2070245811818943"/>
    <n v="0"/>
    <n v="1"/>
    <n v="0"/>
    <n v="4"/>
    <n v="0"/>
  </r>
  <r>
    <s v="c202785b-3da1-4fb6-b8d8-69941bc7d349"/>
    <s v="083af8b1-54f1-454b-ad14-2bc698a658c4"/>
    <d v="2025-05-29T00:00:00"/>
    <d v="1899-12-30T13:23:57"/>
    <n v="13"/>
    <n v="50"/>
    <s v="Silver"/>
    <s v="Geneva"/>
    <s v="POPUP-MILAN"/>
    <s v="STELLAR-FOUND-03"/>
    <s v="Mascara"/>
    <n v="261.68"/>
    <x v="0"/>
    <n v="0"/>
    <s v="Mobile"/>
    <s v="38.142.178.180"/>
    <x v="0"/>
    <n v="385"/>
    <n v="1.2053632700447632"/>
    <n v="0"/>
    <n v="0"/>
    <n v="0"/>
    <n v="0"/>
    <n v="0"/>
  </r>
  <r>
    <s v="ad0b8531-f17f-4e7b-80aa-8b081e93f36e"/>
    <s v="5a370cc3-4091-400b-ac61-2a89eb74a499"/>
    <d v="2025-08-07T00:00:00"/>
    <d v="1899-12-30T13:52:23"/>
    <n v="13"/>
    <n v="37"/>
    <s v="Bronze"/>
    <s v="Dubai"/>
    <s v="BOUTIQUE-DUBAI"/>
    <s v="ECLIPSE-EYE-10"/>
    <s v="Mascara"/>
    <n v="261.66000000000003"/>
    <x v="0"/>
    <n v="0"/>
    <s v="Mobile"/>
    <s v="163.14.114.70"/>
    <x v="0"/>
    <n v="60"/>
    <n v="1.2050863848552416"/>
    <n v="0"/>
    <n v="0"/>
    <n v="1"/>
    <n v="1"/>
    <n v="0"/>
  </r>
  <r>
    <s v="8841632c-56b3-457e-bae5-1b6321d60f2d"/>
    <s v="17efc89e-b4aa-44e4-b72b-7dc4ee6eaa56"/>
    <d v="2025-03-13T00:00:00"/>
    <d v="1899-12-30T01:35:16"/>
    <n v="1"/>
    <n v="62"/>
    <s v="Silver"/>
    <s v="Miami"/>
    <s v="BOUTIQUE-DUBAI"/>
    <s v="LUNAR-MASC-02"/>
    <s v="Eyeliner"/>
    <n v="261.57"/>
    <x v="1"/>
    <n v="0"/>
    <s v="Laptop"/>
    <s v="34.165.178.206"/>
    <x v="0"/>
    <n v="91"/>
    <n v="1.2038404015023927"/>
    <n v="0"/>
    <n v="1"/>
    <n v="1"/>
    <n v="3"/>
    <n v="0"/>
  </r>
  <r>
    <s v="0e7125b4-3cb0-43a1-9fb4-63fd706eb5cb"/>
    <s v="ad3f45dd-fadf-4ee6-a269-f7f71dde6ab4"/>
    <d v="2025-07-03T00:00:00"/>
    <d v="1899-12-30T11:16:15"/>
    <n v="11"/>
    <n v="64"/>
    <s v="Silver"/>
    <s v="Singapore"/>
    <s v="FLAGSHIP-ROME"/>
    <s v="GALAXIA-SET-08"/>
    <s v="Concealer"/>
    <n v="261.5"/>
    <x v="0"/>
    <n v="0"/>
    <s v="Mobile"/>
    <s v="131.217.211.48"/>
    <x v="0"/>
    <n v="77"/>
    <n v="1.2028713033390663"/>
    <n v="0"/>
    <n v="0"/>
    <n v="1"/>
    <n v="1"/>
    <n v="0"/>
  </r>
  <r>
    <s v="69cec7f6-c975-4bcf-a419-d9ec3514d56c"/>
    <s v="882d4c4d-9ac5-4046-925a-17a7ee5e2c28"/>
    <d v="2025-06-14T00:00:00"/>
    <d v="1899-12-30T19:39:17"/>
    <n v="19"/>
    <n v="39"/>
    <s v="Bronze"/>
    <s v="Sydney"/>
    <s v="BOUTIQUE-DUBAI"/>
    <s v="NEBULA-SERUM-07"/>
    <s v="Highlighter"/>
    <n v="261.47000000000003"/>
    <x v="1"/>
    <n v="0"/>
    <s v="Desktop"/>
    <s v="169.42.48.206"/>
    <x v="0"/>
    <n v="133"/>
    <n v="1.2024559755547839"/>
    <n v="0"/>
    <n v="0"/>
    <n v="1"/>
    <n v="1"/>
    <n v="0"/>
  </r>
  <r>
    <s v="9ec81588-281d-4b8f-9996-2d628202f5c5"/>
    <s v="6d660c7d-20bc-45ab-9089-8013e5987b93"/>
    <d v="2025-07-16T00:00:00"/>
    <d v="1899-12-30T20:14:43"/>
    <n v="20"/>
    <n v="48"/>
    <s v="Gold"/>
    <s v="Cannes"/>
    <s v="CONCESSION-LONDON"/>
    <s v="COSMIC-HIGHLIGHT-06"/>
    <s v="Eyeshadow Palette"/>
    <n v="261.33"/>
    <x v="0"/>
    <n v="0"/>
    <s v="Tablet"/>
    <s v="98.208.156.118"/>
    <x v="0"/>
    <n v="69"/>
    <n v="1.2005177792281305"/>
    <n v="0"/>
    <n v="0"/>
    <n v="1"/>
    <n v="1"/>
    <n v="0"/>
  </r>
  <r>
    <s v="08838373-1498-4adb-a89b-586a934b464d"/>
    <s v="7e07c494-f7a5-428d-8611-83875dd74828"/>
    <d v="2025-04-10T00:00:00"/>
    <d v="1899-12-30T02:25:43"/>
    <n v="2"/>
    <n v="20"/>
    <s v="Platinum"/>
    <s v="Rome"/>
    <s v="BOUTIQUE-NYC"/>
    <s v="ECLIPSE-EYE-10"/>
    <s v="Setting Spray"/>
    <n v="261.23"/>
    <x v="3"/>
    <n v="0"/>
    <s v="Laptop"/>
    <s v="108.228.166.126"/>
    <x v="0"/>
    <n v="138"/>
    <n v="1.1991333532805217"/>
    <n v="0"/>
    <n v="1"/>
    <n v="1"/>
    <n v="3"/>
    <n v="0"/>
  </r>
  <r>
    <s v="581853c6-aa4c-46e5-b3c3-7e1035ef59e3"/>
    <s v="1181ac99-2684-4ce6-92e9-e7229839415c"/>
    <d v="2025-07-05T00:00:00"/>
    <d v="1899-12-30T08:15:18"/>
    <n v="8"/>
    <n v="51"/>
    <s v="Silver"/>
    <s v="London"/>
    <s v="CONCESSION-SINGAPORE"/>
    <s v="SOLAR-BLUSH-04"/>
    <s v="Eyeliner"/>
    <n v="261.08999999999997"/>
    <x v="1"/>
    <n v="0"/>
    <s v="Tablet"/>
    <s v="25.112.57.147"/>
    <x v="0"/>
    <n v="320"/>
    <n v="1.1971951569538681"/>
    <n v="0"/>
    <n v="0"/>
    <n v="0"/>
    <n v="0"/>
    <n v="0"/>
  </r>
  <r>
    <s v="dc908391-cd69-4a31-ae79-c4ab60f2d503"/>
    <s v="7d1e4726-9182-4412-a13b-7c9cd5fbe04c"/>
    <d v="2025-05-19T00:00:00"/>
    <d v="1899-12-30T04:36:37"/>
    <n v="4"/>
    <n v="63"/>
    <s v="Bronze"/>
    <s v="Monaco"/>
    <s v="POPUP-TOKYO"/>
    <s v="ORION-CONCEAL-09"/>
    <s v="Highlighter"/>
    <n v="260.91000000000003"/>
    <x v="3"/>
    <n v="0"/>
    <s v="Mobile"/>
    <s v="73.22.160.179"/>
    <x v="0"/>
    <n v="429"/>
    <n v="1.1947031902481722"/>
    <n v="0"/>
    <n v="1"/>
    <n v="0"/>
    <n v="2"/>
    <n v="0"/>
  </r>
  <r>
    <s v="82119403-d456-41b3-a431-895e32e723af"/>
    <s v="a323b437-0e67-4a16-bf21-61e058f114e4"/>
    <d v="2025-03-27T00:00:00"/>
    <d v="1899-12-30T13:43:31"/>
    <n v="13"/>
    <n v="57"/>
    <s v="VIP"/>
    <s v="Las Vegas"/>
    <s v="BOUTIQUE-NYC"/>
    <s v="ORION-CONCEAL-09"/>
    <s v="Eyeliner"/>
    <n v="260.7"/>
    <x v="0"/>
    <n v="0"/>
    <s v="Laptop"/>
    <s v="251.212.253.148"/>
    <x v="0"/>
    <n v="464"/>
    <n v="1.1917958957581922"/>
    <n v="0"/>
    <n v="0"/>
    <n v="0"/>
    <n v="0"/>
    <n v="0"/>
  </r>
  <r>
    <s v="f7d2eaa1-4386-47bc-863d-24d0e044b6a7"/>
    <s v="bcd0e6bb-70e8-45a0-a6e0-68dd5ece9162"/>
    <d v="2025-07-10T00:00:00"/>
    <d v="1899-12-30T06:52:40"/>
    <n v="6"/>
    <n v="60"/>
    <s v="Silver"/>
    <s v="Hong Kong"/>
    <s v="CONCESSION-LONDON"/>
    <s v="ECLIPSE-EYE-10"/>
    <s v="Foundation"/>
    <n v="260.62"/>
    <x v="2"/>
    <n v="1"/>
    <s v="Desktop"/>
    <s v="201.63.89.156"/>
    <x v="1"/>
    <n v="454"/>
    <n v="1.1906883550001051"/>
    <n v="0"/>
    <n v="0"/>
    <n v="0"/>
    <n v="2"/>
    <n v="0"/>
  </r>
  <r>
    <s v="248da883-e08e-4bc9-8424-9647c8fb6f71"/>
    <s v="9cfd111c-7335-4752-99d6-a8754a0a3f9a"/>
    <d v="2025-07-20T00:00:00"/>
    <d v="1899-12-30T10:53:18"/>
    <n v="10"/>
    <n v="48"/>
    <s v="Bronze"/>
    <s v="Miami"/>
    <s v="CONCESSION-LONDON"/>
    <s v="GALAXIA-SET-08"/>
    <s v="Highlighter"/>
    <n v="260.61"/>
    <x v="1"/>
    <n v="0"/>
    <s v="Laptop"/>
    <s v="72.252.107.3"/>
    <x v="0"/>
    <n v="382"/>
    <n v="1.1905499124053442"/>
    <n v="0"/>
    <n v="0"/>
    <n v="0"/>
    <n v="0"/>
    <n v="0"/>
  </r>
  <r>
    <s v="fb7bd47c-8fec-45e9-930e-fe5f251ae3c9"/>
    <s v="9e99b02b-4bc0-452e-96d4-0289ca63898c"/>
    <d v="2025-06-01T00:00:00"/>
    <d v="1899-12-30T12:17:11"/>
    <n v="12"/>
    <n v="20"/>
    <s v="Gold"/>
    <s v="New York"/>
    <s v="FLAGSHIP-PARIS"/>
    <s v="STELLAR-FOUND-03"/>
    <s v="Setting Spray"/>
    <n v="260.49"/>
    <x v="0"/>
    <n v="0"/>
    <s v="Tablet"/>
    <s v="163.188.29.197"/>
    <x v="0"/>
    <n v="357"/>
    <n v="1.1888886012682132"/>
    <n v="0"/>
    <n v="0"/>
    <n v="0"/>
    <n v="0"/>
    <n v="0"/>
  </r>
  <r>
    <s v="ce167ed2-3f96-4d35-8228-5d2192dfb562"/>
    <s v="7ecafb40-f541-4ad4-af78-d12553c1d852"/>
    <d v="2025-05-31T00:00:00"/>
    <d v="1899-12-30T05:06:26"/>
    <n v="5"/>
    <n v="41"/>
    <s v="Bronze"/>
    <s v="Zurich"/>
    <s v="FLAGSHIP-LA"/>
    <s v="ECLIPSE-EYE-10"/>
    <s v="Foundation"/>
    <n v="260.49"/>
    <x v="1"/>
    <n v="0"/>
    <s v="Tablet"/>
    <s v="75.192.81.204"/>
    <x v="0"/>
    <n v="352"/>
    <n v="1.1888886012682132"/>
    <n v="0"/>
    <n v="1"/>
    <n v="0"/>
    <n v="2"/>
    <n v="0"/>
  </r>
  <r>
    <s v="c3857919-195e-48da-b2fd-e4a35ca6e5f0"/>
    <s v="818b36ad-8c92-43bd-81ef-ceb8a23a9a03"/>
    <d v="2025-03-03T00:00:00"/>
    <d v="1899-12-30T18:55:17"/>
    <n v="18"/>
    <n v="61"/>
    <s v="Silver"/>
    <s v="Dubai"/>
    <s v="FLAGSHIP-PARIS"/>
    <s v="SOLAR-BLUSH-04"/>
    <s v="Eyeshadow Palette"/>
    <n v="260.38"/>
    <x v="3"/>
    <n v="0"/>
    <s v="Mobile"/>
    <s v="234.191.169.211"/>
    <x v="0"/>
    <n v="214"/>
    <n v="1.1873657327258427"/>
    <n v="0"/>
    <n v="0"/>
    <n v="1"/>
    <n v="1"/>
    <n v="0"/>
  </r>
  <r>
    <s v="9bd0408d-efba-4128-950f-98baca2430a0"/>
    <s v="31145497-6030-417f-90f0-4628daf4f50d"/>
    <d v="2025-06-02T00:00:00"/>
    <d v="1899-12-30T15:33:26"/>
    <n v="15"/>
    <n v="64"/>
    <s v="Bronze"/>
    <s v="Shanghai"/>
    <s v="FLAGSHIP-LA"/>
    <s v="ECLIPSE-EYE-10"/>
    <s v="Eyeliner"/>
    <n v="260.14"/>
    <x v="0"/>
    <n v="0"/>
    <s v="Mobile"/>
    <s v="91.150.148.85"/>
    <x v="0"/>
    <n v="428"/>
    <n v="1.1840431104515805"/>
    <n v="0"/>
    <n v="0"/>
    <n v="0"/>
    <n v="0"/>
    <n v="0"/>
  </r>
  <r>
    <s v="0935d6d3-9340-4bb2-9103-1759515e3217"/>
    <s v="241ff40b-2287-454d-a5ec-4851e59351ce"/>
    <d v="2025-03-20T00:00:00"/>
    <d v="1899-12-30T09:45:54"/>
    <n v="9"/>
    <n v="20"/>
    <s v="Gold"/>
    <s v="London"/>
    <s v="FLAGSHIP-ROME"/>
    <s v="STELLAR-FOUND-03"/>
    <s v="Foundation"/>
    <n v="260"/>
    <x v="3"/>
    <n v="0"/>
    <s v="Laptop"/>
    <s v="131.189.22.109"/>
    <x v="0"/>
    <n v="68"/>
    <n v="1.1821049141249278"/>
    <n v="0"/>
    <n v="0"/>
    <n v="1"/>
    <n v="1"/>
    <n v="0"/>
  </r>
  <r>
    <s v="5b3b99bf-38b6-4a77-be54-dc2d9e408b70"/>
    <s v="6605244d-9304-44fb-9b12-5f8d6ab31939"/>
    <d v="2025-05-29T00:00:00"/>
    <d v="1899-12-30T21:30:30"/>
    <n v="21"/>
    <n v="34"/>
    <s v="Bronze"/>
    <s v="Monaco"/>
    <s v="FLAGSHIP-PARIS"/>
    <s v="SOLAR-BLUSH-04"/>
    <s v="Blush"/>
    <n v="259.77"/>
    <x v="3"/>
    <n v="0"/>
    <s v="Desktop"/>
    <s v="61.118.47.5"/>
    <x v="0"/>
    <n v="179"/>
    <n v="1.1789207344454262"/>
    <n v="0"/>
    <n v="0"/>
    <n v="1"/>
    <n v="1"/>
    <n v="0"/>
  </r>
  <r>
    <s v="05fd4eaf-ed78-4f58-bc33-79bf17ad057a"/>
    <s v="d661bdd3-0480-4a9a-acd2-8b69f4d01c12"/>
    <d v="2025-04-04T00:00:00"/>
    <d v="1899-12-30T23:04:42"/>
    <n v="23"/>
    <n v="57"/>
    <s v="Bronze"/>
    <s v="Paris"/>
    <s v="CONCESSION-SINGAPORE"/>
    <s v="GALAXIA-SET-08"/>
    <s v="Serum"/>
    <n v="259.63"/>
    <x v="4"/>
    <n v="0"/>
    <s v="Laptop"/>
    <s v="239.6.175.174"/>
    <x v="0"/>
    <n v="89"/>
    <n v="1.1769825381187735"/>
    <n v="0"/>
    <n v="0"/>
    <n v="1"/>
    <n v="1"/>
    <n v="0"/>
  </r>
  <r>
    <s v="837151a9-915d-408c-a7d4-0e467b011e6c"/>
    <s v="baa7c3e1-9196-4864-a232-884fdc6aae82"/>
    <d v="2025-06-06T00:00:00"/>
    <d v="1899-12-30T03:59:54"/>
    <n v="3"/>
    <n v="59"/>
    <s v="Platinum"/>
    <s v="Milan"/>
    <s v="BOUTIQUE-DUBAI"/>
    <s v="ECLIPSE-EYE-10"/>
    <s v="Lipstick"/>
    <n v="259.60000000000002"/>
    <x v="3"/>
    <n v="0"/>
    <s v="Tablet"/>
    <s v="161.78.14.40"/>
    <x v="0"/>
    <n v="78"/>
    <n v="1.1765672103344911"/>
    <n v="0"/>
    <n v="1"/>
    <n v="1"/>
    <n v="3"/>
    <n v="0"/>
  </r>
  <r>
    <s v="dc699c0b-7053-4953-a623-d1b8eae57410"/>
    <s v="80dc5efa-4221-475c-8da6-e0a184bd96b1"/>
    <d v="2025-03-16T00:00:00"/>
    <d v="1899-12-30T21:40:38"/>
    <n v="21"/>
    <n v="44"/>
    <s v="Silver"/>
    <s v="Paris"/>
    <s v="FLAGSHIP-ROME"/>
    <s v="LUNAR-MASC-02"/>
    <s v="Serum"/>
    <n v="259.57"/>
    <x v="1"/>
    <n v="0"/>
    <s v="Laptop"/>
    <s v="22.62.250.115"/>
    <x v="0"/>
    <n v="317"/>
    <n v="1.1761518825502078"/>
    <n v="0"/>
    <n v="0"/>
    <n v="0"/>
    <n v="0"/>
    <n v="0"/>
  </r>
  <r>
    <s v="ac55069c-267e-44dd-b0d4-094951b5aa93"/>
    <s v="1e2f17b5-c25c-4d0b-996f-c393c6c05a98"/>
    <d v="2025-03-22T00:00:00"/>
    <d v="1899-12-30T07:12:43"/>
    <n v="7"/>
    <n v="20"/>
    <s v="Bronze"/>
    <s v="Las Vegas"/>
    <s v="BOUTIQUE-SHANGHAI"/>
    <s v="ECLIPSE-EYE-10"/>
    <s v="Foundation"/>
    <n v="259.44"/>
    <x v="0"/>
    <n v="0"/>
    <s v="Desktop"/>
    <s v="113.145.56.241"/>
    <x v="0"/>
    <n v="352"/>
    <n v="1.1743521288183159"/>
    <n v="0"/>
    <n v="0"/>
    <n v="0"/>
    <n v="0"/>
    <n v="0"/>
  </r>
  <r>
    <s v="294de866-e328-42fb-90d5-28e45f566f15"/>
    <s v="b1c11b7d-e882-4f3c-b0f9-60d79277eaf1"/>
    <d v="2025-08-03T00:00:00"/>
    <d v="1899-12-30T13:13:26"/>
    <n v="13"/>
    <n v="61"/>
    <s v="Unknown"/>
    <s v="Paris"/>
    <s v="BOUTIQUE-DUBAI"/>
    <s v="STELLAR-FOUND-03"/>
    <s v="Setting Spray"/>
    <n v="259.43"/>
    <x v="4"/>
    <n v="0"/>
    <s v="Laptop"/>
    <s v="196.55.231.114"/>
    <x v="0"/>
    <n v="456"/>
    <n v="1.174213686223555"/>
    <n v="0"/>
    <n v="0"/>
    <n v="0"/>
    <n v="0"/>
    <n v="0"/>
  </r>
  <r>
    <s v="e2e1a9cb-3d3a-4e7f-a9f6-10205a1c4736"/>
    <s v="8b427b7c-877e-4eae-a155-8cdc4f21b33d"/>
    <d v="2025-03-31T00:00:00"/>
    <d v="1899-12-30T18:16:03"/>
    <n v="18"/>
    <n v="45"/>
    <s v="Bronze"/>
    <s v="Hong Kong"/>
    <s v="FLAGSHIP-ROME"/>
    <s v="NEBULA-SERUM-07"/>
    <s v="Setting Spray"/>
    <n v="259.38"/>
    <x v="2"/>
    <n v="1"/>
    <s v="Laptop"/>
    <s v="82.185.54.162"/>
    <x v="0"/>
    <n v="259"/>
    <n v="1.1735214732497503"/>
    <n v="0"/>
    <n v="0"/>
    <n v="1"/>
    <n v="3"/>
    <n v="0"/>
  </r>
  <r>
    <s v="04a77817-a4f0-4593-8397-1580f8b0bacd"/>
    <s v="b7d7b894-61e2-452d-97c3-7be0099f79ff"/>
    <d v="2025-06-11T00:00:00"/>
    <d v="1899-12-30T08:30:40"/>
    <n v="8"/>
    <n v="45"/>
    <s v="Platinum"/>
    <s v="Monte Carlo"/>
    <s v="POPUP-MILAN"/>
    <s v="ORION-CONCEAL-09"/>
    <s v="Lipstick"/>
    <n v="259.33"/>
    <x v="3"/>
    <n v="0"/>
    <s v="Mobile"/>
    <s v="9.133.215.91"/>
    <x v="0"/>
    <n v="127"/>
    <n v="1.1728292602759456"/>
    <n v="0"/>
    <n v="0"/>
    <n v="1"/>
    <n v="1"/>
    <n v="0"/>
  </r>
  <r>
    <s v="505f8847-a250-413b-a8fe-c9c94d5f13f2"/>
    <s v="61e9cd50-a108-4734-ab55-74286b02bdf8"/>
    <d v="2025-04-15T00:00:00"/>
    <d v="1899-12-30T11:58:43"/>
    <n v="11"/>
    <n v="52"/>
    <s v="Bronze"/>
    <s v="Sydney"/>
    <s v="CONCESSION-LONDON"/>
    <s v="STELLAR-FOUND-03"/>
    <s v="Mascara"/>
    <n v="259"/>
    <x v="0"/>
    <n v="0"/>
    <s v="Tablet"/>
    <s v="156.196.219.102"/>
    <x v="0"/>
    <n v="400"/>
    <n v="1.1682606546488352"/>
    <n v="0"/>
    <n v="0"/>
    <n v="0"/>
    <n v="0"/>
    <n v="0"/>
  </r>
  <r>
    <s v="9c9a91b3-734d-482c-9957-7329b4c68bf7"/>
    <s v="461a5075-ae17-4cd8-836f-518f4a5f0b0e"/>
    <d v="2025-06-11T00:00:00"/>
    <d v="1899-12-30T20:35:17"/>
    <n v="20"/>
    <n v="37"/>
    <s v="Unknown"/>
    <s v="Shanghai"/>
    <s v="POPUP-MILAN"/>
    <s v="AURORA-LIP-01"/>
    <s v="Blush"/>
    <n v="258.98"/>
    <x v="4"/>
    <n v="0"/>
    <s v="Desktop"/>
    <s v="194.59.26.85"/>
    <x v="0"/>
    <n v="105"/>
    <n v="1.1679837694593136"/>
    <n v="0"/>
    <n v="0"/>
    <n v="1"/>
    <n v="1"/>
    <n v="0"/>
  </r>
  <r>
    <s v="71a2717e-3e09-41c1-ada6-46bf6c3abb88"/>
    <s v="5a678e53-6e05-43ee-8360-468d0dcb17c2"/>
    <d v="2025-06-11T00:00:00"/>
    <d v="1899-12-30T22:34:50"/>
    <n v="22"/>
    <n v="48"/>
    <s v="Gold"/>
    <s v="Rome"/>
    <s v="FLAGSHIP-PARIS"/>
    <s v="LUNAR-MASC-02"/>
    <s v="Eyeshadow Palette"/>
    <n v="258.94"/>
    <x v="0"/>
    <n v="0"/>
    <s v="Mobile"/>
    <s v="139.136.91.150"/>
    <x v="0"/>
    <n v="351"/>
    <n v="1.1674299990802697"/>
    <n v="0"/>
    <n v="0"/>
    <n v="0"/>
    <n v="0"/>
    <n v="0"/>
  </r>
  <r>
    <s v="eabf13ad-84d7-4439-918a-a10d008c6562"/>
    <s v="5c501fd4-7b6b-453d-9240-ab37b90a9299"/>
    <d v="2025-07-12T00:00:00"/>
    <d v="1899-12-30T19:40:27"/>
    <n v="19"/>
    <n v="53"/>
    <s v="Bronze"/>
    <s v="Los Angeles"/>
    <s v="FLAGSHIP-PARIS"/>
    <s v="LUNAR-MASC-02"/>
    <s v="Serum"/>
    <n v="258.92"/>
    <x v="1"/>
    <n v="0"/>
    <s v="Desktop"/>
    <s v="242.61.26.103"/>
    <x v="0"/>
    <n v="248"/>
    <n v="1.1671531138907481"/>
    <n v="0"/>
    <n v="0"/>
    <n v="1"/>
    <n v="1"/>
    <n v="0"/>
  </r>
  <r>
    <s v="ff0829ad-d078-421f-8892-ab289dd7bcbd"/>
    <s v="72f7ad02-3815-47c2-8feb-a528840d2a58"/>
    <d v="2025-03-16T00:00:00"/>
    <d v="1899-12-30T04:02:39"/>
    <n v="4"/>
    <n v="62"/>
    <s v="Silver"/>
    <s v="Geneva"/>
    <s v="BOUTIQUE-NYC"/>
    <s v="CELESTE-EYE-05"/>
    <s v="Setting Spray"/>
    <n v="258.72000000000003"/>
    <x v="3"/>
    <n v="0"/>
    <s v="Mobile"/>
    <s v="210.246.10.195"/>
    <x v="0"/>
    <n v="492"/>
    <n v="1.1643842619955298"/>
    <n v="0"/>
    <n v="1"/>
    <n v="0"/>
    <n v="2"/>
    <n v="0"/>
  </r>
  <r>
    <s v="93bf2a0b-4a47-44da-8f11-dc1959a8e2b6"/>
    <s v="ab6f6e26-7ac9-4c24-ba03-3ecf78d3d9ff"/>
    <d v="2025-03-05T00:00:00"/>
    <d v="1899-12-30T11:22:10"/>
    <n v="11"/>
    <n v="28"/>
    <s v="Bronze"/>
    <s v="Sydney"/>
    <s v="POPUP-TOKYO"/>
    <s v="STELLAR-FOUND-03"/>
    <s v="Blush"/>
    <n v="258.7"/>
    <x v="3"/>
    <n v="0"/>
    <s v="Mobile"/>
    <s v="171.219.101.242"/>
    <x v="0"/>
    <n v="226"/>
    <n v="1.1641073768060073"/>
    <n v="0"/>
    <n v="0"/>
    <n v="1"/>
    <n v="1"/>
    <n v="0"/>
  </r>
  <r>
    <s v="33c039f0-c57b-4924-acec-44533e98a1e5"/>
    <s v="61f22550-f95a-4b00-a96c-02ca532d8ca6"/>
    <d v="2025-06-11T00:00:00"/>
    <d v="1899-12-30T03:15:42"/>
    <n v="3"/>
    <n v="47"/>
    <s v="Bronze"/>
    <s v="Milan"/>
    <s v="FLAGSHIP-LA"/>
    <s v="ECLIPSE-EYE-10"/>
    <s v="Setting Spray"/>
    <n v="258.67"/>
    <x v="4"/>
    <n v="0"/>
    <s v="Mobile"/>
    <s v="198.47.196.203"/>
    <x v="0"/>
    <n v="347"/>
    <n v="1.1636920490217249"/>
    <n v="0"/>
    <n v="1"/>
    <n v="0"/>
    <n v="2"/>
    <n v="0"/>
  </r>
  <r>
    <s v="504fdef1-5ad0-43a9-8428-6e4e9044a3ea"/>
    <s v="23551d60-90a5-4b87-891c-cc5d6959df9b"/>
    <d v="2025-07-19T00:00:00"/>
    <d v="1899-12-30T21:19:16"/>
    <n v="21"/>
    <n v="18"/>
    <s v="Gold"/>
    <s v="Sydney"/>
    <s v="CONCESSION-SINGAPORE"/>
    <s v="CELESTE-EYE-05"/>
    <s v="Setting Spray"/>
    <n v="258.58999999999997"/>
    <x v="1"/>
    <n v="0"/>
    <s v="Mobile"/>
    <s v="131.119.6.119"/>
    <x v="0"/>
    <n v="344"/>
    <n v="1.162584508263637"/>
    <n v="0"/>
    <n v="0"/>
    <n v="0"/>
    <n v="0"/>
    <n v="0"/>
  </r>
  <r>
    <s v="597b7e26-a374-4c64-a6e9-e6141e1502fd"/>
    <s v="5aadee73-a30e-4f21-89fa-f8f9c113ebe4"/>
    <d v="2025-05-19T00:00:00"/>
    <d v="1899-12-30T02:21:10"/>
    <n v="2"/>
    <n v="38"/>
    <s v="Silver"/>
    <s v="Shanghai"/>
    <s v="CONCESSION-SINGAPORE"/>
    <s v="ORION-CONCEAL-09"/>
    <s v="Lipstick"/>
    <n v="258.57"/>
    <x v="0"/>
    <n v="0"/>
    <s v="Tablet"/>
    <s v="87.216.242.178"/>
    <x v="0"/>
    <n v="400"/>
    <n v="1.1623076230741154"/>
    <n v="0"/>
    <n v="1"/>
    <n v="0"/>
    <n v="2"/>
    <n v="0"/>
  </r>
  <r>
    <s v="76ae5017-bb7b-4cdd-977e-3b1fd02beae1"/>
    <s v="339ce60f-0525-453a-b2d2-b6ac2356622d"/>
    <d v="2025-02-24T00:00:00"/>
    <d v="1899-12-30T13:52:52"/>
    <n v="13"/>
    <n v="34"/>
    <s v="Bronze"/>
    <s v="Zurich"/>
    <s v="BOUTIQUE-DUBAI"/>
    <s v="NEBULA-SERUM-07"/>
    <s v="Highlighter"/>
    <n v="258.38"/>
    <x v="3"/>
    <n v="0"/>
    <s v="Laptop"/>
    <s v="21.132.54.222"/>
    <x v="0"/>
    <n v="388"/>
    <n v="1.159677213773658"/>
    <n v="0"/>
    <n v="0"/>
    <n v="0"/>
    <n v="0"/>
    <n v="0"/>
  </r>
  <r>
    <s v="d5a85e05-9ed7-4f31-86b6-7bbc5b264f42"/>
    <s v="08d6558d-4cfe-49c6-bb5d-d2e84fa473db"/>
    <d v="2025-07-24T00:00:00"/>
    <d v="1899-12-30T21:19:38"/>
    <n v="21"/>
    <n v="54"/>
    <s v="Gold"/>
    <s v="Sydney"/>
    <s v="BOUTIQUE-DUBAI"/>
    <s v="ORION-CONCEAL-09"/>
    <s v="Eyeliner"/>
    <n v="258.35000000000002"/>
    <x v="4"/>
    <n v="0"/>
    <s v="Mobile"/>
    <s v="14.250.156.2"/>
    <x v="0"/>
    <n v="161"/>
    <n v="1.1592618859893755"/>
    <n v="0"/>
    <n v="0"/>
    <n v="1"/>
    <n v="1"/>
    <n v="0"/>
  </r>
  <r>
    <s v="f7c00263-e6ad-4149-9300-ce3bb8c575ac"/>
    <s v="63706021-ccac-4575-82bf-74e2ba910e45"/>
    <d v="2025-03-13T00:00:00"/>
    <d v="1899-12-30T00:15:13"/>
    <n v="0"/>
    <n v="19"/>
    <s v="Bronze"/>
    <s v="Singapore"/>
    <s v="BOUTIQUE-DUBAI"/>
    <s v="ORION-CONCEAL-09"/>
    <s v="Blush"/>
    <n v="258.19"/>
    <x v="0"/>
    <n v="0"/>
    <s v="Laptop"/>
    <s v="190.86.33.186"/>
    <x v="0"/>
    <n v="340"/>
    <n v="1.1570468044732003"/>
    <n v="0"/>
    <n v="1"/>
    <n v="0"/>
    <n v="2"/>
    <n v="0"/>
  </r>
  <r>
    <s v="ec0d6760-5c74-4db1-9aa2-09091b77bd70"/>
    <s v="6b1e6cd9-4624-434a-9a1c-f3eb56347068"/>
    <d v="2025-02-19T00:00:00"/>
    <d v="1899-12-30T21:52:13"/>
    <n v="21"/>
    <n v="21"/>
    <s v="Gold"/>
    <s v="Geneva"/>
    <s v="BOUTIQUE-NYC"/>
    <s v="NEBULA-SERUM-07"/>
    <s v="Lipstick"/>
    <n v="258.13"/>
    <x v="0"/>
    <n v="0"/>
    <s v="Laptop"/>
    <s v="250.61.191.8"/>
    <x v="0"/>
    <n v="285"/>
    <n v="1.1562161489046348"/>
    <n v="0"/>
    <n v="0"/>
    <n v="0"/>
    <n v="0"/>
    <n v="0"/>
  </r>
  <r>
    <s v="0ccfeecc-f401-4079-b8a1-f4d4205e1a64"/>
    <s v="de896b98-5a89-4700-a058-35c07665411e"/>
    <d v="2025-03-25T00:00:00"/>
    <d v="1899-12-30T06:55:58"/>
    <n v="6"/>
    <n v="31"/>
    <s v="Silver"/>
    <s v="Shanghai"/>
    <s v="POPUP-MILAN"/>
    <s v="ECLIPSE-EYE-10"/>
    <s v="Foundation"/>
    <n v="257.97000000000003"/>
    <x v="0"/>
    <n v="0"/>
    <s v="Mobile"/>
    <s v="206.115.47.48"/>
    <x v="0"/>
    <n v="97"/>
    <n v="1.1540010673884604"/>
    <n v="0"/>
    <n v="0"/>
    <n v="1"/>
    <n v="1"/>
    <n v="0"/>
  </r>
  <r>
    <s v="c6587f36-6275-464a-a4e2-4f6296c904e3"/>
    <s v="053e70db-9d6c-4a76-b3a4-3bb3190cdbfd"/>
    <d v="2025-05-18T00:00:00"/>
    <d v="1899-12-30T13:38:08"/>
    <n v="13"/>
    <n v="27"/>
    <s v="Bronze"/>
    <s v="London"/>
    <s v="CONCESSION-LONDON"/>
    <s v="SOLAR-BLUSH-04"/>
    <s v="Blush"/>
    <n v="257.76"/>
    <x v="4"/>
    <n v="0"/>
    <s v="Desktop"/>
    <s v="130.65.248.234"/>
    <x v="0"/>
    <n v="86"/>
    <n v="1.1510937728984805"/>
    <n v="0"/>
    <n v="0"/>
    <n v="1"/>
    <n v="1"/>
    <n v="0"/>
  </r>
  <r>
    <s v="9d04fcfe-c048-4b55-a070-41e80eb344c2"/>
    <s v="8e2136b6-bbf6-4bea-9e23-d40bc0c4a632"/>
    <d v="2025-06-28T00:00:00"/>
    <d v="1899-12-30T06:45:21"/>
    <n v="6"/>
    <n v="48"/>
    <s v="VIP"/>
    <s v="Singapore"/>
    <s v="FLAGSHIP-ROME"/>
    <s v="STELLAR-FOUND-03"/>
    <s v="Concealer"/>
    <n v="257.76"/>
    <x v="3"/>
    <n v="0"/>
    <s v="Tablet"/>
    <s v="252.232.183.95"/>
    <x v="0"/>
    <n v="182"/>
    <n v="1.1510937728984805"/>
    <n v="0"/>
    <n v="0"/>
    <n v="1"/>
    <n v="1"/>
    <n v="0"/>
  </r>
  <r>
    <s v="de1f9783-feef-4ad2-887e-ac223f75eca3"/>
    <s v="4bdeb6b5-00d0-4cd0-9312-a962141117aa"/>
    <d v="2025-04-27T00:00:00"/>
    <d v="1899-12-30T13:19:28"/>
    <n v="13"/>
    <n v="58"/>
    <s v="Bronze"/>
    <s v="Miami"/>
    <s v="BOUTIQUE-NYC"/>
    <s v="ECLIPSE-EYE-10"/>
    <s v="Eyeliner"/>
    <n v="257.70999999999998"/>
    <x v="1"/>
    <n v="0"/>
    <s v="Laptop"/>
    <s v="119.212.225.68"/>
    <x v="0"/>
    <n v="292"/>
    <n v="1.1504015599246757"/>
    <n v="0"/>
    <n v="0"/>
    <n v="0"/>
    <n v="0"/>
    <n v="0"/>
  </r>
  <r>
    <s v="54500796-3526-4ad5-b045-9e9831f3bb74"/>
    <s v="94c6bce4-5cb5-471c-80dd-c83fe0108976"/>
    <d v="2025-03-30T00:00:00"/>
    <d v="1899-12-30T14:17:13"/>
    <n v="14"/>
    <n v="41"/>
    <s v="Silver"/>
    <s v="Milan"/>
    <s v="FLAGSHIP-LA"/>
    <s v="COSMIC-HIGHLIGHT-06"/>
    <s v="Blush"/>
    <n v="257.49"/>
    <x v="4"/>
    <n v="0"/>
    <s v="Tablet"/>
    <s v="234.114.12.116"/>
    <x v="0"/>
    <n v="268"/>
    <n v="1.1473558228399356"/>
    <n v="0"/>
    <n v="0"/>
    <n v="1"/>
    <n v="1"/>
    <n v="0"/>
  </r>
  <r>
    <s v="f3ae2e11-deb0-4200-9c7d-9b9be275e23f"/>
    <s v="a768dee4-5928-4d42-be90-545617aa44fe"/>
    <d v="2025-05-11T00:00:00"/>
    <d v="1899-12-30T21:25:37"/>
    <n v="21"/>
    <n v="47"/>
    <s v="Bronze"/>
    <s v="Cannes"/>
    <s v="FLAGSHIP-LA"/>
    <s v="GALAXIA-SET-08"/>
    <s v="Eyeliner"/>
    <n v="257.3"/>
    <x v="0"/>
    <n v="0"/>
    <s v="Laptop"/>
    <s v="157.29.182.169"/>
    <x v="0"/>
    <n v="381"/>
    <n v="1.1447254135394782"/>
    <n v="0"/>
    <n v="0"/>
    <n v="0"/>
    <n v="0"/>
    <n v="0"/>
  </r>
  <r>
    <s v="c31aee22-6efb-4708-8ac1-2800fc0162e8"/>
    <s v="d468e067-70be-4a5c-b5d0-63689af3c4bc"/>
    <d v="2025-04-23T00:00:00"/>
    <d v="1899-12-30T05:04:19"/>
    <n v="5"/>
    <n v="18"/>
    <s v="Bronze"/>
    <s v="Singapore"/>
    <s v="CONCESSION-SINGAPORE"/>
    <s v="AURORA-LIP-01"/>
    <s v="Serum"/>
    <n v="257.12"/>
    <x v="4"/>
    <n v="0"/>
    <s v="Desktop"/>
    <s v="10.73.53.119"/>
    <x v="0"/>
    <n v="221"/>
    <n v="1.1422334468337816"/>
    <n v="0"/>
    <n v="1"/>
    <n v="1"/>
    <n v="3"/>
    <n v="0"/>
  </r>
  <r>
    <s v="e2ff8336-98c3-4b71-b8cc-b29d4e1e2076"/>
    <s v="150e0848-c729-40fa-961c-e6142b7822f4"/>
    <d v="2025-07-16T00:00:00"/>
    <d v="1899-12-30T05:30:57"/>
    <n v="5"/>
    <n v="37"/>
    <s v="Gold"/>
    <s v="San Francisco"/>
    <s v="FLAGSHIP-LA"/>
    <s v="AURORA-LIP-01"/>
    <s v="Setting Spray"/>
    <n v="256.98"/>
    <x v="3"/>
    <n v="0"/>
    <s v="Mobile"/>
    <s v="207.55.198.147"/>
    <x v="0"/>
    <n v="413"/>
    <n v="1.1402952505071287"/>
    <n v="0"/>
    <n v="1"/>
    <n v="0"/>
    <n v="2"/>
    <n v="0"/>
  </r>
  <r>
    <s v="ae5fa3c8-9413-4fe4-983e-2faef91cb271"/>
    <s v="c1ea4023-d634-44a1-8736-e1441fdbc231"/>
    <d v="2025-06-30T00:00:00"/>
    <d v="1899-12-30T12:32:29"/>
    <n v="12"/>
    <n v="43"/>
    <s v="Bronze"/>
    <s v="Hong Kong"/>
    <s v="POPUP-MILAN"/>
    <s v="AURORA-LIP-01"/>
    <s v="Eyeshadow Palette"/>
    <n v="256.66000000000003"/>
    <x v="3"/>
    <n v="0"/>
    <s v="Mobile"/>
    <s v="195.148.103.90"/>
    <x v="0"/>
    <n v="431"/>
    <n v="1.1358650874747793"/>
    <n v="0"/>
    <n v="0"/>
    <n v="0"/>
    <n v="0"/>
    <n v="0"/>
  </r>
  <r>
    <s v="4a739bb3-a9c1-4493-bd55-720d2f1a16d8"/>
    <s v="227747c8-3fd3-489e-b985-09b5a8a793c8"/>
    <d v="2025-04-13T00:00:00"/>
    <d v="1899-12-30T22:42:06"/>
    <n v="22"/>
    <n v="32"/>
    <s v="Bronze"/>
    <s v="Hong Kong"/>
    <s v="FLAGSHIP-PARIS"/>
    <s v="STELLAR-FOUND-03"/>
    <s v="Mascara"/>
    <n v="256.60000000000002"/>
    <x v="0"/>
    <n v="0"/>
    <s v="Desktop"/>
    <s v="178.160.180.107"/>
    <x v="0"/>
    <n v="342"/>
    <n v="1.1350344319062136"/>
    <n v="0"/>
    <n v="0"/>
    <n v="0"/>
    <n v="0"/>
    <n v="0"/>
  </r>
  <r>
    <s v="3f9bd1d3-774d-4c70-859c-6876b494c763"/>
    <s v="553c51ff-870d-4d8b-b81d-d3f6a6761432"/>
    <d v="2025-07-02T00:00:00"/>
    <d v="1899-12-30T17:48:58"/>
    <n v="17"/>
    <n v="60"/>
    <s v="Silver"/>
    <s v="Geneva"/>
    <s v="FLAGSHIP-LA"/>
    <s v="NEBULA-SERUM-07"/>
    <s v="Blush"/>
    <n v="256.58999999999997"/>
    <x v="3"/>
    <n v="0"/>
    <s v="Tablet"/>
    <s v="57.166.137.104"/>
    <x v="0"/>
    <n v="164"/>
    <n v="1.1348959893114521"/>
    <n v="0"/>
    <n v="0"/>
    <n v="1"/>
    <n v="1"/>
    <n v="0"/>
  </r>
  <r>
    <s v="0f782e07-3937-48d1-9263-064001b389eb"/>
    <s v="b5a78b55-bde1-48a7-9fb3-70dbecb3b9eb"/>
    <d v="2025-08-04T00:00:00"/>
    <d v="1899-12-30T19:22:59"/>
    <n v="19"/>
    <n v="43"/>
    <s v="Bronze"/>
    <s v="Monaco"/>
    <s v="FLAGSHIP-PARIS"/>
    <s v="ECLIPSE-EYE-10"/>
    <s v="Mascara"/>
    <n v="256.57"/>
    <x v="0"/>
    <n v="0"/>
    <s v="Tablet"/>
    <s v="151.61.36.32"/>
    <x v="0"/>
    <n v="61"/>
    <n v="1.1346191041219305"/>
    <n v="0"/>
    <n v="0"/>
    <n v="1"/>
    <n v="1"/>
    <n v="0"/>
  </r>
  <r>
    <s v="66236bb3-528a-48a6-b2bf-3cf8842c64be"/>
    <s v="5adc1715-7f62-4eb7-b65b-3a62b790439a"/>
    <d v="2025-03-15T00:00:00"/>
    <d v="1899-12-30T03:16:42"/>
    <n v="3"/>
    <n v="41"/>
    <s v="Gold"/>
    <s v="Monte Carlo"/>
    <s v="POPUP-TOKYO"/>
    <s v="LUNAR-MASC-02"/>
    <s v="Concealer"/>
    <n v="256.44"/>
    <x v="0"/>
    <n v="0"/>
    <s v="Mobile"/>
    <s v="194.63.229.152"/>
    <x v="0"/>
    <n v="129"/>
    <n v="1.1328193503900386"/>
    <n v="0"/>
    <n v="1"/>
    <n v="1"/>
    <n v="3"/>
    <n v="0"/>
  </r>
  <r>
    <s v="1d212f46-591a-4b22-ba4c-965af7d08e5f"/>
    <s v="fba8a6df-84a2-4673-aacd-06cc407b7001"/>
    <d v="2025-05-27T00:00:00"/>
    <d v="1899-12-30T12:23:50"/>
    <n v="12"/>
    <n v="28"/>
    <s v="Bronze"/>
    <s v="Sydney"/>
    <s v="CONCESSION-SINGAPORE"/>
    <s v="AURORA-LIP-01"/>
    <s v="Eyeshadow Palette"/>
    <n v="256.33"/>
    <x v="1"/>
    <n v="0"/>
    <s v="Laptop"/>
    <s v="128.112.32.103"/>
    <x v="0"/>
    <n v="403"/>
    <n v="1.1312964818476681"/>
    <n v="0"/>
    <n v="0"/>
    <n v="0"/>
    <n v="0"/>
    <n v="0"/>
  </r>
  <r>
    <s v="2eab004c-8f2b-46e9-a31f-9e091f0a340d"/>
    <s v="868c9cbd-6853-4e2b-b7d1-7846ac025864"/>
    <d v="2025-03-06T00:00:00"/>
    <d v="1899-12-30T22:57:12"/>
    <n v="22"/>
    <n v="30"/>
    <s v="Bronze"/>
    <s v="Zurich"/>
    <s v="FLAGSHIP-PARIS"/>
    <s v="ECLIPSE-EYE-10"/>
    <s v="Eyeshadow Palette"/>
    <n v="256"/>
    <x v="0"/>
    <n v="0"/>
    <s v="Tablet"/>
    <s v="58.52.45.185"/>
    <x v="0"/>
    <n v="162"/>
    <n v="1.1267278762205579"/>
    <n v="0"/>
    <n v="0"/>
    <n v="1"/>
    <n v="1"/>
    <n v="0"/>
  </r>
  <r>
    <s v="f9737f17-03a4-490d-b3e8-bb35f837b32d"/>
    <s v="7f08cd25-9073-44d0-bb48-0dcc852dd550"/>
    <d v="2025-07-11T00:00:00"/>
    <d v="1899-12-30T06:07:15"/>
    <n v="6"/>
    <n v="58"/>
    <s v="Silver"/>
    <s v="Monaco"/>
    <s v="FLAGSHIP-PARIS"/>
    <s v="COSMIC-HIGHLIGHT-06"/>
    <s v="Mascara"/>
    <n v="255.86"/>
    <x v="4"/>
    <n v="0"/>
    <s v="Laptop"/>
    <s v="168.207.6.82"/>
    <x v="0"/>
    <n v="111"/>
    <n v="1.1247896798939052"/>
    <n v="0"/>
    <n v="0"/>
    <n v="1"/>
    <n v="1"/>
    <n v="0"/>
  </r>
  <r>
    <s v="1280ae45-5705-4bdd-bc52-65040d9e366e"/>
    <s v="5f5de1b9-e905-4842-8bb8-38bc6972c8eb"/>
    <d v="2025-07-23T00:00:00"/>
    <d v="1899-12-30T09:04:13"/>
    <n v="9"/>
    <n v="44"/>
    <s v="Bronze"/>
    <s v="Zurich"/>
    <s v="POPUP-MILAN"/>
    <s v="GALAXIA-SET-08"/>
    <s v="Eyeliner"/>
    <n v="255.77"/>
    <x v="1"/>
    <n v="0"/>
    <s v="Mobile"/>
    <s v="191.199.98.82"/>
    <x v="0"/>
    <n v="137"/>
    <n v="1.1235436965410568"/>
    <n v="0"/>
    <n v="0"/>
    <n v="1"/>
    <n v="1"/>
    <n v="0"/>
  </r>
  <r>
    <s v="a1427678-984c-4ee5-ace3-4db5fe3bf3e2"/>
    <s v="48a6793a-6c20-422e-b984-83b129017a53"/>
    <d v="2025-06-26T00:00:00"/>
    <d v="1899-12-30T05:31:50"/>
    <n v="5"/>
    <n v="52"/>
    <s v="Unknown"/>
    <s v="Sydney"/>
    <s v="FLAGSHIP-LA"/>
    <s v="SOLAR-BLUSH-04"/>
    <s v="Foundation"/>
    <n v="255.7"/>
    <x v="3"/>
    <n v="0"/>
    <s v="Desktop"/>
    <s v="168.146.115.196"/>
    <x v="0"/>
    <n v="453"/>
    <n v="1.12257459837773"/>
    <n v="0"/>
    <n v="1"/>
    <n v="0"/>
    <n v="2"/>
    <n v="0"/>
  </r>
  <r>
    <s v="29ad1278-70ce-421f-8d81-23816b39f4ac"/>
    <s v="dfa3d24d-b935-49a5-aa1d-7d57a44d8773"/>
    <d v="2025-02-20T00:00:00"/>
    <d v="1899-12-30T12:36:02"/>
    <n v="12"/>
    <n v="32"/>
    <s v="Silver"/>
    <s v="Milan"/>
    <s v="POPUP-TOKYO"/>
    <s v="SOLAR-BLUSH-04"/>
    <s v="Mascara"/>
    <n v="255.69"/>
    <x v="1"/>
    <n v="0"/>
    <s v="Desktop"/>
    <s v="79.207.35.55"/>
    <x v="0"/>
    <n v="96"/>
    <n v="1.1224361557829692"/>
    <n v="0"/>
    <n v="0"/>
    <n v="1"/>
    <n v="1"/>
    <n v="0"/>
  </r>
  <r>
    <s v="bce4044b-f43c-47f4-a2cd-5f7730775243"/>
    <s v="df552b7e-fee5-4269-b149-e66a47d073e6"/>
    <d v="2025-04-14T00:00:00"/>
    <d v="1899-12-30T04:41:11"/>
    <n v="4"/>
    <n v="41"/>
    <s v="Bronze"/>
    <s v="Sydney"/>
    <s v="FLAGSHIP-ROME"/>
    <s v="NEBULA-SERUM-07"/>
    <s v="Foundation"/>
    <n v="255.69"/>
    <x v="1"/>
    <n v="0"/>
    <s v="Laptop"/>
    <s v="242.179.214.126"/>
    <x v="0"/>
    <n v="465"/>
    <n v="1.1224361557829692"/>
    <n v="0"/>
    <n v="1"/>
    <n v="0"/>
    <n v="2"/>
    <n v="0"/>
  </r>
  <r>
    <s v="7f4b3ecd-2e5d-4774-aa73-7cec628dd247"/>
    <s v="748e4111-db91-48af-a3fa-684118f8afb0"/>
    <d v="2025-08-08T00:00:00"/>
    <d v="1899-12-30T05:32:34"/>
    <n v="5"/>
    <n v="43"/>
    <s v="Gold"/>
    <s v="Monaco"/>
    <s v="POPUP-TOKYO"/>
    <s v="GALAXIA-SET-08"/>
    <s v="Serum"/>
    <n v="255.61"/>
    <x v="0"/>
    <n v="0"/>
    <s v="Desktop"/>
    <s v="116.85.17.129"/>
    <x v="0"/>
    <n v="298"/>
    <n v="1.121328615024882"/>
    <n v="0"/>
    <n v="1"/>
    <n v="0"/>
    <n v="2"/>
    <n v="0"/>
  </r>
  <r>
    <s v="200e403a-c923-4283-98f3-0c54f2afe3e8"/>
    <s v="fcbcd3df-bea6-46a2-8e3d-14c099f8d51a"/>
    <d v="2025-07-19T00:00:00"/>
    <d v="1899-12-30T07:58:16"/>
    <n v="7"/>
    <n v="25"/>
    <s v="Bronze"/>
    <s v="Dubai"/>
    <s v="BOUTIQUE-NYC"/>
    <s v="AURORA-LIP-01"/>
    <s v="Serum"/>
    <n v="255.53"/>
    <x v="3"/>
    <n v="0"/>
    <s v="Tablet"/>
    <s v="236.193.55.140"/>
    <x v="0"/>
    <n v="249"/>
    <n v="1.1202210742667944"/>
    <n v="0"/>
    <n v="0"/>
    <n v="1"/>
    <n v="1"/>
    <n v="0"/>
  </r>
  <r>
    <s v="022a4adb-2540-4250-9a75-f7c73445f7ae"/>
    <s v="cef84ef1-f373-4e1a-a2cd-480ff02ccc3b"/>
    <d v="2025-05-04T00:00:00"/>
    <d v="1899-12-30T15:57:32"/>
    <n v="15"/>
    <n v="22"/>
    <s v="Bronze"/>
    <s v="London"/>
    <s v="FLAGSHIP-ROME"/>
    <s v="CELESTE-EYE-05"/>
    <s v="Concealer"/>
    <n v="255.33"/>
    <x v="4"/>
    <n v="0"/>
    <s v="Laptop"/>
    <s v="53.139.209.5"/>
    <x v="0"/>
    <n v="346"/>
    <n v="1.1174522223715762"/>
    <n v="0"/>
    <n v="0"/>
    <n v="0"/>
    <n v="0"/>
    <n v="0"/>
  </r>
  <r>
    <s v="e9330a00-4e6e-4eab-9fd5-8580f40194f7"/>
    <s v="35158682-76d0-4bcd-ad91-fb7c7477e11e"/>
    <d v="2025-04-26T00:00:00"/>
    <d v="1899-12-30T03:28:47"/>
    <n v="3"/>
    <n v="63"/>
    <s v="Bronze"/>
    <s v="Los Angeles"/>
    <s v="POPUP-MILAN"/>
    <s v="GALAXIA-SET-08"/>
    <s v="Setting Spray"/>
    <n v="255.29"/>
    <x v="3"/>
    <n v="0"/>
    <s v="Mobile"/>
    <s v="158.190.84.72"/>
    <x v="0"/>
    <n v="95"/>
    <n v="1.116898451992532"/>
    <n v="0"/>
    <n v="1"/>
    <n v="1"/>
    <n v="3"/>
    <n v="0"/>
  </r>
  <r>
    <s v="3cc184fb-8642-4530-b3a4-75fb20559ce1"/>
    <s v="e8c14c71-bcdb-42f0-be6f-aacd5de524e8"/>
    <d v="2025-05-08T00:00:00"/>
    <d v="1899-12-30T23:27:50"/>
    <n v="23"/>
    <n v="22"/>
    <s v="VIP"/>
    <s v="London"/>
    <s v="BOUTIQUE-SHANGHAI"/>
    <s v="SOLAR-BLUSH-04"/>
    <s v="Lipstick"/>
    <n v="255.27"/>
    <x v="3"/>
    <n v="0"/>
    <s v="Mobile"/>
    <s v="155.62.143.127"/>
    <x v="0"/>
    <n v="365"/>
    <n v="1.1166215668030106"/>
    <n v="0"/>
    <n v="0"/>
    <n v="0"/>
    <n v="0"/>
    <n v="0"/>
  </r>
  <r>
    <s v="db38d889-04ee-4883-806a-37cf4367fbb1"/>
    <s v="35596bf2-fc13-4f2b-8190-d603d1ccf088"/>
    <d v="2025-05-05T00:00:00"/>
    <d v="1899-12-30T12:12:12"/>
    <n v="12"/>
    <n v="39"/>
    <s v="Silver"/>
    <s v="Geneva"/>
    <s v="CONCESSION-LONDON"/>
    <s v="CELESTE-EYE-05"/>
    <s v="Setting Spray"/>
    <n v="255.2"/>
    <x v="0"/>
    <n v="0"/>
    <s v="Mobile"/>
    <s v="76.33.15.105"/>
    <x v="0"/>
    <n v="65"/>
    <n v="1.1156524686396838"/>
    <n v="0"/>
    <n v="0"/>
    <n v="1"/>
    <n v="1"/>
    <n v="0"/>
  </r>
  <r>
    <s v="fc9f7e2a-bf7f-4d55-ba99-4d11b94b890a"/>
    <s v="7a342d86-c063-4ad1-9ac6-ce27abf71011"/>
    <d v="2025-03-11T00:00:00"/>
    <d v="1899-12-30T01:40:16"/>
    <n v="1"/>
    <n v="50"/>
    <s v="Gold"/>
    <s v="Shanghai"/>
    <s v="POPUP-MILAN"/>
    <s v="STELLAR-FOUND-03"/>
    <s v="Serum"/>
    <n v="255.04"/>
    <x v="2"/>
    <n v="1"/>
    <s v="Tablet"/>
    <s v="194.107.61.250"/>
    <x v="0"/>
    <n v="256"/>
    <n v="1.113437387123509"/>
    <n v="0"/>
    <n v="1"/>
    <n v="1"/>
    <n v="5"/>
    <n v="1"/>
  </r>
  <r>
    <s v="d22867b0-7926-4671-89f6-0ba1d397b646"/>
    <s v="4d76b617-8458-4fb6-a585-183be0baab5e"/>
    <d v="2025-05-05T00:00:00"/>
    <d v="1899-12-30T03:08:06"/>
    <n v="3"/>
    <n v="41"/>
    <s v="Platinum"/>
    <s v="New York"/>
    <s v="BOUTIQUE-SHANGHAI"/>
    <s v="LUNAR-MASC-02"/>
    <s v="Serum"/>
    <n v="254.88"/>
    <x v="4"/>
    <n v="0"/>
    <s v="Tablet"/>
    <s v="214.32.54.58"/>
    <x v="0"/>
    <n v="441"/>
    <n v="1.1112223056073343"/>
    <n v="0"/>
    <n v="1"/>
    <n v="0"/>
    <n v="2"/>
    <n v="0"/>
  </r>
  <r>
    <s v="6dced65d-8ad9-428a-b79d-7ea1881066f2"/>
    <s v="646784a4-e194-4895-8f91-f13406908e2f"/>
    <d v="2025-05-26T00:00:00"/>
    <d v="1899-12-30T02:01:04"/>
    <n v="2"/>
    <n v="40"/>
    <s v="Bronze"/>
    <s v="Las Vegas"/>
    <s v="BOUTIQUE-SHANGHAI"/>
    <s v="AURORA-LIP-01"/>
    <s v="Setting Spray"/>
    <n v="254.87"/>
    <x v="1"/>
    <n v="0"/>
    <s v="Desktop"/>
    <s v="134.164.93.226"/>
    <x v="0"/>
    <n v="183"/>
    <n v="1.1110838630125734"/>
    <n v="0"/>
    <n v="1"/>
    <n v="1"/>
    <n v="3"/>
    <n v="0"/>
  </r>
  <r>
    <s v="17eb0b5f-9599-4104-926b-4bbbf6cc8402"/>
    <s v="037f61e4-27c7-4ffc-ad8e-75c941e4d8ae"/>
    <d v="2025-04-22T00:00:00"/>
    <d v="1899-12-30T15:59:32"/>
    <n v="15"/>
    <n v="18"/>
    <s v="Gold"/>
    <s v="Sydney"/>
    <s v="POPUP-MILAN"/>
    <s v="COSMIC-HIGHLIGHT-06"/>
    <s v="Serum"/>
    <n v="254.78"/>
    <x v="0"/>
    <n v="0"/>
    <s v="Desktop"/>
    <s v="126.11.211.37"/>
    <x v="0"/>
    <n v="354"/>
    <n v="1.109837879659725"/>
    <n v="0"/>
    <n v="0"/>
    <n v="0"/>
    <n v="0"/>
    <n v="0"/>
  </r>
  <r>
    <s v="bcac8f6e-a62e-4d47-9653-b3a043d88725"/>
    <s v="e33f8235-71ae-4462-8561-fd9d9125bd1e"/>
    <d v="2025-06-01T00:00:00"/>
    <d v="1899-12-30T21:07:47"/>
    <n v="21"/>
    <n v="33"/>
    <s v="Gold"/>
    <s v="Dubai"/>
    <s v="FLAGSHIP-LA"/>
    <s v="ORION-CONCEAL-09"/>
    <s v="Mascara"/>
    <n v="254.47"/>
    <x v="1"/>
    <n v="0"/>
    <s v="Tablet"/>
    <s v="114.209.185.40"/>
    <x v="0"/>
    <n v="308"/>
    <n v="1.1055461592221365"/>
    <n v="0"/>
    <n v="0"/>
    <n v="0"/>
    <n v="0"/>
    <n v="0"/>
  </r>
  <r>
    <s v="3c4135a6-9a08-48c2-a0f7-699bfcf3be9a"/>
    <s v="3cf01901-ed9e-499d-bede-acf7f8df63d8"/>
    <d v="2025-03-14T00:00:00"/>
    <d v="1899-12-30T08:31:09"/>
    <n v="8"/>
    <n v="23"/>
    <s v="Bronze"/>
    <s v="Los Angeles"/>
    <s v="BOUTIQUE-DUBAI"/>
    <s v="ECLIPSE-EYE-10"/>
    <s v="Foundation"/>
    <n v="254.19"/>
    <x v="4"/>
    <n v="0"/>
    <s v="Mobile"/>
    <s v="233.244.153.76"/>
    <x v="0"/>
    <n v="490"/>
    <n v="1.1016697665688304"/>
    <n v="0"/>
    <n v="0"/>
    <n v="0"/>
    <n v="0"/>
    <n v="0"/>
  </r>
  <r>
    <s v="d89209f9-1fca-411d-8606-131161ae4883"/>
    <s v="84fb1fdb-01fe-4591-8e28-7030989b9c84"/>
    <d v="2025-02-16T00:00:00"/>
    <d v="1899-12-30T18:09:48"/>
    <n v="18"/>
    <n v="56"/>
    <s v="Bronze"/>
    <s v="Miami"/>
    <s v="CONCESSION-LONDON"/>
    <s v="NEBULA-SERUM-07"/>
    <s v="Blush"/>
    <n v="254.16"/>
    <x v="1"/>
    <n v="0"/>
    <s v="Desktop"/>
    <s v="129.252.173.239"/>
    <x v="0"/>
    <n v="110"/>
    <n v="1.1012544387845478"/>
    <n v="0"/>
    <n v="0"/>
    <n v="1"/>
    <n v="1"/>
    <n v="0"/>
  </r>
  <r>
    <s v="1fdc1d6b-2126-47a4-8e0b-f8439fa53d57"/>
    <s v="610e4971-dcb8-4a9f-9a39-a80a2e665d89"/>
    <d v="2025-04-20T00:00:00"/>
    <d v="1899-12-30T21:04:16"/>
    <n v="21"/>
    <n v="59"/>
    <s v="Silver"/>
    <s v="Zurich"/>
    <s v="POPUP-MILAN"/>
    <s v="AURORA-LIP-01"/>
    <s v="Concealer"/>
    <n v="254.14"/>
    <x v="3"/>
    <n v="0"/>
    <s v="Desktop"/>
    <s v="211.148.246.169"/>
    <x v="0"/>
    <n v="121"/>
    <n v="1.1009775535950257"/>
    <n v="0"/>
    <n v="0"/>
    <n v="1"/>
    <n v="1"/>
    <n v="0"/>
  </r>
  <r>
    <s v="faa35f2c-e8c6-4010-892a-d429af5b9a30"/>
    <s v="92c8b6a5-4b0f-44a4-9e27-0feae906a735"/>
    <d v="2025-03-15T00:00:00"/>
    <d v="1899-12-30T20:53:17"/>
    <n v="20"/>
    <n v="54"/>
    <s v="Silver"/>
    <s v="Shanghai"/>
    <s v="CONCESSION-LONDON"/>
    <s v="ECLIPSE-EYE-10"/>
    <s v="Eyeliner"/>
    <n v="254.11"/>
    <x v="1"/>
    <n v="0"/>
    <s v="Mobile"/>
    <s v="248.147.38.123"/>
    <x v="0"/>
    <n v="486"/>
    <n v="1.1005622258107433"/>
    <n v="0"/>
    <n v="0"/>
    <n v="0"/>
    <n v="0"/>
    <n v="0"/>
  </r>
  <r>
    <s v="6ce239e8-5159-4074-8889-c97b853086a4"/>
    <s v="bf1364bd-f261-499e-86b2-f8b54d941b88"/>
    <d v="2025-06-01T00:00:00"/>
    <d v="1899-12-30T08:46:56"/>
    <n v="8"/>
    <n v="38"/>
    <s v="Silver"/>
    <s v="Shanghai"/>
    <s v="CONCESSION-SINGAPORE"/>
    <s v="ORION-CONCEAL-09"/>
    <s v="Eyeliner"/>
    <n v="253.93"/>
    <x v="1"/>
    <n v="0"/>
    <s v="Desktop"/>
    <s v="219.133.4.153"/>
    <x v="0"/>
    <n v="89"/>
    <n v="1.0980702591050466"/>
    <n v="0"/>
    <n v="0"/>
    <n v="1"/>
    <n v="1"/>
    <n v="0"/>
  </r>
  <r>
    <s v="c72b38dc-e4de-4920-8f3a-29df685e6d7f"/>
    <s v="673cb124-cd65-4980-82bf-19169cb4b5dc"/>
    <d v="2025-03-23T00:00:00"/>
    <d v="1899-12-30T18:22:22"/>
    <n v="18"/>
    <n v="32"/>
    <s v="Bronze"/>
    <s v="Dubai"/>
    <s v="CONCESSION-LONDON"/>
    <s v="STELLAR-FOUND-03"/>
    <s v="Lipstick"/>
    <n v="253.9"/>
    <x v="4"/>
    <n v="0"/>
    <s v="Laptop"/>
    <s v="126.13.189.104"/>
    <x v="0"/>
    <n v="281"/>
    <n v="1.0976549313207637"/>
    <n v="0"/>
    <n v="0"/>
    <n v="0"/>
    <n v="0"/>
    <n v="0"/>
  </r>
  <r>
    <s v="4e035661-4ba1-4252-b6dc-7606d652d168"/>
    <s v="d113dc1b-958f-491f-8267-f8adb6a268e3"/>
    <d v="2025-08-02T00:00:00"/>
    <d v="1899-12-30T04:55:53"/>
    <n v="4"/>
    <n v="37"/>
    <s v="Bronze"/>
    <s v="New York"/>
    <s v="BOUTIQUE-SHANGHAI"/>
    <s v="NEBULA-SERUM-07"/>
    <s v="Serum"/>
    <n v="253.89"/>
    <x v="0"/>
    <n v="0"/>
    <s v="Desktop"/>
    <s v="177.11.71.34"/>
    <x v="0"/>
    <n v="399"/>
    <n v="1.0975164887260025"/>
    <n v="0"/>
    <n v="1"/>
    <n v="0"/>
    <n v="2"/>
    <n v="0"/>
  </r>
  <r>
    <s v="c0f6c760-657e-43fd-a3db-77ecc7c47ed8"/>
    <s v="57a0cc74-10e3-480e-a37f-a700cd7f7553"/>
    <d v="2025-07-01T00:00:00"/>
    <d v="1899-12-30T04:40:19"/>
    <n v="4"/>
    <n v="45"/>
    <s v="Silver"/>
    <s v="London"/>
    <s v="BOUTIQUE-NYC"/>
    <s v="AURORA-LIP-01"/>
    <s v="Blush"/>
    <n v="253.64"/>
    <x v="0"/>
    <n v="0"/>
    <s v="Mobile"/>
    <s v="119.204.243.154"/>
    <x v="0"/>
    <n v="396"/>
    <n v="1.0940554238569795"/>
    <n v="0"/>
    <n v="1"/>
    <n v="0"/>
    <n v="2"/>
    <n v="0"/>
  </r>
  <r>
    <s v="7e566c78-b57d-4830-af2a-57f675bce4ff"/>
    <s v="6cef985f-2ce7-4334-9c31-99d608ea12ad"/>
    <d v="2025-05-20T00:00:00"/>
    <d v="1899-12-30T14:06:39"/>
    <n v="14"/>
    <n v="41"/>
    <s v="Gold"/>
    <s v="Milan"/>
    <s v="FLAGSHIP-ROME"/>
    <s v="SOLAR-BLUSH-04"/>
    <s v="Setting Spray"/>
    <n v="253.46"/>
    <x v="3"/>
    <n v="0"/>
    <s v="Desktop"/>
    <s v="34.206.18.20"/>
    <x v="0"/>
    <n v="109"/>
    <n v="1.0915634571512831"/>
    <n v="0"/>
    <n v="0"/>
    <n v="1"/>
    <n v="1"/>
    <n v="0"/>
  </r>
  <r>
    <s v="6744d1c1-9368-4b86-8982-f7b1b109823a"/>
    <s v="9fd435f3-9003-46e1-a02e-bebc380997e7"/>
    <d v="2025-08-03T00:00:00"/>
    <d v="1899-12-30T10:38:03"/>
    <n v="10"/>
    <n v="47"/>
    <s v="Gold"/>
    <s v="Cannes"/>
    <s v="BOUTIQUE-DUBAI"/>
    <s v="CELESTE-EYE-05"/>
    <s v="Mascara"/>
    <n v="253.23"/>
    <x v="3"/>
    <n v="0"/>
    <s v="Laptop"/>
    <s v="57.186.197.231"/>
    <x v="0"/>
    <n v="166"/>
    <n v="1.0883792774717815"/>
    <n v="0"/>
    <n v="0"/>
    <n v="1"/>
    <n v="1"/>
    <n v="0"/>
  </r>
  <r>
    <s v="bf5b197c-6107-4afb-8e3c-8704da48d189"/>
    <s v="dfcf84a0-09d9-4521-a104-8dc304ac34dc"/>
    <d v="2025-04-21T00:00:00"/>
    <d v="1899-12-30T15:49:49"/>
    <n v="15"/>
    <n v="54"/>
    <s v="Gold"/>
    <s v="Miami"/>
    <s v="FLAGSHIP-ROME"/>
    <s v="NEBULA-SERUM-07"/>
    <s v="Serum"/>
    <n v="253.07"/>
    <x v="1"/>
    <n v="0"/>
    <s v="Laptop"/>
    <s v="46.221.234.196"/>
    <x v="0"/>
    <n v="263"/>
    <n v="1.086164195955607"/>
    <n v="0"/>
    <n v="0"/>
    <n v="1"/>
    <n v="1"/>
    <n v="0"/>
  </r>
  <r>
    <s v="725c5f3d-4328-4104-bc96-ebd00576457a"/>
    <s v="ea965d15-b8ec-4aac-9930-b4160740fa1f"/>
    <d v="2025-05-30T00:00:00"/>
    <d v="1899-12-30T10:23:52"/>
    <n v="10"/>
    <n v="30"/>
    <s v="Bronze"/>
    <s v="New York"/>
    <s v="BOUTIQUE-SHANGHAI"/>
    <s v="NEBULA-SERUM-07"/>
    <s v="Lipstick"/>
    <n v="252.93"/>
    <x v="1"/>
    <n v="0"/>
    <s v="Tablet"/>
    <s v="58.232.195.58"/>
    <x v="0"/>
    <n v="234"/>
    <n v="1.0842259996289541"/>
    <n v="0"/>
    <n v="0"/>
    <n v="1"/>
    <n v="1"/>
    <n v="0"/>
  </r>
  <r>
    <s v="2153c22b-88b2-402b-a6ec-f65d99104a94"/>
    <s v="a4a03510-03a6-47f7-9f8b-a8153a0f262d"/>
    <d v="2025-04-27T00:00:00"/>
    <d v="1899-12-30T16:06:28"/>
    <n v="16"/>
    <n v="45"/>
    <s v="Bronze"/>
    <s v="Paris"/>
    <s v="FLAGSHIP-ROME"/>
    <s v="GALAXIA-SET-08"/>
    <s v="Lipstick"/>
    <n v="252.89"/>
    <x v="4"/>
    <n v="0"/>
    <s v="Mobile"/>
    <s v="163.115.77.217"/>
    <x v="0"/>
    <n v="243"/>
    <n v="1.0836722292499101"/>
    <n v="0"/>
    <n v="0"/>
    <n v="1"/>
    <n v="1"/>
    <n v="0"/>
  </r>
  <r>
    <s v="81d2cd39-3047-41e5-bfb0-ddc186438037"/>
    <s v="4931bfb7-8be7-4df1-ba9a-e6d3a8839da6"/>
    <d v="2025-05-15T00:00:00"/>
    <d v="1899-12-30T17:25:33"/>
    <n v="17"/>
    <n v="28"/>
    <s v="Bronze"/>
    <s v="Monaco"/>
    <s v="FLAGSHIP-PARIS"/>
    <s v="ORION-CONCEAL-09"/>
    <s v="Setting Spray"/>
    <n v="252.78"/>
    <x v="1"/>
    <n v="0"/>
    <s v="Desktop"/>
    <s v="47.181.194.217"/>
    <x v="0"/>
    <n v="255"/>
    <n v="1.0821493607075401"/>
    <n v="0"/>
    <n v="0"/>
    <n v="1"/>
    <n v="1"/>
    <n v="0"/>
  </r>
  <r>
    <s v="9e278b4e-c041-483e-8fc1-7c2772abbdec"/>
    <s v="01e0dbb5-bb7c-47a8-a1c5-092f78dd9528"/>
    <d v="2025-07-12T00:00:00"/>
    <d v="1899-12-30T20:03:23"/>
    <n v="20"/>
    <n v="39"/>
    <s v="VIP"/>
    <s v="Zurich"/>
    <s v="POPUP-TOKYO"/>
    <s v="ECLIPSE-EYE-10"/>
    <s v="Concealer"/>
    <n v="252.4"/>
    <x v="3"/>
    <n v="0"/>
    <s v="Laptop"/>
    <s v="175.50.196.214"/>
    <x v="0"/>
    <n v="233"/>
    <n v="1.0768885421066252"/>
    <n v="0"/>
    <n v="0"/>
    <n v="1"/>
    <n v="1"/>
    <n v="0"/>
  </r>
  <r>
    <s v="3175bf3c-3311-4329-b40d-a904c1309111"/>
    <s v="890951e4-3023-42aa-bb80-6042b6918ba7"/>
    <d v="2025-02-14T00:00:00"/>
    <d v="1899-12-30T23:15:30"/>
    <n v="23"/>
    <n v="62"/>
    <s v="Silver"/>
    <s v="Los Angeles"/>
    <s v="BOUTIQUE-DUBAI"/>
    <s v="AURORA-LIP-01"/>
    <s v="Setting Spray"/>
    <n v="252.1"/>
    <x v="2"/>
    <n v="1"/>
    <s v="Tablet"/>
    <s v="213.27.47.219"/>
    <x v="0"/>
    <n v="89"/>
    <n v="1.0727352642637973"/>
    <n v="0"/>
    <n v="0"/>
    <n v="1"/>
    <n v="3"/>
    <n v="0"/>
  </r>
  <r>
    <s v="ad07722b-a748-411e-bd9c-4f48ba1598ce"/>
    <s v="c80f9293-ee54-4969-abad-aacedb6d92f5"/>
    <d v="2025-04-23T00:00:00"/>
    <d v="1899-12-30T16:48:15"/>
    <n v="16"/>
    <n v="22"/>
    <s v="Bronze"/>
    <s v="Singapore"/>
    <s v="BOUTIQUE-SHANGHAI"/>
    <s v="GALAXIA-SET-08"/>
    <s v="Foundation"/>
    <n v="252.04"/>
    <x v="0"/>
    <n v="0"/>
    <s v="Desktop"/>
    <s v="127.38.84.224"/>
    <x v="0"/>
    <n v="168"/>
    <n v="1.0719046086952317"/>
    <n v="0"/>
    <n v="0"/>
    <n v="1"/>
    <n v="1"/>
    <n v="0"/>
  </r>
  <r>
    <s v="f73252fc-5e38-49cb-ae09-1b7163fc88ad"/>
    <s v="5b1ad02e-e70c-487f-adc4-48a0f11bb26b"/>
    <d v="2025-05-18T00:00:00"/>
    <d v="1899-12-30T11:25:08"/>
    <n v="11"/>
    <n v="31"/>
    <s v="Silver"/>
    <s v="San Francisco"/>
    <s v="POPUP-MILAN"/>
    <s v="NEBULA-SERUM-07"/>
    <s v="Eyeliner"/>
    <n v="251.98"/>
    <x v="4"/>
    <n v="0"/>
    <s v="Desktop"/>
    <s v="251.102.201.91"/>
    <x v="0"/>
    <n v="96"/>
    <n v="1.071073953126666"/>
    <n v="0"/>
    <n v="0"/>
    <n v="1"/>
    <n v="1"/>
    <n v="0"/>
  </r>
  <r>
    <s v="38a9d6f7-f500-423d-a0dc-a9ac2255e712"/>
    <s v="a3ff99b8-4407-45b8-bd11-fb6ee27fe151"/>
    <d v="2025-06-28T00:00:00"/>
    <d v="1899-12-30T21:17:18"/>
    <n v="21"/>
    <n v="51"/>
    <s v="Bronze"/>
    <s v="Rome"/>
    <s v="FLAGSHIP-LA"/>
    <s v="NEBULA-SERUM-07"/>
    <s v="Blush"/>
    <n v="251.89"/>
    <x v="4"/>
    <n v="0"/>
    <s v="Laptop"/>
    <s v="180.53.183.4"/>
    <x v="0"/>
    <n v="453"/>
    <n v="1.0698279697738178"/>
    <n v="0"/>
    <n v="0"/>
    <n v="0"/>
    <n v="0"/>
    <n v="0"/>
  </r>
  <r>
    <s v="cc5fa7bb-4276-4e56-b05a-45dc7903f338"/>
    <s v="71dbcb6b-e6cd-4025-af0d-913cc0ef90bb"/>
    <d v="2025-03-10T00:00:00"/>
    <d v="1899-12-30T13:30:34"/>
    <n v="13"/>
    <n v="47"/>
    <s v="Silver"/>
    <s v="Cannes"/>
    <s v="POPUP-MILAN"/>
    <s v="AURORA-LIP-01"/>
    <s v="Mascara"/>
    <n v="251.88"/>
    <x v="3"/>
    <n v="0"/>
    <s v="Tablet"/>
    <s v="162.126.17.139"/>
    <x v="1"/>
    <n v="425"/>
    <n v="1.069689527179057"/>
    <n v="0"/>
    <n v="0"/>
    <n v="0"/>
    <n v="0"/>
    <n v="0"/>
  </r>
  <r>
    <s v="dad5519f-56ba-4c35-ada3-ee25ccd85744"/>
    <s v="d82565e9-c274-4b08-a542-b4c9fc86e191"/>
    <d v="2025-05-14T00:00:00"/>
    <d v="1899-12-30T16:47:33"/>
    <n v="16"/>
    <n v="47"/>
    <s v="Bronze"/>
    <s v="Cannes"/>
    <s v="BOUTIQUE-SHANGHAI"/>
    <s v="ORION-CONCEAL-09"/>
    <s v="Eyeshadow Palette"/>
    <n v="251.72"/>
    <x v="0"/>
    <n v="0"/>
    <s v="Tablet"/>
    <s v="111.58.116.61"/>
    <x v="0"/>
    <n v="259"/>
    <n v="1.0674744456628822"/>
    <n v="0"/>
    <n v="0"/>
    <n v="1"/>
    <n v="1"/>
    <n v="0"/>
  </r>
  <r>
    <s v="e749eeaa-29da-4cb6-b73a-da292643b412"/>
    <s v="f48e67d3-1738-4a8c-9d1b-260ded6a0929"/>
    <d v="2025-07-19T00:00:00"/>
    <d v="1899-12-30T02:24:39"/>
    <n v="2"/>
    <n v="56"/>
    <s v="Silver"/>
    <s v="Monaco"/>
    <s v="BOUTIQUE-DUBAI"/>
    <s v="LUNAR-MASC-02"/>
    <s v="Highlighter"/>
    <n v="251.64"/>
    <x v="3"/>
    <n v="0"/>
    <s v="Laptop"/>
    <s v="211.218.156.188"/>
    <x v="0"/>
    <n v="194"/>
    <n v="1.0663669049047946"/>
    <n v="0"/>
    <n v="1"/>
    <n v="1"/>
    <n v="3"/>
    <n v="0"/>
  </r>
  <r>
    <s v="05ec17b6-7ab9-4530-a2ee-b7007696887c"/>
    <s v="56d9d54c-5d66-4904-b7c5-c02a4c28356a"/>
    <d v="2025-07-16T00:00:00"/>
    <d v="1899-12-30T23:34:31"/>
    <n v="23"/>
    <n v="36"/>
    <s v="Bronze"/>
    <s v="Rome"/>
    <s v="FLAGSHIP-PARIS"/>
    <s v="AURORA-LIP-01"/>
    <s v="Lipstick"/>
    <n v="251.59"/>
    <x v="1"/>
    <n v="0"/>
    <s v="Mobile"/>
    <s v="180.57.162.216"/>
    <x v="0"/>
    <n v="476"/>
    <n v="1.0656746919309903"/>
    <n v="0"/>
    <n v="0"/>
    <n v="0"/>
    <n v="0"/>
    <n v="0"/>
  </r>
  <r>
    <s v="672dfc3c-017f-4e16-a9bc-d370cdf58e3d"/>
    <s v="dea2851c-548a-437f-995b-06dd0b1e2220"/>
    <d v="2025-07-02T00:00:00"/>
    <d v="1899-12-30T00:32:56"/>
    <n v="0"/>
    <n v="23"/>
    <s v="Gold"/>
    <s v="Milan"/>
    <s v="CONCESSION-LONDON"/>
    <s v="CELESTE-EYE-05"/>
    <s v="Concealer"/>
    <n v="251.49"/>
    <x v="0"/>
    <n v="0"/>
    <s v="Desktop"/>
    <s v="186.21.53.18"/>
    <x v="0"/>
    <n v="351"/>
    <n v="1.0642902659833811"/>
    <n v="0"/>
    <n v="1"/>
    <n v="0"/>
    <n v="2"/>
    <n v="0"/>
  </r>
  <r>
    <s v="fb5c8c6d-b987-4b18-ae62-14311fb69cf4"/>
    <s v="725c20f0-77dd-4935-8cf4-54577772a6b5"/>
    <d v="2025-08-01T00:00:00"/>
    <d v="1899-12-30T22:54:04"/>
    <n v="22"/>
    <n v="60"/>
    <s v="Gold"/>
    <s v="Zurich"/>
    <s v="FLAGSHIP-LA"/>
    <s v="AURORA-LIP-01"/>
    <s v="Lipstick"/>
    <n v="251.31"/>
    <x v="4"/>
    <n v="0"/>
    <s v="Tablet"/>
    <s v="78.249.147.33"/>
    <x v="0"/>
    <n v="350"/>
    <n v="1.0617982992776842"/>
    <n v="0"/>
    <n v="0"/>
    <n v="0"/>
    <n v="0"/>
    <n v="0"/>
  </r>
  <r>
    <s v="880b9c9b-9d7f-4bf8-adec-69a3d6940ded"/>
    <s v="aa2395a8-9a65-4047-8538-dc195622b83d"/>
    <d v="2025-08-06T00:00:00"/>
    <d v="1899-12-30T22:07:01"/>
    <n v="22"/>
    <n v="22"/>
    <s v="Bronze"/>
    <s v="Zurich"/>
    <s v="POPUP-MILAN"/>
    <s v="ECLIPSE-EYE-10"/>
    <s v="Eyeliner"/>
    <n v="251.25"/>
    <x v="0"/>
    <n v="0"/>
    <s v="Laptop"/>
    <s v="206.219.211.209"/>
    <x v="0"/>
    <n v="345"/>
    <n v="1.0609676437091187"/>
    <n v="0"/>
    <n v="0"/>
    <n v="0"/>
    <n v="0"/>
    <n v="0"/>
  </r>
  <r>
    <s v="aa02f36f-4b7b-4b15-b56b-fa2c3b4f5ce1"/>
    <s v="80c55157-b720-4a32-9aa2-5a2cc3eac3b2"/>
    <d v="2025-03-08T00:00:00"/>
    <d v="1899-12-30T20:48:22"/>
    <n v="20"/>
    <n v="27"/>
    <s v="Bronze"/>
    <s v="Hong Kong"/>
    <s v="BOUTIQUE-SHANGHAI"/>
    <s v="ORION-CONCEAL-09"/>
    <s v="Concealer"/>
    <n v="251.13"/>
    <x v="4"/>
    <n v="0"/>
    <s v="Mobile"/>
    <s v="92.18.202.127"/>
    <x v="0"/>
    <n v="500"/>
    <n v="1.0593063325719876"/>
    <n v="0"/>
    <n v="0"/>
    <n v="0"/>
    <n v="0"/>
    <n v="0"/>
  </r>
  <r>
    <s v="62328fe6-7856-403e-a9e2-78cf767cd805"/>
    <s v="2598a80b-fdef-4481-9b9e-40d181c662f0"/>
    <d v="2025-04-23T00:00:00"/>
    <d v="1899-12-30T05:02:35"/>
    <n v="5"/>
    <n v="19"/>
    <s v="Gold"/>
    <s v="Miami"/>
    <s v="CONCESSION-LONDON"/>
    <s v="LUNAR-MASC-02"/>
    <s v="Eyeliner"/>
    <n v="251.01"/>
    <x v="1"/>
    <n v="0"/>
    <s v="Tablet"/>
    <s v="142.103.16.123"/>
    <x v="0"/>
    <n v="261"/>
    <n v="1.0576450214348565"/>
    <n v="0"/>
    <n v="1"/>
    <n v="1"/>
    <n v="3"/>
    <n v="0"/>
  </r>
  <r>
    <s v="a7986693-6703-4349-bc46-86dfe99dfcbc"/>
    <s v="cd7875cb-73a8-4c8c-974d-a5bd8999957a"/>
    <d v="2025-07-23T00:00:00"/>
    <d v="1899-12-30T19:07:18"/>
    <n v="19"/>
    <n v="32"/>
    <s v="Gold"/>
    <s v="Zurich"/>
    <s v="FLAGSHIP-LA"/>
    <s v="ORION-CONCEAL-09"/>
    <s v="Setting Spray"/>
    <n v="250.99"/>
    <x v="4"/>
    <n v="0"/>
    <s v="Mobile"/>
    <s v="81.207.194.84"/>
    <x v="0"/>
    <n v="100"/>
    <n v="1.0573681362453349"/>
    <n v="0"/>
    <n v="0"/>
    <n v="1"/>
    <n v="1"/>
    <n v="0"/>
  </r>
  <r>
    <s v="fee7965f-6f7e-4a93-90f0-4ee37e4dd660"/>
    <s v="7d5e678f-79f1-4533-a0d3-b78e13644b9d"/>
    <d v="2025-06-24T00:00:00"/>
    <d v="1899-12-30T00:49:40"/>
    <n v="0"/>
    <n v="30"/>
    <s v="Bronze"/>
    <s v="Zurich"/>
    <s v="FLAGSHIP-PARIS"/>
    <s v="NEBULA-SERUM-07"/>
    <s v="Setting Spray"/>
    <n v="250.81"/>
    <x v="3"/>
    <n v="0"/>
    <s v="Mobile"/>
    <s v="169.66.140.136"/>
    <x v="0"/>
    <n v="438"/>
    <n v="1.054876169539638"/>
    <n v="0"/>
    <n v="1"/>
    <n v="0"/>
    <n v="2"/>
    <n v="0"/>
  </r>
  <r>
    <s v="e0aa6dcd-b87d-44a2-9ddd-543fb1933e06"/>
    <s v="09102801-d8fc-4a46-b1b2-f555f2e3cdff"/>
    <d v="2025-04-15T00:00:00"/>
    <d v="1899-12-30T10:26:41"/>
    <n v="10"/>
    <n v="52"/>
    <s v="Platinum"/>
    <s v="Rome"/>
    <s v="BOUTIQUE-NYC"/>
    <s v="GALAXIA-SET-08"/>
    <s v="Serum"/>
    <n v="250.77"/>
    <x v="4"/>
    <n v="0"/>
    <s v="Tablet"/>
    <s v="22.106.189.155"/>
    <x v="0"/>
    <n v="444"/>
    <n v="1.0543223991605946"/>
    <n v="0"/>
    <n v="0"/>
    <n v="0"/>
    <n v="0"/>
    <n v="0"/>
  </r>
  <r>
    <s v="7fdcf5c6-7185-4b9b-b00c-b4602d0e7fd1"/>
    <s v="cc2e3962-3bea-40d2-a7a2-8dad8a62fc43"/>
    <d v="2025-04-19T00:00:00"/>
    <d v="1899-12-30T07:06:03"/>
    <n v="7"/>
    <n v="63"/>
    <s v="Bronze"/>
    <s v="Monte Carlo"/>
    <s v="CONCESSION-LONDON"/>
    <s v="SOLAR-BLUSH-04"/>
    <s v="Blush"/>
    <n v="250.61"/>
    <x v="0"/>
    <n v="0"/>
    <s v="Mobile"/>
    <s v="63.17.60.123"/>
    <x v="0"/>
    <n v="215"/>
    <n v="1.0521073176444198"/>
    <n v="0"/>
    <n v="0"/>
    <n v="1"/>
    <n v="1"/>
    <n v="0"/>
  </r>
  <r>
    <s v="1675613e-d3d4-48ec-aa5e-194323b03fe9"/>
    <s v="c15f1800-4487-46e3-be73-9078bdb13e1f"/>
    <d v="2025-02-14T00:00:00"/>
    <d v="1899-12-30T02:28:55"/>
    <n v="2"/>
    <n v="26"/>
    <s v="Bronze"/>
    <s v="London"/>
    <s v="FLAGSHIP-ROME"/>
    <s v="NEBULA-SERUM-07"/>
    <s v="Concealer"/>
    <n v="250.34"/>
    <x v="0"/>
    <n v="0"/>
    <s v="Laptop"/>
    <s v="244.208.86.30"/>
    <x v="0"/>
    <n v="332"/>
    <n v="1.0483693675858747"/>
    <n v="0"/>
    <n v="1"/>
    <n v="0"/>
    <n v="2"/>
    <n v="0"/>
  </r>
  <r>
    <s v="0a02c93a-7e91-4472-9333-bf2dede35749"/>
    <s v="839a2133-ee7a-45d9-ab79-164d9aa56cb1"/>
    <d v="2025-06-29T00:00:00"/>
    <d v="1899-12-30T02:41:36"/>
    <n v="2"/>
    <n v="45"/>
    <s v="Bronze"/>
    <s v="Rome"/>
    <s v="CONCESSION-SINGAPORE"/>
    <s v="AURORA-LIP-01"/>
    <s v="Setting Spray"/>
    <n v="250.25"/>
    <x v="1"/>
    <n v="0"/>
    <s v="Laptop"/>
    <s v="49.32.11.118"/>
    <x v="0"/>
    <n v="76"/>
    <n v="1.0471233842330263"/>
    <n v="0"/>
    <n v="1"/>
    <n v="1"/>
    <n v="3"/>
    <n v="0"/>
  </r>
  <r>
    <s v="e2448cc4-81c7-4d92-890d-4506422136d8"/>
    <s v="52104b24-4911-40ef-99cc-603c147fa14a"/>
    <d v="2025-07-27T00:00:00"/>
    <d v="1899-12-30T14:11:10"/>
    <n v="14"/>
    <n v="20"/>
    <s v="Bronze"/>
    <s v="Singapore"/>
    <s v="CONCESSION-SINGAPORE"/>
    <s v="COSMIC-HIGHLIGHT-06"/>
    <s v="Setting Spray"/>
    <n v="250.2"/>
    <x v="1"/>
    <n v="0"/>
    <s v="Laptop"/>
    <s v="85.45.185.170"/>
    <x v="1"/>
    <n v="310"/>
    <n v="1.0464311712592216"/>
    <n v="0"/>
    <n v="0"/>
    <n v="0"/>
    <n v="0"/>
    <n v="0"/>
  </r>
  <r>
    <s v="49babb3a-d6ae-4c64-ba68-3905f1a8c752"/>
    <s v="8038a1c5-a683-4734-9256-f036aa71436b"/>
    <d v="2025-08-04T00:00:00"/>
    <d v="1899-12-30T22:26:34"/>
    <n v="22"/>
    <n v="46"/>
    <s v="Bronze"/>
    <s v="Cannes"/>
    <s v="FLAGSHIP-LA"/>
    <s v="CELESTE-EYE-05"/>
    <s v="Highlighter"/>
    <n v="250.09"/>
    <x v="4"/>
    <n v="0"/>
    <s v="Laptop"/>
    <s v="6.82.147.98"/>
    <x v="0"/>
    <n v="276"/>
    <n v="1.0449083027168515"/>
    <n v="0"/>
    <n v="0"/>
    <n v="0"/>
    <n v="0"/>
    <n v="0"/>
  </r>
  <r>
    <s v="ca8d54cb-9c9b-4d2a-80e6-2c68158e281b"/>
    <s v="f75d6624-e0f2-4a34-93eb-26029c78dffe"/>
    <d v="2025-06-21T00:00:00"/>
    <d v="1899-12-30T03:50:06"/>
    <n v="3"/>
    <n v="50"/>
    <s v="Gold"/>
    <s v="Paris"/>
    <s v="BOUTIQUE-DUBAI"/>
    <s v="NEBULA-SERUM-07"/>
    <s v="Lipstick"/>
    <n v="250"/>
    <x v="3"/>
    <n v="0"/>
    <s v="Desktop"/>
    <s v="14.190.217.99"/>
    <x v="0"/>
    <n v="426"/>
    <n v="1.0436623193640031"/>
    <n v="0"/>
    <n v="1"/>
    <n v="0"/>
    <n v="2"/>
    <n v="0"/>
  </r>
  <r>
    <s v="8cded5ad-39b6-43fa-8c09-810a50eb6248"/>
    <s v="409d48b6-dff0-4faf-8aa8-79b2b16f78cb"/>
    <d v="2025-08-09T00:00:00"/>
    <d v="1899-12-30T07:09:55"/>
    <n v="7"/>
    <n v="61"/>
    <s v="Silver"/>
    <s v="Miami"/>
    <s v="POPUP-MILAN"/>
    <s v="AURORA-LIP-01"/>
    <s v="Setting Spray"/>
    <n v="249.82"/>
    <x v="0"/>
    <n v="0"/>
    <s v="Tablet"/>
    <s v="165.157.109.201"/>
    <x v="0"/>
    <n v="296"/>
    <n v="1.0411703526583065"/>
    <n v="0"/>
    <n v="0"/>
    <n v="0"/>
    <n v="0"/>
    <n v="0"/>
  </r>
  <r>
    <s v="6c30a491-60b6-49ae-98e7-0706a72f4c98"/>
    <s v="9796e440-5a92-4f0d-85bb-0672e8b91aba"/>
    <d v="2025-08-08T00:00:00"/>
    <d v="1899-12-30T21:24:05"/>
    <n v="21"/>
    <n v="41"/>
    <s v="Bronze"/>
    <s v="Dubai"/>
    <s v="FLAGSHIP-LA"/>
    <s v="GALAXIA-SET-08"/>
    <s v="Setting Spray"/>
    <n v="249.77"/>
    <x v="3"/>
    <n v="0"/>
    <s v="Mobile"/>
    <s v="174.48.168.13"/>
    <x v="0"/>
    <n v="389"/>
    <n v="1.040478139684502"/>
    <n v="0"/>
    <n v="0"/>
    <n v="0"/>
    <n v="0"/>
    <n v="0"/>
  </r>
  <r>
    <s v="375f70aa-7d34-43c1-9cc7-aaa31a46e275"/>
    <s v="a40846ed-fa87-4a0e-83de-7c868f28c94c"/>
    <d v="2025-06-10T00:00:00"/>
    <d v="1899-12-30T03:48:26"/>
    <n v="3"/>
    <n v="26"/>
    <s v="Bronze"/>
    <s v="Monte Carlo"/>
    <s v="FLAGSHIP-ROME"/>
    <s v="CELESTE-EYE-05"/>
    <s v="Mascara"/>
    <n v="249.74"/>
    <x v="1"/>
    <n v="0"/>
    <s v="Tablet"/>
    <s v="62.113.152.99"/>
    <x v="0"/>
    <n v="54"/>
    <n v="1.0400628119002193"/>
    <n v="0"/>
    <n v="1"/>
    <n v="1"/>
    <n v="3"/>
    <n v="0"/>
  </r>
  <r>
    <s v="5f3759c8-8f8b-43f9-9cb0-174fa9358afa"/>
    <s v="e2140a88-e80b-4d33-94c1-a9506ff1faf9"/>
    <d v="2025-08-10T00:00:00"/>
    <d v="1899-12-30T15:22:48"/>
    <n v="15"/>
    <n v="41"/>
    <s v="Platinum"/>
    <s v="Rome"/>
    <s v="POPUP-MILAN"/>
    <s v="GALAXIA-SET-08"/>
    <s v="Eyeliner"/>
    <n v="249.72"/>
    <x v="1"/>
    <n v="0"/>
    <s v="Desktop"/>
    <s v="149.215.112.44"/>
    <x v="0"/>
    <n v="257"/>
    <n v="1.0397859267106973"/>
    <n v="0"/>
    <n v="0"/>
    <n v="1"/>
    <n v="1"/>
    <n v="0"/>
  </r>
  <r>
    <s v="267e01e1-7d43-4f07-9ef0-22a177017388"/>
    <s v="94551012-2b77-4e57-a10d-427fb9d4e016"/>
    <d v="2025-03-01T00:00:00"/>
    <d v="1899-12-30T17:26:26"/>
    <n v="17"/>
    <n v="42"/>
    <s v="Unknown"/>
    <s v="Paris"/>
    <s v="FLAGSHIP-ROME"/>
    <s v="GALAXIA-SET-08"/>
    <s v="Concealer"/>
    <n v="249.64"/>
    <x v="1"/>
    <n v="0"/>
    <s v="Mobile"/>
    <s v="106.179.28.125"/>
    <x v="0"/>
    <n v="486"/>
    <n v="1.0386783859526096"/>
    <n v="0"/>
    <n v="0"/>
    <n v="0"/>
    <n v="0"/>
    <n v="0"/>
  </r>
  <r>
    <s v="cfd66d43-900a-4682-afc5-194653f19080"/>
    <s v="0d326722-1328-4776-a007-59cead62d7ba"/>
    <d v="2025-08-06T00:00:00"/>
    <d v="1899-12-30T18:09:36"/>
    <n v="18"/>
    <n v="47"/>
    <s v="Platinum"/>
    <s v="Zurich"/>
    <s v="CONCESSION-LONDON"/>
    <s v="GALAXIA-SET-08"/>
    <s v="Setting Spray"/>
    <n v="249.62"/>
    <x v="4"/>
    <n v="0"/>
    <s v="Desktop"/>
    <s v="238.62.153.207"/>
    <x v="1"/>
    <n v="146"/>
    <n v="1.038401500763088"/>
    <n v="0"/>
    <n v="0"/>
    <n v="1"/>
    <n v="1"/>
    <n v="0"/>
  </r>
  <r>
    <s v="c65ac662-467c-46a2-87e8-143f81c64b37"/>
    <s v="2333d9ed-01c6-4c54-91ba-3f126577fa67"/>
    <d v="2025-05-24T00:00:00"/>
    <d v="1899-12-30T02:19:19"/>
    <n v="2"/>
    <n v="58"/>
    <s v="Gold"/>
    <s v="Paris"/>
    <s v="POPUP-TOKYO"/>
    <s v="SOLAR-BLUSH-04"/>
    <s v="Blush"/>
    <n v="249.35"/>
    <x v="1"/>
    <n v="0"/>
    <s v="Tablet"/>
    <s v="8.191.35.88"/>
    <x v="0"/>
    <n v="319"/>
    <n v="1.034663550704543"/>
    <n v="0"/>
    <n v="1"/>
    <n v="0"/>
    <n v="2"/>
    <n v="0"/>
  </r>
  <r>
    <s v="3e783c47-4b5f-4c37-9ff6-07e44223745a"/>
    <s v="1e06cc86-d616-4479-b647-b34fc53b493a"/>
    <d v="2025-07-05T00:00:00"/>
    <d v="1899-12-30T05:42:39"/>
    <n v="5"/>
    <n v="25"/>
    <s v="Bronze"/>
    <s v="Sydney"/>
    <s v="CONCESSION-LONDON"/>
    <s v="SOLAR-BLUSH-04"/>
    <s v="Setting Spray"/>
    <n v="249.18"/>
    <x v="1"/>
    <n v="0"/>
    <s v="Desktop"/>
    <s v="174.161.21.49"/>
    <x v="0"/>
    <n v="390"/>
    <n v="1.0323100265936074"/>
    <n v="0"/>
    <n v="1"/>
    <n v="0"/>
    <n v="2"/>
    <n v="0"/>
  </r>
  <r>
    <s v="884cc8ec-3608-4e80-adbe-4201f43fe64f"/>
    <s v="8d2ef1b8-1b66-48f2-a6d4-bf6a96ddc1ed"/>
    <d v="2025-03-25T00:00:00"/>
    <d v="1899-12-30T10:38:49"/>
    <n v="10"/>
    <n v="37"/>
    <s v="Platinum"/>
    <s v="Shanghai"/>
    <s v="FLAGSHIP-LA"/>
    <s v="STELLAR-FOUND-03"/>
    <s v="Lipstick"/>
    <n v="249.16"/>
    <x v="3"/>
    <n v="0"/>
    <s v="Tablet"/>
    <s v="255.253.20.226"/>
    <x v="1"/>
    <n v="60"/>
    <n v="1.0320331414040855"/>
    <n v="0"/>
    <n v="0"/>
    <n v="1"/>
    <n v="1"/>
    <n v="0"/>
  </r>
  <r>
    <s v="a0baa93f-1bfa-44a1-8ab2-6c1841841e56"/>
    <s v="cdc56d58-e8db-478f-a4ef-156e2c613196"/>
    <d v="2025-08-08T00:00:00"/>
    <d v="1899-12-30T17:12:23"/>
    <n v="17"/>
    <n v="26"/>
    <s v="Bronze"/>
    <s v="Los Angeles"/>
    <s v="POPUP-MILAN"/>
    <s v="NEBULA-SERUM-07"/>
    <s v="Serum"/>
    <n v="248.93"/>
    <x v="4"/>
    <n v="0"/>
    <s v="Desktop"/>
    <s v="190.119.36.18"/>
    <x v="0"/>
    <n v="71"/>
    <n v="1.0288489617245844"/>
    <n v="0"/>
    <n v="0"/>
    <n v="1"/>
    <n v="1"/>
    <n v="0"/>
  </r>
  <r>
    <s v="b3b2cb2f-91d0-4adf-92aa-96a313788edf"/>
    <s v="f8d6b434-64d6-4d2c-a812-5ad7ff20ac38"/>
    <d v="2025-02-18T00:00:00"/>
    <d v="1899-12-30T11:35:35"/>
    <n v="11"/>
    <n v="61"/>
    <s v="Bronze"/>
    <s v="Cannes"/>
    <s v="FLAGSHIP-PARIS"/>
    <s v="ECLIPSE-EYE-10"/>
    <s v="Foundation"/>
    <n v="248.92"/>
    <x v="2"/>
    <n v="1"/>
    <s v="Mobile"/>
    <s v="145.214.62.26"/>
    <x v="0"/>
    <n v="172"/>
    <n v="1.0287105191298231"/>
    <n v="0"/>
    <n v="0"/>
    <n v="1"/>
    <n v="3"/>
    <n v="0"/>
  </r>
  <r>
    <s v="82214463-b338-4b0c-8630-91bca86be934"/>
    <s v="bb45f377-1c51-4ba2-bd28-cc3a4489dc16"/>
    <d v="2025-05-28T00:00:00"/>
    <d v="1899-12-30T02:15:10"/>
    <n v="2"/>
    <n v="55"/>
    <s v="Silver"/>
    <s v="Paris"/>
    <s v="FLAGSHIP-LA"/>
    <s v="ORION-CONCEAL-09"/>
    <s v="Mascara"/>
    <n v="248.91"/>
    <x v="0"/>
    <n v="0"/>
    <s v="Laptop"/>
    <s v="87.132.101.232"/>
    <x v="0"/>
    <n v="118"/>
    <n v="1.0285720765350623"/>
    <n v="0"/>
    <n v="1"/>
    <n v="1"/>
    <n v="3"/>
    <n v="0"/>
  </r>
  <r>
    <s v="4e4ece23-d35e-46d9-8e41-17b45d10b0c6"/>
    <s v="56784f9c-121f-4fe0-9c78-0341b8f971f9"/>
    <d v="2025-07-28T00:00:00"/>
    <d v="1899-12-30T17:01:13"/>
    <n v="17"/>
    <n v="29"/>
    <s v="Platinum"/>
    <s v="Las Vegas"/>
    <s v="CONCESSION-LONDON"/>
    <s v="LUNAR-MASC-02"/>
    <s v="Concealer"/>
    <n v="248.86"/>
    <x v="1"/>
    <n v="0"/>
    <s v="Laptop"/>
    <s v="97.42.251.12"/>
    <x v="0"/>
    <n v="492"/>
    <n v="1.0278798635612578"/>
    <n v="0"/>
    <n v="0"/>
    <n v="0"/>
    <n v="0"/>
    <n v="0"/>
  </r>
  <r>
    <s v="7869a41d-fb94-4a72-9ebc-40480b28018c"/>
    <s v="7d5181f7-e770-4393-98de-7b986d9f99b9"/>
    <d v="2025-06-18T00:00:00"/>
    <d v="1899-12-30T06:33:38"/>
    <n v="6"/>
    <n v="39"/>
    <s v="Gold"/>
    <s v="Rome"/>
    <s v="FLAGSHIP-PARIS"/>
    <s v="ECLIPSE-EYE-10"/>
    <s v="Eyeliner"/>
    <n v="248.77"/>
    <x v="0"/>
    <n v="0"/>
    <s v="Desktop"/>
    <s v="103.94.3.185"/>
    <x v="0"/>
    <n v="214"/>
    <n v="1.0266338802084096"/>
    <n v="0"/>
    <n v="0"/>
    <n v="1"/>
    <n v="1"/>
    <n v="0"/>
  </r>
  <r>
    <s v="ebaa2dbf-57b9-4e01-9e0a-77662a5227d9"/>
    <s v="71d3c66c-c6bf-42be-b1a8-ec523ed8b578"/>
    <d v="2025-05-05T00:00:00"/>
    <d v="1899-12-30T06:14:12"/>
    <n v="6"/>
    <n v="46"/>
    <s v="Gold"/>
    <s v="Hong Kong"/>
    <s v="POPUP-MILAN"/>
    <s v="ECLIPSE-EYE-10"/>
    <s v="Serum"/>
    <n v="248.27"/>
    <x v="4"/>
    <n v="0"/>
    <s v="Mobile"/>
    <s v="187.112.173.23"/>
    <x v="0"/>
    <n v="60"/>
    <n v="1.0197117504703634"/>
    <n v="0"/>
    <n v="0"/>
    <n v="1"/>
    <n v="1"/>
    <n v="0"/>
  </r>
  <r>
    <s v="98c08995-b7f2-48f5-97bd-6376f9f1bee5"/>
    <s v="91f48c1b-d30f-4b5c-931f-9a0fccdd2641"/>
    <d v="2025-04-09T00:00:00"/>
    <d v="1899-12-30T00:12:33"/>
    <n v="0"/>
    <n v="50"/>
    <s v="Platinum"/>
    <s v="Dubai"/>
    <s v="POPUP-MILAN"/>
    <s v="STELLAR-FOUND-03"/>
    <s v="Highlighter"/>
    <n v="248.23"/>
    <x v="4"/>
    <n v="0"/>
    <s v="Desktop"/>
    <s v="9.178.13.172"/>
    <x v="0"/>
    <n v="471"/>
    <n v="1.0191579800913193"/>
    <n v="0"/>
    <n v="1"/>
    <n v="0"/>
    <n v="2"/>
    <n v="0"/>
  </r>
  <r>
    <s v="6e62a3ae-03c3-4ea3-900a-b629aaf56770"/>
    <s v="a959c17f-cb89-4fb3-849d-e1f84d7d9b6a"/>
    <d v="2025-02-21T00:00:00"/>
    <d v="1899-12-30T02:59:56"/>
    <n v="2"/>
    <n v="23"/>
    <s v="Silver"/>
    <s v="Miami"/>
    <s v="CONCESSION-LONDON"/>
    <s v="LUNAR-MASC-02"/>
    <s v="Setting Spray"/>
    <n v="248.07"/>
    <x v="3"/>
    <n v="0"/>
    <s v="Laptop"/>
    <s v="98.191.91.5"/>
    <x v="0"/>
    <n v="437"/>
    <n v="1.0169428985751445"/>
    <n v="0"/>
    <n v="1"/>
    <n v="0"/>
    <n v="2"/>
    <n v="0"/>
  </r>
  <r>
    <s v="160264ab-d1b5-46e5-ab41-d5dddef160b8"/>
    <s v="307bad5f-316d-428e-837a-898bf069ea6a"/>
    <d v="2025-03-26T00:00:00"/>
    <d v="1899-12-30T17:38:40"/>
    <n v="17"/>
    <n v="43"/>
    <s v="Platinum"/>
    <s v="Singapore"/>
    <s v="CONCESSION-SINGAPORE"/>
    <s v="AURORA-LIP-01"/>
    <s v="Setting Spray"/>
    <n v="248.04"/>
    <x v="4"/>
    <n v="0"/>
    <s v="Mobile"/>
    <s v="34.150.199.213"/>
    <x v="0"/>
    <n v="261"/>
    <n v="1.0165275707908619"/>
    <n v="0"/>
    <n v="0"/>
    <n v="1"/>
    <n v="1"/>
    <n v="0"/>
  </r>
  <r>
    <s v="6c92ca8b-da6f-4a2b-b861-cd47f5fcb7b0"/>
    <s v="0f9be81b-e52d-4a79-9aca-70f8a0a1e3d6"/>
    <d v="2025-07-06T00:00:00"/>
    <d v="1899-12-30T22:10:03"/>
    <n v="22"/>
    <n v="42"/>
    <s v="Gold"/>
    <s v="Milan"/>
    <s v="FLAGSHIP-PARIS"/>
    <s v="ECLIPSE-EYE-10"/>
    <s v="Blush"/>
    <n v="247.89"/>
    <x v="1"/>
    <n v="0"/>
    <s v="Desktop"/>
    <s v="161.249.71.214"/>
    <x v="0"/>
    <n v="378"/>
    <n v="1.0144509318694479"/>
    <n v="0"/>
    <n v="0"/>
    <n v="0"/>
    <n v="0"/>
    <n v="0"/>
  </r>
  <r>
    <s v="d523f96f-a49d-4a39-a0e3-24069bfdb6da"/>
    <s v="5c2aadd3-2d8d-4c30-b5eb-2abe83924326"/>
    <d v="2025-04-29T00:00:00"/>
    <d v="1899-12-30T13:32:01"/>
    <n v="13"/>
    <n v="54"/>
    <s v="Bronze"/>
    <s v="Las Vegas"/>
    <s v="CONCESSION-LONDON"/>
    <s v="LUNAR-MASC-02"/>
    <s v="Eyeliner"/>
    <n v="247.87"/>
    <x v="2"/>
    <n v="1"/>
    <s v="Laptop"/>
    <s v="16.218.26.155"/>
    <x v="0"/>
    <n v="175"/>
    <n v="1.0141740466799263"/>
    <n v="0"/>
    <n v="0"/>
    <n v="1"/>
    <n v="3"/>
    <n v="0"/>
  </r>
  <r>
    <s v="119250ce-a710-4b6a-a581-d46154cb39b5"/>
    <s v="d4fb9fc5-d0e4-43b2-aaae-0d41e80c0943"/>
    <d v="2025-05-10T00:00:00"/>
    <d v="1899-12-30T09:10:22"/>
    <n v="9"/>
    <n v="32"/>
    <s v="Bronze"/>
    <s v="Shanghai"/>
    <s v="BOUTIQUE-DUBAI"/>
    <s v="GALAXIA-SET-08"/>
    <s v="Foundation"/>
    <n v="247.82"/>
    <x v="3"/>
    <n v="0"/>
    <s v="Mobile"/>
    <s v="84.245.240.23"/>
    <x v="0"/>
    <n v="206"/>
    <n v="1.0134818337061215"/>
    <n v="0"/>
    <n v="0"/>
    <n v="1"/>
    <n v="1"/>
    <n v="0"/>
  </r>
  <r>
    <s v="cc1206ac-582a-4d16-b63c-d64a612f0dff"/>
    <s v="7d308c2f-a4e9-4a43-b22c-a9cd558ba1cf"/>
    <d v="2025-07-23T00:00:00"/>
    <d v="1899-12-30T05:46:52"/>
    <n v="5"/>
    <n v="54"/>
    <s v="VIP"/>
    <s v="London"/>
    <s v="FLAGSHIP-ROME"/>
    <s v="GALAXIA-SET-08"/>
    <s v="Foundation"/>
    <n v="247.8"/>
    <x v="3"/>
    <n v="0"/>
    <s v="Laptop"/>
    <s v="97.160.230.82"/>
    <x v="0"/>
    <n v="99"/>
    <n v="1.0132049485165999"/>
    <n v="0"/>
    <n v="1"/>
    <n v="1"/>
    <n v="3"/>
    <n v="0"/>
  </r>
  <r>
    <s v="266935ac-36f4-4ab3-bfdb-d9107f8fb990"/>
    <s v="a6d6b996-2147-42e6-88c2-1f1108543497"/>
    <d v="2025-06-23T00:00:00"/>
    <d v="1899-12-30T00:29:40"/>
    <n v="0"/>
    <n v="61"/>
    <s v="Gold"/>
    <s v="Monte Carlo"/>
    <s v="FLAGSHIP-ROME"/>
    <s v="AURORA-LIP-01"/>
    <s v="Mascara"/>
    <n v="247.8"/>
    <x v="3"/>
    <n v="0"/>
    <s v="Laptop"/>
    <s v="80.181.90.220"/>
    <x v="0"/>
    <n v="456"/>
    <n v="1.0132049485165999"/>
    <n v="0"/>
    <n v="1"/>
    <n v="0"/>
    <n v="2"/>
    <n v="0"/>
  </r>
  <r>
    <s v="5fe4b556-234d-4cf1-aac4-51ec576146e3"/>
    <s v="89202c97-5ad9-4a66-a122-ec0100f04e35"/>
    <d v="2025-03-03T00:00:00"/>
    <d v="1899-12-30T05:56:39"/>
    <n v="5"/>
    <n v="47"/>
    <s v="Unknown"/>
    <s v="Singapore"/>
    <s v="FLAGSHIP-LA"/>
    <s v="COSMIC-HIGHLIGHT-06"/>
    <s v="Eyeliner"/>
    <n v="247.77"/>
    <x v="0"/>
    <n v="0"/>
    <s v="Desktop"/>
    <s v="23.48.206.198"/>
    <x v="0"/>
    <n v="484"/>
    <n v="1.012789620732317"/>
    <n v="0"/>
    <n v="1"/>
    <n v="0"/>
    <n v="2"/>
    <n v="0"/>
  </r>
  <r>
    <s v="99e8d780-e08f-40ee-91df-58a8a7833d4c"/>
    <s v="ddcd79c1-4038-4d2b-8b6e-9f24ca8306bf"/>
    <d v="2025-06-10T00:00:00"/>
    <d v="1899-12-30T14:38:37"/>
    <n v="14"/>
    <n v="41"/>
    <s v="Bronze"/>
    <s v="Singapore"/>
    <s v="FLAGSHIP-LA"/>
    <s v="ECLIPSE-EYE-10"/>
    <s v="Eyeshadow Palette"/>
    <n v="247.56"/>
    <x v="4"/>
    <n v="0"/>
    <s v="Desktop"/>
    <s v="5.195.196.227"/>
    <x v="0"/>
    <n v="427"/>
    <n v="1.0098823262423375"/>
    <n v="0"/>
    <n v="0"/>
    <n v="0"/>
    <n v="0"/>
    <n v="0"/>
  </r>
  <r>
    <s v="66cd7118-f62d-4404-838b-2854fc90e926"/>
    <s v="a0bc192e-6e4a-4efb-95fa-efb92c9cb81d"/>
    <d v="2025-04-19T00:00:00"/>
    <d v="1899-12-30T15:44:20"/>
    <n v="15"/>
    <n v="23"/>
    <s v="Unknown"/>
    <s v="Monte Carlo"/>
    <s v="POPUP-MILAN"/>
    <s v="GALAXIA-SET-08"/>
    <s v="Blush"/>
    <n v="247.55"/>
    <x v="4"/>
    <n v="0"/>
    <s v="Mobile"/>
    <s v="247.64.48.116"/>
    <x v="0"/>
    <n v="287"/>
    <n v="1.0097438836475767"/>
    <n v="0"/>
    <n v="0"/>
    <n v="0"/>
    <n v="0"/>
    <n v="0"/>
  </r>
  <r>
    <s v="0e35381c-911b-4e10-ba9c-f12df3e0ba0e"/>
    <s v="1fb6ce33-7eaa-4722-8409-3b9b901541a1"/>
    <d v="2025-02-25T00:00:00"/>
    <d v="1899-12-30T20:01:31"/>
    <n v="20"/>
    <n v="19"/>
    <s v="Bronze"/>
    <s v="Cannes"/>
    <s v="POPUP-TOKYO"/>
    <s v="CELESTE-EYE-05"/>
    <s v="Concealer"/>
    <n v="247.43"/>
    <x v="0"/>
    <n v="0"/>
    <s v="Mobile"/>
    <s v="186.145.128.98"/>
    <x v="0"/>
    <n v="412"/>
    <n v="1.0080825725104456"/>
    <n v="0"/>
    <n v="0"/>
    <n v="0"/>
    <n v="0"/>
    <n v="0"/>
  </r>
  <r>
    <s v="53f27526-dca4-48c4-81e6-4bc76319e49d"/>
    <s v="3070a1d3-3c7b-4550-9e5f-07b26b1c3243"/>
    <d v="2025-03-11T00:00:00"/>
    <d v="1899-12-30T03:42:14"/>
    <n v="3"/>
    <n v="24"/>
    <s v="Silver"/>
    <s v="Monaco"/>
    <s v="FLAGSHIP-ROME"/>
    <s v="CELESTE-EYE-05"/>
    <s v="Blush"/>
    <n v="246.74"/>
    <x v="4"/>
    <n v="0"/>
    <s v="Mobile"/>
    <s v="111.218.70.59"/>
    <x v="0"/>
    <n v="350"/>
    <n v="0.99853003347194191"/>
    <n v="0"/>
    <n v="1"/>
    <n v="0"/>
    <n v="2"/>
    <n v="0"/>
  </r>
  <r>
    <s v="09231220-548b-4081-a6ca-b72cca4bedaf"/>
    <s v="5a325d12-1c42-4a31-aab1-b1404917a73c"/>
    <d v="2025-07-08T00:00:00"/>
    <d v="1899-12-30T05:11:54"/>
    <n v="5"/>
    <n v="27"/>
    <s v="Bronze"/>
    <s v="Tokyo"/>
    <s v="BOUTIQUE-NYC"/>
    <s v="CELESTE-EYE-05"/>
    <s v="Setting Spray"/>
    <n v="246.57"/>
    <x v="4"/>
    <n v="0"/>
    <s v="Tablet"/>
    <s v="245.85.142.73"/>
    <x v="0"/>
    <n v="65"/>
    <n v="0.99617650936100588"/>
    <n v="0"/>
    <n v="1"/>
    <n v="1"/>
    <n v="3"/>
    <n v="0"/>
  </r>
  <r>
    <s v="b6d94e7c-e8d2-4a27-b658-629efb6380ef"/>
    <s v="fc365a67-ae8a-4f8c-930c-b3c946f02100"/>
    <d v="2025-07-08T00:00:00"/>
    <d v="1899-12-30T01:11:14"/>
    <n v="1"/>
    <n v="29"/>
    <s v="Gold"/>
    <s v="Miami"/>
    <s v="BOUTIQUE-NYC"/>
    <s v="GALAXIA-SET-08"/>
    <s v="Setting Spray"/>
    <n v="246.53"/>
    <x v="4"/>
    <n v="0"/>
    <s v="Desktop"/>
    <s v="123.35.199.105"/>
    <x v="0"/>
    <n v="148"/>
    <n v="0.9956227389819623"/>
    <n v="0"/>
    <n v="1"/>
    <n v="1"/>
    <n v="3"/>
    <n v="0"/>
  </r>
  <r>
    <s v="3a227b77-1d03-4c21-90b2-52ef33cf05d4"/>
    <s v="f13a9d39-f3ef-42da-bb88-8689b24a5d49"/>
    <d v="2025-07-08T00:00:00"/>
    <d v="1899-12-30T00:57:49"/>
    <n v="0"/>
    <n v="60"/>
    <s v="Bronze"/>
    <s v="Shanghai"/>
    <s v="BOUTIQUE-DUBAI"/>
    <s v="STELLAR-FOUND-03"/>
    <s v="Lipstick"/>
    <n v="246.4"/>
    <x v="3"/>
    <n v="0"/>
    <s v="Tablet"/>
    <s v="93.137.128.6"/>
    <x v="1"/>
    <n v="409"/>
    <n v="0.9938229852500704"/>
    <n v="0"/>
    <n v="1"/>
    <n v="0"/>
    <n v="2"/>
    <n v="0"/>
  </r>
  <r>
    <s v="40b9d54e-9b7b-49aa-9b07-e771b4ed6b0b"/>
    <s v="383978fe-fbba-4002-8886-126295184506"/>
    <d v="2025-08-04T00:00:00"/>
    <d v="1899-12-30T22:50:06"/>
    <n v="22"/>
    <n v="49"/>
    <s v="Silver"/>
    <s v="London"/>
    <s v="BOUTIQUE-SHANGHAI"/>
    <s v="STELLAR-FOUND-03"/>
    <s v="Mascara"/>
    <n v="246.27"/>
    <x v="4"/>
    <n v="0"/>
    <s v="Tablet"/>
    <s v="52.77.109.157"/>
    <x v="0"/>
    <n v="321"/>
    <n v="0.99202323151817839"/>
    <n v="0"/>
    <n v="0"/>
    <n v="0"/>
    <n v="0"/>
    <n v="0"/>
  </r>
  <r>
    <s v="80ecfd02-7380-47b9-a0ad-e91de8a77e59"/>
    <s v="33274d6c-f6ec-4ceb-bd5e-7a613ecfaa98"/>
    <d v="2025-03-26T00:00:00"/>
    <d v="1899-12-30T05:30:24"/>
    <n v="5"/>
    <n v="51"/>
    <s v="Silver"/>
    <s v="Zurich"/>
    <s v="BOUTIQUE-NYC"/>
    <s v="LUNAR-MASC-02"/>
    <s v="Mascara"/>
    <n v="246.07"/>
    <x v="0"/>
    <n v="0"/>
    <s v="Desktop"/>
    <s v="144.240.143.127"/>
    <x v="0"/>
    <n v="434"/>
    <n v="0.9892543796229597"/>
    <n v="0"/>
    <n v="1"/>
    <n v="0"/>
    <n v="2"/>
    <n v="0"/>
  </r>
  <r>
    <s v="67af98e7-c7a7-4e5c-a996-ceb0f83eeaf3"/>
    <s v="d61c5cc7-9ba3-4c5c-b8b2-410908750198"/>
    <d v="2025-05-04T00:00:00"/>
    <d v="1899-12-30T07:08:12"/>
    <n v="7"/>
    <n v="48"/>
    <s v="Gold"/>
    <s v="Monte Carlo"/>
    <s v="POPUP-MILAN"/>
    <s v="ORION-CONCEAL-09"/>
    <s v="Serum"/>
    <n v="245.91"/>
    <x v="3"/>
    <n v="0"/>
    <s v="Tablet"/>
    <s v="82.20.212.147"/>
    <x v="0"/>
    <n v="490"/>
    <n v="0.98703929810678492"/>
    <n v="0"/>
    <n v="0"/>
    <n v="0"/>
    <n v="0"/>
    <n v="0"/>
  </r>
  <r>
    <s v="adcfbaa1-5184-4ebc-bb6f-1b7e81183161"/>
    <s v="199d4e50-58ff-4a74-adb4-164ae5272f08"/>
    <d v="2025-07-13T00:00:00"/>
    <d v="1899-12-30T17:12:46"/>
    <n v="17"/>
    <n v="31"/>
    <s v="Bronze"/>
    <s v="San Francisco"/>
    <s v="POPUP-MILAN"/>
    <s v="AURORA-LIP-01"/>
    <s v="Highlighter"/>
    <n v="245.89"/>
    <x v="3"/>
    <n v="0"/>
    <s v="Tablet"/>
    <s v="237.43.22.77"/>
    <x v="0"/>
    <n v="175"/>
    <n v="0.98676241291726297"/>
    <n v="0"/>
    <n v="0"/>
    <n v="1"/>
    <n v="1"/>
    <n v="0"/>
  </r>
  <r>
    <s v="cc7c5d3e-149d-4489-9891-cf4c93aa98d1"/>
    <s v="5841ea95-f2bb-41ca-b4b7-cb531a4aa1f3"/>
    <d v="2025-07-28T00:00:00"/>
    <d v="1899-12-30T13:25:49"/>
    <n v="13"/>
    <n v="56"/>
    <s v="Gold"/>
    <s v="Monaco"/>
    <s v="FLAGSHIP-PARIS"/>
    <s v="SOLAR-BLUSH-04"/>
    <s v="Blush"/>
    <n v="245.82"/>
    <x v="4"/>
    <n v="0"/>
    <s v="Mobile"/>
    <s v="141.151.64.177"/>
    <x v="0"/>
    <n v="62"/>
    <n v="0.98579331475393661"/>
    <n v="0"/>
    <n v="0"/>
    <n v="1"/>
    <n v="1"/>
    <n v="0"/>
  </r>
  <r>
    <s v="b933d945-077e-4647-9a97-bf696c5171d7"/>
    <s v="94a75458-f936-4206-9099-bd5dfe6fc3f5"/>
    <d v="2025-02-14T00:00:00"/>
    <d v="1899-12-30T06:21:41"/>
    <n v="6"/>
    <n v="63"/>
    <s v="Silver"/>
    <s v="Shanghai"/>
    <s v="BOUTIQUE-DUBAI"/>
    <s v="NEBULA-SERUM-07"/>
    <s v="Setting Spray"/>
    <n v="245.81"/>
    <x v="4"/>
    <n v="0"/>
    <s v="Mobile"/>
    <s v="87.86.10.166"/>
    <x v="0"/>
    <n v="315"/>
    <n v="0.9856548721591758"/>
    <n v="0"/>
    <n v="0"/>
    <n v="0"/>
    <n v="0"/>
    <n v="0"/>
  </r>
  <r>
    <s v="611e189c-9b97-4b6f-a62a-7c4ff6f9308e"/>
    <s v="b9eba1cd-1e5c-4b6d-b910-392dbb69add9"/>
    <d v="2025-07-19T00:00:00"/>
    <d v="1899-12-30T20:14:29"/>
    <n v="20"/>
    <n v="59"/>
    <s v="Bronze"/>
    <s v="Cannes"/>
    <s v="BOUTIQUE-NYC"/>
    <s v="NEBULA-SERUM-07"/>
    <s v="Foundation"/>
    <n v="245.77"/>
    <x v="1"/>
    <n v="0"/>
    <s v="Tablet"/>
    <s v="21.47.118.110"/>
    <x v="0"/>
    <n v="494"/>
    <n v="0.98510110178013222"/>
    <n v="0"/>
    <n v="0"/>
    <n v="0"/>
    <n v="0"/>
    <n v="0"/>
  </r>
  <r>
    <s v="7f485e74-785f-4d91-8146-e808c478be95"/>
    <s v="b56736af-5427-4197-a7f1-0ab79d665d01"/>
    <d v="2025-05-27T00:00:00"/>
    <d v="1899-12-30T06:18:17"/>
    <n v="6"/>
    <n v="23"/>
    <s v="Silver"/>
    <s v="Monte Carlo"/>
    <s v="POPUP-TOKYO"/>
    <s v="COSMIC-HIGHLIGHT-06"/>
    <s v="Concealer"/>
    <n v="245.74"/>
    <x v="0"/>
    <n v="0"/>
    <s v="Desktop"/>
    <s v="243.78.174.128"/>
    <x v="0"/>
    <n v="125"/>
    <n v="0.98468577399584944"/>
    <n v="0"/>
    <n v="0"/>
    <n v="1"/>
    <n v="1"/>
    <n v="0"/>
  </r>
  <r>
    <s v="8087da15-40c7-4eec-9fe0-7313784b21c6"/>
    <s v="7d1a4354-f82d-4cc4-bbda-3a0c18bda072"/>
    <d v="2025-06-24T00:00:00"/>
    <d v="1899-12-30T19:15:20"/>
    <n v="19"/>
    <n v="34"/>
    <s v="Bronze"/>
    <s v="Rome"/>
    <s v="BOUTIQUE-DUBAI"/>
    <s v="STELLAR-FOUND-03"/>
    <s v="Blush"/>
    <n v="245.66"/>
    <x v="1"/>
    <n v="0"/>
    <s v="Desktop"/>
    <s v="163.168.199.243"/>
    <x v="0"/>
    <n v="173"/>
    <n v="0.98357823323776183"/>
    <n v="0"/>
    <n v="0"/>
    <n v="1"/>
    <n v="1"/>
    <n v="0"/>
  </r>
  <r>
    <s v="062fd91d-3ca1-4401-9eb6-fb305d28ddd8"/>
    <s v="73d64040-5c48-4dc6-884c-4d5ec2dfb72d"/>
    <d v="2025-02-26T00:00:00"/>
    <d v="1899-12-30T14:23:37"/>
    <n v="14"/>
    <n v="45"/>
    <s v="Bronze"/>
    <s v="Tokyo"/>
    <s v="BOUTIQUE-NYC"/>
    <s v="LUNAR-MASC-02"/>
    <s v="Blush"/>
    <n v="245.52"/>
    <x v="0"/>
    <n v="0"/>
    <s v="Tablet"/>
    <s v="101.89.212.127"/>
    <x v="0"/>
    <n v="304"/>
    <n v="0.98164003691110913"/>
    <n v="0"/>
    <n v="0"/>
    <n v="0"/>
    <n v="0"/>
    <n v="0"/>
  </r>
  <r>
    <s v="c4271d79-10f6-45fb-b46d-31364020b037"/>
    <s v="e21c8da1-a60e-4f1c-a130-1c1659c2d45a"/>
    <d v="2025-06-16T00:00:00"/>
    <d v="1899-12-30T19:37:33"/>
    <n v="19"/>
    <n v="45"/>
    <s v="Gold"/>
    <s v="Milan"/>
    <s v="FLAGSHIP-PARIS"/>
    <s v="SOLAR-BLUSH-04"/>
    <s v="Foundation"/>
    <n v="245.51"/>
    <x v="3"/>
    <n v="0"/>
    <s v="Mobile"/>
    <s v="181.234.93.224"/>
    <x v="0"/>
    <n v="98"/>
    <n v="0.98150159431634787"/>
    <n v="0"/>
    <n v="0"/>
    <n v="1"/>
    <n v="1"/>
    <n v="0"/>
  </r>
  <r>
    <s v="27d511ec-1bc6-4369-a6d6-74be6cf1c7d0"/>
    <s v="50d23dac-8144-402f-9398-29f12e2f93a8"/>
    <d v="2025-04-19T00:00:00"/>
    <d v="1899-12-30T00:07:43"/>
    <n v="0"/>
    <n v="31"/>
    <s v="Silver"/>
    <s v="Singapore"/>
    <s v="BOUTIQUE-NYC"/>
    <s v="ORION-CONCEAL-09"/>
    <s v="Highlighter"/>
    <n v="245.37"/>
    <x v="2"/>
    <n v="1"/>
    <s v="Laptop"/>
    <s v="250.176.49.79"/>
    <x v="0"/>
    <n v="239"/>
    <n v="0.97956339798969516"/>
    <n v="0"/>
    <n v="1"/>
    <n v="1"/>
    <n v="5"/>
    <n v="1"/>
  </r>
  <r>
    <s v="f3e1a9e9-1477-4780-bcf1-79b5a82a08b4"/>
    <s v="d3e84df5-de46-4803-b5a8-cd834da3e06b"/>
    <d v="2025-05-15T00:00:00"/>
    <d v="1899-12-30T14:07:17"/>
    <n v="14"/>
    <n v="32"/>
    <s v="Bronze"/>
    <s v="Sydney"/>
    <s v="BOUTIQUE-SHANGHAI"/>
    <s v="ECLIPSE-EYE-10"/>
    <s v="Foundation"/>
    <n v="245.06"/>
    <x v="3"/>
    <n v="0"/>
    <s v="Desktop"/>
    <s v="234.226.132.52"/>
    <x v="0"/>
    <n v="152"/>
    <n v="0.97527167755210642"/>
    <n v="0"/>
    <n v="0"/>
    <n v="1"/>
    <n v="1"/>
    <n v="0"/>
  </r>
  <r>
    <s v="4db726ee-60d2-4e15-b2b5-5adb19d97be4"/>
    <s v="62eb2d5d-1055-49a1-b737-4b4a80884035"/>
    <d v="2025-04-11T00:00:00"/>
    <d v="1899-12-30T00:42:15"/>
    <n v="0"/>
    <n v="46"/>
    <s v="Bronze"/>
    <s v="Los Angeles"/>
    <s v="BOUTIQUE-DUBAI"/>
    <s v="ECLIPSE-EYE-10"/>
    <s v="Lipstick"/>
    <n v="245.05"/>
    <x v="0"/>
    <n v="0"/>
    <s v="Desktop"/>
    <s v="28.230.193.68"/>
    <x v="0"/>
    <n v="311"/>
    <n v="0.97513323495734561"/>
    <n v="0"/>
    <n v="1"/>
    <n v="0"/>
    <n v="2"/>
    <n v="0"/>
  </r>
  <r>
    <s v="23de4530-f06b-4019-adce-5bad174a81a2"/>
    <s v="35d7e770-a399-4f1c-8eb0-9736a261fdaa"/>
    <d v="2025-03-18T00:00:00"/>
    <d v="1899-12-30T00:24:37"/>
    <n v="0"/>
    <n v="53"/>
    <s v="Silver"/>
    <s v="Singapore"/>
    <s v="BOUTIQUE-DUBAI"/>
    <s v="AURORA-LIP-01"/>
    <s v="Eyeshadow Palette"/>
    <n v="245.04"/>
    <x v="4"/>
    <n v="0"/>
    <s v="Tablet"/>
    <s v="73.170.34.38"/>
    <x v="0"/>
    <n v="326"/>
    <n v="0.97499479236258446"/>
    <n v="0"/>
    <n v="1"/>
    <n v="0"/>
    <n v="2"/>
    <n v="0"/>
  </r>
  <r>
    <s v="9ea7b2dd-a722-430e-9847-6fed9c1ee3fa"/>
    <s v="6e79dbcd-8854-4673-9da5-43d398c37e33"/>
    <d v="2025-05-04T00:00:00"/>
    <d v="1899-12-30T14:17:55"/>
    <n v="14"/>
    <n v="30"/>
    <s v="Bronze"/>
    <s v="Los Angeles"/>
    <s v="BOUTIQUE-DUBAI"/>
    <s v="CELESTE-EYE-05"/>
    <s v="Lipstick"/>
    <n v="244.68"/>
    <x v="3"/>
    <n v="0"/>
    <s v="Laptop"/>
    <s v="147.133.155.124"/>
    <x v="0"/>
    <n v="167"/>
    <n v="0.97001085895119132"/>
    <n v="0"/>
    <n v="0"/>
    <n v="1"/>
    <n v="1"/>
    <n v="0"/>
  </r>
  <r>
    <s v="3d0072bc-d9f7-4436-a52d-eecb7412d78f"/>
    <s v="8116c6f4-b31f-4792-a801-53a95254e74d"/>
    <d v="2025-04-22T00:00:00"/>
    <d v="1899-12-30T01:40:00"/>
    <n v="1"/>
    <n v="64"/>
    <s v="Gold"/>
    <s v="Tokyo"/>
    <s v="FLAGSHIP-LA"/>
    <s v="CELESTE-EYE-05"/>
    <s v="Highlighter"/>
    <n v="244.15"/>
    <x v="3"/>
    <n v="0"/>
    <s v="Laptop"/>
    <s v="154.110.144.96"/>
    <x v="0"/>
    <n v="465"/>
    <n v="0.96267340142886237"/>
    <n v="0"/>
    <n v="1"/>
    <n v="0"/>
    <n v="2"/>
    <n v="0"/>
  </r>
  <r>
    <s v="a78a5cc4-171c-42e3-916a-b9b3e7a2d23a"/>
    <s v="8fe23216-974a-4930-82c4-f927cce50a32"/>
    <d v="2025-03-05T00:00:00"/>
    <d v="1899-12-30T14:25:00"/>
    <n v="14"/>
    <n v="49"/>
    <s v="Bronze"/>
    <s v="Hong Kong"/>
    <s v="BOUTIQUE-NYC"/>
    <s v="SOLAR-BLUSH-04"/>
    <s v="Concealer"/>
    <n v="244.07"/>
    <x v="0"/>
    <n v="0"/>
    <s v="Laptop"/>
    <s v="134.147.13.113"/>
    <x v="0"/>
    <n v="388"/>
    <n v="0.96156586067077476"/>
    <n v="0"/>
    <n v="0"/>
    <n v="0"/>
    <n v="0"/>
    <n v="0"/>
  </r>
  <r>
    <s v="c7a8eb4e-c724-4eae-b7a9-c210bbfad33f"/>
    <s v="d74eb82c-ebd9-40cb-adbc-229c3be1a6be"/>
    <d v="2025-05-11T00:00:00"/>
    <d v="1899-12-30T10:05:30"/>
    <n v="10"/>
    <n v="55"/>
    <s v="Bronze"/>
    <s v="Singapore"/>
    <s v="BOUTIQUE-SHANGHAI"/>
    <s v="STELLAR-FOUND-03"/>
    <s v="Concealer"/>
    <n v="244.01"/>
    <x v="1"/>
    <n v="0"/>
    <s v="Laptop"/>
    <s v="25.226.175.93"/>
    <x v="0"/>
    <n v="269"/>
    <n v="0.96073520510220922"/>
    <n v="0"/>
    <n v="0"/>
    <n v="1"/>
    <n v="1"/>
    <n v="0"/>
  </r>
  <r>
    <s v="10f750ab-835d-4b17-a25a-7e313357ae79"/>
    <s v="36d96ed8-ff9d-4599-93c4-47768eaf1620"/>
    <d v="2025-07-14T00:00:00"/>
    <d v="1899-12-30T15:45:28"/>
    <n v="15"/>
    <n v="48"/>
    <s v="Platinum"/>
    <s v="Los Angeles"/>
    <s v="FLAGSHIP-PARIS"/>
    <s v="AURORA-LIP-01"/>
    <s v="Setting Spray"/>
    <n v="243.64"/>
    <x v="1"/>
    <n v="0"/>
    <s v="Mobile"/>
    <s v="20.167.190.19"/>
    <x v="0"/>
    <n v="451"/>
    <n v="0.95561282909605494"/>
    <n v="0"/>
    <n v="0"/>
    <n v="0"/>
    <n v="0"/>
    <n v="0"/>
  </r>
  <r>
    <s v="a0eab1b8-dfb1-43f5-83cd-b9e9c3c9cd8f"/>
    <s v="bade9c9a-71d4-4753-9bd5-bf986b6d77ea"/>
    <d v="2025-07-01T00:00:00"/>
    <d v="1899-12-30T12:41:24"/>
    <n v="12"/>
    <n v="29"/>
    <s v="Gold"/>
    <s v="Zurich"/>
    <s v="CONCESSION-SINGAPORE"/>
    <s v="ECLIPSE-EYE-10"/>
    <s v="Blush"/>
    <n v="243.33"/>
    <x v="3"/>
    <n v="0"/>
    <s v="Laptop"/>
    <s v="168.15.16.173"/>
    <x v="1"/>
    <n v="323"/>
    <n v="0.95132110865846664"/>
    <n v="0"/>
    <n v="0"/>
    <n v="0"/>
    <n v="0"/>
    <n v="0"/>
  </r>
  <r>
    <s v="bcc5edc8-2c8b-4940-8991-aa7a1ff33737"/>
    <s v="aff6ccbd-4de5-45e3-a51a-a3338983582c"/>
    <d v="2025-07-07T00:00:00"/>
    <d v="1899-12-30T01:12:29"/>
    <n v="1"/>
    <n v="41"/>
    <s v="None"/>
    <s v="Shanghai"/>
    <s v="CONCESSION-LONDON"/>
    <s v="SOLAR-BLUSH-04"/>
    <s v="Concealer"/>
    <n v="243.32"/>
    <x v="0"/>
    <n v="0"/>
    <s v="Laptop"/>
    <s v="126.13.113.91"/>
    <x v="0"/>
    <n v="183"/>
    <n v="0.9511826660637055"/>
    <n v="0"/>
    <n v="1"/>
    <n v="1"/>
    <n v="3"/>
    <n v="0"/>
  </r>
  <r>
    <s v="caf6c0c1-ae5a-4ab7-b154-333414b7517d"/>
    <s v="8916bd4a-c564-4ba9-beff-44cf097baaab"/>
    <d v="2025-06-12T00:00:00"/>
    <d v="1899-12-30T14:00:00"/>
    <n v="14"/>
    <n v="60"/>
    <s v="Silver"/>
    <s v="Singapore"/>
    <s v="CONCESSION-LONDON"/>
    <s v="CELESTE-EYE-05"/>
    <s v="Highlighter"/>
    <n v="243.19"/>
    <x v="4"/>
    <n v="0"/>
    <s v="Tablet"/>
    <s v="22.31.17.193"/>
    <x v="0"/>
    <n v="226"/>
    <n v="0.94938291233181349"/>
    <n v="0"/>
    <n v="0"/>
    <n v="1"/>
    <n v="1"/>
    <n v="0"/>
  </r>
  <r>
    <s v="513f6b09-593b-4d01-aefb-0a3e0e11589a"/>
    <s v="b648a4f7-3f43-42c4-b27d-cc292fa2c3f0"/>
    <d v="2025-02-28T00:00:00"/>
    <d v="1899-12-30T15:12:20"/>
    <n v="15"/>
    <n v="43"/>
    <s v="Silver"/>
    <s v="Las Vegas"/>
    <s v="BOUTIQUE-SHANGHAI"/>
    <s v="SOLAR-BLUSH-04"/>
    <s v="Foundation"/>
    <n v="243.13"/>
    <x v="1"/>
    <n v="0"/>
    <s v="Tablet"/>
    <s v="154.172.247.205"/>
    <x v="0"/>
    <n v="119"/>
    <n v="0.94855225676324795"/>
    <n v="0"/>
    <n v="0"/>
    <n v="1"/>
    <n v="1"/>
    <n v="0"/>
  </r>
  <r>
    <s v="85cc473d-696d-4042-971d-7c6d81b6ce16"/>
    <s v="381033a9-c650-41c9-9351-4930baedce48"/>
    <d v="2025-04-10T00:00:00"/>
    <d v="1899-12-30T09:50:25"/>
    <n v="9"/>
    <n v="64"/>
    <s v="Gold"/>
    <s v="Milan"/>
    <s v="BOUTIQUE-NYC"/>
    <s v="ORION-CONCEAL-09"/>
    <s v="Concealer"/>
    <n v="243.04"/>
    <x v="0"/>
    <n v="0"/>
    <s v="Tablet"/>
    <s v="104.10.201.250"/>
    <x v="0"/>
    <n v="314"/>
    <n v="0.94730627341039952"/>
    <n v="0"/>
    <n v="0"/>
    <n v="0"/>
    <n v="0"/>
    <n v="0"/>
  </r>
  <r>
    <s v="5107083e-324a-46df-9f44-9e6ca1518f58"/>
    <s v="c1c0bc83-0790-4495-a4bd-a6ba13247a14"/>
    <d v="2025-04-08T00:00:00"/>
    <d v="1899-12-30T15:14:22"/>
    <n v="15"/>
    <n v="33"/>
    <s v="Platinum"/>
    <s v="Monaco"/>
    <s v="POPUP-MILAN"/>
    <s v="GALAXIA-SET-08"/>
    <s v="Setting Spray"/>
    <n v="242.99"/>
    <x v="0"/>
    <n v="0"/>
    <s v="Laptop"/>
    <s v="214.86.139.108"/>
    <x v="0"/>
    <n v="359"/>
    <n v="0.94661406043659513"/>
    <n v="0"/>
    <n v="0"/>
    <n v="0"/>
    <n v="0"/>
    <n v="0"/>
  </r>
  <r>
    <s v="1be81f68-82c2-4fd5-b793-c835fe963245"/>
    <s v="5c469e09-fdf2-476a-9fbe-5dcfbdb2ed65"/>
    <d v="2025-07-23T00:00:00"/>
    <d v="1899-12-30T08:11:26"/>
    <n v="8"/>
    <n v="25"/>
    <s v="Platinum"/>
    <s v="New York"/>
    <s v="POPUP-MILAN"/>
    <s v="ECLIPSE-EYE-10"/>
    <s v="Serum"/>
    <n v="242.92"/>
    <x v="1"/>
    <n v="0"/>
    <s v="Tablet"/>
    <s v="127.134.44.70"/>
    <x v="0"/>
    <n v="469"/>
    <n v="0.94564496227326844"/>
    <n v="0"/>
    <n v="0"/>
    <n v="0"/>
    <n v="0"/>
    <n v="0"/>
  </r>
  <r>
    <s v="f642f150-2dab-4967-95ea-6e44832ae368"/>
    <s v="3b3ce15a-cfee-4a3c-9a7a-4520cb08a7d9"/>
    <d v="2025-05-28T00:00:00"/>
    <d v="1899-12-30T08:48:52"/>
    <n v="8"/>
    <n v="45"/>
    <s v="Unknown"/>
    <s v="New York"/>
    <s v="FLAGSHIP-PARIS"/>
    <s v="AURORA-LIP-01"/>
    <s v="Highlighter"/>
    <n v="242.86"/>
    <x v="4"/>
    <n v="0"/>
    <s v="Desktop"/>
    <s v="198.160.168.199"/>
    <x v="0"/>
    <n v="184"/>
    <n v="0.94481430670470323"/>
    <n v="0"/>
    <n v="0"/>
    <n v="1"/>
    <n v="1"/>
    <n v="0"/>
  </r>
  <r>
    <s v="ef3641de-7748-487d-bb4d-566b6d45c079"/>
    <s v="62f79bda-d29d-4472-ba3e-4380ff9e8205"/>
    <d v="2025-03-06T00:00:00"/>
    <d v="1899-12-30T15:49:04"/>
    <n v="15"/>
    <n v="44"/>
    <s v="Platinum"/>
    <s v="Rome"/>
    <s v="BOUTIQUE-DUBAI"/>
    <s v="AURORA-LIP-01"/>
    <s v="Lipstick"/>
    <n v="242.36"/>
    <x v="3"/>
    <n v="0"/>
    <s v="Laptop"/>
    <s v="241.222.33.60"/>
    <x v="0"/>
    <n v="100"/>
    <n v="0.93789217696665694"/>
    <n v="0"/>
    <n v="0"/>
    <n v="1"/>
    <n v="1"/>
    <n v="0"/>
  </r>
  <r>
    <s v="4a25c413-e6c5-4b38-a056-2b9464a714c0"/>
    <s v="4b2a9a7b-b720-471c-85a9-142d43119a9a"/>
    <d v="2025-03-24T00:00:00"/>
    <d v="1899-12-30T00:16:13"/>
    <n v="0"/>
    <n v="41"/>
    <s v="Bronze"/>
    <s v="Hong Kong"/>
    <s v="FLAGSHIP-LA"/>
    <s v="NEBULA-SERUM-07"/>
    <s v="Blush"/>
    <n v="242.24"/>
    <x v="3"/>
    <n v="0"/>
    <s v="Desktop"/>
    <s v="137.193.191.162"/>
    <x v="1"/>
    <n v="227"/>
    <n v="0.93623086582952586"/>
    <n v="0"/>
    <n v="1"/>
    <n v="1"/>
    <n v="3"/>
    <n v="0"/>
  </r>
  <r>
    <s v="36737bfe-60ac-4856-a879-29711527a4cb"/>
    <s v="c882e155-f0a9-44d2-81c7-86390a52d1a6"/>
    <d v="2025-07-29T00:00:00"/>
    <d v="1899-12-30T21:01:30"/>
    <n v="21"/>
    <n v="48"/>
    <s v="Platinum"/>
    <s v="London"/>
    <s v="CONCESSION-SINGAPORE"/>
    <s v="ORION-CONCEAL-09"/>
    <s v="Eyeshadow Palette"/>
    <n v="242.14"/>
    <x v="3"/>
    <n v="0"/>
    <s v="Mobile"/>
    <s v="202.79.44.138"/>
    <x v="0"/>
    <n v="161"/>
    <n v="0.93484643988191629"/>
    <n v="0"/>
    <n v="0"/>
    <n v="1"/>
    <n v="1"/>
    <n v="0"/>
  </r>
  <r>
    <s v="30fe087f-a16d-49c5-8132-8750d37013ac"/>
    <s v="fba916a5-3b68-4cf5-93cb-25b230b4f20b"/>
    <d v="2025-03-03T00:00:00"/>
    <d v="1899-12-30T22:18:43"/>
    <n v="22"/>
    <n v="58"/>
    <s v="Bronze"/>
    <s v="Singapore"/>
    <s v="FLAGSHIP-ROME"/>
    <s v="SOLAR-BLUSH-04"/>
    <s v="Blush"/>
    <n v="242.02"/>
    <x v="0"/>
    <n v="0"/>
    <s v="Desktop"/>
    <s v="109.139.163.55"/>
    <x v="0"/>
    <n v="140"/>
    <n v="0.93318512874478554"/>
    <n v="0"/>
    <n v="0"/>
    <n v="1"/>
    <n v="1"/>
    <n v="0"/>
  </r>
  <r>
    <s v="891906ce-5388-40b0-86ae-8bc3b521fa81"/>
    <s v="55e47290-3e4e-4852-8d32-672dd83f324f"/>
    <d v="2025-02-16T00:00:00"/>
    <d v="1899-12-30T22:56:47"/>
    <n v="22"/>
    <n v="40"/>
    <s v="Bronze"/>
    <s v="Dubai"/>
    <s v="POPUP-TOKYO"/>
    <s v="SOLAR-BLUSH-04"/>
    <s v="Setting Spray"/>
    <n v="242.02"/>
    <x v="4"/>
    <n v="0"/>
    <s v="Tablet"/>
    <s v="189.179.131.249"/>
    <x v="0"/>
    <n v="195"/>
    <n v="0.93318512874478554"/>
    <n v="0"/>
    <n v="0"/>
    <n v="1"/>
    <n v="1"/>
    <n v="0"/>
  </r>
  <r>
    <s v="6aa9e818-f00a-40f5-98d7-b60905bb083d"/>
    <s v="c801de86-d713-4e15-aec7-79f85c03d40a"/>
    <d v="2025-07-06T00:00:00"/>
    <d v="1899-12-30T03:55:27"/>
    <n v="3"/>
    <n v="35"/>
    <s v="Silver"/>
    <s v="Tokyo"/>
    <s v="CONCESSION-SINGAPORE"/>
    <s v="AURORA-LIP-01"/>
    <s v="Concealer"/>
    <n v="241.87"/>
    <x v="1"/>
    <n v="0"/>
    <s v="Mobile"/>
    <s v="236.226.28.154"/>
    <x v="0"/>
    <n v="198"/>
    <n v="0.93110848982337158"/>
    <n v="0"/>
    <n v="1"/>
    <n v="1"/>
    <n v="3"/>
    <n v="0"/>
  </r>
  <r>
    <s v="658b0922-05bd-4faa-a13f-4cc167102664"/>
    <s v="0597773a-2a06-47d6-bc9a-6d85d46c7ce2"/>
    <d v="2025-04-14T00:00:00"/>
    <d v="1899-12-30T14:04:44"/>
    <n v="14"/>
    <n v="35"/>
    <s v="Bronze"/>
    <s v="Zurich"/>
    <s v="BOUTIQUE-SHANGHAI"/>
    <s v="ECLIPSE-EYE-10"/>
    <s v="Eyeliner"/>
    <n v="241.64"/>
    <x v="3"/>
    <n v="0"/>
    <s v="Tablet"/>
    <s v="76.239.38.232"/>
    <x v="0"/>
    <n v="177"/>
    <n v="0.92792431014387"/>
    <n v="0"/>
    <n v="0"/>
    <n v="1"/>
    <n v="1"/>
    <n v="0"/>
  </r>
  <r>
    <s v="4de0e066-bb1b-4fd7-ba87-3114d4690532"/>
    <s v="bd1c4eb3-7ff2-49df-a9c8-c6b856894b04"/>
    <d v="2025-04-04T00:00:00"/>
    <d v="1899-12-30T07:53:17"/>
    <n v="7"/>
    <n v="25"/>
    <s v="Bronze"/>
    <s v="Los Angeles"/>
    <s v="POPUP-TOKYO"/>
    <s v="ECLIPSE-EYE-10"/>
    <s v="Mascara"/>
    <n v="241.53"/>
    <x v="3"/>
    <n v="0"/>
    <s v="Tablet"/>
    <s v="64.153.23.150"/>
    <x v="0"/>
    <n v="277"/>
    <n v="0.92640144160150006"/>
    <n v="0"/>
    <n v="0"/>
    <n v="0"/>
    <n v="0"/>
    <n v="0"/>
  </r>
  <r>
    <s v="a3145f31-a92f-42b5-9e4c-3338380f7091"/>
    <s v="fd6aafcb-6059-45cd-bdf1-c450985b95ac"/>
    <d v="2025-06-19T00:00:00"/>
    <d v="1899-12-30T20:56:05"/>
    <n v="20"/>
    <n v="64"/>
    <s v="Bronze"/>
    <s v="Singapore"/>
    <s v="CONCESSION-SINGAPORE"/>
    <s v="SOLAR-BLUSH-04"/>
    <s v="Setting Spray"/>
    <n v="241.39"/>
    <x v="2"/>
    <n v="1"/>
    <s v="Mobile"/>
    <s v="168.223.119.114"/>
    <x v="0"/>
    <n v="496"/>
    <n v="0.92446324527484691"/>
    <n v="0"/>
    <n v="0"/>
    <n v="0"/>
    <n v="2"/>
    <n v="0"/>
  </r>
  <r>
    <s v="9398d7d0-cce6-4286-a7b7-d15738075233"/>
    <s v="2b95cd47-c406-4889-869e-e1eac5ce7c38"/>
    <d v="2025-03-27T00:00:00"/>
    <d v="1899-12-30T01:56:15"/>
    <n v="1"/>
    <n v="64"/>
    <s v="Bronze"/>
    <s v="Zurich"/>
    <s v="BOUTIQUE-DUBAI"/>
    <s v="ECLIPSE-EYE-10"/>
    <s v="Eyeliner"/>
    <n v="241.25"/>
    <x v="3"/>
    <n v="0"/>
    <s v="Mobile"/>
    <s v="246.205.151.199"/>
    <x v="0"/>
    <n v="449"/>
    <n v="0.9225250489481942"/>
    <n v="0"/>
    <n v="1"/>
    <n v="0"/>
    <n v="2"/>
    <n v="0"/>
  </r>
  <r>
    <s v="fbcfd1f3-892b-4951-8e93-2be1b3af35b8"/>
    <s v="4ddd604e-a4bc-4d86-9a0c-1ce01a4f6583"/>
    <d v="2025-04-22T00:00:00"/>
    <d v="1899-12-30T13:32:20"/>
    <n v="13"/>
    <n v="29"/>
    <s v="Bronze"/>
    <s v="Hong Kong"/>
    <s v="FLAGSHIP-PARIS"/>
    <s v="SOLAR-BLUSH-04"/>
    <s v="Setting Spray"/>
    <n v="241.15"/>
    <x v="1"/>
    <n v="0"/>
    <s v="Tablet"/>
    <s v="250.201.99.251"/>
    <x v="0"/>
    <n v="355"/>
    <n v="0.92114062300058497"/>
    <n v="0"/>
    <n v="0"/>
    <n v="0"/>
    <n v="0"/>
    <n v="0"/>
  </r>
  <r>
    <s v="3dd9c9e6-b3b6-4149-bc52-75a5a004a59e"/>
    <s v="e7b38bcd-e447-41d8-9bf1-c508c3622d53"/>
    <d v="2025-07-27T00:00:00"/>
    <d v="1899-12-30T19:50:20"/>
    <n v="19"/>
    <n v="54"/>
    <s v="Gold"/>
    <s v="Monaco"/>
    <s v="POPUP-MILAN"/>
    <s v="AURORA-LIP-01"/>
    <s v="Setting Spray"/>
    <n v="240.88"/>
    <x v="3"/>
    <n v="0"/>
    <s v="Laptop"/>
    <s v="171.49.188.102"/>
    <x v="0"/>
    <n v="79"/>
    <n v="0.91740267294203992"/>
    <n v="0"/>
    <n v="0"/>
    <n v="1"/>
    <n v="1"/>
    <n v="0"/>
  </r>
  <r>
    <s v="7dbf1a3b-ce4c-40bc-a295-06f644c4e33f"/>
    <s v="985ce11e-7ee5-44d9-8332-d4b8fe4e9c12"/>
    <d v="2025-07-06T00:00:00"/>
    <d v="1899-12-30T18:02:11"/>
    <n v="18"/>
    <n v="23"/>
    <s v="Unknown"/>
    <s v="Rome"/>
    <s v="BOUTIQUE-NYC"/>
    <s v="NEBULA-SERUM-07"/>
    <s v="Lipstick"/>
    <n v="240.77"/>
    <x v="4"/>
    <n v="0"/>
    <s v="Tablet"/>
    <s v="63.108.87.45"/>
    <x v="0"/>
    <n v="142"/>
    <n v="0.91587980439966998"/>
    <n v="0"/>
    <n v="0"/>
    <n v="1"/>
    <n v="1"/>
    <n v="0"/>
  </r>
  <r>
    <s v="99f33e79-85c3-4fd8-90e8-d381977b5592"/>
    <s v="b4b24c63-20ca-4a21-8d29-002baee7ee8d"/>
    <d v="2025-04-22T00:00:00"/>
    <d v="1899-12-30T16:52:39"/>
    <n v="16"/>
    <n v="32"/>
    <s v="VIP"/>
    <s v="Sydney"/>
    <s v="CONCESSION-SINGAPORE"/>
    <s v="AURORA-LIP-01"/>
    <s v="Mascara"/>
    <n v="240.63"/>
    <x v="1"/>
    <n v="0"/>
    <s v="Mobile"/>
    <s v="167.141.107.196"/>
    <x v="0"/>
    <n v="436"/>
    <n v="0.91394160807301683"/>
    <n v="0"/>
    <n v="0"/>
    <n v="0"/>
    <n v="0"/>
    <n v="0"/>
  </r>
  <r>
    <s v="5e5cf0be-c77c-4a0a-854c-849537139d3d"/>
    <s v="d6e783d2-00af-481c-ace0-8580aa7d673b"/>
    <d v="2025-06-06T00:00:00"/>
    <d v="1899-12-30T20:49:40"/>
    <n v="20"/>
    <n v="46"/>
    <s v="Silver"/>
    <s v="Hong Kong"/>
    <s v="BOUTIQUE-NYC"/>
    <s v="NEBULA-SERUM-07"/>
    <s v="Setting Spray"/>
    <n v="240.57"/>
    <x v="4"/>
    <n v="0"/>
    <s v="Laptop"/>
    <s v="139.110.249.153"/>
    <x v="0"/>
    <n v="169"/>
    <n v="0.91311095250445118"/>
    <n v="0"/>
    <n v="0"/>
    <n v="1"/>
    <n v="1"/>
    <n v="0"/>
  </r>
  <r>
    <s v="44a1cf61-18be-4b4c-8b73-df08a4e17fda"/>
    <s v="b90de1f3-6a8e-4895-a7fb-1590c066ac4c"/>
    <d v="2025-02-25T00:00:00"/>
    <d v="1899-12-30T05:18:43"/>
    <n v="5"/>
    <n v="42"/>
    <s v="Gold"/>
    <s v="Hong Kong"/>
    <s v="CONCESSION-SINGAPORE"/>
    <s v="STELLAR-FOUND-03"/>
    <s v="Blush"/>
    <n v="240.53"/>
    <x v="4"/>
    <n v="0"/>
    <s v="Tablet"/>
    <s v="128.23.140.215"/>
    <x v="0"/>
    <n v="324"/>
    <n v="0.9125571821254076"/>
    <n v="0"/>
    <n v="1"/>
    <n v="0"/>
    <n v="2"/>
    <n v="0"/>
  </r>
  <r>
    <s v="e0bac35e-bbd3-4200-9557-1bd8f2ab4b9a"/>
    <s v="0aa16c67-306a-45bb-b0d2-2b807ab914d3"/>
    <d v="2025-04-05T00:00:00"/>
    <d v="1899-12-30T06:57:41"/>
    <n v="6"/>
    <n v="54"/>
    <s v="Gold"/>
    <s v="Geneva"/>
    <s v="FLAGSHIP-PARIS"/>
    <s v="SOLAR-BLUSH-04"/>
    <s v="Foundation"/>
    <n v="240.35"/>
    <x v="1"/>
    <n v="0"/>
    <s v="Desktop"/>
    <s v="162.3.33.251"/>
    <x v="0"/>
    <n v="490"/>
    <n v="0.91006521541971086"/>
    <n v="0"/>
    <n v="0"/>
    <n v="0"/>
    <n v="0"/>
    <n v="0"/>
  </r>
  <r>
    <s v="37740aef-c219-4a75-86de-279e0573dfaa"/>
    <s v="59a71b59-6980-4958-86f2-617ae2c25f00"/>
    <d v="2025-06-14T00:00:00"/>
    <d v="1899-12-30T18:43:28"/>
    <n v="18"/>
    <n v="50"/>
    <s v="Unknown"/>
    <s v="Sydney"/>
    <s v="CONCESSION-SINGAPORE"/>
    <s v="STELLAR-FOUND-03"/>
    <s v="Serum"/>
    <n v="240.27"/>
    <x v="1"/>
    <n v="0"/>
    <s v="Tablet"/>
    <s v="224.236.47.178"/>
    <x v="0"/>
    <n v="498"/>
    <n v="0.90895767466162369"/>
    <n v="0"/>
    <n v="0"/>
    <n v="0"/>
    <n v="0"/>
    <n v="0"/>
  </r>
  <r>
    <s v="c50eb98c-e79f-47a6-aa81-36766fbb7b93"/>
    <s v="f31bd534-542c-43c4-a84b-71c7965070ee"/>
    <d v="2025-02-26T00:00:00"/>
    <d v="1899-12-30T04:01:29"/>
    <n v="4"/>
    <n v="54"/>
    <s v="Gold"/>
    <s v="Geneva"/>
    <s v="CONCESSION-LONDON"/>
    <s v="NEBULA-SERUM-07"/>
    <s v="Eyeshadow Palette"/>
    <n v="240.2"/>
    <x v="1"/>
    <n v="0"/>
    <s v="Mobile"/>
    <s v="229.247.57.138"/>
    <x v="0"/>
    <n v="451"/>
    <n v="0.9079885764982969"/>
    <n v="0"/>
    <n v="1"/>
    <n v="0"/>
    <n v="2"/>
    <n v="0"/>
  </r>
  <r>
    <s v="5173d08d-db10-4a18-bfb2-a005cc3a3751"/>
    <s v="98821538-8458-4ddf-b245-e51120dc1846"/>
    <d v="2025-04-25T00:00:00"/>
    <d v="1899-12-30T12:54:49"/>
    <n v="12"/>
    <n v="51"/>
    <s v="Bronze"/>
    <s v="Cannes"/>
    <s v="CONCESSION-LONDON"/>
    <s v="SOLAR-BLUSH-04"/>
    <s v="Lipstick"/>
    <n v="239.78"/>
    <x v="4"/>
    <n v="0"/>
    <s v="Tablet"/>
    <s v="245.59.246.123"/>
    <x v="0"/>
    <n v="116"/>
    <n v="0.90217398751833833"/>
    <n v="0"/>
    <n v="0"/>
    <n v="1"/>
    <n v="1"/>
    <n v="0"/>
  </r>
  <r>
    <s v="c248a109-a6a3-479a-b507-56006b7e19ef"/>
    <s v="74478adb-9321-4cbb-9a0a-d9c954804c06"/>
    <d v="2025-07-22T00:00:00"/>
    <d v="1899-12-30T18:46:54"/>
    <n v="18"/>
    <n v="60"/>
    <s v="Gold"/>
    <s v="Los Angeles"/>
    <s v="POPUP-MILAN"/>
    <s v="ECLIPSE-EYE-10"/>
    <s v="Foundation"/>
    <n v="239.76"/>
    <x v="0"/>
    <n v="0"/>
    <s v="Laptop"/>
    <s v="187.196.215.32"/>
    <x v="0"/>
    <n v="126"/>
    <n v="0.90189710232881626"/>
    <n v="0"/>
    <n v="0"/>
    <n v="1"/>
    <n v="1"/>
    <n v="0"/>
  </r>
  <r>
    <s v="317ec2be-03e1-4dd3-b040-5492e7d79a2e"/>
    <s v="fd578125-3872-4001-b195-0c5d30dade97"/>
    <d v="2025-02-25T00:00:00"/>
    <d v="1899-12-30T01:52:14"/>
    <n v="1"/>
    <n v="57"/>
    <s v="Gold"/>
    <s v="Singapore"/>
    <s v="BOUTIQUE-DUBAI"/>
    <s v="COSMIC-HIGHLIGHT-06"/>
    <s v="Highlighter"/>
    <n v="239.73"/>
    <x v="4"/>
    <n v="0"/>
    <s v="Desktop"/>
    <s v="51.240.63.179"/>
    <x v="0"/>
    <n v="440"/>
    <n v="0.90148177454453349"/>
    <n v="0"/>
    <n v="1"/>
    <n v="0"/>
    <n v="2"/>
    <n v="0"/>
  </r>
  <r>
    <s v="bd44b8e2-c567-426a-8ec1-d9a2b07197da"/>
    <s v="d0126452-6747-42d3-a5a1-a439ae715438"/>
    <d v="2025-08-03T00:00:00"/>
    <d v="1899-12-30T03:36:07"/>
    <n v="3"/>
    <n v="62"/>
    <s v="Gold"/>
    <s v="Tokyo"/>
    <s v="BOUTIQUE-NYC"/>
    <s v="LUNAR-MASC-02"/>
    <s v="Blush"/>
    <n v="239.69"/>
    <x v="4"/>
    <n v="0"/>
    <s v="Desktop"/>
    <s v="129.9.61.92"/>
    <x v="0"/>
    <n v="325"/>
    <n v="0.9009280041654899"/>
    <n v="0"/>
    <n v="1"/>
    <n v="0"/>
    <n v="2"/>
    <n v="0"/>
  </r>
  <r>
    <s v="49e4a8ac-861d-47e2-87e3-7a4fab5dbfb7"/>
    <s v="86441d45-4fe7-44c8-8541-c818c5070a44"/>
    <d v="2025-04-24T00:00:00"/>
    <d v="1899-12-30T03:30:08"/>
    <n v="3"/>
    <n v="53"/>
    <s v="Platinum"/>
    <s v="Cannes"/>
    <s v="BOUTIQUE-SHANGHAI"/>
    <s v="AURORA-LIP-01"/>
    <s v="Serum"/>
    <n v="239.52"/>
    <x v="0"/>
    <n v="0"/>
    <s v="Desktop"/>
    <s v="249.8.54.195"/>
    <x v="0"/>
    <n v="67"/>
    <n v="0.89857448005455431"/>
    <n v="0"/>
    <n v="1"/>
    <n v="1"/>
    <n v="3"/>
    <n v="0"/>
  </r>
  <r>
    <s v="d970c442-204a-4ac5-a923-6d165c25bcf4"/>
    <s v="52c60f31-0543-4ea2-9e0f-235ce998e537"/>
    <d v="2025-05-22T00:00:00"/>
    <d v="1899-12-30T10:00:48"/>
    <n v="10"/>
    <n v="41"/>
    <s v="Gold"/>
    <s v="Geneva"/>
    <s v="FLAGSHIP-PARIS"/>
    <s v="SOLAR-BLUSH-04"/>
    <s v="Blush"/>
    <n v="239.22"/>
    <x v="4"/>
    <n v="0"/>
    <s v="Desktop"/>
    <s v="43.129.106.22"/>
    <x v="0"/>
    <n v="273"/>
    <n v="0.8944212022117265"/>
    <n v="0"/>
    <n v="0"/>
    <n v="0"/>
    <n v="0"/>
    <n v="0"/>
  </r>
  <r>
    <s v="4110c4b4-150d-4700-910a-b6b467eb4c7a"/>
    <s v="2b9f460e-5053-479d-a33a-16f37102ed41"/>
    <d v="2025-04-16T00:00:00"/>
    <d v="1899-12-30T10:59:43"/>
    <n v="10"/>
    <n v="56"/>
    <s v="Unknown"/>
    <s v="Shanghai"/>
    <s v="BOUTIQUE-DUBAI"/>
    <s v="SOLAR-BLUSH-04"/>
    <s v="Mascara"/>
    <n v="239.17"/>
    <x v="3"/>
    <n v="0"/>
    <s v="Laptop"/>
    <s v="175.92.85.51"/>
    <x v="0"/>
    <n v="102"/>
    <n v="0.89372898923792166"/>
    <n v="0"/>
    <n v="0"/>
    <n v="1"/>
    <n v="1"/>
    <n v="0"/>
  </r>
  <r>
    <s v="a9ce8b0a-4bbb-49e2-bf33-184c4fc88a12"/>
    <s v="6bdc0a0f-fa22-4176-9ff4-00cd060e9f83"/>
    <d v="2025-02-23T00:00:00"/>
    <d v="1899-12-30T14:56:02"/>
    <n v="14"/>
    <n v="55"/>
    <s v="Gold"/>
    <s v="Tokyo"/>
    <s v="FLAGSHIP-ROME"/>
    <s v="ECLIPSE-EYE-10"/>
    <s v="Concealer"/>
    <n v="239.11"/>
    <x v="3"/>
    <n v="0"/>
    <s v="Tablet"/>
    <s v="128.118.26.169"/>
    <x v="0"/>
    <n v="375"/>
    <n v="0.89289833366935645"/>
    <n v="0"/>
    <n v="0"/>
    <n v="0"/>
    <n v="0"/>
    <n v="0"/>
  </r>
  <r>
    <s v="617ffcdc-7378-4c2e-8998-d3abef5a4970"/>
    <s v="703467a9-1fe8-4611-8f6f-8fe1ba3050c5"/>
    <d v="2025-06-13T00:00:00"/>
    <d v="1899-12-30T21:19:31"/>
    <n v="21"/>
    <n v="41"/>
    <s v="Silver"/>
    <s v="Monaco"/>
    <s v="CONCESSION-LONDON"/>
    <s v="LUNAR-MASC-02"/>
    <s v="Blush"/>
    <n v="239.02"/>
    <x v="4"/>
    <n v="0"/>
    <s v="Laptop"/>
    <s v="18.142.216.84"/>
    <x v="0"/>
    <n v="316"/>
    <n v="0.89165235031650814"/>
    <n v="0"/>
    <n v="0"/>
    <n v="0"/>
    <n v="0"/>
    <n v="0"/>
  </r>
  <r>
    <s v="2dfab762-56d1-4c1a-bf98-704dda42bbf0"/>
    <s v="92eb3e1a-7e3a-4e15-82f4-f3f080a64f5e"/>
    <d v="2025-03-12T00:00:00"/>
    <d v="1899-12-30T12:23:07"/>
    <n v="12"/>
    <n v="18"/>
    <s v="Gold"/>
    <s v="Los Angeles"/>
    <s v="CONCESSION-LONDON"/>
    <s v="AURORA-LIP-01"/>
    <s v="Highlighter"/>
    <n v="238.98"/>
    <x v="4"/>
    <n v="0"/>
    <s v="Tablet"/>
    <s v="216.97.44.154"/>
    <x v="0"/>
    <n v="91"/>
    <n v="0.89109857993746411"/>
    <n v="0"/>
    <n v="0"/>
    <n v="1"/>
    <n v="1"/>
    <n v="0"/>
  </r>
  <r>
    <s v="78a05ce0-a193-491a-86a7-f1516629859d"/>
    <s v="8b2bb135-f260-4832-80df-e0368b019d9a"/>
    <d v="2025-05-28T00:00:00"/>
    <d v="1899-12-30T02:50:19"/>
    <n v="2"/>
    <n v="22"/>
    <s v="VIP"/>
    <s v="Singapore"/>
    <s v="POPUP-TOKYO"/>
    <s v="GALAXIA-SET-08"/>
    <s v="Eyeshadow Palette"/>
    <n v="238.98"/>
    <x v="3"/>
    <n v="0"/>
    <s v="Desktop"/>
    <s v="150.228.243.173"/>
    <x v="0"/>
    <n v="262"/>
    <n v="0.89109857993746411"/>
    <n v="0"/>
    <n v="1"/>
    <n v="1"/>
    <n v="3"/>
    <n v="0"/>
  </r>
  <r>
    <s v="84a870aa-4d4b-43a8-b406-0c43c69b9760"/>
    <s v="308c706c-8423-49c4-8283-283ebe6eeb72"/>
    <d v="2025-07-19T00:00:00"/>
    <d v="1899-12-30T05:39:08"/>
    <n v="5"/>
    <n v="41"/>
    <s v="Silver"/>
    <s v="Monte Carlo"/>
    <s v="POPUP-TOKYO"/>
    <s v="COSMIC-HIGHLIGHT-06"/>
    <s v="Eyeshadow Palette"/>
    <n v="238.77"/>
    <x v="3"/>
    <n v="0"/>
    <s v="Laptop"/>
    <s v="62.121.252.197"/>
    <x v="0"/>
    <n v="66"/>
    <n v="0.88819128544748505"/>
    <n v="0"/>
    <n v="1"/>
    <n v="1"/>
    <n v="3"/>
    <n v="0"/>
  </r>
  <r>
    <s v="45e5f305-cab9-4e79-b25f-e8227f12b446"/>
    <s v="f0e125bc-3092-4167-b31d-4bf3099cdb8d"/>
    <d v="2025-03-30T00:00:00"/>
    <d v="1899-12-30T23:22:13"/>
    <n v="23"/>
    <n v="53"/>
    <s v="Silver"/>
    <s v="Geneva"/>
    <s v="CONCESSION-LONDON"/>
    <s v="LUNAR-MASC-02"/>
    <s v="Concealer"/>
    <n v="238.62"/>
    <x v="1"/>
    <n v="0"/>
    <s v="Laptop"/>
    <s v="120.181.218.238"/>
    <x v="0"/>
    <n v="117"/>
    <n v="0.88611464652607108"/>
    <n v="0"/>
    <n v="0"/>
    <n v="1"/>
    <n v="1"/>
    <n v="0"/>
  </r>
  <r>
    <s v="35dda0bb-5a9a-4cab-a5fe-69853aba9977"/>
    <s v="55bf1af8-afa8-47e1-9d53-f43c78d815b0"/>
    <d v="2025-08-08T00:00:00"/>
    <d v="1899-12-30T02:47:43"/>
    <n v="2"/>
    <n v="64"/>
    <s v="Platinum"/>
    <s v="Rome"/>
    <s v="BOUTIQUE-NYC"/>
    <s v="CELESTE-EYE-05"/>
    <s v="Serum"/>
    <n v="238.31"/>
    <x v="4"/>
    <n v="0"/>
    <s v="Desktop"/>
    <s v="212.180.154.170"/>
    <x v="0"/>
    <n v="251"/>
    <n v="0.88182292608848234"/>
    <n v="0"/>
    <n v="1"/>
    <n v="1"/>
    <n v="3"/>
    <n v="0"/>
  </r>
  <r>
    <s v="418a5cc4-c2b1-40e1-a2b7-ff2724a09ac9"/>
    <s v="8d01cc63-2f82-4cf1-a7e4-b47613346530"/>
    <d v="2025-07-31T00:00:00"/>
    <d v="1899-12-30T06:52:13"/>
    <n v="6"/>
    <n v="56"/>
    <s v="Bronze"/>
    <s v="Singapore"/>
    <s v="BOUTIQUE-SHANGHAI"/>
    <s v="STELLAR-FOUND-03"/>
    <s v="Concealer"/>
    <n v="238.24"/>
    <x v="4"/>
    <n v="0"/>
    <s v="Mobile"/>
    <s v="244.58.137.31"/>
    <x v="0"/>
    <n v="267"/>
    <n v="0.88085382792515599"/>
    <n v="0"/>
    <n v="0"/>
    <n v="1"/>
    <n v="1"/>
    <n v="0"/>
  </r>
  <r>
    <s v="191bebd9-c57c-4122-8b04-a36bfe87b7f5"/>
    <s v="b07c507c-0052-4a25-b04d-64538c2287a1"/>
    <d v="2025-06-05T00:00:00"/>
    <d v="1899-12-30T01:47:59"/>
    <n v="1"/>
    <n v="33"/>
    <s v="Gold"/>
    <s v="Dubai"/>
    <s v="CONCESSION-SINGAPORE"/>
    <s v="SOLAR-BLUSH-04"/>
    <s v="Mascara"/>
    <n v="238.23"/>
    <x v="4"/>
    <n v="0"/>
    <s v="Desktop"/>
    <s v="168.92.217.77"/>
    <x v="0"/>
    <n v="345"/>
    <n v="0.88071538533039484"/>
    <n v="0"/>
    <n v="1"/>
    <n v="0"/>
    <n v="2"/>
    <n v="0"/>
  </r>
  <r>
    <s v="4fc07525-732b-4f5a-830a-f8a082b582ca"/>
    <s v="00c1bab9-a602-452f-ba78-48e7f0eade27"/>
    <d v="2025-05-05T00:00:00"/>
    <d v="1899-12-30T09:24:29"/>
    <n v="9"/>
    <n v="50"/>
    <s v="Bronze"/>
    <s v="Geneva"/>
    <s v="BOUTIQUE-NYC"/>
    <s v="NEBULA-SERUM-07"/>
    <s v="Serum"/>
    <n v="238.12"/>
    <x v="3"/>
    <n v="0"/>
    <s v="Mobile"/>
    <s v="240.30.102.186"/>
    <x v="0"/>
    <n v="425"/>
    <n v="0.87919251678802479"/>
    <n v="0"/>
    <n v="0"/>
    <n v="0"/>
    <n v="0"/>
    <n v="0"/>
  </r>
  <r>
    <s v="006612c8-f1d7-4477-901f-5afd399c6b47"/>
    <s v="4f776aa7-7217-43a1-8195-bce0aa595268"/>
    <d v="2025-07-25T00:00:00"/>
    <d v="1899-12-30T11:56:26"/>
    <n v="11"/>
    <n v="61"/>
    <s v="Gold"/>
    <s v="Hong Kong"/>
    <s v="FLAGSHIP-ROME"/>
    <s v="CELESTE-EYE-05"/>
    <s v="Serum"/>
    <n v="238.12"/>
    <x v="4"/>
    <n v="0"/>
    <s v="Desktop"/>
    <s v="142.252.5.217"/>
    <x v="0"/>
    <n v="306"/>
    <n v="0.87919251678802479"/>
    <n v="0"/>
    <n v="0"/>
    <n v="0"/>
    <n v="0"/>
    <n v="0"/>
  </r>
  <r>
    <s v="f56328d5-2086-4c4c-b77a-11366efb0e9f"/>
    <s v="eed22cc7-798b-4038-ab15-23e61310f5d2"/>
    <d v="2025-08-01T00:00:00"/>
    <d v="1899-12-30T00:08:46"/>
    <n v="0"/>
    <n v="41"/>
    <s v="Silver"/>
    <s v="Zurich"/>
    <s v="CONCESSION-SINGAPORE"/>
    <s v="STELLAR-FOUND-03"/>
    <s v="Serum"/>
    <n v="238.11"/>
    <x v="3"/>
    <n v="0"/>
    <s v="Tablet"/>
    <s v="216.223.226.250"/>
    <x v="0"/>
    <n v="141"/>
    <n v="0.87905407419326409"/>
    <n v="0"/>
    <n v="1"/>
    <n v="1"/>
    <n v="3"/>
    <n v="0"/>
  </r>
  <r>
    <s v="64d57d5c-8d30-4424-8468-c9c11575cb3b"/>
    <s v="cda792e3-99ec-4492-a1d8-0216012fdd2f"/>
    <d v="2025-08-11T00:00:00"/>
    <d v="1899-12-30T01:55:04"/>
    <n v="1"/>
    <n v="53"/>
    <s v="VIP"/>
    <s v="Dubai"/>
    <s v="BOUTIQUE-SHANGHAI"/>
    <s v="ECLIPSE-EYE-10"/>
    <s v="Foundation"/>
    <n v="238.03"/>
    <x v="1"/>
    <n v="0"/>
    <s v="Mobile"/>
    <s v="129.173.85.153"/>
    <x v="0"/>
    <n v="210"/>
    <n v="0.87794653343517648"/>
    <n v="0"/>
    <n v="1"/>
    <n v="1"/>
    <n v="3"/>
    <n v="0"/>
  </r>
  <r>
    <s v="a3726b4f-923c-4097-a3fd-49100b3b86b6"/>
    <s v="b4ecc739-fdff-427c-8ad5-384b8eabb632"/>
    <d v="2025-04-30T00:00:00"/>
    <d v="1899-12-30T15:49:15"/>
    <n v="15"/>
    <n v="35"/>
    <s v="Platinum"/>
    <s v="Geneva"/>
    <s v="BOUTIQUE-SHANGHAI"/>
    <s v="ECLIPSE-EYE-10"/>
    <s v="Eyeshadow Palette"/>
    <n v="237.84"/>
    <x v="3"/>
    <n v="0"/>
    <s v="Tablet"/>
    <s v="68.240.77.248"/>
    <x v="0"/>
    <n v="153"/>
    <n v="0.87531612413471893"/>
    <n v="0"/>
    <n v="0"/>
    <n v="1"/>
    <n v="1"/>
    <n v="0"/>
  </r>
  <r>
    <s v="a8b876a6-3e76-4728-84b2-2752a117aa76"/>
    <s v="e20500ab-7712-4017-8056-a06f9b02a3c9"/>
    <d v="2025-03-21T00:00:00"/>
    <d v="1899-12-30T07:34:13"/>
    <n v="7"/>
    <n v="49"/>
    <s v="Bronze"/>
    <s v="Sydney"/>
    <s v="BOUTIQUE-DUBAI"/>
    <s v="LUNAR-MASC-02"/>
    <s v="Eyeshadow Palette"/>
    <n v="237.44"/>
    <x v="0"/>
    <n v="0"/>
    <s v="Tablet"/>
    <s v="38.232.55.62"/>
    <x v="0"/>
    <n v="401"/>
    <n v="0.86977842034428188"/>
    <n v="0"/>
    <n v="0"/>
    <n v="0"/>
    <n v="0"/>
    <n v="0"/>
  </r>
  <r>
    <s v="e9ce2ce9-ca47-400a-9be2-a576ed9decdf"/>
    <s v="3bbe3327-f0f1-44ff-9e7f-49cd80e6d98f"/>
    <d v="2025-04-18T00:00:00"/>
    <d v="1899-12-30T22:08:30"/>
    <n v="22"/>
    <n v="41"/>
    <s v="Bronze"/>
    <s v="Zurich"/>
    <s v="FLAGSHIP-PARIS"/>
    <s v="ORION-CONCEAL-09"/>
    <s v="Eyeliner"/>
    <n v="237.36"/>
    <x v="1"/>
    <n v="0"/>
    <s v="Desktop"/>
    <s v="157.221.33.52"/>
    <x v="0"/>
    <n v="290"/>
    <n v="0.86867087958619471"/>
    <n v="0"/>
    <n v="0"/>
    <n v="0"/>
    <n v="0"/>
    <n v="0"/>
  </r>
  <r>
    <s v="c5f9fc82-2d05-4bcf-acc2-96e2804e927c"/>
    <s v="1e3519b2-9807-4995-8890-e8ab07df8178"/>
    <d v="2025-06-11T00:00:00"/>
    <d v="1899-12-30T14:45:59"/>
    <n v="14"/>
    <n v="62"/>
    <s v="Unknown"/>
    <s v="Las Vegas"/>
    <s v="FLAGSHIP-PARIS"/>
    <s v="CELESTE-EYE-05"/>
    <s v="Serum"/>
    <n v="237.15"/>
    <x v="1"/>
    <n v="0"/>
    <s v="Mobile"/>
    <s v="54.160.159.232"/>
    <x v="0"/>
    <n v="254"/>
    <n v="0.8657635850962152"/>
    <n v="0"/>
    <n v="0"/>
    <n v="1"/>
    <n v="1"/>
    <n v="0"/>
  </r>
  <r>
    <s v="646ae6d2-1911-47eb-81d5-74c97b2da5cc"/>
    <s v="2632c054-170c-4e9a-8ca0-0e75cfa8cdd5"/>
    <d v="2025-06-25T00:00:00"/>
    <d v="1899-12-30T16:26:29"/>
    <n v="16"/>
    <n v="33"/>
    <s v="Silver"/>
    <s v="Geneva"/>
    <s v="FLAGSHIP-PARIS"/>
    <s v="CELESTE-EYE-05"/>
    <s v="Mascara"/>
    <n v="237.14"/>
    <x v="1"/>
    <n v="0"/>
    <s v="Desktop"/>
    <s v="237.8.245.178"/>
    <x v="0"/>
    <n v="108"/>
    <n v="0.86562514250145395"/>
    <n v="0"/>
    <n v="0"/>
    <n v="1"/>
    <n v="1"/>
    <n v="0"/>
  </r>
  <r>
    <s v="d87267da-f3eb-4359-900c-c2b125d02be4"/>
    <s v="4ce48e64-6f6c-4304-8f5b-4b3407cf395c"/>
    <d v="2025-05-22T00:00:00"/>
    <d v="1899-12-30T20:23:48"/>
    <n v="20"/>
    <n v="57"/>
    <s v="Bronze"/>
    <s v="Los Angeles"/>
    <s v="CONCESSION-SINGAPORE"/>
    <s v="ORION-CONCEAL-09"/>
    <s v="Highlighter"/>
    <n v="237.04"/>
    <x v="1"/>
    <n v="0"/>
    <s v="Tablet"/>
    <s v="85.194.138.87"/>
    <x v="0"/>
    <n v="482"/>
    <n v="0.86424071655384482"/>
    <n v="0"/>
    <n v="0"/>
    <n v="0"/>
    <n v="0"/>
    <n v="0"/>
  </r>
  <r>
    <s v="ea2ca96c-25d4-4bdb-9c6d-0a946a8a288b"/>
    <s v="118c40ed-ae67-4e2e-aaa2-50d85d85b9dd"/>
    <d v="2025-02-27T00:00:00"/>
    <d v="1899-12-30T23:32:07"/>
    <n v="23"/>
    <n v="31"/>
    <s v="Platinum"/>
    <s v="Milan"/>
    <s v="CONCESSION-LONDON"/>
    <s v="COSMIC-HIGHLIGHT-06"/>
    <s v="Setting Spray"/>
    <n v="237.01"/>
    <x v="3"/>
    <n v="0"/>
    <s v="Tablet"/>
    <s v="164.60.159.52"/>
    <x v="0"/>
    <n v="459"/>
    <n v="0.86382538876956205"/>
    <n v="0"/>
    <n v="0"/>
    <n v="0"/>
    <n v="0"/>
    <n v="0"/>
  </r>
  <r>
    <s v="bd2d8ded-d6d8-48d7-bc36-e79f70207db1"/>
    <s v="008348c6-138b-4231-8a28-8386f69c24e8"/>
    <d v="2025-03-10T00:00:00"/>
    <d v="1899-12-30T01:53:07"/>
    <n v="1"/>
    <n v="21"/>
    <s v="Silver"/>
    <s v="Singapore"/>
    <s v="BOUTIQUE-NYC"/>
    <s v="ORION-CONCEAL-09"/>
    <s v="Concealer"/>
    <n v="236.94"/>
    <x v="4"/>
    <n v="0"/>
    <s v="Tablet"/>
    <s v="67.120.248.92"/>
    <x v="0"/>
    <n v="207"/>
    <n v="0.8628562906062357"/>
    <n v="0"/>
    <n v="1"/>
    <n v="1"/>
    <n v="3"/>
    <n v="0"/>
  </r>
  <r>
    <s v="e577a37b-eb4d-4cae-b14a-6b92368f45f8"/>
    <s v="f5bcf0df-9066-4d9f-933b-8ec2f3277c71"/>
    <d v="2025-07-11T00:00:00"/>
    <d v="1899-12-30T20:49:36"/>
    <n v="20"/>
    <n v="53"/>
    <s v="Gold"/>
    <s v="Rome"/>
    <s v="CONCESSION-SINGAPORE"/>
    <s v="GALAXIA-SET-08"/>
    <s v="Blush"/>
    <n v="236.79"/>
    <x v="1"/>
    <n v="0"/>
    <s v="Desktop"/>
    <s v="81.5.4.34"/>
    <x v="0"/>
    <n v="157"/>
    <n v="0.86077965168482173"/>
    <n v="0"/>
    <n v="0"/>
    <n v="1"/>
    <n v="1"/>
    <n v="0"/>
  </r>
  <r>
    <s v="f4c69872-2609-452c-9011-6af0f72f1c1b"/>
    <s v="6fc34ae0-858f-48aa-a753-c75e441a8c63"/>
    <d v="2025-05-26T00:00:00"/>
    <d v="1899-12-30T14:39:28"/>
    <n v="14"/>
    <n v="22"/>
    <s v="Silver"/>
    <s v="New York"/>
    <s v="BOUTIQUE-SHANGHAI"/>
    <s v="SOLAR-BLUSH-04"/>
    <s v="Mascara"/>
    <n v="236.36"/>
    <x v="4"/>
    <n v="0"/>
    <s v="Mobile"/>
    <s v="152.222.204.242"/>
    <x v="0"/>
    <n v="127"/>
    <n v="0.85482662011010224"/>
    <n v="0"/>
    <n v="0"/>
    <n v="1"/>
    <n v="1"/>
    <n v="0"/>
  </r>
  <r>
    <s v="7f17d12b-247c-406b-af96-a06c9a3084d7"/>
    <s v="c9bbcfa4-4833-47bc-8af6-da96cf1854be"/>
    <d v="2025-02-27T00:00:00"/>
    <d v="1899-12-30T23:34:27"/>
    <n v="23"/>
    <n v="48"/>
    <s v="Bronze"/>
    <s v="Monte Carlo"/>
    <s v="BOUTIQUE-NYC"/>
    <s v="COSMIC-HIGHLIGHT-06"/>
    <s v="Eyeliner"/>
    <n v="236.14"/>
    <x v="1"/>
    <n v="0"/>
    <s v="Laptop"/>
    <s v="181.147.20.42"/>
    <x v="0"/>
    <n v="459"/>
    <n v="0.85178088302536148"/>
    <n v="0"/>
    <n v="0"/>
    <n v="0"/>
    <n v="0"/>
    <n v="0"/>
  </r>
  <r>
    <s v="e5e95e38-d3cc-4bbf-be2f-2e24037a2ef8"/>
    <s v="40e5f563-2b45-4460-88db-f57340e35e2e"/>
    <d v="2025-07-19T00:00:00"/>
    <d v="1899-12-30T12:32:03"/>
    <n v="12"/>
    <n v="52"/>
    <s v="Bronze"/>
    <s v="Sydney"/>
    <s v="POPUP-MILAN"/>
    <s v="AURORA-LIP-01"/>
    <s v="Serum"/>
    <n v="236.1"/>
    <x v="3"/>
    <n v="0"/>
    <s v="Desktop"/>
    <s v="86.9.229.195"/>
    <x v="0"/>
    <n v="179"/>
    <n v="0.8512271126463179"/>
    <n v="0"/>
    <n v="0"/>
    <n v="1"/>
    <n v="1"/>
    <n v="0"/>
  </r>
  <r>
    <s v="c1a3fd33-36e1-499a-bfb9-09d23e218b79"/>
    <s v="e77b2ded-d8d4-422b-b2c8-83e6ee70575f"/>
    <d v="2025-03-23T00:00:00"/>
    <d v="1899-12-30T10:53:39"/>
    <n v="10"/>
    <n v="59"/>
    <s v="Bronze"/>
    <s v="Rome"/>
    <s v="FLAGSHIP-LA"/>
    <s v="SOLAR-BLUSH-04"/>
    <s v="Serum"/>
    <n v="236.08"/>
    <x v="2"/>
    <n v="1"/>
    <s v="Mobile"/>
    <s v="107.152.160.232"/>
    <x v="0"/>
    <n v="481"/>
    <n v="0.85095022745679638"/>
    <n v="0"/>
    <n v="0"/>
    <n v="0"/>
    <n v="2"/>
    <n v="0"/>
  </r>
  <r>
    <s v="cfd7d707-4051-4f98-b6af-cf089ea439bd"/>
    <s v="ab630305-98d3-4bae-b89d-8001c6dab538"/>
    <d v="2025-08-03T00:00:00"/>
    <d v="1899-12-30T17:44:58"/>
    <n v="17"/>
    <n v="46"/>
    <s v="Platinum"/>
    <s v="Cannes"/>
    <s v="CONCESSION-LONDON"/>
    <s v="STELLAR-FOUND-03"/>
    <s v="Blush"/>
    <n v="236.04"/>
    <x v="4"/>
    <n v="0"/>
    <s v="Tablet"/>
    <s v="236.60.209.56"/>
    <x v="0"/>
    <n v="151"/>
    <n v="0.85039645707775235"/>
    <n v="0"/>
    <n v="0"/>
    <n v="1"/>
    <n v="1"/>
    <n v="0"/>
  </r>
  <r>
    <s v="153f7afc-ee5d-4b82-9036-39f2d944b765"/>
    <s v="587a32b3-5489-4eb7-9014-9092e784d4b1"/>
    <d v="2025-07-05T00:00:00"/>
    <d v="1899-12-30T23:07:06"/>
    <n v="23"/>
    <n v="56"/>
    <s v="Gold"/>
    <s v="Las Vegas"/>
    <s v="FLAGSHIP-LA"/>
    <s v="AURORA-LIP-01"/>
    <s v="Blush"/>
    <n v="235.9"/>
    <x v="3"/>
    <n v="0"/>
    <s v="Laptop"/>
    <s v="37.158.44.255"/>
    <x v="0"/>
    <n v="252"/>
    <n v="0.84845826075109965"/>
    <n v="0"/>
    <n v="0"/>
    <n v="1"/>
    <n v="1"/>
    <n v="0"/>
  </r>
  <r>
    <s v="f4ebaa52-6314-4767-89e1-56bff7fa5f05"/>
    <s v="6444ac76-a901-4a19-8763-f57658a6c31b"/>
    <d v="2025-07-19T00:00:00"/>
    <d v="1899-12-30T23:53:35"/>
    <n v="23"/>
    <n v="31"/>
    <s v="Gold"/>
    <s v="Monte Carlo"/>
    <s v="BOUTIQUE-DUBAI"/>
    <s v="COSMIC-HIGHLIGHT-06"/>
    <s v="Setting Spray"/>
    <n v="235.84"/>
    <x v="0"/>
    <n v="0"/>
    <s v="Desktop"/>
    <s v="8.20.99.3"/>
    <x v="0"/>
    <n v="464"/>
    <n v="0.84762760518253399"/>
    <n v="0"/>
    <n v="0"/>
    <n v="0"/>
    <n v="0"/>
    <n v="0"/>
  </r>
  <r>
    <s v="40a8f06f-0810-483c-832a-58ce68d103aa"/>
    <s v="b9e5598f-4c0b-4180-8974-fd0a00492297"/>
    <d v="2025-04-25T00:00:00"/>
    <d v="1899-12-30T01:50:57"/>
    <n v="1"/>
    <n v="42"/>
    <s v="VIP"/>
    <s v="Hong Kong"/>
    <s v="FLAGSHIP-PARIS"/>
    <s v="STELLAR-FOUND-03"/>
    <s v="Foundation"/>
    <n v="235.82"/>
    <x v="2"/>
    <n v="1"/>
    <s v="Mobile"/>
    <s v="113.99.184.22"/>
    <x v="0"/>
    <n v="181"/>
    <n v="0.84735071999301204"/>
    <n v="0"/>
    <n v="1"/>
    <n v="1"/>
    <n v="5"/>
    <n v="1"/>
  </r>
  <r>
    <s v="a08b075a-1cde-4143-9577-f7b88feab8cb"/>
    <s v="6a303aa2-6365-48cd-90c3-5eb92d4d9bb9"/>
    <d v="2025-02-27T00:00:00"/>
    <d v="1899-12-30T02:25:57"/>
    <n v="2"/>
    <n v="19"/>
    <s v="Silver"/>
    <s v="Miami"/>
    <s v="CONCESSION-SINGAPORE"/>
    <s v="GALAXIA-SET-08"/>
    <s v="Setting Spray"/>
    <n v="235.75"/>
    <x v="3"/>
    <n v="0"/>
    <s v="Mobile"/>
    <s v="162.137.98.190"/>
    <x v="0"/>
    <n v="177"/>
    <n v="0.84638162182968568"/>
    <n v="0"/>
    <n v="1"/>
    <n v="1"/>
    <n v="3"/>
    <n v="0"/>
  </r>
  <r>
    <s v="0ec38fca-0715-4930-b054-2d5652e88b77"/>
    <s v="6119a5ea-6345-4815-9378-9048c07d0dc3"/>
    <d v="2025-03-28T00:00:00"/>
    <d v="1899-12-30T04:11:59"/>
    <n v="4"/>
    <n v="40"/>
    <s v="Gold"/>
    <s v="Rome"/>
    <s v="FLAGSHIP-PARIS"/>
    <s v="LUNAR-MASC-02"/>
    <s v="Blush"/>
    <n v="235.61"/>
    <x v="0"/>
    <n v="0"/>
    <s v="Desktop"/>
    <s v="146.231.155.47"/>
    <x v="0"/>
    <n v="379"/>
    <n v="0.84444342550303286"/>
    <n v="0"/>
    <n v="1"/>
    <n v="0"/>
    <n v="2"/>
    <n v="0"/>
  </r>
  <r>
    <s v="3ec31bdc-2f98-44e5-9225-3dae0eccfdee"/>
    <s v="ea9cccee-03e1-4cba-88e8-bfa6932173c1"/>
    <d v="2025-05-23T00:00:00"/>
    <d v="1899-12-30T12:32:18"/>
    <n v="12"/>
    <n v="56"/>
    <s v="Unknown"/>
    <s v="London"/>
    <s v="POPUP-MILAN"/>
    <s v="CELESTE-EYE-05"/>
    <s v="Eyeliner"/>
    <n v="235.42"/>
    <x v="1"/>
    <n v="0"/>
    <s v="Laptop"/>
    <s v="196.96.150.76"/>
    <x v="0"/>
    <n v="80"/>
    <n v="0.84181301620257498"/>
    <n v="0"/>
    <n v="0"/>
    <n v="1"/>
    <n v="1"/>
    <n v="0"/>
  </r>
  <r>
    <s v="4f02b202-996b-4c5f-a082-2b6616e050e9"/>
    <s v="63b012c0-c971-4091-905c-2a21c886f09d"/>
    <d v="2025-04-07T00:00:00"/>
    <d v="1899-12-30T17:01:11"/>
    <n v="17"/>
    <n v="23"/>
    <s v="Bronze"/>
    <s v="Hong Kong"/>
    <s v="CONCESSION-SINGAPORE"/>
    <s v="NEBULA-SERUM-07"/>
    <s v="Foundation"/>
    <n v="235.13"/>
    <x v="2"/>
    <n v="1"/>
    <s v="Mobile"/>
    <s v="108.218.137.205"/>
    <x v="0"/>
    <n v="341"/>
    <n v="0.83779818095450831"/>
    <n v="0"/>
    <n v="0"/>
    <n v="0"/>
    <n v="2"/>
    <n v="0"/>
  </r>
  <r>
    <s v="e7547a76-df6a-42f3-b359-78d768da2c8a"/>
    <s v="9c81c8d1-8bf0-4a4f-b5b8-f3055d326dbe"/>
    <d v="2025-04-19T00:00:00"/>
    <d v="1899-12-30T21:26:27"/>
    <n v="21"/>
    <n v="42"/>
    <s v="Silver"/>
    <s v="Hong Kong"/>
    <s v="BOUTIQUE-DUBAI"/>
    <s v="ORION-CONCEAL-09"/>
    <s v="Foundation"/>
    <n v="235.11"/>
    <x v="0"/>
    <n v="0"/>
    <s v="Laptop"/>
    <s v="76.191.12.164"/>
    <x v="0"/>
    <n v="210"/>
    <n v="0.83752129576498668"/>
    <n v="0"/>
    <n v="0"/>
    <n v="1"/>
    <n v="1"/>
    <n v="0"/>
  </r>
  <r>
    <s v="8d88c835-3363-4a7c-beca-518156fb2460"/>
    <s v="ae500bdd-1fb8-42b2-8039-7eb3a586403c"/>
    <d v="2025-07-03T00:00:00"/>
    <d v="1899-12-30T14:05:54"/>
    <n v="14"/>
    <n v="55"/>
    <s v="Silver"/>
    <s v="Shanghai"/>
    <s v="CONCESSION-SINGAPORE"/>
    <s v="STELLAR-FOUND-03"/>
    <s v="Blush"/>
    <n v="234.97"/>
    <x v="0"/>
    <n v="0"/>
    <s v="Tablet"/>
    <s v="230.157.63.255"/>
    <x v="0"/>
    <n v="72"/>
    <n v="0.83558309943833353"/>
    <n v="0"/>
    <n v="0"/>
    <n v="1"/>
    <n v="1"/>
    <n v="0"/>
  </r>
  <r>
    <s v="e19bf7dd-830e-4710-8cff-2ebc4912ae55"/>
    <s v="537a6c4c-b427-4f4e-8a45-6943ceeb978a"/>
    <d v="2025-02-28T00:00:00"/>
    <d v="1899-12-30T01:36:55"/>
    <n v="1"/>
    <n v="55"/>
    <s v="Gold"/>
    <s v="London"/>
    <s v="POPUP-TOKYO"/>
    <s v="LUNAR-MASC-02"/>
    <s v="Highlighter"/>
    <n v="234.94"/>
    <x v="3"/>
    <n v="0"/>
    <s v="Desktop"/>
    <s v="144.223.216.18"/>
    <x v="0"/>
    <n v="402"/>
    <n v="0.83516777165405076"/>
    <n v="0"/>
    <n v="1"/>
    <n v="0"/>
    <n v="2"/>
    <n v="0"/>
  </r>
  <r>
    <s v="629fa17e-9f39-4739-9a77-7b5a6f1775dd"/>
    <s v="d3a131ca-3e3b-4602-9381-accddfc23a25"/>
    <d v="2025-04-26T00:00:00"/>
    <d v="1899-12-30T06:37:10"/>
    <n v="6"/>
    <n v="43"/>
    <s v="Silver"/>
    <s v="Tokyo"/>
    <s v="FLAGSHIP-LA"/>
    <s v="GALAXIA-SET-08"/>
    <s v="Eyeshadow Palette"/>
    <n v="234.93"/>
    <x v="3"/>
    <n v="0"/>
    <s v="Desktop"/>
    <s v="59.211.23.7"/>
    <x v="0"/>
    <n v="93"/>
    <n v="0.83502932905928995"/>
    <n v="0"/>
    <n v="0"/>
    <n v="1"/>
    <n v="1"/>
    <n v="0"/>
  </r>
  <r>
    <s v="9e350d81-8ed0-4eae-a1dc-08c85fda29dc"/>
    <s v="151c7c0a-f21c-42c5-9599-462b82e9adee"/>
    <d v="2025-06-04T00:00:00"/>
    <d v="1899-12-30T12:51:55"/>
    <n v="12"/>
    <n v="47"/>
    <s v="Gold"/>
    <s v="Paris"/>
    <s v="FLAGSHIP-ROME"/>
    <s v="CELESTE-EYE-05"/>
    <s v="Eyeshadow Palette"/>
    <n v="234.9"/>
    <x v="1"/>
    <n v="0"/>
    <s v="Laptop"/>
    <s v="194.230.135.174"/>
    <x v="0"/>
    <n v="196"/>
    <n v="0.83461400127500718"/>
    <n v="0"/>
    <n v="0"/>
    <n v="1"/>
    <n v="1"/>
    <n v="0"/>
  </r>
  <r>
    <s v="a2e6d245-2a26-4476-b083-2e9e5769ef26"/>
    <s v="3ede0ed4-7935-4a48-8c2b-8bc92a450e88"/>
    <d v="2025-05-08T00:00:00"/>
    <d v="1899-12-30T17:48:50"/>
    <n v="17"/>
    <n v="53"/>
    <s v="VIP"/>
    <s v="Monte Carlo"/>
    <s v="FLAGSHIP-LA"/>
    <s v="ECLIPSE-EYE-10"/>
    <s v="Serum"/>
    <n v="234.88"/>
    <x v="0"/>
    <n v="0"/>
    <s v="Tablet"/>
    <s v="179.22.122.80"/>
    <x v="0"/>
    <n v="63"/>
    <n v="0.83433711608548522"/>
    <n v="0"/>
    <n v="0"/>
    <n v="1"/>
    <n v="1"/>
    <n v="0"/>
  </r>
  <r>
    <s v="3ce65afc-b14c-452a-b386-f0a4eed643c6"/>
    <s v="c7ce007c-9011-4631-8923-83adca12aee9"/>
    <d v="2025-02-20T00:00:00"/>
    <d v="1899-12-30T01:53:49"/>
    <n v="1"/>
    <n v="22"/>
    <s v="Gold"/>
    <s v="Miami"/>
    <s v="BOUTIQUE-DUBAI"/>
    <s v="SOLAR-BLUSH-04"/>
    <s v="Highlighter"/>
    <n v="234.88"/>
    <x v="1"/>
    <n v="0"/>
    <s v="Tablet"/>
    <s v="190.168.68.142"/>
    <x v="0"/>
    <n v="414"/>
    <n v="0.83433711608548522"/>
    <n v="0"/>
    <n v="1"/>
    <n v="0"/>
    <n v="2"/>
    <n v="0"/>
  </r>
  <r>
    <s v="05701b3f-6949-440d-9aa5-7b607184c1b4"/>
    <s v="c54affbd-66c4-424a-a99d-e093f7c9b515"/>
    <d v="2025-07-13T00:00:00"/>
    <d v="1899-12-30T02:57:01"/>
    <n v="2"/>
    <n v="31"/>
    <s v="Gold"/>
    <s v="Cannes"/>
    <s v="BOUTIQUE-DUBAI"/>
    <s v="AURORA-LIP-01"/>
    <s v="Eyeliner"/>
    <n v="234.84"/>
    <x v="0"/>
    <n v="0"/>
    <s v="Mobile"/>
    <s v="168.77.180.173"/>
    <x v="0"/>
    <n v="116"/>
    <n v="0.83378334570644153"/>
    <n v="0"/>
    <n v="1"/>
    <n v="1"/>
    <n v="3"/>
    <n v="0"/>
  </r>
  <r>
    <s v="2ba0a6d2-f08d-4fe0-9ad5-43ec12a23fe8"/>
    <s v="7067ae51-6763-417d-b151-22ad0df1858b"/>
    <d v="2025-07-30T00:00:00"/>
    <d v="1899-12-30T14:40:23"/>
    <n v="14"/>
    <n v="62"/>
    <s v="Unknown"/>
    <s v="New York"/>
    <s v="CONCESSION-LONDON"/>
    <s v="AURORA-LIP-01"/>
    <s v="Highlighter"/>
    <n v="234.48"/>
    <x v="0"/>
    <n v="0"/>
    <s v="Laptop"/>
    <s v="150.253.113.222"/>
    <x v="0"/>
    <n v="458"/>
    <n v="0.82879941229504805"/>
    <n v="0"/>
    <n v="0"/>
    <n v="0"/>
    <n v="0"/>
    <n v="0"/>
  </r>
  <r>
    <s v="faf7321d-a4c9-46f0-8875-caac49860273"/>
    <s v="6f521b2c-304b-47d4-abeb-1721b41b2400"/>
    <d v="2025-03-13T00:00:00"/>
    <d v="1899-12-30T05:05:17"/>
    <n v="5"/>
    <n v="34"/>
    <s v="VIP"/>
    <s v="Las Vegas"/>
    <s v="POPUP-MILAN"/>
    <s v="ECLIPSE-EYE-10"/>
    <s v="Setting Spray"/>
    <n v="234.33"/>
    <x v="3"/>
    <n v="0"/>
    <s v="Tablet"/>
    <s v="148.160.50.177"/>
    <x v="0"/>
    <n v="203"/>
    <n v="0.82672277337363453"/>
    <n v="0"/>
    <n v="1"/>
    <n v="1"/>
    <n v="3"/>
    <n v="0"/>
  </r>
  <r>
    <s v="d45b135a-91c5-48de-a495-241aeebe3e4a"/>
    <s v="03c57f9b-ba28-4607-8c93-108838bbbef4"/>
    <d v="2025-02-23T00:00:00"/>
    <d v="1899-12-30T12:35:24"/>
    <n v="12"/>
    <n v="61"/>
    <s v="Unknown"/>
    <s v="Monte Carlo"/>
    <s v="POPUP-MILAN"/>
    <s v="CELESTE-EYE-05"/>
    <s v="Foundation"/>
    <n v="234.27"/>
    <x v="1"/>
    <n v="0"/>
    <s v="Desktop"/>
    <s v="31.122.184.215"/>
    <x v="0"/>
    <n v="141"/>
    <n v="0.82589211780506899"/>
    <n v="0"/>
    <n v="0"/>
    <n v="1"/>
    <n v="1"/>
    <n v="0"/>
  </r>
  <r>
    <s v="46ae3b48-c51c-4199-a73a-d452cfaf9f0b"/>
    <s v="c5fe31a6-db08-4739-8333-5d80ea8ffb62"/>
    <d v="2025-05-11T00:00:00"/>
    <d v="1899-12-30T19:58:55"/>
    <n v="19"/>
    <n v="46"/>
    <s v="Bronze"/>
    <s v="Singapore"/>
    <s v="BOUTIQUE-NYC"/>
    <s v="CELESTE-EYE-05"/>
    <s v="Lipstick"/>
    <n v="234.18"/>
    <x v="4"/>
    <n v="0"/>
    <s v="Desktop"/>
    <s v="178.25.191.242"/>
    <x v="0"/>
    <n v="85"/>
    <n v="0.82464613445222057"/>
    <n v="0"/>
    <n v="0"/>
    <n v="1"/>
    <n v="1"/>
    <n v="0"/>
  </r>
  <r>
    <s v="05483b0a-f028-4496-9489-a4c95942661c"/>
    <s v="b882f3dd-1ab7-45d7-a540-55437818ad23"/>
    <d v="2025-04-14T00:00:00"/>
    <d v="1899-12-30T12:36:35"/>
    <n v="12"/>
    <n v="51"/>
    <s v="Gold"/>
    <s v="Geneva"/>
    <s v="FLAGSHIP-PARIS"/>
    <s v="GALAXIA-SET-08"/>
    <s v="Mascara"/>
    <n v="234.17"/>
    <x v="0"/>
    <n v="0"/>
    <s v="Laptop"/>
    <s v="102.250.154.88"/>
    <x v="0"/>
    <n v="374"/>
    <n v="0.82450769185745942"/>
    <n v="0"/>
    <n v="0"/>
    <n v="0"/>
    <n v="0"/>
    <n v="0"/>
  </r>
  <r>
    <s v="4f67a98b-394f-4398-8432-cc5041450499"/>
    <s v="8e52c52e-5542-4246-8a4f-ab97cbfa5a40"/>
    <d v="2025-05-22T00:00:00"/>
    <d v="1899-12-30T13:32:58"/>
    <n v="13"/>
    <n v="35"/>
    <s v="Bronze"/>
    <s v="Sydney"/>
    <s v="POPUP-TOKYO"/>
    <s v="SOLAR-BLUSH-04"/>
    <s v="Blush"/>
    <n v="233.68"/>
    <x v="0"/>
    <n v="0"/>
    <s v="Laptop"/>
    <s v="169.228.189.89"/>
    <x v="0"/>
    <n v="113"/>
    <n v="0.81772400471417439"/>
    <n v="0"/>
    <n v="0"/>
    <n v="1"/>
    <n v="1"/>
    <n v="0"/>
  </r>
  <r>
    <s v="a2ed0396-fc4c-4609-974e-c6a3359b1014"/>
    <s v="0e9b0007-d670-4430-9c07-a8e460324669"/>
    <d v="2025-08-10T00:00:00"/>
    <d v="1899-12-30T20:45:32"/>
    <n v="20"/>
    <n v="20"/>
    <s v="Bronze"/>
    <s v="Sydney"/>
    <s v="POPUP-TOKYO"/>
    <s v="GALAXIA-SET-08"/>
    <s v="Eyeshadow Palette"/>
    <n v="233.62"/>
    <x v="0"/>
    <n v="0"/>
    <s v="Laptop"/>
    <s v="84.126.27.143"/>
    <x v="0"/>
    <n v="405"/>
    <n v="0.81689334914560885"/>
    <n v="0"/>
    <n v="0"/>
    <n v="0"/>
    <n v="0"/>
    <n v="0"/>
  </r>
  <r>
    <s v="d183e001-01ce-42c9-8e59-f2b2475d4e0d"/>
    <s v="c70cbac6-afa6-4d71-b169-2c4cc7a78c7a"/>
    <d v="2025-03-01T00:00:00"/>
    <d v="1899-12-30T01:50:38"/>
    <n v="1"/>
    <n v="64"/>
    <s v="Silver"/>
    <s v="Dubai"/>
    <s v="CONCESSION-LONDON"/>
    <s v="COSMIC-HIGHLIGHT-06"/>
    <s v="Lipstick"/>
    <n v="233.6"/>
    <x v="4"/>
    <n v="0"/>
    <s v="Laptop"/>
    <s v="131.143.49.118"/>
    <x v="0"/>
    <n v="266"/>
    <n v="0.81661646395608678"/>
    <n v="0"/>
    <n v="1"/>
    <n v="1"/>
    <n v="3"/>
    <n v="0"/>
  </r>
  <r>
    <s v="d797918d-d29e-45c5-8dff-18e8e2283293"/>
    <s v="30c36cf7-9548-480e-986c-e8edcd0a315b"/>
    <d v="2025-07-03T00:00:00"/>
    <d v="1899-12-30T10:33:14"/>
    <n v="10"/>
    <n v="18"/>
    <s v="Bronze"/>
    <s v="Hong Kong"/>
    <s v="POPUP-TOKYO"/>
    <s v="STELLAR-FOUND-03"/>
    <s v="Concealer"/>
    <n v="233.5"/>
    <x v="0"/>
    <n v="0"/>
    <s v="Laptop"/>
    <s v="5.235.95.136"/>
    <x v="0"/>
    <n v="243"/>
    <n v="0.81523203800847766"/>
    <n v="0"/>
    <n v="0"/>
    <n v="1"/>
    <n v="1"/>
    <n v="0"/>
  </r>
  <r>
    <s v="b3090353-a783-4573-a3a0-6ff92071c54f"/>
    <s v="c777f802-cf30-40af-a639-c0b734052e3d"/>
    <d v="2025-02-24T00:00:00"/>
    <d v="1899-12-30T10:50:55"/>
    <n v="10"/>
    <n v="62"/>
    <s v="Silver"/>
    <s v="London"/>
    <s v="CONCESSION-LONDON"/>
    <s v="NEBULA-SERUM-07"/>
    <s v="Setting Spray"/>
    <n v="233.39"/>
    <x v="1"/>
    <n v="0"/>
    <s v="Tablet"/>
    <s v="240.221.92.226"/>
    <x v="0"/>
    <n v="482"/>
    <n v="0.81370916946610727"/>
    <n v="0"/>
    <n v="0"/>
    <n v="0"/>
    <n v="0"/>
    <n v="0"/>
  </r>
  <r>
    <s v="2fc65695-d2dc-470b-b5b8-a5eab6cfe9e7"/>
    <s v="8684b97f-ca8e-496e-bd5f-7dcd629f6ff9"/>
    <d v="2025-08-02T00:00:00"/>
    <d v="1899-12-30T11:52:29"/>
    <n v="11"/>
    <n v="38"/>
    <s v="Gold"/>
    <s v="Cannes"/>
    <s v="CONCESSION-SINGAPORE"/>
    <s v="AURORA-LIP-01"/>
    <s v="Lipstick"/>
    <n v="233.26"/>
    <x v="3"/>
    <n v="0"/>
    <s v="Desktop"/>
    <s v="40.176.6.121"/>
    <x v="0"/>
    <n v="134"/>
    <n v="0.81190941573421538"/>
    <n v="0"/>
    <n v="0"/>
    <n v="1"/>
    <n v="1"/>
    <n v="0"/>
  </r>
  <r>
    <s v="75d844d3-7859-4be5-914b-98f2056d2790"/>
    <s v="f12de372-422e-4356-8e38-51b7e0755d7a"/>
    <d v="2025-04-14T00:00:00"/>
    <d v="1899-12-30T15:41:49"/>
    <n v="15"/>
    <n v="56"/>
    <s v="Gold"/>
    <s v="Shanghai"/>
    <s v="POPUP-TOKYO"/>
    <s v="COSMIC-HIGHLIGHT-06"/>
    <s v="Highlighter"/>
    <n v="233.19"/>
    <x v="4"/>
    <n v="0"/>
    <s v="Tablet"/>
    <s v="60.49.54.255"/>
    <x v="0"/>
    <n v="353"/>
    <n v="0.81094031757088891"/>
    <n v="0"/>
    <n v="0"/>
    <n v="0"/>
    <n v="0"/>
    <n v="0"/>
  </r>
  <r>
    <s v="c25e9b48-1131-4330-a8e0-ab01d7c3d8ff"/>
    <s v="4e726adc-d31a-43f3-aa5c-506e0d970dea"/>
    <d v="2025-04-22T00:00:00"/>
    <d v="1899-12-30T20:04:46"/>
    <n v="20"/>
    <n v="34"/>
    <s v="Bronze"/>
    <s v="Paris"/>
    <s v="POPUP-MILAN"/>
    <s v="STELLAR-FOUND-03"/>
    <s v="Foundation"/>
    <n v="233.02"/>
    <x v="4"/>
    <n v="0"/>
    <s v="Mobile"/>
    <s v="90.199.32.89"/>
    <x v="0"/>
    <n v="304"/>
    <n v="0.80858679345995343"/>
    <n v="0"/>
    <n v="0"/>
    <n v="0"/>
    <n v="0"/>
    <n v="0"/>
  </r>
  <r>
    <s v="78ad7ead-df6a-4b9e-bdc4-5e3bd28b5194"/>
    <s v="ce4bdcff-819a-4cb8-afc5-6469c3c6359e"/>
    <d v="2025-05-29T00:00:00"/>
    <d v="1899-12-30T17:01:46"/>
    <n v="17"/>
    <n v="51"/>
    <s v="Gold"/>
    <s v="San Francisco"/>
    <s v="CONCESSION-LONDON"/>
    <s v="STELLAR-FOUND-03"/>
    <s v="Serum"/>
    <n v="232.9"/>
    <x v="4"/>
    <n v="0"/>
    <s v="Desktop"/>
    <s v="232.78.227.248"/>
    <x v="0"/>
    <n v="173"/>
    <n v="0.80692548232282224"/>
    <n v="0"/>
    <n v="0"/>
    <n v="1"/>
    <n v="1"/>
    <n v="0"/>
  </r>
  <r>
    <s v="03b0252d-d657-4c51-8e09-450521301e8e"/>
    <s v="b52ffb7c-edbd-4971-aa56-8e12649a3868"/>
    <d v="2025-04-15T00:00:00"/>
    <d v="1899-12-30T16:20:44"/>
    <n v="16"/>
    <n v="55"/>
    <s v="Gold"/>
    <s v="Rome"/>
    <s v="BOUTIQUE-DUBAI"/>
    <s v="NEBULA-SERUM-07"/>
    <s v="Setting Spray"/>
    <n v="232.84"/>
    <x v="2"/>
    <n v="1"/>
    <s v="Laptop"/>
    <s v="125.56.251.240"/>
    <x v="0"/>
    <n v="111"/>
    <n v="0.8060948267542567"/>
    <n v="0"/>
    <n v="0"/>
    <n v="1"/>
    <n v="3"/>
    <n v="0"/>
  </r>
  <r>
    <s v="f45fa236-0464-4005-820a-17190d7967a2"/>
    <s v="00c5012b-02d6-4597-8c8b-914cb84181af"/>
    <d v="2025-07-01T00:00:00"/>
    <d v="1899-12-30T15:12:06"/>
    <n v="15"/>
    <n v="26"/>
    <s v="Bronze"/>
    <s v="Cannes"/>
    <s v="FLAGSHIP-LA"/>
    <s v="STELLAR-FOUND-03"/>
    <s v="Highlighter"/>
    <n v="232.8"/>
    <x v="4"/>
    <n v="0"/>
    <s v="Laptop"/>
    <s v="6.245.140.48"/>
    <x v="0"/>
    <n v="374"/>
    <n v="0.80554105637521312"/>
    <n v="0"/>
    <n v="0"/>
    <n v="0"/>
    <n v="0"/>
    <n v="0"/>
  </r>
  <r>
    <s v="0dd36ee7-3515-4180-abe6-c3f9447ffcf3"/>
    <s v="7911a405-8db1-49e0-bfa4-ed52edd46f14"/>
    <d v="2025-04-10T00:00:00"/>
    <d v="1899-12-30T16:48:05"/>
    <n v="16"/>
    <n v="64"/>
    <s v="VIP"/>
    <s v="Shanghai"/>
    <s v="POPUP-TOKYO"/>
    <s v="NEBULA-SERUM-07"/>
    <s v="Lipstick"/>
    <n v="232.67"/>
    <x v="3"/>
    <n v="0"/>
    <s v="Mobile"/>
    <s v="234.188.129.6"/>
    <x v="0"/>
    <n v="144"/>
    <n v="0.80374130264332078"/>
    <n v="0"/>
    <n v="0"/>
    <n v="1"/>
    <n v="1"/>
    <n v="0"/>
  </r>
  <r>
    <s v="edfea0dd-5f1b-45f2-9cac-3c33b5ae3c8f"/>
    <s v="2d4c4c0e-ea0a-46fa-aefe-04cf4997a5b9"/>
    <d v="2025-05-11T00:00:00"/>
    <d v="1899-12-30T15:48:34"/>
    <n v="15"/>
    <n v="49"/>
    <s v="Platinum"/>
    <s v="Shanghai"/>
    <s v="FLAGSHIP-ROME"/>
    <s v="ECLIPSE-EYE-10"/>
    <s v="Serum"/>
    <n v="232.66"/>
    <x v="1"/>
    <n v="0"/>
    <s v="Mobile"/>
    <s v="145.223.132.243"/>
    <x v="0"/>
    <n v="499"/>
    <n v="0.80360286004855996"/>
    <n v="0"/>
    <n v="0"/>
    <n v="0"/>
    <n v="0"/>
    <n v="0"/>
  </r>
  <r>
    <s v="6988c381-5396-4346-aed1-389a236cf71e"/>
    <s v="46fb4796-9af0-4d6f-9cc1-a170c51ec65c"/>
    <d v="2025-07-15T00:00:00"/>
    <d v="1899-12-30T02:52:09"/>
    <n v="2"/>
    <n v="54"/>
    <s v="Bronze"/>
    <s v="Milan"/>
    <s v="CONCESSION-SINGAPORE"/>
    <s v="ORION-CONCEAL-09"/>
    <s v="Eyeliner"/>
    <n v="232.62"/>
    <x v="3"/>
    <n v="0"/>
    <s v="Tablet"/>
    <s v="4.85.61.214"/>
    <x v="0"/>
    <n v="259"/>
    <n v="0.80304908966951638"/>
    <n v="0"/>
    <n v="1"/>
    <n v="1"/>
    <n v="3"/>
    <n v="0"/>
  </r>
  <r>
    <s v="7b070bea-c353-40bc-a6de-d53ec258003c"/>
    <s v="da752606-af01-46e7-8cac-fa17a0d6c51c"/>
    <d v="2025-07-05T00:00:00"/>
    <d v="1899-12-30T19:55:50"/>
    <n v="19"/>
    <n v="34"/>
    <s v="Bronze"/>
    <s v="Hong Kong"/>
    <s v="CONCESSION-SINGAPORE"/>
    <s v="ORION-CONCEAL-09"/>
    <s v="Lipstick"/>
    <n v="232.56"/>
    <x v="0"/>
    <n v="0"/>
    <s v="Laptop"/>
    <s v="38.163.236.69"/>
    <x v="0"/>
    <n v="73"/>
    <n v="0.80221843410095073"/>
    <n v="0"/>
    <n v="0"/>
    <n v="1"/>
    <n v="1"/>
    <n v="0"/>
  </r>
  <r>
    <s v="22307428-8c46-4333-8b9f-c6b898ffe09c"/>
    <s v="d0638043-4f84-4592-89fc-551f6c9ad1c6"/>
    <d v="2025-05-24T00:00:00"/>
    <d v="1899-12-30T10:22:35"/>
    <n v="10"/>
    <n v="54"/>
    <s v="Gold"/>
    <s v="New York"/>
    <s v="POPUP-TOKYO"/>
    <s v="STELLAR-FOUND-03"/>
    <s v="Serum"/>
    <n v="232.48"/>
    <x v="4"/>
    <n v="0"/>
    <s v="Desktop"/>
    <s v="116.48.131.10"/>
    <x v="0"/>
    <n v="126"/>
    <n v="0.80111089334286323"/>
    <n v="0"/>
    <n v="0"/>
    <n v="1"/>
    <n v="1"/>
    <n v="0"/>
  </r>
  <r>
    <s v="423d2580-b377-4e1b-8856-7a4a559d3ff2"/>
    <s v="c834f9ed-bf39-4805-bb47-817a9b9d4d01"/>
    <d v="2025-05-04T00:00:00"/>
    <d v="1899-12-30T23:34:13"/>
    <n v="23"/>
    <n v="31"/>
    <s v="Bronze"/>
    <s v="Singapore"/>
    <s v="BOUTIQUE-SHANGHAI"/>
    <s v="LUNAR-MASC-02"/>
    <s v="Setting Spray"/>
    <n v="232.16"/>
    <x v="4"/>
    <n v="0"/>
    <s v="Mobile"/>
    <s v="155.11.71.61"/>
    <x v="0"/>
    <n v="172"/>
    <n v="0.79668073031051367"/>
    <n v="0"/>
    <n v="0"/>
    <n v="1"/>
    <n v="1"/>
    <n v="0"/>
  </r>
  <r>
    <s v="f7555df6-0354-416f-bb9f-0f806d8ad679"/>
    <s v="5e16a282-073c-40ec-94ce-5ce371709d59"/>
    <d v="2025-04-04T00:00:00"/>
    <d v="1899-12-30T01:28:38"/>
    <n v="1"/>
    <n v="41"/>
    <s v="Bronze"/>
    <s v="Cannes"/>
    <s v="FLAGSHIP-PARIS"/>
    <s v="COSMIC-HIGHLIGHT-06"/>
    <s v="Eyeshadow Palette"/>
    <n v="231.96"/>
    <x v="0"/>
    <n v="0"/>
    <s v="Desktop"/>
    <s v="153.206.62.119"/>
    <x v="0"/>
    <n v="163"/>
    <n v="0.79391187841529542"/>
    <n v="0"/>
    <n v="1"/>
    <n v="1"/>
    <n v="3"/>
    <n v="0"/>
  </r>
  <r>
    <s v="ef8c952f-0cf7-463c-919c-f0c1873905ee"/>
    <s v="e04ef2ca-4546-405e-98fc-b3ce0e8631fb"/>
    <d v="2025-02-22T00:00:00"/>
    <d v="1899-12-30T18:31:05"/>
    <n v="18"/>
    <n v="50"/>
    <s v="Platinum"/>
    <s v="Monte Carlo"/>
    <s v="FLAGSHIP-ROME"/>
    <s v="STELLAR-FOUND-03"/>
    <s v="Highlighter"/>
    <n v="231.93"/>
    <x v="0"/>
    <n v="0"/>
    <s v="Desktop"/>
    <s v="56.79.113.96"/>
    <x v="0"/>
    <n v="435"/>
    <n v="0.79349655063101254"/>
    <n v="0"/>
    <n v="0"/>
    <n v="0"/>
    <n v="0"/>
    <n v="0"/>
  </r>
  <r>
    <s v="7d62b40e-82f1-400b-b1e9-9f10ac2f7fcc"/>
    <s v="20c7965a-23eb-4346-b2a6-fbb616801cc8"/>
    <d v="2025-05-19T00:00:00"/>
    <d v="1899-12-30T19:39:12"/>
    <n v="19"/>
    <n v="57"/>
    <s v="Bronze"/>
    <s v="Singapore"/>
    <s v="BOUTIQUE-SHANGHAI"/>
    <s v="NEBULA-SERUM-07"/>
    <s v="Blush"/>
    <n v="231.74"/>
    <x v="3"/>
    <n v="0"/>
    <s v="Tablet"/>
    <s v="150.41.8.58"/>
    <x v="0"/>
    <n v="170"/>
    <n v="0.79086614133055499"/>
    <n v="0"/>
    <n v="0"/>
    <n v="1"/>
    <n v="1"/>
    <n v="0"/>
  </r>
  <r>
    <s v="385c004c-1b7d-49a7-a6d6-6e3471d3b7ec"/>
    <s v="9d08ee96-8fb7-493d-a205-4e4d8df70cdf"/>
    <d v="2025-04-07T00:00:00"/>
    <d v="1899-12-30T21:41:27"/>
    <n v="21"/>
    <n v="41"/>
    <s v="Platinum"/>
    <s v="Tokyo"/>
    <s v="FLAGSHIP-PARIS"/>
    <s v="CELESTE-EYE-05"/>
    <s v="Serum"/>
    <n v="231.65"/>
    <x v="1"/>
    <n v="0"/>
    <s v="Desktop"/>
    <s v="32.157.164.135"/>
    <x v="0"/>
    <n v="328"/>
    <n v="0.78962015797770668"/>
    <n v="0"/>
    <n v="0"/>
    <n v="0"/>
    <n v="0"/>
    <n v="0"/>
  </r>
  <r>
    <s v="ce9e672d-bec7-4ed0-a3f6-b4911a7c680b"/>
    <s v="888407b9-09f5-484f-88ba-03492dd7d85a"/>
    <d v="2025-05-08T00:00:00"/>
    <d v="1899-12-30T21:22:55"/>
    <n v="21"/>
    <n v="34"/>
    <s v="VIP"/>
    <s v="Zurich"/>
    <s v="FLAGSHIP-LA"/>
    <s v="CELESTE-EYE-05"/>
    <s v="Serum"/>
    <n v="231.65"/>
    <x v="0"/>
    <n v="0"/>
    <s v="Mobile"/>
    <s v="108.61.28.227"/>
    <x v="0"/>
    <n v="340"/>
    <n v="0.78962015797770668"/>
    <n v="0"/>
    <n v="0"/>
    <n v="0"/>
    <n v="0"/>
    <n v="0"/>
  </r>
  <r>
    <s v="8e622a1d-e3da-4e07-ac69-5441ea9e4a5b"/>
    <s v="f8c8d0f4-ff05-4bf6-90d7-9aeaaef9e7f7"/>
    <d v="2025-05-01T00:00:00"/>
    <d v="1899-12-30T06:58:52"/>
    <n v="6"/>
    <n v="61"/>
    <s v="Bronze"/>
    <s v="Monaco"/>
    <s v="POPUP-MILAN"/>
    <s v="NEBULA-SERUM-07"/>
    <s v="Highlighter"/>
    <n v="231.18"/>
    <x v="1"/>
    <n v="0"/>
    <s v="Laptop"/>
    <s v="40.128.115.240"/>
    <x v="0"/>
    <n v="91"/>
    <n v="0.78311335602394327"/>
    <n v="0"/>
    <n v="0"/>
    <n v="1"/>
    <n v="1"/>
    <n v="0"/>
  </r>
  <r>
    <s v="ad1d013f-930c-4da9-8be8-407e8e6d2683"/>
    <s v="eb3ba1f6-ca44-4a68-ab82-fec866df7021"/>
    <d v="2025-07-02T00:00:00"/>
    <d v="1899-12-30T22:13:25"/>
    <n v="22"/>
    <n v="20"/>
    <s v="Gold"/>
    <s v="Cannes"/>
    <s v="FLAGSHIP-LA"/>
    <s v="COSMIC-HIGHLIGHT-06"/>
    <s v="Blush"/>
    <n v="231.15"/>
    <x v="1"/>
    <n v="0"/>
    <s v="Tablet"/>
    <s v="226.9.95.255"/>
    <x v="0"/>
    <n v="309"/>
    <n v="0.7826980282396605"/>
    <n v="0"/>
    <n v="0"/>
    <n v="0"/>
    <n v="0"/>
    <n v="0"/>
  </r>
  <r>
    <s v="1ba103d2-13af-4b24-b8b7-cfc297d9a590"/>
    <s v="259383f4-5891-420c-81c9-dbb808e2b9ec"/>
    <d v="2025-07-04T00:00:00"/>
    <d v="1899-12-30T20:10:38"/>
    <n v="20"/>
    <n v="38"/>
    <s v="Bronze"/>
    <s v="San Francisco"/>
    <s v="BOUTIQUE-DUBAI"/>
    <s v="STELLAR-FOUND-03"/>
    <s v="Highlighter"/>
    <n v="231.14"/>
    <x v="3"/>
    <n v="0"/>
    <s v="Laptop"/>
    <s v="179.247.149.74"/>
    <x v="0"/>
    <n v="411"/>
    <n v="0.78255958564489925"/>
    <n v="0"/>
    <n v="0"/>
    <n v="0"/>
    <n v="0"/>
    <n v="0"/>
  </r>
  <r>
    <s v="72c1a2a2-5375-4c31-84b0-fd446e661280"/>
    <s v="56a0cd90-2c5f-4e57-a67c-080c43738445"/>
    <d v="2025-06-14T00:00:00"/>
    <d v="1899-12-30T08:20:58"/>
    <n v="8"/>
    <n v="62"/>
    <s v="Silver"/>
    <s v="Monaco"/>
    <s v="POPUP-MILAN"/>
    <s v="COSMIC-HIGHLIGHT-06"/>
    <s v="Concealer"/>
    <n v="231.11"/>
    <x v="3"/>
    <n v="0"/>
    <s v="Laptop"/>
    <s v="180.144.138.50"/>
    <x v="0"/>
    <n v="130"/>
    <n v="0.78214425786061681"/>
    <n v="0"/>
    <n v="0"/>
    <n v="1"/>
    <n v="1"/>
    <n v="0"/>
  </r>
  <r>
    <s v="3dc2f207-77d8-4bb1-9135-4408d3af0d6f"/>
    <s v="926e99c2-0eb1-4d70-90b3-4ae0a18b78d8"/>
    <d v="2025-05-01T00:00:00"/>
    <d v="1899-12-30T20:24:09"/>
    <n v="20"/>
    <n v="44"/>
    <s v="Silver"/>
    <s v="Paris"/>
    <s v="FLAGSHIP-LA"/>
    <s v="ECLIPSE-EYE-10"/>
    <s v="Serum"/>
    <n v="231.05"/>
    <x v="0"/>
    <n v="0"/>
    <s v="Desktop"/>
    <s v="90.214.246.243"/>
    <x v="0"/>
    <n v="259"/>
    <n v="0.78131360229205127"/>
    <n v="0"/>
    <n v="0"/>
    <n v="1"/>
    <n v="1"/>
    <n v="0"/>
  </r>
  <r>
    <s v="da42a063-eb3d-4e84-bb21-d1593ad2b174"/>
    <s v="87d27f2b-5885-4019-947b-218fce6efca4"/>
    <d v="2025-03-15T00:00:00"/>
    <d v="1899-12-30T00:35:23"/>
    <n v="0"/>
    <n v="51"/>
    <s v="Unknown"/>
    <s v="Geneva"/>
    <s v="FLAGSHIP-ROME"/>
    <s v="GALAXIA-SET-08"/>
    <s v="Eyeliner"/>
    <n v="231"/>
    <x v="3"/>
    <n v="0"/>
    <s v="Desktop"/>
    <s v="149.186.178.230"/>
    <x v="0"/>
    <n v="132"/>
    <n v="0.78062138931824654"/>
    <n v="0"/>
    <n v="1"/>
    <n v="1"/>
    <n v="3"/>
    <n v="0"/>
  </r>
  <r>
    <s v="2c405c24-8343-419c-806e-a947daf3a76b"/>
    <s v="7433f1a0-a35a-41ab-ae3a-003c8a3405b2"/>
    <d v="2025-05-09T00:00:00"/>
    <d v="1899-12-30T10:23:39"/>
    <n v="10"/>
    <n v="63"/>
    <s v="Gold"/>
    <s v="New York"/>
    <s v="CONCESSION-LONDON"/>
    <s v="STELLAR-FOUND-03"/>
    <s v="Mascara"/>
    <n v="230.98"/>
    <x v="0"/>
    <n v="0"/>
    <s v="Mobile"/>
    <s v="249.241.192.149"/>
    <x v="0"/>
    <n v="210"/>
    <n v="0.78034450412872447"/>
    <n v="0"/>
    <n v="0"/>
    <n v="1"/>
    <n v="1"/>
    <n v="0"/>
  </r>
  <r>
    <s v="3571d7db-2280-4062-ae3f-a205cc180190"/>
    <s v="73070748-0a61-4200-9218-b67fde781fd3"/>
    <d v="2025-03-27T00:00:00"/>
    <d v="1899-12-30T19:33:21"/>
    <n v="19"/>
    <n v="28"/>
    <s v="VIP"/>
    <s v="Las Vegas"/>
    <s v="FLAGSHIP-LA"/>
    <s v="ORION-CONCEAL-09"/>
    <s v="Lipstick"/>
    <n v="230.73"/>
    <x v="4"/>
    <n v="0"/>
    <s v="Mobile"/>
    <s v="155.170.70.125"/>
    <x v="1"/>
    <n v="131"/>
    <n v="0.77688343925970138"/>
    <n v="0"/>
    <n v="0"/>
    <n v="1"/>
    <n v="1"/>
    <n v="0"/>
  </r>
  <r>
    <s v="50c54a3b-3c87-4b2c-b2d5-97e9f807189d"/>
    <s v="b75295b1-1705-4818-8a36-aaab004355c3"/>
    <d v="2025-02-28T00:00:00"/>
    <d v="1899-12-30T23:48:30"/>
    <n v="23"/>
    <n v="25"/>
    <s v="Bronze"/>
    <s v="Milan"/>
    <s v="CONCESSION-LONDON"/>
    <s v="AURORA-LIP-01"/>
    <s v="Setting Spray"/>
    <n v="230.66"/>
    <x v="3"/>
    <n v="0"/>
    <s v="Tablet"/>
    <s v="111.160.102.212"/>
    <x v="0"/>
    <n v="449"/>
    <n v="0.77591434109637503"/>
    <n v="0"/>
    <n v="0"/>
    <n v="0"/>
    <n v="0"/>
    <n v="0"/>
  </r>
  <r>
    <s v="117d1173-c415-480f-8a43-68d365e8345c"/>
    <s v="c93d7874-81c2-49cc-919f-7c8b1a2214bf"/>
    <d v="2025-06-06T00:00:00"/>
    <d v="1899-12-30T15:17:02"/>
    <n v="15"/>
    <n v="34"/>
    <s v="Silver"/>
    <s v="Hong Kong"/>
    <s v="BOUTIQUE-DUBAI"/>
    <s v="LUNAR-MASC-02"/>
    <s v="Eyeshadow Palette"/>
    <n v="230.56"/>
    <x v="1"/>
    <n v="0"/>
    <s v="Desktop"/>
    <s v="143.30.26.170"/>
    <x v="0"/>
    <n v="446"/>
    <n v="0.7745299151487659"/>
    <n v="0"/>
    <n v="0"/>
    <n v="0"/>
    <n v="0"/>
    <n v="0"/>
  </r>
  <r>
    <s v="bb7e606b-3962-4dfe-b087-fb08b16d8a36"/>
    <s v="623b722d-31ae-458c-82a3-e4ecdae39662"/>
    <d v="2025-07-03T00:00:00"/>
    <d v="1899-12-30T02:43:59"/>
    <n v="2"/>
    <n v="57"/>
    <s v="Silver"/>
    <s v="London"/>
    <s v="CONCESSION-SINGAPORE"/>
    <s v="COSMIC-HIGHLIGHT-06"/>
    <s v="Eyeshadow Palette"/>
    <n v="230.51"/>
    <x v="0"/>
    <n v="0"/>
    <s v="Tablet"/>
    <s v="239.120.241.181"/>
    <x v="0"/>
    <n v="138"/>
    <n v="0.77383770217496106"/>
    <n v="0"/>
    <n v="1"/>
    <n v="1"/>
    <n v="3"/>
    <n v="0"/>
  </r>
  <r>
    <s v="ca477068-38c9-48ca-8cef-ba320ddb07c8"/>
    <s v="dfd7617f-b4f2-40d6-b77b-378234f8c994"/>
    <d v="2025-07-21T00:00:00"/>
    <d v="1899-12-30T23:24:59"/>
    <n v="23"/>
    <n v="35"/>
    <s v="Platinum"/>
    <s v="Las Vegas"/>
    <s v="POPUP-TOKYO"/>
    <s v="ECLIPSE-EYE-10"/>
    <s v="Blush"/>
    <n v="230.47"/>
    <x v="4"/>
    <n v="0"/>
    <s v="Desktop"/>
    <s v="33.205.123.150"/>
    <x v="1"/>
    <n v="421"/>
    <n v="0.77328393179591748"/>
    <n v="0"/>
    <n v="0"/>
    <n v="0"/>
    <n v="0"/>
    <n v="0"/>
  </r>
  <r>
    <s v="5638ef68-6be9-487e-a290-81a941449ed4"/>
    <s v="45304992-d6e7-422c-a7a9-0345d10c9e67"/>
    <d v="2025-06-23T00:00:00"/>
    <d v="1899-12-30T04:12:52"/>
    <n v="4"/>
    <n v="40"/>
    <s v="Silver"/>
    <s v="Dubai"/>
    <s v="FLAGSHIP-PARIS"/>
    <s v="ECLIPSE-EYE-10"/>
    <s v="Lipstick"/>
    <n v="230.42"/>
    <x v="0"/>
    <n v="0"/>
    <s v="Laptop"/>
    <s v="210.250.1.62"/>
    <x v="1"/>
    <n v="385"/>
    <n v="0.77259171882211275"/>
    <n v="0"/>
    <n v="1"/>
    <n v="0"/>
    <n v="2"/>
    <n v="0"/>
  </r>
  <r>
    <s v="453daa06-b5c8-4bc2-a4ac-291da2e5413d"/>
    <s v="52de3e08-5614-4bc3-9114-0f6e81ba9247"/>
    <d v="2025-06-23T00:00:00"/>
    <d v="1899-12-30T13:39:43"/>
    <n v="13"/>
    <n v="26"/>
    <s v="Bronze"/>
    <s v="Hong Kong"/>
    <s v="BOUTIQUE-SHANGHAI"/>
    <s v="AURORA-LIP-01"/>
    <s v="Eyeshadow Palette"/>
    <n v="230.17"/>
    <x v="1"/>
    <n v="0"/>
    <s v="Laptop"/>
    <s v="80.74.75.240"/>
    <x v="0"/>
    <n v="485"/>
    <n v="0.76913065395308955"/>
    <n v="0"/>
    <n v="0"/>
    <n v="0"/>
    <n v="0"/>
    <n v="0"/>
  </r>
  <r>
    <s v="4ce84a8d-4061-454d-a194-c5d71d7867ce"/>
    <s v="e4fd11c5-34b3-4c05-b051-d065af32685a"/>
    <d v="2025-03-25T00:00:00"/>
    <d v="1899-12-30T15:08:57"/>
    <n v="15"/>
    <n v="62"/>
    <s v="Gold"/>
    <s v="Milan"/>
    <s v="BOUTIQUE-NYC"/>
    <s v="NEBULA-SERUM-07"/>
    <s v="Lipstick"/>
    <n v="230"/>
    <x v="1"/>
    <n v="0"/>
    <s v="Tablet"/>
    <s v="81.120.164.236"/>
    <x v="0"/>
    <n v="402"/>
    <n v="0.76677712984215407"/>
    <n v="0"/>
    <n v="0"/>
    <n v="0"/>
    <n v="0"/>
    <n v="0"/>
  </r>
  <r>
    <s v="96bf2e86-b1b5-4366-88da-d0c48ca76906"/>
    <s v="6a7982a8-4cf1-45b9-a6dd-a7fecb327942"/>
    <d v="2025-03-11T00:00:00"/>
    <d v="1899-12-30T01:10:28"/>
    <n v="1"/>
    <n v="41"/>
    <s v="Platinum"/>
    <s v="Los Angeles"/>
    <s v="POPUP-TOKYO"/>
    <s v="ORION-CONCEAL-09"/>
    <s v="Blush"/>
    <n v="229.8"/>
    <x v="2"/>
    <n v="1"/>
    <s v="Tablet"/>
    <s v="237.141.218.165"/>
    <x v="0"/>
    <n v="234"/>
    <n v="0.76400827794693571"/>
    <n v="0"/>
    <n v="1"/>
    <n v="1"/>
    <n v="5"/>
    <n v="1"/>
  </r>
  <r>
    <s v="793eb413-9259-497a-8807-03c650a0de86"/>
    <s v="3630ca34-81ba-4110-b2c1-a8272256a11a"/>
    <d v="2025-03-18T00:00:00"/>
    <d v="1899-12-30T04:07:48"/>
    <n v="4"/>
    <n v="24"/>
    <s v="Platinum"/>
    <s v="Tokyo"/>
    <s v="CONCESSION-SINGAPORE"/>
    <s v="NEBULA-SERUM-07"/>
    <s v="Lipstick"/>
    <n v="229.75"/>
    <x v="3"/>
    <n v="0"/>
    <s v="Mobile"/>
    <s v="32.56.208.33"/>
    <x v="0"/>
    <n v="130"/>
    <n v="0.76331606497313098"/>
    <n v="0"/>
    <n v="1"/>
    <n v="1"/>
    <n v="3"/>
    <n v="0"/>
  </r>
  <r>
    <s v="7cc471d4-2a64-405e-bfa6-c6436dbd077b"/>
    <s v="41c7e668-72da-45b4-a0fd-1a4176dd8c9a"/>
    <d v="2025-07-29T00:00:00"/>
    <d v="1899-12-30T23:02:18"/>
    <n v="23"/>
    <n v="41"/>
    <s v="Bronze"/>
    <s v="Rome"/>
    <s v="BOUTIQUE-SHANGHAI"/>
    <s v="AURORA-LIP-01"/>
    <s v="Foundation"/>
    <n v="229.57"/>
    <x v="0"/>
    <n v="0"/>
    <s v="Desktop"/>
    <s v="226.189.185.149"/>
    <x v="0"/>
    <n v="68"/>
    <n v="0.76082409826743425"/>
    <n v="0"/>
    <n v="0"/>
    <n v="1"/>
    <n v="1"/>
    <n v="0"/>
  </r>
  <r>
    <s v="2fb05029-88cc-4f9d-850c-057602bb0287"/>
    <s v="2d5d3def-ee73-4bc6-aeb5-67c5a47567b7"/>
    <d v="2025-05-26T00:00:00"/>
    <d v="1899-12-30T15:46:55"/>
    <n v="15"/>
    <n v="25"/>
    <s v="Gold"/>
    <s v="Monte Carlo"/>
    <s v="FLAGSHIP-ROME"/>
    <s v="ECLIPSE-EYE-10"/>
    <s v="Foundation"/>
    <n v="229.49"/>
    <x v="1"/>
    <n v="0"/>
    <s v="Desktop"/>
    <s v="216.97.249.129"/>
    <x v="0"/>
    <n v="490"/>
    <n v="0.75971655750934708"/>
    <n v="0"/>
    <n v="0"/>
    <n v="0"/>
    <n v="0"/>
    <n v="0"/>
  </r>
  <r>
    <s v="c46e34b8-8994-4065-9931-7d9102173206"/>
    <s v="f183039d-92dc-4edb-93b6-9748f94553a4"/>
    <d v="2025-03-28T00:00:00"/>
    <d v="1899-12-30T20:57:25"/>
    <n v="20"/>
    <n v="58"/>
    <s v="Bronze"/>
    <s v="Monte Carlo"/>
    <s v="BOUTIQUE-SHANGHAI"/>
    <s v="STELLAR-FOUND-03"/>
    <s v="Lipstick"/>
    <n v="229.32"/>
    <x v="3"/>
    <n v="0"/>
    <s v="Tablet"/>
    <s v="6.42.228.44"/>
    <x v="0"/>
    <n v="134"/>
    <n v="0.75736303339841105"/>
    <n v="0"/>
    <n v="0"/>
    <n v="1"/>
    <n v="1"/>
    <n v="0"/>
  </r>
  <r>
    <s v="11f050f6-c7ca-4548-8714-2fc8dd52c640"/>
    <s v="3a4457b4-0bf2-44c0-a02d-ab31c30fe8b9"/>
    <d v="2025-07-05T00:00:00"/>
    <d v="1899-12-30T01:44:33"/>
    <n v="1"/>
    <n v="41"/>
    <s v="Bronze"/>
    <s v="Milan"/>
    <s v="FLAGSHIP-LA"/>
    <s v="NEBULA-SERUM-07"/>
    <s v="Highlighter"/>
    <n v="229.09"/>
    <x v="4"/>
    <n v="0"/>
    <s v="Tablet"/>
    <s v="5.225.4.238"/>
    <x v="0"/>
    <n v="370"/>
    <n v="0.75417885371890991"/>
    <n v="0"/>
    <n v="1"/>
    <n v="0"/>
    <n v="2"/>
    <n v="0"/>
  </r>
  <r>
    <s v="6ad7cab1-c82f-41b0-8f59-36de9e79c89a"/>
    <s v="fba617d1-946c-4334-b06a-75bce02ecbd2"/>
    <d v="2025-05-29T00:00:00"/>
    <d v="1899-12-30T07:04:16"/>
    <n v="7"/>
    <n v="38"/>
    <s v="Bronze"/>
    <s v="Tokyo"/>
    <s v="BOUTIQUE-NYC"/>
    <s v="GALAXIA-SET-08"/>
    <s v="Blush"/>
    <n v="228.86"/>
    <x v="0"/>
    <n v="0"/>
    <s v="Desktop"/>
    <s v="147.242.180.182"/>
    <x v="0"/>
    <n v="133"/>
    <n v="0.75099467403940889"/>
    <n v="0"/>
    <n v="0"/>
    <n v="1"/>
    <n v="1"/>
    <n v="0"/>
  </r>
  <r>
    <s v="392f6adc-45b4-4f2f-b827-15f1cd6dff1e"/>
    <s v="7f129539-8ee4-4d8b-90e5-3f2f03cecd53"/>
    <d v="2025-04-30T00:00:00"/>
    <d v="1899-12-30T19:25:34"/>
    <n v="19"/>
    <n v="36"/>
    <s v="Silver"/>
    <s v="Milan"/>
    <s v="FLAGSHIP-LA"/>
    <s v="GALAXIA-SET-08"/>
    <s v="Concealer"/>
    <n v="228.81"/>
    <x v="1"/>
    <n v="0"/>
    <s v="Desktop"/>
    <s v="22.152.236.93"/>
    <x v="0"/>
    <n v="82"/>
    <n v="0.75030246106560405"/>
    <n v="0"/>
    <n v="0"/>
    <n v="1"/>
    <n v="1"/>
    <n v="0"/>
  </r>
  <r>
    <s v="c6cb0639-78c9-4a39-9eac-8bea2d4ae098"/>
    <s v="13018f90-ca8b-4758-a819-8649ada76d56"/>
    <d v="2025-05-02T00:00:00"/>
    <d v="1899-12-30T20:35:52"/>
    <n v="20"/>
    <n v="41"/>
    <s v="VIP"/>
    <s v="Las Vegas"/>
    <s v="FLAGSHIP-PARIS"/>
    <s v="ECLIPSE-EYE-10"/>
    <s v="Setting Spray"/>
    <n v="228.75"/>
    <x v="4"/>
    <n v="0"/>
    <s v="Mobile"/>
    <s v="51.47.46.207"/>
    <x v="0"/>
    <n v="238"/>
    <n v="0.74947180549703851"/>
    <n v="0"/>
    <n v="0"/>
    <n v="1"/>
    <n v="1"/>
    <n v="0"/>
  </r>
  <r>
    <s v="e26a9d33-3ab1-41ec-a729-05b307a93f74"/>
    <s v="ab4ea0c1-3c8a-4721-b28c-2d46a5d8a837"/>
    <d v="2025-07-14T00:00:00"/>
    <d v="1899-12-30T07:43:48"/>
    <n v="7"/>
    <n v="28"/>
    <s v="Gold"/>
    <s v="Zurich"/>
    <s v="BOUTIQUE-SHANGHAI"/>
    <s v="STELLAR-FOUND-03"/>
    <s v="Concealer"/>
    <n v="228.7"/>
    <x v="0"/>
    <n v="0"/>
    <s v="Laptop"/>
    <s v="217.132.83.29"/>
    <x v="0"/>
    <n v="109"/>
    <n v="0.74877959252323367"/>
    <n v="0"/>
    <n v="0"/>
    <n v="1"/>
    <n v="1"/>
    <n v="0"/>
  </r>
  <r>
    <s v="8e001577-5dd3-4775-8481-41dab867b09e"/>
    <s v="bd5246bf-8151-43f7-bd26-759e370072ff"/>
    <d v="2025-07-09T00:00:00"/>
    <d v="1899-12-30T10:18:29"/>
    <n v="10"/>
    <n v="44"/>
    <s v="Silver"/>
    <s v="Paris"/>
    <s v="CONCESSION-SINGAPORE"/>
    <s v="ECLIPSE-EYE-10"/>
    <s v="Concealer"/>
    <n v="228.59"/>
    <x v="1"/>
    <n v="0"/>
    <s v="Desktop"/>
    <s v="171.162.176.75"/>
    <x v="0"/>
    <n v="256"/>
    <n v="0.74725672398086374"/>
    <n v="0"/>
    <n v="0"/>
    <n v="1"/>
    <n v="1"/>
    <n v="0"/>
  </r>
  <r>
    <s v="cdd33841-e7b9-4d73-b08e-ecb02e801c10"/>
    <s v="652aff8f-e520-4377-ae1f-0cd1e63ea183"/>
    <d v="2025-06-12T00:00:00"/>
    <d v="1899-12-30T09:31:38"/>
    <n v="9"/>
    <n v="58"/>
    <s v="Bronze"/>
    <s v="Monte Carlo"/>
    <s v="FLAGSHIP-PARIS"/>
    <s v="AURORA-LIP-01"/>
    <s v="Foundation"/>
    <n v="228.52"/>
    <x v="1"/>
    <n v="0"/>
    <s v="Tablet"/>
    <s v="125.43.224.97"/>
    <x v="0"/>
    <n v="301"/>
    <n v="0.74628762581753738"/>
    <n v="0"/>
    <n v="0"/>
    <n v="0"/>
    <n v="0"/>
    <n v="0"/>
  </r>
  <r>
    <s v="6d9fde71-9315-4075-b67d-210e034bd143"/>
    <s v="319390d8-6e00-4054-8a9c-0bf91090a54a"/>
    <d v="2025-07-04T00:00:00"/>
    <d v="1899-12-30T15:58:13"/>
    <n v="15"/>
    <n v="31"/>
    <s v="Bronze"/>
    <s v="Monaco"/>
    <s v="CONCESSION-SINGAPORE"/>
    <s v="COSMIC-HIGHLIGHT-06"/>
    <s v="Concealer"/>
    <n v="228.14"/>
    <x v="4"/>
    <n v="0"/>
    <s v="Laptop"/>
    <s v="69.43.22.247"/>
    <x v="0"/>
    <n v="300"/>
    <n v="0.74102680721662184"/>
    <n v="0"/>
    <n v="0"/>
    <n v="0"/>
    <n v="0"/>
    <n v="0"/>
  </r>
  <r>
    <s v="cb8bf4bf-2f85-4d4f-8dcb-bd6d11b8a560"/>
    <s v="ff9370e2-75d5-4eb5-87bd-ce2054341e52"/>
    <d v="2025-08-05T00:00:00"/>
    <d v="1899-12-30T04:57:34"/>
    <n v="4"/>
    <n v="49"/>
    <s v="Silver"/>
    <s v="Miami"/>
    <s v="CONCESSION-SINGAPORE"/>
    <s v="ORION-CONCEAL-09"/>
    <s v="Setting Spray"/>
    <n v="228.05"/>
    <x v="3"/>
    <n v="0"/>
    <s v="Laptop"/>
    <s v="226.234.141.4"/>
    <x v="1"/>
    <n v="94"/>
    <n v="0.73978082386377397"/>
    <n v="0"/>
    <n v="1"/>
    <n v="1"/>
    <n v="3"/>
    <n v="0"/>
  </r>
  <r>
    <s v="659c5109-c818-4fdf-b975-e5394a6531ab"/>
    <s v="a16d4d24-a43a-4306-90a9-6391683c6140"/>
    <d v="2025-07-14T00:00:00"/>
    <d v="1899-12-30T16:45:23"/>
    <n v="16"/>
    <n v="41"/>
    <s v="Silver"/>
    <s v="London"/>
    <s v="POPUP-TOKYO"/>
    <s v="COSMIC-HIGHLIGHT-06"/>
    <s v="Concealer"/>
    <n v="228.03"/>
    <x v="3"/>
    <n v="0"/>
    <s v="Desktop"/>
    <s v="93.214.182.24"/>
    <x v="0"/>
    <n v="477"/>
    <n v="0.7395039386742519"/>
    <n v="0"/>
    <n v="0"/>
    <n v="0"/>
    <n v="0"/>
    <n v="0"/>
  </r>
  <r>
    <s v="1a211da7-c973-404a-96ec-5a2a4ba14c21"/>
    <s v="5b2818d8-5169-47fb-a83c-f6b2be7826b0"/>
    <d v="2025-04-24T00:00:00"/>
    <d v="1899-12-30T22:46:03"/>
    <n v="22"/>
    <n v="27"/>
    <s v="Silver"/>
    <s v="Miami"/>
    <s v="CONCESSION-SINGAPORE"/>
    <s v="STELLAR-FOUND-03"/>
    <s v="Eyeshadow Palette"/>
    <n v="228.01"/>
    <x v="3"/>
    <n v="0"/>
    <s v="Desktop"/>
    <s v="180.4.79.53"/>
    <x v="0"/>
    <n v="487"/>
    <n v="0.73922705348472995"/>
    <n v="0"/>
    <n v="0"/>
    <n v="0"/>
    <n v="0"/>
    <n v="0"/>
  </r>
  <r>
    <s v="89fbed80-c4b6-4d3c-8e0a-96cb2b828127"/>
    <s v="2b605e0e-154b-40d5-b4d6-e7e78ec4ae62"/>
    <d v="2025-07-26T00:00:00"/>
    <d v="1899-12-30T09:28:23"/>
    <n v="9"/>
    <n v="42"/>
    <s v="Silver"/>
    <s v="Paris"/>
    <s v="FLAGSHIP-ROME"/>
    <s v="STELLAR-FOUND-03"/>
    <s v="Concealer"/>
    <n v="227.99"/>
    <x v="3"/>
    <n v="0"/>
    <s v="Laptop"/>
    <s v="191.36.195.47"/>
    <x v="0"/>
    <n v="182"/>
    <n v="0.73895016829520832"/>
    <n v="0"/>
    <n v="0"/>
    <n v="1"/>
    <n v="1"/>
    <n v="0"/>
  </r>
  <r>
    <s v="2167bf58-eddd-4a07-a2a6-a7af002cc7fe"/>
    <s v="aa7bfb04-c8a7-45ba-a3aa-4121f1040fd0"/>
    <d v="2025-07-24T00:00:00"/>
    <d v="1899-12-30T10:53:59"/>
    <n v="10"/>
    <n v="52"/>
    <s v="Silver"/>
    <s v="Miami"/>
    <s v="BOUTIQUE-SHANGHAI"/>
    <s v="ORION-CONCEAL-09"/>
    <s v="Highlighter"/>
    <n v="227.73"/>
    <x v="1"/>
    <n v="0"/>
    <s v="Tablet"/>
    <s v="86.138.136.50"/>
    <x v="0"/>
    <n v="200"/>
    <n v="0.73535066083142409"/>
    <n v="0"/>
    <n v="0"/>
    <n v="1"/>
    <n v="1"/>
    <n v="0"/>
  </r>
  <r>
    <s v="b3d32fd8-731f-4aff-8c68-b2d3f2385441"/>
    <s v="f3684992-a0d3-4990-8894-7931f94d02df"/>
    <d v="2025-07-07T00:00:00"/>
    <d v="1899-12-30T21:07:26"/>
    <n v="21"/>
    <n v="50"/>
    <s v="Silver"/>
    <s v="Dubai"/>
    <s v="CONCESSION-SINGAPORE"/>
    <s v="ECLIPSE-EYE-10"/>
    <s v="Setting Spray"/>
    <n v="227.51"/>
    <x v="2"/>
    <n v="1"/>
    <s v="Desktop"/>
    <s v="50.60.48.185"/>
    <x v="0"/>
    <n v="455"/>
    <n v="0.73230492374668377"/>
    <n v="0"/>
    <n v="0"/>
    <n v="0"/>
    <n v="2"/>
    <n v="0"/>
  </r>
  <r>
    <s v="74158f6c-e007-4cb7-ab45-83353c0d5135"/>
    <s v="340b9900-0a5d-4bbc-9f52-c716a5876c8c"/>
    <d v="2025-02-27T00:00:00"/>
    <d v="1899-12-30T16:12:22"/>
    <n v="16"/>
    <n v="50"/>
    <s v="Gold"/>
    <s v="Miami"/>
    <s v="POPUP-MILAN"/>
    <s v="CELESTE-EYE-05"/>
    <s v="Blush"/>
    <n v="227.18"/>
    <x v="0"/>
    <n v="0"/>
    <s v="Tablet"/>
    <s v="73.83.54.33"/>
    <x v="0"/>
    <n v="261"/>
    <n v="0.7277363181195734"/>
    <n v="0"/>
    <n v="0"/>
    <n v="1"/>
    <n v="1"/>
    <n v="0"/>
  </r>
  <r>
    <s v="cce72479-982a-4505-bb6a-257a0557c56f"/>
    <s v="c1e84d70-2bb5-417d-8099-84d0c3f2f6ea"/>
    <d v="2025-07-22T00:00:00"/>
    <d v="1899-12-30T21:06:55"/>
    <n v="21"/>
    <n v="64"/>
    <s v="Bronze"/>
    <s v="Singapore"/>
    <s v="BOUTIQUE-DUBAI"/>
    <s v="COSMIC-HIGHLIGHT-06"/>
    <s v="Serum"/>
    <n v="227"/>
    <x v="0"/>
    <n v="0"/>
    <s v="Tablet"/>
    <s v="15.182.3.235"/>
    <x v="0"/>
    <n v="65"/>
    <n v="0.72524435141387666"/>
    <n v="0"/>
    <n v="0"/>
    <n v="1"/>
    <n v="1"/>
    <n v="0"/>
  </r>
  <r>
    <s v="a8678d46-9a2f-4086-9342-a01a16e19c05"/>
    <s v="6c4ac3ad-cdc3-460b-a27f-56b4ca30bd13"/>
    <d v="2025-06-02T00:00:00"/>
    <d v="1899-12-30T22:48:23"/>
    <n v="22"/>
    <n v="64"/>
    <s v="Platinum"/>
    <s v="Cannes"/>
    <s v="POPUP-MILAN"/>
    <s v="LUNAR-MASC-02"/>
    <s v="Lipstick"/>
    <n v="226.93"/>
    <x v="1"/>
    <n v="0"/>
    <s v="Mobile"/>
    <s v="148.12.203.118"/>
    <x v="0"/>
    <n v="173"/>
    <n v="0.72427525325055031"/>
    <n v="0"/>
    <n v="0"/>
    <n v="1"/>
    <n v="1"/>
    <n v="0"/>
  </r>
  <r>
    <s v="8ef10ff1-ce4f-448d-8133-7e02ee15eb41"/>
    <s v="d1550999-4537-42e2-aa41-edc3fdcf6258"/>
    <d v="2025-02-19T00:00:00"/>
    <d v="1899-12-30T19:38:02"/>
    <n v="19"/>
    <n v="36"/>
    <s v="Silver"/>
    <s v="Singapore"/>
    <s v="FLAGSHIP-LA"/>
    <s v="SOLAR-BLUSH-04"/>
    <s v="Concealer"/>
    <n v="226.86"/>
    <x v="1"/>
    <n v="0"/>
    <s v="Laptop"/>
    <s v="220.237.217.133"/>
    <x v="0"/>
    <n v="239"/>
    <n v="0.72330615508722396"/>
    <n v="0"/>
    <n v="0"/>
    <n v="1"/>
    <n v="1"/>
    <n v="0"/>
  </r>
  <r>
    <s v="a93eca1e-d3e8-439c-ab0c-8a5564569abc"/>
    <s v="1e52781a-21ab-4d92-96a2-d38747df963b"/>
    <d v="2025-05-26T00:00:00"/>
    <d v="1899-12-30T16:46:17"/>
    <n v="16"/>
    <n v="48"/>
    <s v="Gold"/>
    <s v="Geneva"/>
    <s v="FLAGSHIP-ROME"/>
    <s v="ECLIPSE-EYE-10"/>
    <s v="Concealer"/>
    <n v="226.82"/>
    <x v="3"/>
    <n v="0"/>
    <s v="Tablet"/>
    <s v="203.69.1.205"/>
    <x v="0"/>
    <n v="236"/>
    <n v="0.72275238470817993"/>
    <n v="0"/>
    <n v="0"/>
    <n v="1"/>
    <n v="1"/>
    <n v="0"/>
  </r>
  <r>
    <s v="04961922-ac25-4d46-9c90-c3f7dea102af"/>
    <s v="70499128-fd84-4004-9ffc-99bb996e2950"/>
    <d v="2025-05-15T00:00:00"/>
    <d v="1899-12-30T16:42:13"/>
    <n v="16"/>
    <n v="50"/>
    <s v="Gold"/>
    <s v="Zurich"/>
    <s v="FLAGSHIP-PARIS"/>
    <s v="COSMIC-HIGHLIGHT-06"/>
    <s v="Highlighter"/>
    <n v="226.77"/>
    <x v="1"/>
    <n v="0"/>
    <s v="Tablet"/>
    <s v="88.0.203.39"/>
    <x v="0"/>
    <n v="95"/>
    <n v="0.72206017173437553"/>
    <n v="0"/>
    <n v="0"/>
    <n v="1"/>
    <n v="1"/>
    <n v="0"/>
  </r>
  <r>
    <s v="50e27a72-11d6-4cdb-b222-bec0b58d7a35"/>
    <s v="07405697-0c46-4192-b7dd-c914d96bbf16"/>
    <d v="2025-07-16T00:00:00"/>
    <d v="1899-12-30T12:23:11"/>
    <n v="12"/>
    <n v="43"/>
    <s v="Bronze"/>
    <s v="Monaco"/>
    <s v="BOUTIQUE-SHANGHAI"/>
    <s v="SOLAR-BLUSH-04"/>
    <s v="Eyeliner"/>
    <n v="226.72"/>
    <x v="4"/>
    <n v="0"/>
    <s v="Mobile"/>
    <s v="144.131.17.43"/>
    <x v="0"/>
    <n v="59"/>
    <n v="0.7213679587605708"/>
    <n v="0"/>
    <n v="0"/>
    <n v="1"/>
    <n v="1"/>
    <n v="0"/>
  </r>
  <r>
    <s v="540f18bf-e665-444c-9b3b-458c38b4f133"/>
    <s v="7edee271-0ea9-47c5-9b09-94ca03ae77c8"/>
    <d v="2025-05-31T00:00:00"/>
    <d v="1899-12-30T15:50:21"/>
    <n v="15"/>
    <n v="33"/>
    <s v="Silver"/>
    <s v="Geneva"/>
    <s v="BOUTIQUE-SHANGHAI"/>
    <s v="AURORA-LIP-01"/>
    <s v="Concealer"/>
    <n v="226.7"/>
    <x v="4"/>
    <n v="0"/>
    <s v="Desktop"/>
    <s v="169.89.33.65"/>
    <x v="0"/>
    <n v="100"/>
    <n v="0.72109107357104885"/>
    <n v="0"/>
    <n v="0"/>
    <n v="1"/>
    <n v="1"/>
    <n v="0"/>
  </r>
  <r>
    <s v="7c36777b-7933-4511-86f4-a3342f9cef64"/>
    <s v="e2abe2c3-b6c3-498a-b728-90f4189cf00f"/>
    <d v="2025-06-13T00:00:00"/>
    <d v="1899-12-30T09:39:04"/>
    <n v="9"/>
    <n v="37"/>
    <s v="Bronze"/>
    <s v="Cannes"/>
    <s v="BOUTIQUE-SHANGHAI"/>
    <s v="CELESTE-EYE-05"/>
    <s v="Mascara"/>
    <n v="226.67"/>
    <x v="1"/>
    <n v="0"/>
    <s v="Mobile"/>
    <s v="160.102.58.34"/>
    <x v="0"/>
    <n v="107"/>
    <n v="0.72067574578676596"/>
    <n v="0"/>
    <n v="0"/>
    <n v="1"/>
    <n v="1"/>
    <n v="0"/>
  </r>
  <r>
    <s v="ca18386c-5a3a-48f9-be19-730ae0a50398"/>
    <s v="66767d63-28c0-4ae3-9af0-ef202f25a82c"/>
    <d v="2025-04-17T00:00:00"/>
    <d v="1899-12-30T12:13:27"/>
    <n v="12"/>
    <n v="41"/>
    <s v="Bronze"/>
    <s v="Las Vegas"/>
    <s v="CONCESSION-SINGAPORE"/>
    <s v="AURORA-LIP-01"/>
    <s v="Foundation"/>
    <n v="226.55"/>
    <x v="0"/>
    <n v="0"/>
    <s v="Desktop"/>
    <s v="50.46.155.113"/>
    <x v="0"/>
    <n v="382"/>
    <n v="0.71901443464963521"/>
    <n v="0"/>
    <n v="0"/>
    <n v="0"/>
    <n v="0"/>
    <n v="0"/>
  </r>
  <r>
    <s v="08eb95a1-39cf-4a9f-9e9a-e938e70b2ce4"/>
    <s v="2e162b3c-5279-478d-a5a2-3ead90f6da06"/>
    <d v="2025-07-06T00:00:00"/>
    <d v="1899-12-30T21:32:31"/>
    <n v="21"/>
    <n v="41"/>
    <s v="Bronze"/>
    <s v="Hong Kong"/>
    <s v="POPUP-MILAN"/>
    <s v="ECLIPSE-EYE-10"/>
    <s v="Mascara"/>
    <n v="226.36"/>
    <x v="1"/>
    <n v="0"/>
    <s v="Laptop"/>
    <s v="90.115.176.7"/>
    <x v="1"/>
    <n v="440"/>
    <n v="0.71638402534917767"/>
    <n v="0"/>
    <n v="0"/>
    <n v="0"/>
    <n v="0"/>
    <n v="0"/>
  </r>
  <r>
    <s v="332a6ace-489b-4bff-83d6-b816b8ee6c34"/>
    <s v="beb24c5d-05ad-4bbc-b778-e98ce30223ae"/>
    <d v="2025-02-23T00:00:00"/>
    <d v="1899-12-30T21:08:13"/>
    <n v="21"/>
    <n v="37"/>
    <s v="Bronze"/>
    <s v="Cannes"/>
    <s v="BOUTIQUE-NYC"/>
    <s v="CELESTE-EYE-05"/>
    <s v="Setting Spray"/>
    <n v="226.35"/>
    <x v="0"/>
    <n v="0"/>
    <s v="Desktop"/>
    <s v="231.250.34.93"/>
    <x v="0"/>
    <n v="71"/>
    <n v="0.71624558275441652"/>
    <n v="0"/>
    <n v="0"/>
    <n v="1"/>
    <n v="1"/>
    <n v="0"/>
  </r>
  <r>
    <s v="a728e807-d066-4e96-8516-5c43d04cb594"/>
    <s v="ee572329-ee0a-4564-8749-50e993df314f"/>
    <d v="2025-08-12T00:00:00"/>
    <d v="1899-12-30T05:53:42"/>
    <n v="5"/>
    <n v="54"/>
    <s v="Silver"/>
    <s v="Geneva"/>
    <s v="FLAGSHIP-PARIS"/>
    <s v="STELLAR-FOUND-03"/>
    <s v="Eyeliner"/>
    <n v="226.34"/>
    <x v="4"/>
    <n v="0"/>
    <s v="Desktop"/>
    <s v="161.5.182.112"/>
    <x v="0"/>
    <n v="123"/>
    <n v="0.71610714015965571"/>
    <n v="0"/>
    <n v="1"/>
    <n v="1"/>
    <n v="3"/>
    <n v="0"/>
  </r>
  <r>
    <s v="3d1c943a-1f4a-421d-b057-4d731579d87a"/>
    <s v="ddbb6357-1ac8-4431-9e69-eec5ad8ed948"/>
    <d v="2025-04-26T00:00:00"/>
    <d v="1899-12-30T14:43:51"/>
    <n v="14"/>
    <n v="20"/>
    <s v="Bronze"/>
    <s v="Sydney"/>
    <s v="CONCESSION-SINGAPORE"/>
    <s v="NEBULA-SERUM-07"/>
    <s v="Eyeshadow Palette"/>
    <n v="226.32"/>
    <x v="0"/>
    <n v="0"/>
    <s v="Laptop"/>
    <s v="228.175.88.155"/>
    <x v="0"/>
    <n v="268"/>
    <n v="0.71583025497013375"/>
    <n v="0"/>
    <n v="0"/>
    <n v="1"/>
    <n v="1"/>
    <n v="0"/>
  </r>
  <r>
    <s v="85802758-dfb4-437f-8c8e-d9b61a40eecd"/>
    <s v="dd1b8c61-a1e7-4f92-ac13-16f4ab7a6c8e"/>
    <d v="2025-04-13T00:00:00"/>
    <d v="1899-12-30T05:30:20"/>
    <n v="5"/>
    <n v="57"/>
    <s v="Bronze"/>
    <s v="Milan"/>
    <s v="FLAGSHIP-PARIS"/>
    <s v="CELESTE-EYE-05"/>
    <s v="Mascara"/>
    <n v="226.24"/>
    <x v="4"/>
    <n v="0"/>
    <s v="Mobile"/>
    <s v="179.203.65.247"/>
    <x v="0"/>
    <n v="171"/>
    <n v="0.71472271421204658"/>
    <n v="0"/>
    <n v="1"/>
    <n v="1"/>
    <n v="3"/>
    <n v="0"/>
  </r>
  <r>
    <s v="b8d4091a-8698-4999-ab2c-1c2f2fffc62a"/>
    <s v="239f57e1-9b9d-4c39-a172-a85a75522739"/>
    <d v="2025-05-19T00:00:00"/>
    <d v="1899-12-30T02:53:17"/>
    <n v="2"/>
    <n v="40"/>
    <s v="Bronze"/>
    <s v="London"/>
    <s v="POPUP-MILAN"/>
    <s v="LUNAR-MASC-02"/>
    <s v="Setting Spray"/>
    <n v="226.1"/>
    <x v="4"/>
    <n v="0"/>
    <s v="Tablet"/>
    <s v="11.181.71.239"/>
    <x v="0"/>
    <n v="394"/>
    <n v="0.71278451788539343"/>
    <n v="0"/>
    <n v="1"/>
    <n v="0"/>
    <n v="2"/>
    <n v="0"/>
  </r>
  <r>
    <s v="b4c38f8f-b6df-48fa-a27b-d4b5f127405e"/>
    <s v="c0deef54-85b4-4a23-8c52-2e6591bd9279"/>
    <d v="2025-07-13T00:00:00"/>
    <d v="1899-12-30T02:32:18"/>
    <n v="2"/>
    <n v="46"/>
    <s v="Gold"/>
    <s v="Hong Kong"/>
    <s v="BOUTIQUE-NYC"/>
    <s v="ECLIPSE-EYE-10"/>
    <s v="Serum"/>
    <n v="226.1"/>
    <x v="3"/>
    <n v="0"/>
    <s v="Mobile"/>
    <s v="206.40.113.38"/>
    <x v="0"/>
    <n v="439"/>
    <n v="0.71278451788539343"/>
    <n v="0"/>
    <n v="1"/>
    <n v="0"/>
    <n v="2"/>
    <n v="0"/>
  </r>
  <r>
    <s v="4a62086a-aaec-4350-bf91-9be85f850c6d"/>
    <s v="ac6f9504-d9ae-415a-ad8c-8b1ae0b2d1dd"/>
    <d v="2025-04-04T00:00:00"/>
    <d v="1899-12-30T14:36:47"/>
    <n v="14"/>
    <n v="24"/>
    <s v="Silver"/>
    <s v="Monte Carlo"/>
    <s v="FLAGSHIP-ROME"/>
    <s v="ORION-CONCEAL-09"/>
    <s v="Serum"/>
    <n v="226.07"/>
    <x v="0"/>
    <n v="0"/>
    <s v="Tablet"/>
    <s v="147.158.63.43"/>
    <x v="0"/>
    <n v="68"/>
    <n v="0.71236919010111066"/>
    <n v="0"/>
    <n v="0"/>
    <n v="1"/>
    <n v="1"/>
    <n v="0"/>
  </r>
  <r>
    <s v="91f947a0-8526-448b-9c39-d2aee7ae9753"/>
    <s v="a47cc2f7-d616-4e83-aec5-290ab62b0baa"/>
    <d v="2025-02-23T00:00:00"/>
    <d v="1899-12-30T11:44:06"/>
    <n v="11"/>
    <n v="53"/>
    <s v="Bronze"/>
    <s v="Sydney"/>
    <s v="CONCESSION-LONDON"/>
    <s v="ORION-CONCEAL-09"/>
    <s v="Serum"/>
    <n v="225.83"/>
    <x v="3"/>
    <n v="0"/>
    <s v="Mobile"/>
    <s v="33.199.88.206"/>
    <x v="0"/>
    <n v="129"/>
    <n v="0.70904656782684872"/>
    <n v="0"/>
    <n v="0"/>
    <n v="1"/>
    <n v="1"/>
    <n v="0"/>
  </r>
  <r>
    <s v="5b2c56d1-4b73-49ed-9cbe-404d7351a089"/>
    <s v="691e475c-402d-49bb-b319-d5997d5b3534"/>
    <d v="2025-03-15T00:00:00"/>
    <d v="1899-12-30T11:14:02"/>
    <n v="11"/>
    <n v="59"/>
    <s v="Silver"/>
    <s v="Rome"/>
    <s v="FLAGSHIP-ROME"/>
    <s v="ECLIPSE-EYE-10"/>
    <s v="Mascara"/>
    <n v="225.57"/>
    <x v="1"/>
    <n v="0"/>
    <s v="Mobile"/>
    <s v="159.70.34.224"/>
    <x v="0"/>
    <n v="107"/>
    <n v="0.70544706036306437"/>
    <n v="0"/>
    <n v="0"/>
    <n v="1"/>
    <n v="1"/>
    <n v="0"/>
  </r>
  <r>
    <s v="8b201c63-7bbb-4b7b-a5d2-76aeb0df468d"/>
    <s v="41e16fa3-6832-4b57-a5e9-b88246cb8701"/>
    <d v="2025-06-24T00:00:00"/>
    <d v="1899-12-30T03:01:18"/>
    <n v="3"/>
    <n v="30"/>
    <s v="Silver"/>
    <s v="San Francisco"/>
    <s v="CONCESSION-LONDON"/>
    <s v="SOLAR-BLUSH-04"/>
    <s v="Foundation"/>
    <n v="225.49"/>
    <x v="0"/>
    <n v="0"/>
    <s v="Laptop"/>
    <s v="110.77.132.114"/>
    <x v="0"/>
    <n v="328"/>
    <n v="0.7043395196049772"/>
    <n v="0"/>
    <n v="1"/>
    <n v="0"/>
    <n v="2"/>
    <n v="0"/>
  </r>
  <r>
    <s v="89a9c796-8e25-4025-a902-6db9304bb778"/>
    <s v="79be842f-2626-42fa-bb8f-54e7e505e169"/>
    <d v="2025-03-03T00:00:00"/>
    <d v="1899-12-30T16:26:23"/>
    <n v="16"/>
    <n v="41"/>
    <s v="Bronze"/>
    <s v="Geneva"/>
    <s v="FLAGSHIP-PARIS"/>
    <s v="LUNAR-MASC-02"/>
    <s v="Eyeshadow Palette"/>
    <n v="225.37"/>
    <x v="2"/>
    <n v="1"/>
    <s v="Laptop"/>
    <s v="217.91.227.236"/>
    <x v="0"/>
    <n v="266"/>
    <n v="0.70267820846784601"/>
    <n v="0"/>
    <n v="0"/>
    <n v="1"/>
    <n v="3"/>
    <n v="0"/>
  </r>
  <r>
    <s v="7e7cce89-3d93-4eba-871e-4eff2e03b9fd"/>
    <s v="24ff7e2d-1bdd-4dc4-b3ec-c421a8e58f47"/>
    <d v="2025-04-16T00:00:00"/>
    <d v="1899-12-30T11:02:09"/>
    <n v="11"/>
    <n v="21"/>
    <s v="Gold"/>
    <s v="Cannes"/>
    <s v="BOUTIQUE-SHANGHAI"/>
    <s v="COSMIC-HIGHLIGHT-06"/>
    <s v="Lipstick"/>
    <n v="225.24"/>
    <x v="3"/>
    <n v="0"/>
    <s v="Mobile"/>
    <s v="236.197.53.150"/>
    <x v="0"/>
    <n v="272"/>
    <n v="0.70087845473595412"/>
    <n v="0"/>
    <n v="0"/>
    <n v="1"/>
    <n v="1"/>
    <n v="0"/>
  </r>
  <r>
    <s v="8a9fcc65-fd60-4261-983d-1f30d98832c1"/>
    <s v="98a02c90-8a4f-4a4f-898e-194665482650"/>
    <d v="2025-05-22T00:00:00"/>
    <d v="1899-12-30T22:42:23"/>
    <n v="22"/>
    <n v="50"/>
    <s v="Bronze"/>
    <s v="Los Angeles"/>
    <s v="CONCESSION-SINGAPORE"/>
    <s v="STELLAR-FOUND-03"/>
    <s v="Highlighter"/>
    <n v="225.18"/>
    <x v="0"/>
    <n v="0"/>
    <s v="Tablet"/>
    <s v="69.135.157.212"/>
    <x v="0"/>
    <n v="491"/>
    <n v="0.70004779916738846"/>
    <n v="0"/>
    <n v="0"/>
    <n v="0"/>
    <n v="0"/>
    <n v="0"/>
  </r>
  <r>
    <s v="5bebb29b-5df6-409d-8efb-69f319e5a191"/>
    <s v="ffc43a62-2dea-4079-bbc3-cb7ab50277a0"/>
    <d v="2025-06-06T00:00:00"/>
    <d v="1899-12-30T13:58:49"/>
    <n v="13"/>
    <n v="50"/>
    <s v="Silver"/>
    <s v="Los Angeles"/>
    <s v="BOUTIQUE-DUBAI"/>
    <s v="ORION-CONCEAL-09"/>
    <s v="Blush"/>
    <n v="225.15"/>
    <x v="0"/>
    <n v="0"/>
    <s v="Tablet"/>
    <s v="128.104.156.206"/>
    <x v="0"/>
    <n v="187"/>
    <n v="0.69963247138310569"/>
    <n v="0"/>
    <n v="0"/>
    <n v="1"/>
    <n v="1"/>
    <n v="0"/>
  </r>
  <r>
    <s v="323cdc0b-c330-467b-a822-1743cd93add9"/>
    <s v="71b16ae4-ed13-4bd9-a49e-799ee0699954"/>
    <d v="2025-03-19T00:00:00"/>
    <d v="1899-12-30T23:50:00"/>
    <n v="23"/>
    <n v="42"/>
    <s v="Bronze"/>
    <s v="Singapore"/>
    <s v="CONCESSION-SINGAPORE"/>
    <s v="CELESTE-EYE-05"/>
    <s v="Eyeshadow Palette"/>
    <n v="225"/>
    <x v="1"/>
    <n v="0"/>
    <s v="Tablet"/>
    <s v="139.22.120.179"/>
    <x v="1"/>
    <n v="433"/>
    <n v="0.69755583246169173"/>
    <n v="0"/>
    <n v="0"/>
    <n v="0"/>
    <n v="0"/>
    <n v="0"/>
  </r>
  <r>
    <s v="09e3d646-61fc-4984-bfab-fe27bdb61459"/>
    <s v="d84d7298-d7d7-4e65-95cd-5507883ba0e8"/>
    <d v="2025-04-30T00:00:00"/>
    <d v="1899-12-30T11:28:53"/>
    <n v="11"/>
    <n v="46"/>
    <s v="Silver"/>
    <s v="Paris"/>
    <s v="CONCESSION-SINGAPORE"/>
    <s v="NEBULA-SERUM-07"/>
    <s v="Foundation"/>
    <n v="224.93"/>
    <x v="2"/>
    <n v="1"/>
    <s v="Desktop"/>
    <s v="237.195.105.59"/>
    <x v="0"/>
    <n v="316"/>
    <n v="0.69658673429836537"/>
    <n v="0"/>
    <n v="0"/>
    <n v="0"/>
    <n v="2"/>
    <n v="0"/>
  </r>
  <r>
    <s v="ff23c7b6-9169-4429-9b2c-4325c03b82da"/>
    <s v="7ade12db-7eb9-4b95-8681-b6adbcb154c7"/>
    <d v="2025-03-05T00:00:00"/>
    <d v="1899-12-30T23:03:35"/>
    <n v="23"/>
    <n v="28"/>
    <s v="Bronze"/>
    <s v="Miami"/>
    <s v="POPUP-MILAN"/>
    <s v="COSMIC-HIGHLIGHT-06"/>
    <s v="Lipstick"/>
    <n v="224.89"/>
    <x v="1"/>
    <n v="0"/>
    <s v="Mobile"/>
    <s v="24.39.253.185"/>
    <x v="0"/>
    <n v="284"/>
    <n v="0.69603296391932146"/>
    <n v="0"/>
    <n v="0"/>
    <n v="0"/>
    <n v="0"/>
    <n v="0"/>
  </r>
  <r>
    <s v="693dc492-0db1-460e-ad71-fdf83a2aea17"/>
    <s v="45badd4b-9d13-4cc4-b8ee-a70aa01ed5d8"/>
    <d v="2025-05-05T00:00:00"/>
    <d v="1899-12-30T07:12:39"/>
    <n v="7"/>
    <n v="41"/>
    <s v="Bronze"/>
    <s v="Milan"/>
    <s v="BOUTIQUE-DUBAI"/>
    <s v="CELESTE-EYE-05"/>
    <s v="Setting Spray"/>
    <n v="224.8"/>
    <x v="0"/>
    <n v="0"/>
    <s v="Tablet"/>
    <s v="22.212.188.93"/>
    <x v="0"/>
    <n v="158"/>
    <n v="0.69478698056647348"/>
    <n v="0"/>
    <n v="0"/>
    <n v="1"/>
    <n v="1"/>
    <n v="0"/>
  </r>
  <r>
    <s v="8ba4973b-12f8-46e1-b416-a7cd42be7887"/>
    <s v="93a658be-29d1-4d98-831d-85edad668766"/>
    <d v="2025-06-18T00:00:00"/>
    <d v="1899-12-30T22:35:55"/>
    <n v="22"/>
    <n v="26"/>
    <s v="Silver"/>
    <s v="Cannes"/>
    <s v="POPUP-TOKYO"/>
    <s v="STELLAR-FOUND-03"/>
    <s v="Lipstick"/>
    <n v="224.79"/>
    <x v="3"/>
    <n v="0"/>
    <s v="Tablet"/>
    <s v="112.204.98.128"/>
    <x v="0"/>
    <n v="379"/>
    <n v="0.69464853797171222"/>
    <n v="0"/>
    <n v="0"/>
    <n v="0"/>
    <n v="0"/>
    <n v="0"/>
  </r>
  <r>
    <s v="c86b287f-e711-4cc3-93e5-3979d896e142"/>
    <s v="5786a816-8d0d-40dd-8ce5-021db5e22754"/>
    <d v="2025-04-19T00:00:00"/>
    <d v="1899-12-30T19:04:48"/>
    <n v="19"/>
    <n v="49"/>
    <s v="Silver"/>
    <s v="Las Vegas"/>
    <s v="BOUTIQUE-NYC"/>
    <s v="SOLAR-BLUSH-04"/>
    <s v="Blush"/>
    <n v="224.72"/>
    <x v="3"/>
    <n v="0"/>
    <s v="Desktop"/>
    <s v="29.4.255.75"/>
    <x v="0"/>
    <n v="239"/>
    <n v="0.69367943980838587"/>
    <n v="0"/>
    <n v="0"/>
    <n v="1"/>
    <n v="1"/>
    <n v="0"/>
  </r>
  <r>
    <s v="84598a36-1232-4e4a-84e0-b0c2f4d72602"/>
    <s v="d4cd65d5-f28b-4be0-8db0-8a393b8df8bb"/>
    <d v="2025-05-19T00:00:00"/>
    <d v="1899-12-30T03:20:15"/>
    <n v="3"/>
    <n v="65"/>
    <s v="Bronze"/>
    <s v="San Francisco"/>
    <s v="BOUTIQUE-NYC"/>
    <s v="CELESTE-EYE-05"/>
    <s v="Blush"/>
    <n v="224.62"/>
    <x v="3"/>
    <n v="0"/>
    <s v="Desktop"/>
    <s v="139.220.111.54"/>
    <x v="0"/>
    <n v="189"/>
    <n v="0.69229501386077674"/>
    <n v="0"/>
    <n v="1"/>
    <n v="1"/>
    <n v="3"/>
    <n v="0"/>
  </r>
  <r>
    <s v="cc80c5a8-4a64-4dd4-8280-7aa6aa384eb7"/>
    <s v="89d1ad82-264a-4601-a4ee-d55ef0a268c3"/>
    <d v="2025-06-10T00:00:00"/>
    <d v="1899-12-30T20:50:02"/>
    <n v="20"/>
    <n v="31"/>
    <s v="Silver"/>
    <s v="Geneva"/>
    <s v="FLAGSHIP-PARIS"/>
    <s v="NEBULA-SERUM-07"/>
    <s v="Serum"/>
    <n v="224.25"/>
    <x v="1"/>
    <n v="0"/>
    <s v="Laptop"/>
    <s v="192.70.60.73"/>
    <x v="0"/>
    <n v="238"/>
    <n v="0.68717263785462246"/>
    <n v="0"/>
    <n v="0"/>
    <n v="1"/>
    <n v="1"/>
    <n v="0"/>
  </r>
  <r>
    <s v="861f5cb4-5d1c-48e1-9cad-e245916ff5f6"/>
    <s v="0e4a4ead-fe6e-4856-be3f-fd3ff6845a61"/>
    <d v="2025-07-29T00:00:00"/>
    <d v="1899-12-30T11:30:34"/>
    <n v="11"/>
    <n v="41"/>
    <s v="Bronze"/>
    <s v="Dubai"/>
    <s v="CONCESSION-LONDON"/>
    <s v="CELESTE-EYE-05"/>
    <s v="Foundation"/>
    <n v="224.14"/>
    <x v="1"/>
    <n v="0"/>
    <s v="Tablet"/>
    <s v="105.19.63.197"/>
    <x v="0"/>
    <n v="195"/>
    <n v="0.68564976931225208"/>
    <n v="0"/>
    <n v="0"/>
    <n v="1"/>
    <n v="1"/>
    <n v="0"/>
  </r>
  <r>
    <s v="ac82c1a4-d5bd-4217-92fc-9be6289492e5"/>
    <s v="6291086b-8d2d-4970-91ac-018dc79edfc6"/>
    <d v="2025-04-11T00:00:00"/>
    <d v="1899-12-30T04:15:50"/>
    <n v="4"/>
    <n v="61"/>
    <s v="Gold"/>
    <s v="Miami"/>
    <s v="BOUTIQUE-SHANGHAI"/>
    <s v="GALAXIA-SET-08"/>
    <s v="Concealer"/>
    <n v="224.01"/>
    <x v="0"/>
    <n v="0"/>
    <s v="Laptop"/>
    <s v="9.19.247.188"/>
    <x v="0"/>
    <n v="179"/>
    <n v="0.68385001558036007"/>
    <n v="0"/>
    <n v="1"/>
    <n v="1"/>
    <n v="3"/>
    <n v="0"/>
  </r>
  <r>
    <s v="22f38cf5-d3c8-45f5-8ddf-00a1fb4b437e"/>
    <s v="f738eefa-70c7-435d-abed-d44a5c03b60a"/>
    <d v="2025-04-24T00:00:00"/>
    <d v="1899-12-30T02:05:10"/>
    <n v="2"/>
    <n v="42"/>
    <s v="Bronze"/>
    <s v="London"/>
    <s v="FLAGSHIP-LA"/>
    <s v="AURORA-LIP-01"/>
    <s v="Highlighter"/>
    <n v="223.97"/>
    <x v="4"/>
    <n v="0"/>
    <s v="Tablet"/>
    <s v="1.118.110.46"/>
    <x v="0"/>
    <n v="492"/>
    <n v="0.68329624520131649"/>
    <n v="0"/>
    <n v="1"/>
    <n v="0"/>
    <n v="2"/>
    <n v="0"/>
  </r>
  <r>
    <s v="567da544-a106-48c4-8d9d-5f7ea016eca3"/>
    <s v="40fadd6b-6bad-40f7-b3f6-bf2222787003"/>
    <d v="2025-04-01T00:00:00"/>
    <d v="1899-12-30T21:20:35"/>
    <n v="21"/>
    <n v="37"/>
    <s v="Bronze"/>
    <s v="San Francisco"/>
    <s v="CONCESSION-SINGAPORE"/>
    <s v="LUNAR-MASC-02"/>
    <s v="Eyeliner"/>
    <n v="223.95"/>
    <x v="4"/>
    <n v="0"/>
    <s v="Desktop"/>
    <s v="36.53.165.223"/>
    <x v="0"/>
    <n v="471"/>
    <n v="0.68301936001179453"/>
    <n v="0"/>
    <n v="0"/>
    <n v="0"/>
    <n v="0"/>
    <n v="0"/>
  </r>
  <r>
    <s v="8c2ac783-f414-4058-8f56-d4782d62d9f4"/>
    <s v="b86468c9-3966-4bbe-9015-583b6d00ab44"/>
    <d v="2025-06-04T00:00:00"/>
    <d v="1899-12-30T04:03:33"/>
    <n v="4"/>
    <n v="51"/>
    <s v="Gold"/>
    <s v="Milan"/>
    <s v="FLAGSHIP-ROME"/>
    <s v="STELLAR-FOUND-03"/>
    <s v="Setting Spray"/>
    <n v="223.82"/>
    <x v="4"/>
    <n v="0"/>
    <s v="Mobile"/>
    <s v="73.154.12.117"/>
    <x v="0"/>
    <n v="343"/>
    <n v="0.68121960627990263"/>
    <n v="0"/>
    <n v="1"/>
    <n v="0"/>
    <n v="2"/>
    <n v="0"/>
  </r>
  <r>
    <s v="2aab09ca-19c9-4bb0-b60e-4fc37d4d60b8"/>
    <s v="2ad71e3d-d1a6-4545-9855-2bc7cf672e5f"/>
    <d v="2025-08-02T00:00:00"/>
    <d v="1899-12-30T11:35:41"/>
    <n v="11"/>
    <n v="55"/>
    <s v="Bronze"/>
    <s v="Milan"/>
    <s v="BOUTIQUE-DUBAI"/>
    <s v="STELLAR-FOUND-03"/>
    <s v="Eyeshadow Palette"/>
    <n v="223.7"/>
    <x v="4"/>
    <n v="0"/>
    <s v="Mobile"/>
    <s v="237.50.38.175"/>
    <x v="0"/>
    <n v="381"/>
    <n v="0.67955829514277144"/>
    <n v="0"/>
    <n v="0"/>
    <n v="0"/>
    <n v="0"/>
    <n v="0"/>
  </r>
  <r>
    <s v="23a831a9-f5c2-4681-affe-5cd38095442e"/>
    <s v="3d226af2-e4ec-4e6f-a688-ffdb7c29c63b"/>
    <d v="2025-07-22T00:00:00"/>
    <d v="1899-12-30T06:13:39"/>
    <n v="6"/>
    <n v="43"/>
    <s v="Bronze"/>
    <s v="London"/>
    <s v="CONCESSION-SINGAPORE"/>
    <s v="STELLAR-FOUND-03"/>
    <s v="Setting Spray"/>
    <n v="223.6"/>
    <x v="3"/>
    <n v="0"/>
    <s v="Laptop"/>
    <s v="245.249.221.228"/>
    <x v="0"/>
    <n v="403"/>
    <n v="0.67817386919516232"/>
    <n v="0"/>
    <n v="0"/>
    <n v="0"/>
    <n v="0"/>
    <n v="0"/>
  </r>
  <r>
    <s v="17526c7c-c036-4d49-9cab-e139cf9bfe8d"/>
    <s v="1a958196-1a35-4172-84f4-6262756a4ed2"/>
    <d v="2025-08-09T00:00:00"/>
    <d v="1899-12-30T14:00:16"/>
    <n v="14"/>
    <n v="48"/>
    <s v="Bronze"/>
    <s v="San Francisco"/>
    <s v="BOUTIQUE-DUBAI"/>
    <s v="NEBULA-SERUM-07"/>
    <s v="Setting Spray"/>
    <n v="223.56"/>
    <x v="3"/>
    <n v="0"/>
    <s v="Desktop"/>
    <s v="191.59.188.65"/>
    <x v="0"/>
    <n v="360"/>
    <n v="0.67762009881611862"/>
    <n v="0"/>
    <n v="0"/>
    <n v="0"/>
    <n v="0"/>
    <n v="0"/>
  </r>
  <r>
    <s v="f6ed4f01-a4f3-4690-ae84-45f1282914fc"/>
    <s v="eeef003b-7782-468d-821c-4bb6abf43818"/>
    <d v="2025-07-29T00:00:00"/>
    <d v="1899-12-30T04:48:08"/>
    <n v="4"/>
    <n v="41"/>
    <s v="Silver"/>
    <s v="Hong Kong"/>
    <s v="FLAGSHIP-ROME"/>
    <s v="LUNAR-MASC-02"/>
    <s v="Mascara"/>
    <n v="223.42"/>
    <x v="0"/>
    <n v="0"/>
    <s v="Tablet"/>
    <s v="202.87.80.80"/>
    <x v="0"/>
    <n v="314"/>
    <n v="0.67568190248946558"/>
    <n v="0"/>
    <n v="1"/>
    <n v="0"/>
    <n v="2"/>
    <n v="0"/>
  </r>
  <r>
    <s v="337fdf80-15ed-4214-82b3-8aa2dcfa7687"/>
    <s v="83b4d3a8-ab4d-4b32-b2c2-b98c3acd101e"/>
    <d v="2025-06-15T00:00:00"/>
    <d v="1899-12-30T09:36:43"/>
    <n v="9"/>
    <n v="49"/>
    <s v="Gold"/>
    <s v="Los Angeles"/>
    <s v="POPUP-TOKYO"/>
    <s v="NEBULA-SERUM-07"/>
    <s v="Concealer"/>
    <n v="223.4"/>
    <x v="0"/>
    <n v="0"/>
    <s v="Laptop"/>
    <s v="24.167.28.99"/>
    <x v="0"/>
    <n v="120"/>
    <n v="0.67540501729994395"/>
    <n v="0"/>
    <n v="0"/>
    <n v="1"/>
    <n v="1"/>
    <n v="0"/>
  </r>
  <r>
    <s v="75a4643b-1424-4196-81d3-d2973b3c16e7"/>
    <s v="82399092-8781-4a1b-b8b0-6639a083703e"/>
    <d v="2025-05-14T00:00:00"/>
    <d v="1899-12-30T01:44:33"/>
    <n v="1"/>
    <n v="20"/>
    <s v="Platinum"/>
    <s v="Sydney"/>
    <s v="FLAGSHIP-LA"/>
    <s v="STELLAR-FOUND-03"/>
    <s v="Serum"/>
    <n v="223.32"/>
    <x v="3"/>
    <n v="0"/>
    <s v="Desktop"/>
    <s v="247.141.71.205"/>
    <x v="0"/>
    <n v="435"/>
    <n v="0.67429747654185634"/>
    <n v="0"/>
    <n v="1"/>
    <n v="0"/>
    <n v="2"/>
    <n v="0"/>
  </r>
  <r>
    <s v="2eb4d480-8722-4447-a5db-e1eb8516714f"/>
    <s v="3ca92934-3a34-4aa0-9eb3-0a082b91b1e9"/>
    <d v="2025-04-14T00:00:00"/>
    <d v="1899-12-30T20:59:47"/>
    <n v="20"/>
    <n v="47"/>
    <s v="Silver"/>
    <s v="Los Angeles"/>
    <s v="FLAGSHIP-ROME"/>
    <s v="SOLAR-BLUSH-04"/>
    <s v="Concealer"/>
    <n v="223.2"/>
    <x v="1"/>
    <n v="0"/>
    <s v="Desktop"/>
    <s v="121.131.65.165"/>
    <x v="0"/>
    <n v="225"/>
    <n v="0.67263616540472515"/>
    <n v="0"/>
    <n v="0"/>
    <n v="1"/>
    <n v="1"/>
    <n v="0"/>
  </r>
  <r>
    <s v="ec9a5a67-0a58-4ad5-93e2-517f4f026ff1"/>
    <s v="ed0c1816-f1b0-40ae-995e-8ba4c609960e"/>
    <d v="2025-06-28T00:00:00"/>
    <d v="1899-12-30T07:28:50"/>
    <n v="7"/>
    <n v="41"/>
    <s v="VIP"/>
    <s v="Monte Carlo"/>
    <s v="FLAGSHIP-LA"/>
    <s v="COSMIC-HIGHLIGHT-06"/>
    <s v="Serum"/>
    <n v="222.97"/>
    <x v="3"/>
    <n v="0"/>
    <s v="Laptop"/>
    <s v="91.39.185.247"/>
    <x v="0"/>
    <n v="235"/>
    <n v="0.66945198572522413"/>
    <n v="0"/>
    <n v="0"/>
    <n v="1"/>
    <n v="1"/>
    <n v="0"/>
  </r>
  <r>
    <s v="f5f2e357-63aa-4e2a-8755-e196daef239b"/>
    <s v="203e789d-a16a-41ec-add5-5ed307274af9"/>
    <d v="2025-04-15T00:00:00"/>
    <d v="1899-12-30T22:04:52"/>
    <n v="22"/>
    <n v="42"/>
    <s v="Bronze"/>
    <s v="Shanghai"/>
    <s v="BOUTIQUE-NYC"/>
    <s v="GALAXIA-SET-08"/>
    <s v="Setting Spray"/>
    <n v="222.67"/>
    <x v="2"/>
    <n v="1"/>
    <s v="Tablet"/>
    <s v="86.4.52.221"/>
    <x v="0"/>
    <n v="158"/>
    <n v="0.6652987078823962"/>
    <n v="0"/>
    <n v="0"/>
    <n v="1"/>
    <n v="3"/>
    <n v="0"/>
  </r>
  <r>
    <s v="22b2332a-8916-43f0-85e9-8a4bfacfeecb"/>
    <s v="e23ae5c0-12ac-43d4-bf4a-704d8bb1f2a1"/>
    <d v="2025-03-17T00:00:00"/>
    <d v="1899-12-30T06:03:11"/>
    <n v="6"/>
    <n v="37"/>
    <s v="Unknown"/>
    <s v="Singapore"/>
    <s v="BOUTIQUE-SHANGHAI"/>
    <s v="NEBULA-SERUM-07"/>
    <s v="Highlighter"/>
    <n v="222.63"/>
    <x v="4"/>
    <n v="0"/>
    <s v="Tablet"/>
    <s v="219.134.74.174"/>
    <x v="0"/>
    <n v="74"/>
    <n v="0.66474493750335262"/>
    <n v="0"/>
    <n v="0"/>
    <n v="1"/>
    <n v="1"/>
    <n v="0"/>
  </r>
  <r>
    <s v="99b15178-b540-4e30-bda6-06bf7b4a7a7f"/>
    <s v="aafb19f8-1450-47a8-85d8-f5b7e0710d57"/>
    <d v="2025-04-11T00:00:00"/>
    <d v="1899-12-30T17:10:04"/>
    <n v="17"/>
    <n v="29"/>
    <s v="Silver"/>
    <s v="Monaco"/>
    <s v="FLAGSHIP-PARIS"/>
    <s v="ECLIPSE-EYE-10"/>
    <s v="Foundation"/>
    <n v="222.55"/>
    <x v="1"/>
    <n v="0"/>
    <s v="Tablet"/>
    <s v="56.223.140.95"/>
    <x v="0"/>
    <n v="386"/>
    <n v="0.66363739674526545"/>
    <n v="0"/>
    <n v="0"/>
    <n v="0"/>
    <n v="0"/>
    <n v="0"/>
  </r>
  <r>
    <s v="e6e7b879-d510-411c-b4c2-4f7794d0028b"/>
    <s v="4d166bba-7e00-4fc9-b474-19faf00b082f"/>
    <d v="2025-07-21T00:00:00"/>
    <d v="1899-12-30T14:34:13"/>
    <n v="14"/>
    <n v="42"/>
    <s v="Bronze"/>
    <s v="Sydney"/>
    <s v="BOUTIQUE-DUBAI"/>
    <s v="ECLIPSE-EYE-10"/>
    <s v="Eyeliner"/>
    <n v="222.47"/>
    <x v="1"/>
    <n v="0"/>
    <s v="Tablet"/>
    <s v="88.223.92.212"/>
    <x v="0"/>
    <n v="216"/>
    <n v="0.66252985598717784"/>
    <n v="0"/>
    <n v="0"/>
    <n v="1"/>
    <n v="1"/>
    <n v="0"/>
  </r>
  <r>
    <s v="2e4bb8b2-f745-430a-848d-619dbe69e0f1"/>
    <s v="65b29f27-8500-4d17-9fb1-430e01b1a3c8"/>
    <d v="2025-05-09T00:00:00"/>
    <d v="1899-12-30T13:56:43"/>
    <n v="13"/>
    <n v="58"/>
    <s v="Bronze"/>
    <s v="Paris"/>
    <s v="FLAGSHIP-PARIS"/>
    <s v="ECLIPSE-EYE-10"/>
    <s v="Highlighter"/>
    <n v="222.37"/>
    <x v="1"/>
    <n v="0"/>
    <s v="Desktop"/>
    <s v="99.214.254.252"/>
    <x v="0"/>
    <n v="497"/>
    <n v="0.66114543003956872"/>
    <n v="0"/>
    <n v="0"/>
    <n v="0"/>
    <n v="0"/>
    <n v="0"/>
  </r>
  <r>
    <s v="825dd2ee-974d-41ec-bdd9-7a3e1ccd7f92"/>
    <s v="8ad0e86c-fd37-48f4-844e-de4241985d3e"/>
    <d v="2025-04-28T00:00:00"/>
    <d v="1899-12-30T07:13:51"/>
    <n v="7"/>
    <n v="52"/>
    <s v="Gold"/>
    <s v="Singapore"/>
    <s v="FLAGSHIP-ROME"/>
    <s v="GALAXIA-SET-08"/>
    <s v="Highlighter"/>
    <n v="222.24"/>
    <x v="0"/>
    <n v="0"/>
    <s v="Tablet"/>
    <s v="183.29.152.199"/>
    <x v="0"/>
    <n v="189"/>
    <n v="0.65934567630767671"/>
    <n v="0"/>
    <n v="0"/>
    <n v="1"/>
    <n v="1"/>
    <n v="0"/>
  </r>
  <r>
    <s v="633fe7fb-b280-4493-b754-7469532e3e83"/>
    <s v="22cac1e0-549a-42ce-8c0b-4252ca4e83a5"/>
    <d v="2025-03-31T00:00:00"/>
    <d v="1899-12-30T17:26:48"/>
    <n v="17"/>
    <n v="39"/>
    <s v="Gold"/>
    <s v="San Francisco"/>
    <s v="POPUP-MILAN"/>
    <s v="STELLAR-FOUND-03"/>
    <s v="Eyeliner"/>
    <n v="222.21"/>
    <x v="2"/>
    <n v="1"/>
    <s v="Desktop"/>
    <s v="10.96.72.153"/>
    <x v="0"/>
    <n v="289"/>
    <n v="0.65893034852339394"/>
    <n v="0"/>
    <n v="0"/>
    <n v="0"/>
    <n v="2"/>
    <n v="0"/>
  </r>
  <r>
    <s v="97d5f208-0c3f-4594-ae7d-367361b06e0f"/>
    <s v="23794c7e-2ba4-4ff9-bc24-c4c21c04f253"/>
    <d v="2025-04-14T00:00:00"/>
    <d v="1899-12-30T01:59:03"/>
    <n v="1"/>
    <n v="36"/>
    <s v="Gold"/>
    <s v="Dubai"/>
    <s v="FLAGSHIP-LA"/>
    <s v="ORION-CONCEAL-09"/>
    <s v="Blush"/>
    <n v="222.16"/>
    <x v="4"/>
    <n v="0"/>
    <s v="Laptop"/>
    <s v="154.219.125.23"/>
    <x v="0"/>
    <n v="459"/>
    <n v="0.65823813554958921"/>
    <n v="0"/>
    <n v="1"/>
    <n v="0"/>
    <n v="2"/>
    <n v="0"/>
  </r>
  <r>
    <s v="21a76845-0af3-4295-acdc-ed9296a222ca"/>
    <s v="f508d581-e7ef-4cf0-9a57-58dbfad8acd3"/>
    <d v="2025-07-20T00:00:00"/>
    <d v="1899-12-30T10:56:26"/>
    <n v="10"/>
    <n v="50"/>
    <s v="Bronze"/>
    <s v="Paris"/>
    <s v="POPUP-TOKYO"/>
    <s v="ORION-CONCEAL-09"/>
    <s v="Blush"/>
    <n v="222.12"/>
    <x v="1"/>
    <n v="0"/>
    <s v="Tablet"/>
    <s v="108.33.57.243"/>
    <x v="0"/>
    <n v="377"/>
    <n v="0.65768436517054563"/>
    <n v="0"/>
    <n v="0"/>
    <n v="0"/>
    <n v="0"/>
    <n v="0"/>
  </r>
  <r>
    <s v="d8c97f41-44c5-4850-a350-6e85d3c246e7"/>
    <s v="e68cb1ad-e7af-45f7-93fc-f11e32f0a9aa"/>
    <d v="2025-04-06T00:00:00"/>
    <d v="1899-12-30T18:46:36"/>
    <n v="18"/>
    <n v="19"/>
    <s v="Silver"/>
    <s v="Monte Carlo"/>
    <s v="POPUP-MILAN"/>
    <s v="LUNAR-MASC-02"/>
    <s v="Eyeshadow Palette"/>
    <n v="221.88"/>
    <x v="3"/>
    <n v="0"/>
    <s v="Mobile"/>
    <s v="36.44.73.106"/>
    <x v="0"/>
    <n v="88"/>
    <n v="0.65436174289628324"/>
    <n v="0"/>
    <n v="0"/>
    <n v="1"/>
    <n v="1"/>
    <n v="0"/>
  </r>
  <r>
    <s v="a3c9dda8-ff11-4f9a-b218-3d64ed6dface"/>
    <s v="68e4340e-29f8-4701-b540-6c8a3fbcbe6f"/>
    <d v="2025-03-30T00:00:00"/>
    <d v="1899-12-30T12:04:34"/>
    <n v="12"/>
    <n v="46"/>
    <s v="Bronze"/>
    <s v="Milan"/>
    <s v="FLAGSHIP-LA"/>
    <s v="CELESTE-EYE-05"/>
    <s v="Eyeshadow Palette"/>
    <n v="221.74"/>
    <x v="3"/>
    <n v="0"/>
    <s v="Tablet"/>
    <s v="26.241.201.108"/>
    <x v="0"/>
    <n v="353"/>
    <n v="0.65242354656963053"/>
    <n v="0"/>
    <n v="0"/>
    <n v="0"/>
    <n v="0"/>
    <n v="0"/>
  </r>
  <r>
    <s v="3947b597-04d4-4ac9-aadc-abbaf3720b47"/>
    <s v="7a23e3cd-e150-4def-8471-e16c926944c9"/>
    <d v="2025-06-16T00:00:00"/>
    <d v="1899-12-30T16:33:44"/>
    <n v="16"/>
    <n v="49"/>
    <s v="Gold"/>
    <s v="Rome"/>
    <s v="POPUP-MILAN"/>
    <s v="AURORA-LIP-01"/>
    <s v="Concealer"/>
    <n v="221.56"/>
    <x v="1"/>
    <n v="0"/>
    <s v="Mobile"/>
    <s v="77.252.174.24"/>
    <x v="0"/>
    <n v="251"/>
    <n v="0.64993157986393379"/>
    <n v="0"/>
    <n v="0"/>
    <n v="1"/>
    <n v="1"/>
    <n v="0"/>
  </r>
  <r>
    <s v="ea878b1e-899d-4ecf-b58b-8a7d75a61683"/>
    <s v="eb4df45c-3bdf-44a2-b005-e1db8ef52461"/>
    <d v="2025-03-02T00:00:00"/>
    <d v="1899-12-30T08:14:38"/>
    <n v="8"/>
    <n v="24"/>
    <s v="Silver"/>
    <s v="Tokyo"/>
    <s v="CONCESSION-SINGAPORE"/>
    <s v="AURORA-LIP-01"/>
    <s v="Serum"/>
    <n v="221.52"/>
    <x v="4"/>
    <n v="0"/>
    <s v="Laptop"/>
    <s v="73.218.227.64"/>
    <x v="0"/>
    <n v="61"/>
    <n v="0.64937780948489021"/>
    <n v="0"/>
    <n v="0"/>
    <n v="1"/>
    <n v="1"/>
    <n v="0"/>
  </r>
  <r>
    <s v="27781fbd-5ff5-4882-9317-fd37723f6c45"/>
    <s v="5c72fd7a-546c-4328-b6b8-89a8342ea68c"/>
    <d v="2025-03-28T00:00:00"/>
    <d v="1899-12-30T22:15:22"/>
    <n v="22"/>
    <n v="58"/>
    <s v="Silver"/>
    <s v="Geneva"/>
    <s v="POPUP-MILAN"/>
    <s v="SOLAR-BLUSH-04"/>
    <s v="Eyeliner"/>
    <n v="221.43"/>
    <x v="4"/>
    <n v="0"/>
    <s v="Mobile"/>
    <s v="163.162.246.34"/>
    <x v="0"/>
    <n v="347"/>
    <n v="0.64813182613204179"/>
    <n v="0"/>
    <n v="0"/>
    <n v="0"/>
    <n v="0"/>
    <n v="0"/>
  </r>
  <r>
    <s v="09a80313-1f8b-48b6-876e-dac09fedf784"/>
    <s v="55d9a099-526b-47b6-bdbf-3e0c0021a8a5"/>
    <d v="2025-04-20T00:00:00"/>
    <d v="1899-12-30T19:48:16"/>
    <n v="19"/>
    <n v="27"/>
    <s v="Silver"/>
    <s v="Rome"/>
    <s v="FLAGSHIP-LA"/>
    <s v="AURORA-LIP-01"/>
    <s v="Blush"/>
    <n v="221.37"/>
    <x v="4"/>
    <n v="0"/>
    <s v="Tablet"/>
    <s v="200.88.255.45"/>
    <x v="0"/>
    <n v="314"/>
    <n v="0.64730117056347625"/>
    <n v="0"/>
    <n v="0"/>
    <n v="0"/>
    <n v="0"/>
    <n v="0"/>
  </r>
  <r>
    <s v="e15cdb01-77d4-453e-8701-652fe1adbeb3"/>
    <s v="41942a72-9b60-49f2-bd7c-e20496663d7d"/>
    <d v="2025-05-15T00:00:00"/>
    <d v="1899-12-30T11:11:31"/>
    <n v="11"/>
    <n v="33"/>
    <s v="Silver"/>
    <s v="Rome"/>
    <s v="BOUTIQUE-SHANGHAI"/>
    <s v="STELLAR-FOUND-03"/>
    <s v="Highlighter"/>
    <n v="221.2"/>
    <x v="1"/>
    <n v="0"/>
    <s v="Mobile"/>
    <s v="255.254.201.190"/>
    <x v="0"/>
    <n v="319"/>
    <n v="0.64494764645254032"/>
    <n v="0"/>
    <n v="0"/>
    <n v="0"/>
    <n v="0"/>
    <n v="0"/>
  </r>
  <r>
    <s v="adc58ff5-8a81-4d61-9ad8-85164000a08c"/>
    <s v="1885f5f6-3956-4717-bfa5-c1d261c5805f"/>
    <d v="2025-07-14T00:00:00"/>
    <d v="1899-12-30T20:34:24"/>
    <n v="20"/>
    <n v="65"/>
    <s v="Silver"/>
    <s v="Zurich"/>
    <s v="BOUTIQUE-DUBAI"/>
    <s v="COSMIC-HIGHLIGHT-06"/>
    <s v="Lipstick"/>
    <n v="221.12"/>
    <x v="4"/>
    <n v="0"/>
    <s v="Desktop"/>
    <s v="205.160.62.20"/>
    <x v="0"/>
    <n v="423"/>
    <n v="0.64384010569445316"/>
    <n v="0"/>
    <n v="0"/>
    <n v="0"/>
    <n v="0"/>
    <n v="0"/>
  </r>
  <r>
    <s v="cd6a9e86-b61e-4e8d-a6e4-581d4eca4d2f"/>
    <s v="ec86a0cf-a8af-4f61-ab77-999379b10aa4"/>
    <d v="2025-07-03T00:00:00"/>
    <d v="1899-12-30T08:40:20"/>
    <n v="8"/>
    <n v="25"/>
    <s v="Silver"/>
    <s v="Shanghai"/>
    <s v="BOUTIQUE-SHANGHAI"/>
    <s v="COSMIC-HIGHLIGHT-06"/>
    <s v="Highlighter"/>
    <n v="221.06"/>
    <x v="0"/>
    <n v="0"/>
    <s v="Desktop"/>
    <s v="115.60.223.34"/>
    <x v="0"/>
    <n v="313"/>
    <n v="0.64300945012588751"/>
    <n v="0"/>
    <n v="0"/>
    <n v="0"/>
    <n v="0"/>
    <n v="0"/>
  </r>
  <r>
    <s v="461a27f4-8b78-4dcb-ac31-526dea3c6992"/>
    <s v="9e1ddfd2-2dc1-4647-a789-9fc37f09f01b"/>
    <d v="2025-03-15T00:00:00"/>
    <d v="1899-12-30T07:51:20"/>
    <n v="7"/>
    <n v="52"/>
    <s v="Platinum"/>
    <s v="Los Angeles"/>
    <s v="FLAGSHIP-ROME"/>
    <s v="ECLIPSE-EYE-10"/>
    <s v="Serum"/>
    <n v="220.97"/>
    <x v="4"/>
    <n v="0"/>
    <s v="Laptop"/>
    <s v="225.153.118.149"/>
    <x v="0"/>
    <n v="256"/>
    <n v="0.64176346677303919"/>
    <n v="0"/>
    <n v="0"/>
    <n v="1"/>
    <n v="1"/>
    <n v="0"/>
  </r>
  <r>
    <s v="9da3de95-dd3e-46f1-b1c8-f9da5cfd164b"/>
    <s v="e0c8b1e9-7b98-4c0e-b906-ef48d3ddb895"/>
    <d v="2025-02-19T00:00:00"/>
    <d v="1899-12-30T14:09:20"/>
    <n v="14"/>
    <n v="26"/>
    <s v="Gold"/>
    <s v="Paris"/>
    <s v="FLAGSHIP-ROME"/>
    <s v="LUNAR-MASC-02"/>
    <s v="Eyeshadow Palette"/>
    <n v="220.83"/>
    <x v="4"/>
    <n v="0"/>
    <s v="Mobile"/>
    <s v="36.245.227.83"/>
    <x v="0"/>
    <n v="347"/>
    <n v="0.63982527044638637"/>
    <n v="0"/>
    <n v="0"/>
    <n v="0"/>
    <n v="0"/>
    <n v="0"/>
  </r>
  <r>
    <s v="74097a57-68d1-4db9-85c2-f3d027279f77"/>
    <s v="64062b83-25ba-4df4-b408-eaf65e811e1f"/>
    <d v="2025-08-12T00:00:00"/>
    <d v="1899-12-30T09:45:45"/>
    <n v="9"/>
    <n v="19"/>
    <s v="Platinum"/>
    <s v="Sydney"/>
    <s v="FLAGSHIP-ROME"/>
    <s v="STELLAR-FOUND-03"/>
    <s v="Concealer"/>
    <n v="220.77"/>
    <x v="3"/>
    <n v="0"/>
    <s v="Desktop"/>
    <s v="74.241.143.51"/>
    <x v="0"/>
    <n v="219"/>
    <n v="0.63899461487782083"/>
    <n v="0"/>
    <n v="0"/>
    <n v="1"/>
    <n v="1"/>
    <n v="0"/>
  </r>
  <r>
    <s v="77a0c0d8-6b6f-4db0-a0c8-154684c85778"/>
    <s v="f71fc214-4891-40f4-8216-3bacc43bf0c3"/>
    <d v="2025-05-12T00:00:00"/>
    <d v="1899-12-30T13:52:36"/>
    <n v="13"/>
    <n v="61"/>
    <s v="Bronze"/>
    <s v="Tokyo"/>
    <s v="FLAGSHIP-ROME"/>
    <s v="LUNAR-MASC-02"/>
    <s v="Foundation"/>
    <n v="220.66"/>
    <x v="1"/>
    <n v="0"/>
    <s v="Laptop"/>
    <s v="10.155.133.31"/>
    <x v="0"/>
    <n v="464"/>
    <n v="0.63747174633545045"/>
    <n v="0"/>
    <n v="0"/>
    <n v="0"/>
    <n v="0"/>
    <n v="0"/>
  </r>
  <r>
    <s v="9b0931df-aa03-40da-a9c3-7f74518fe0cb"/>
    <s v="eea8f7e3-bc03-4257-8846-cb57caeba7d5"/>
    <d v="2025-03-18T00:00:00"/>
    <d v="1899-12-30T22:11:00"/>
    <n v="22"/>
    <n v="32"/>
    <s v="Gold"/>
    <s v="Hong Kong"/>
    <s v="CONCESSION-SINGAPORE"/>
    <s v="COSMIC-HIGHLIGHT-06"/>
    <s v="Mascara"/>
    <n v="220.62"/>
    <x v="1"/>
    <n v="0"/>
    <s v="Mobile"/>
    <s v="36.59.157.12"/>
    <x v="0"/>
    <n v="288"/>
    <n v="0.63691797595640687"/>
    <n v="0"/>
    <n v="0"/>
    <n v="0"/>
    <n v="0"/>
    <n v="0"/>
  </r>
  <r>
    <s v="397f30a4-cf02-41fe-9a9e-e8b1e6a4225b"/>
    <s v="8a6bacef-6d97-48ea-8ca0-8ca5741dd3dc"/>
    <d v="2025-04-12T00:00:00"/>
    <d v="1899-12-30T10:44:41"/>
    <n v="10"/>
    <n v="62"/>
    <s v="VIP"/>
    <s v="Hong Kong"/>
    <s v="BOUTIQUE-SHANGHAI"/>
    <s v="STELLAR-FOUND-03"/>
    <s v="Foundation"/>
    <n v="220.47"/>
    <x v="4"/>
    <n v="0"/>
    <s v="Laptop"/>
    <s v="15.53.143.141"/>
    <x v="0"/>
    <n v="213"/>
    <n v="0.6348413370349929"/>
    <n v="0"/>
    <n v="0"/>
    <n v="1"/>
    <n v="1"/>
    <n v="0"/>
  </r>
  <r>
    <s v="3bd19b93-e404-4b88-a81f-e4853196984f"/>
    <s v="c7c94a49-afbb-4b42-98c4-51da99a57e08"/>
    <d v="2025-06-10T00:00:00"/>
    <d v="1899-12-30T20:16:47"/>
    <n v="20"/>
    <n v="53"/>
    <s v="Unknown"/>
    <s v="New York"/>
    <s v="BOUTIQUE-NYC"/>
    <s v="GALAXIA-SET-08"/>
    <s v="Setting Spray"/>
    <n v="220.04"/>
    <x v="1"/>
    <n v="0"/>
    <s v="Tablet"/>
    <s v="159.171.28.186"/>
    <x v="0"/>
    <n v="108"/>
    <n v="0.62888830546027308"/>
    <n v="0"/>
    <n v="0"/>
    <n v="1"/>
    <n v="1"/>
    <n v="0"/>
  </r>
  <r>
    <s v="a8ce17f5-03c8-4fea-9e58-1bd76ab9907f"/>
    <s v="b30f134b-36cf-449e-9c09-0ddff9786d92"/>
    <d v="2025-04-09T00:00:00"/>
    <d v="1899-12-30T00:11:26"/>
    <n v="0"/>
    <n v="20"/>
    <s v="Bronze"/>
    <s v="Geneva"/>
    <s v="BOUTIQUE-NYC"/>
    <s v="AURORA-LIP-01"/>
    <s v="Highlighter"/>
    <n v="220"/>
    <x v="4"/>
    <n v="0"/>
    <s v="Desktop"/>
    <s v="177.107.250.255"/>
    <x v="0"/>
    <n v="183"/>
    <n v="0.62833453508122949"/>
    <n v="0"/>
    <n v="1"/>
    <n v="1"/>
    <n v="3"/>
    <n v="0"/>
  </r>
  <r>
    <s v="077ec2d8-e8a1-4144-b05d-730a73ab62b9"/>
    <s v="276dbe54-8b7c-4d18-881a-bcd0152befbd"/>
    <d v="2025-03-25T00:00:00"/>
    <d v="1899-12-30T17:02:54"/>
    <n v="17"/>
    <n v="33"/>
    <s v="Silver"/>
    <s v="Dubai"/>
    <s v="FLAGSHIP-LA"/>
    <s v="GALAXIA-SET-08"/>
    <s v="Blush"/>
    <n v="219.8"/>
    <x v="4"/>
    <n v="0"/>
    <s v="Laptop"/>
    <s v="168.25.107.185"/>
    <x v="0"/>
    <n v="187"/>
    <n v="0.62556568318601113"/>
    <n v="0"/>
    <n v="0"/>
    <n v="1"/>
    <n v="1"/>
    <n v="0"/>
  </r>
  <r>
    <s v="728eb748-e497-4c6e-ba2e-4c5a6784ce05"/>
    <s v="c8a68739-99fe-4dbd-9901-3a1322bd7084"/>
    <d v="2025-06-01T00:00:00"/>
    <d v="1899-12-30T04:05:41"/>
    <n v="4"/>
    <n v="26"/>
    <s v="Bronze"/>
    <s v="Los Angeles"/>
    <s v="POPUP-TOKYO"/>
    <s v="SOLAR-BLUSH-04"/>
    <s v="Lipstick"/>
    <n v="219.7"/>
    <x v="4"/>
    <n v="0"/>
    <s v="Tablet"/>
    <s v="165.245.203.22"/>
    <x v="0"/>
    <n v="332"/>
    <n v="0.62418125723840157"/>
    <n v="0"/>
    <n v="1"/>
    <n v="0"/>
    <n v="2"/>
    <n v="0"/>
  </r>
  <r>
    <s v="9fe2fec3-f60b-4e91-9304-fa3d9116d9a7"/>
    <s v="0c189742-94e9-4865-a0a1-9b1edd6d0749"/>
    <d v="2025-03-03T00:00:00"/>
    <d v="1899-12-30T09:21:29"/>
    <n v="9"/>
    <n v="53"/>
    <s v="Gold"/>
    <s v="Tokyo"/>
    <s v="FLAGSHIP-PARIS"/>
    <s v="ECLIPSE-EYE-10"/>
    <s v="Lipstick"/>
    <n v="219.63"/>
    <x v="1"/>
    <n v="0"/>
    <s v="Desktop"/>
    <s v="86.70.62.103"/>
    <x v="0"/>
    <n v="203"/>
    <n v="0.62321215907507521"/>
    <n v="0"/>
    <n v="0"/>
    <n v="1"/>
    <n v="1"/>
    <n v="0"/>
  </r>
  <r>
    <s v="ace6182d-b215-4037-adc0-c24f8b812722"/>
    <s v="bd8ff01f-cb53-46a5-be9c-463ecd5b802f"/>
    <d v="2025-03-11T00:00:00"/>
    <d v="1899-12-30T17:18:56"/>
    <n v="17"/>
    <n v="51"/>
    <s v="Platinum"/>
    <s v="Paris"/>
    <s v="BOUTIQUE-DUBAI"/>
    <s v="COSMIC-HIGHLIGHT-06"/>
    <s v="Concealer"/>
    <n v="219.59"/>
    <x v="3"/>
    <n v="0"/>
    <s v="Laptop"/>
    <s v="82.5.168.109"/>
    <x v="0"/>
    <n v="290"/>
    <n v="0.62265838869603163"/>
    <n v="0"/>
    <n v="0"/>
    <n v="0"/>
    <n v="0"/>
    <n v="0"/>
  </r>
  <r>
    <s v="76895c02-d387-4570-abd7-ebf1ceb20060"/>
    <s v="448ca2a2-5489-41a2-83c5-d77a80d50d94"/>
    <d v="2025-04-19T00:00:00"/>
    <d v="1899-12-30T15:12:15"/>
    <n v="15"/>
    <n v="59"/>
    <s v="Bronze"/>
    <s v="London"/>
    <s v="FLAGSHIP-ROME"/>
    <s v="ORION-CONCEAL-09"/>
    <s v="Foundation"/>
    <n v="219.47"/>
    <x v="2"/>
    <n v="1"/>
    <s v="Laptop"/>
    <s v="234.2.213.22"/>
    <x v="0"/>
    <n v="161"/>
    <n v="0.62099707755890043"/>
    <n v="0"/>
    <n v="0"/>
    <n v="1"/>
    <n v="3"/>
    <n v="0"/>
  </r>
  <r>
    <s v="9fa843b4-5613-40f7-b899-76ea90d2f85b"/>
    <s v="470d26a8-9ac0-4ba0-87a8-cc5d9bf5e7fa"/>
    <d v="2025-07-05T00:00:00"/>
    <d v="1899-12-30T18:59:36"/>
    <n v="18"/>
    <n v="34"/>
    <s v="Silver"/>
    <s v="New York"/>
    <s v="BOUTIQUE-SHANGHAI"/>
    <s v="LUNAR-MASC-02"/>
    <s v="Mascara"/>
    <n v="219.47"/>
    <x v="0"/>
    <n v="0"/>
    <s v="Mobile"/>
    <s v="249.176.79.160"/>
    <x v="0"/>
    <n v="125"/>
    <n v="0.62099707755890043"/>
    <n v="0"/>
    <n v="0"/>
    <n v="1"/>
    <n v="1"/>
    <n v="0"/>
  </r>
  <r>
    <s v="7f7ced85-01f6-4891-bdfa-e4764093c0b1"/>
    <s v="97914078-e267-4451-a35d-d325d18c2368"/>
    <d v="2025-05-10T00:00:00"/>
    <d v="1899-12-30T17:57:21"/>
    <n v="17"/>
    <n v="19"/>
    <s v="Bronze"/>
    <s v="Shanghai"/>
    <s v="CONCESSION-LONDON"/>
    <s v="STELLAR-FOUND-03"/>
    <s v="Foundation"/>
    <n v="219.44"/>
    <x v="0"/>
    <n v="0"/>
    <s v="Mobile"/>
    <s v="246.251.96.206"/>
    <x v="0"/>
    <n v="299"/>
    <n v="0.62058174977461766"/>
    <n v="0"/>
    <n v="0"/>
    <n v="0"/>
    <n v="0"/>
    <n v="0"/>
  </r>
  <r>
    <s v="23a55caf-3786-4a60-b977-ce35b2548d39"/>
    <s v="ce5c5563-eb1c-4174-a252-a7288e2ca3a9"/>
    <d v="2025-04-19T00:00:00"/>
    <d v="1899-12-30T20:09:47"/>
    <n v="20"/>
    <n v="49"/>
    <s v="Gold"/>
    <s v="Geneva"/>
    <s v="BOUTIQUE-SHANGHAI"/>
    <s v="COSMIC-HIGHLIGHT-06"/>
    <s v="Highlighter"/>
    <n v="219.25"/>
    <x v="3"/>
    <n v="0"/>
    <s v="Tablet"/>
    <s v="249.22.231.166"/>
    <x v="0"/>
    <n v="142"/>
    <n v="0.61795134047416012"/>
    <n v="0"/>
    <n v="0"/>
    <n v="1"/>
    <n v="1"/>
    <n v="0"/>
  </r>
  <r>
    <s v="ea21c267-fcef-4ed5-8869-702d54c0441f"/>
    <s v="97cb310e-f35d-4aea-958a-5976d2bc206f"/>
    <d v="2025-03-07T00:00:00"/>
    <d v="1899-12-30T04:15:09"/>
    <n v="4"/>
    <n v="58"/>
    <s v="Silver"/>
    <s v="London"/>
    <s v="FLAGSHIP-ROME"/>
    <s v="GALAXIA-SET-08"/>
    <s v="Concealer"/>
    <n v="218.97"/>
    <x v="3"/>
    <n v="0"/>
    <s v="Mobile"/>
    <s v="216.108.144.23"/>
    <x v="0"/>
    <n v="432"/>
    <n v="0.61407494782085426"/>
    <n v="0"/>
    <n v="1"/>
    <n v="0"/>
    <n v="2"/>
    <n v="0"/>
  </r>
  <r>
    <s v="dd654731-f26f-4027-9313-bfe39d3355e3"/>
    <s v="8469b9c6-6ff2-4839-b08d-2772b9f0a1ee"/>
    <d v="2025-02-20T00:00:00"/>
    <d v="1899-12-30T23:28:56"/>
    <n v="23"/>
    <n v="23"/>
    <s v="Bronze"/>
    <s v="Zurich"/>
    <s v="FLAGSHIP-LA"/>
    <s v="ORION-CONCEAL-09"/>
    <s v="Concealer"/>
    <n v="218.94"/>
    <x v="3"/>
    <n v="0"/>
    <s v="Mobile"/>
    <s v="238.98.140.145"/>
    <x v="0"/>
    <n v="230"/>
    <n v="0.61365962003657148"/>
    <n v="0"/>
    <n v="0"/>
    <n v="1"/>
    <n v="1"/>
    <n v="0"/>
  </r>
  <r>
    <s v="48cc1625-efac-4cea-b2b5-ea7820e9a440"/>
    <s v="fbbf44d3-000e-4248-a8f4-beda06b232c7"/>
    <d v="2025-05-10T00:00:00"/>
    <d v="1899-12-30T12:32:37"/>
    <n v="12"/>
    <n v="57"/>
    <s v="Unknown"/>
    <s v="Sydney"/>
    <s v="FLAGSHIP-PARIS"/>
    <s v="COSMIC-HIGHLIGHT-06"/>
    <s v="Eyeshadow Palette"/>
    <n v="218.9"/>
    <x v="4"/>
    <n v="0"/>
    <s v="Laptop"/>
    <s v="29.218.142.74"/>
    <x v="0"/>
    <n v="189"/>
    <n v="0.6131058496575279"/>
    <n v="0"/>
    <n v="0"/>
    <n v="1"/>
    <n v="1"/>
    <n v="0"/>
  </r>
  <r>
    <s v="abbbe8fa-4780-40c1-bacc-c1600cd6e462"/>
    <s v="b64531e2-c802-47a1-84b5-8ee50b84b3bd"/>
    <d v="2025-04-28T00:00:00"/>
    <d v="1899-12-30T19:51:00"/>
    <n v="19"/>
    <n v="48"/>
    <s v="VIP"/>
    <s v="Miami"/>
    <s v="CONCESSION-SINGAPORE"/>
    <s v="GALAXIA-SET-08"/>
    <s v="Lipstick"/>
    <n v="218.86"/>
    <x v="4"/>
    <n v="0"/>
    <s v="Laptop"/>
    <s v="82.24.93.20"/>
    <x v="0"/>
    <n v="100"/>
    <n v="0.61255207927848432"/>
    <n v="0"/>
    <n v="0"/>
    <n v="1"/>
    <n v="1"/>
    <n v="0"/>
  </r>
  <r>
    <s v="eb63b381-0e4a-4770-a93e-f4c8e6e8e8f3"/>
    <s v="0a943bf6-b7c2-4acd-8145-5356db608683"/>
    <d v="2025-02-27T00:00:00"/>
    <d v="1899-12-30T12:20:23"/>
    <n v="12"/>
    <n v="40"/>
    <s v="Gold"/>
    <s v="Sydney"/>
    <s v="BOUTIQUE-SHANGHAI"/>
    <s v="GALAXIA-SET-08"/>
    <s v="Eyeshadow Palette"/>
    <n v="218.76"/>
    <x v="2"/>
    <n v="1"/>
    <s v="Mobile"/>
    <s v="243.66.108.24"/>
    <x v="0"/>
    <n v="165"/>
    <n v="0.61116765333087475"/>
    <n v="0"/>
    <n v="0"/>
    <n v="1"/>
    <n v="3"/>
    <n v="0"/>
  </r>
  <r>
    <s v="8c8b62ca-2f70-4f76-aae2-4621f7b5b22f"/>
    <s v="623b006e-acfb-43b2-a2e2-67e399b9255c"/>
    <d v="2025-06-07T00:00:00"/>
    <d v="1899-12-30T14:19:23"/>
    <n v="14"/>
    <n v="54"/>
    <s v="Platinum"/>
    <s v="Sydney"/>
    <s v="CONCESSION-SINGAPORE"/>
    <s v="STELLAR-FOUND-03"/>
    <s v="Concealer"/>
    <n v="218.56"/>
    <x v="4"/>
    <n v="0"/>
    <s v="Mobile"/>
    <s v="30.46.93.44"/>
    <x v="0"/>
    <n v="355"/>
    <n v="0.60839880143565639"/>
    <n v="0"/>
    <n v="0"/>
    <n v="0"/>
    <n v="0"/>
    <n v="0"/>
  </r>
  <r>
    <s v="4c78fbd2-dbed-4447-9a19-f06f96c914b3"/>
    <s v="2ddacb16-e6b3-4005-97c8-3e5688809615"/>
    <d v="2025-07-20T00:00:00"/>
    <d v="1899-12-30T10:32:44"/>
    <n v="10"/>
    <n v="54"/>
    <s v="Gold"/>
    <s v="Geneva"/>
    <s v="BOUTIQUE-SHANGHAI"/>
    <s v="NEBULA-SERUM-07"/>
    <s v="Highlighter"/>
    <n v="218.51"/>
    <x v="0"/>
    <n v="0"/>
    <s v="Mobile"/>
    <s v="154.138.252.90"/>
    <x v="0"/>
    <n v="418"/>
    <n v="0.60770658846185166"/>
    <n v="0"/>
    <n v="0"/>
    <n v="0"/>
    <n v="0"/>
    <n v="0"/>
  </r>
  <r>
    <s v="bebd3e6b-900a-44a8-9dbc-6c7bd364ecc5"/>
    <s v="b35be8db-b792-456c-ae4e-ac71f38b4f62"/>
    <d v="2025-05-08T00:00:00"/>
    <d v="1899-12-30T16:32:05"/>
    <n v="16"/>
    <n v="21"/>
    <s v="Silver"/>
    <s v="Hong Kong"/>
    <s v="POPUP-TOKYO"/>
    <s v="STELLAR-FOUND-03"/>
    <s v="Eyeliner"/>
    <n v="218.29"/>
    <x v="1"/>
    <n v="0"/>
    <s v="Laptop"/>
    <s v="217.37.226.191"/>
    <x v="0"/>
    <n v="251"/>
    <n v="0.60466085137711134"/>
    <n v="0"/>
    <n v="0"/>
    <n v="1"/>
    <n v="1"/>
    <n v="0"/>
  </r>
  <r>
    <s v="b50c8fdf-d2b4-497a-89ec-fca22c5c9c48"/>
    <s v="b563005d-e7e8-4ff3-b289-2e08f169ce27"/>
    <d v="2025-07-07T00:00:00"/>
    <d v="1899-12-30T21:24:10"/>
    <n v="21"/>
    <n v="56"/>
    <s v="Silver"/>
    <s v="Cannes"/>
    <s v="BOUTIQUE-SHANGHAI"/>
    <s v="LUNAR-MASC-02"/>
    <s v="Highlighter"/>
    <n v="218.23"/>
    <x v="1"/>
    <n v="0"/>
    <s v="Tablet"/>
    <s v="166.79.253.42"/>
    <x v="0"/>
    <n v="398"/>
    <n v="0.60383019580854569"/>
    <n v="0"/>
    <n v="0"/>
    <n v="0"/>
    <n v="0"/>
    <n v="0"/>
  </r>
  <r>
    <s v="45911596-438d-464e-b17e-3fdc1417ad1e"/>
    <s v="e8dfb75e-f651-40b1-8376-698a4c4d3a0f"/>
    <d v="2025-08-06T00:00:00"/>
    <d v="1899-12-30T19:15:35"/>
    <n v="19"/>
    <n v="64"/>
    <s v="Bronze"/>
    <s v="Milan"/>
    <s v="POPUP-MILAN"/>
    <s v="ORION-CONCEAL-09"/>
    <s v="Mascara"/>
    <n v="218.18"/>
    <x v="1"/>
    <n v="0"/>
    <s v="Laptop"/>
    <s v="107.60.209.81"/>
    <x v="0"/>
    <n v="140"/>
    <n v="0.60313798283474129"/>
    <n v="0"/>
    <n v="0"/>
    <n v="1"/>
    <n v="1"/>
    <n v="0"/>
  </r>
  <r>
    <s v="91786dac-4a3f-4ec0-805e-bf4b68fcdf74"/>
    <s v="f7a63284-046b-462d-a59d-16430d6fcc13"/>
    <d v="2025-03-19T00:00:00"/>
    <d v="1899-12-30T17:18:01"/>
    <n v="17"/>
    <n v="52"/>
    <s v="Bronze"/>
    <s v="Monaco"/>
    <s v="FLAGSHIP-LA"/>
    <s v="ECLIPSE-EYE-10"/>
    <s v="Eyeshadow Palette"/>
    <n v="217.92"/>
    <x v="1"/>
    <n v="0"/>
    <s v="Desktop"/>
    <s v="52.156.160.42"/>
    <x v="0"/>
    <n v="480"/>
    <n v="0.59953847537095706"/>
    <n v="0"/>
    <n v="0"/>
    <n v="0"/>
    <n v="0"/>
    <n v="0"/>
  </r>
  <r>
    <s v="a62b6d9d-cf1c-477f-8a80-b394999cc785"/>
    <s v="730f1ee9-73a8-4a66-bc9e-830493ffbcbb"/>
    <d v="2025-07-29T00:00:00"/>
    <d v="1899-12-30T21:27:51"/>
    <n v="21"/>
    <n v="38"/>
    <s v="Bronze"/>
    <s v="Sydney"/>
    <s v="CONCESSION-SINGAPORE"/>
    <s v="AURORA-LIP-01"/>
    <s v="Serum"/>
    <n v="217.86"/>
    <x v="0"/>
    <n v="0"/>
    <s v="Laptop"/>
    <s v="217.210.163.231"/>
    <x v="0"/>
    <n v="295"/>
    <n v="0.59870781980239185"/>
    <n v="0"/>
    <n v="0"/>
    <n v="0"/>
    <n v="0"/>
    <n v="0"/>
  </r>
  <r>
    <s v="67d193ba-38cd-4a00-872b-d4c5167b429b"/>
    <s v="bc8fa66e-e36b-47a1-821f-a27294733b99"/>
    <d v="2025-03-14T00:00:00"/>
    <d v="1899-12-30T07:10:45"/>
    <n v="7"/>
    <n v="26"/>
    <s v="Bronze"/>
    <s v="Sydney"/>
    <s v="CONCESSION-SINGAPORE"/>
    <s v="ORION-CONCEAL-09"/>
    <s v="Foundation"/>
    <n v="217.78"/>
    <x v="0"/>
    <n v="0"/>
    <s v="Laptop"/>
    <s v="166.147.106.175"/>
    <x v="1"/>
    <n v="231"/>
    <n v="0.59760027904430424"/>
    <n v="0"/>
    <n v="0"/>
    <n v="1"/>
    <n v="1"/>
    <n v="0"/>
  </r>
  <r>
    <s v="642e14b2-5ca7-4826-8515-58b140fa61c0"/>
    <s v="a552136c-c36d-4b83-94d8-0616c6b280a2"/>
    <d v="2025-04-24T00:00:00"/>
    <d v="1899-12-30T18:20:51"/>
    <n v="18"/>
    <n v="41"/>
    <s v="Gold"/>
    <s v="Rome"/>
    <s v="FLAGSHIP-ROME"/>
    <s v="COSMIC-HIGHLIGHT-06"/>
    <s v="Blush"/>
    <n v="217.74"/>
    <x v="3"/>
    <n v="0"/>
    <s v="Desktop"/>
    <s v="239.203.157.3"/>
    <x v="0"/>
    <n v="258"/>
    <n v="0.59704650866526066"/>
    <n v="0"/>
    <n v="0"/>
    <n v="1"/>
    <n v="1"/>
    <n v="0"/>
  </r>
  <r>
    <s v="e6d7ff96-0a49-4c5e-9d90-09ca12ec2cf2"/>
    <s v="716cccfb-ee49-46a2-9db9-c30d7123cfc3"/>
    <d v="2025-08-05T00:00:00"/>
    <d v="1899-12-30T17:57:34"/>
    <n v="17"/>
    <n v="42"/>
    <s v="VIP"/>
    <s v="Monte Carlo"/>
    <s v="BOUTIQUE-SHANGHAI"/>
    <s v="COSMIC-HIGHLIGHT-06"/>
    <s v="Blush"/>
    <n v="217.55"/>
    <x v="1"/>
    <n v="0"/>
    <s v="Laptop"/>
    <s v="18.23.15.81"/>
    <x v="1"/>
    <n v="325"/>
    <n v="0.59441609936480311"/>
    <n v="0"/>
    <n v="0"/>
    <n v="0"/>
    <n v="0"/>
    <n v="0"/>
  </r>
  <r>
    <s v="91cab9e6-6aaa-4734-b0e8-af291c19223a"/>
    <s v="3093b57a-2d28-4569-9931-b704a643963f"/>
    <d v="2025-03-05T00:00:00"/>
    <d v="1899-12-30T20:19:15"/>
    <n v="20"/>
    <n v="62"/>
    <s v="Unknown"/>
    <s v="Singapore"/>
    <s v="FLAGSHIP-PARIS"/>
    <s v="SOLAR-BLUSH-04"/>
    <s v="Blush"/>
    <n v="217.37"/>
    <x v="2"/>
    <n v="1"/>
    <s v="Mobile"/>
    <s v="51.105.194.63"/>
    <x v="0"/>
    <n v="393"/>
    <n v="0.59192413265910637"/>
    <n v="0"/>
    <n v="0"/>
    <n v="0"/>
    <n v="2"/>
    <n v="0"/>
  </r>
  <r>
    <s v="79269968-0621-44f8-8372-5e8f873cd9e5"/>
    <s v="f9c9268d-ad18-4cab-8c95-ee83f0c78978"/>
    <d v="2025-06-27T00:00:00"/>
    <d v="1899-12-30T22:09:00"/>
    <n v="22"/>
    <n v="63"/>
    <s v="Bronze"/>
    <s v="Zurich"/>
    <s v="BOUTIQUE-NYC"/>
    <s v="AURORA-LIP-01"/>
    <s v="Foundation"/>
    <n v="217.33"/>
    <x v="4"/>
    <n v="0"/>
    <s v="Laptop"/>
    <s v="54.82.224.162"/>
    <x v="0"/>
    <n v="377"/>
    <n v="0.59137036228006279"/>
    <n v="0"/>
    <n v="0"/>
    <n v="0"/>
    <n v="0"/>
    <n v="0"/>
  </r>
  <r>
    <s v="ce362443-c81d-46bf-b407-7a747cccdf14"/>
    <s v="1227e1c0-7841-4bdd-b094-7ab526b1dabe"/>
    <d v="2025-06-05T00:00:00"/>
    <d v="1899-12-30T06:53:51"/>
    <n v="6"/>
    <n v="56"/>
    <s v="Silver"/>
    <s v="Rome"/>
    <s v="FLAGSHIP-PARIS"/>
    <s v="AURORA-LIP-01"/>
    <s v="Serum"/>
    <n v="217.09"/>
    <x v="4"/>
    <n v="0"/>
    <s v="Mobile"/>
    <s v="51.249.93.56"/>
    <x v="0"/>
    <n v="347"/>
    <n v="0.58804774000580051"/>
    <n v="0"/>
    <n v="0"/>
    <n v="0"/>
    <n v="0"/>
    <n v="0"/>
  </r>
  <r>
    <s v="50f0883c-6d71-4930-94db-20275ffe73e0"/>
    <s v="091122d2-e1ee-4089-9aef-736730d8955b"/>
    <d v="2025-04-18T00:00:00"/>
    <d v="1899-12-30T01:50:23"/>
    <n v="1"/>
    <n v="20"/>
    <s v="Silver"/>
    <s v="Cannes"/>
    <s v="FLAGSHIP-ROME"/>
    <s v="CELESTE-EYE-05"/>
    <s v="Blush"/>
    <n v="216.99"/>
    <x v="4"/>
    <n v="0"/>
    <s v="Laptop"/>
    <s v="121.176.224.118"/>
    <x v="0"/>
    <n v="289"/>
    <n v="0.58666331405819139"/>
    <n v="0"/>
    <n v="1"/>
    <n v="0"/>
    <n v="2"/>
    <n v="0"/>
  </r>
  <r>
    <s v="51191549-d38b-4ac1-a36b-ea6fedc71143"/>
    <s v="1829770f-e81b-4c6f-864d-07a1bd89dfe1"/>
    <d v="2025-07-12T00:00:00"/>
    <d v="1899-12-30T11:10:08"/>
    <n v="11"/>
    <n v="65"/>
    <s v="Silver"/>
    <s v="Dubai"/>
    <s v="BOUTIQUE-SHANGHAI"/>
    <s v="ECLIPSE-EYE-10"/>
    <s v="Foundation"/>
    <n v="216.98"/>
    <x v="0"/>
    <n v="0"/>
    <s v="Desktop"/>
    <s v="66.28.251.191"/>
    <x v="0"/>
    <n v="77"/>
    <n v="0.58652487146343013"/>
    <n v="0"/>
    <n v="0"/>
    <n v="1"/>
    <n v="1"/>
    <n v="0"/>
  </r>
  <r>
    <s v="190e307b-f72a-4fdb-baa0-93665b4c0e83"/>
    <s v="dc1187d8-c12c-4d33-a090-f095b7e3d556"/>
    <d v="2025-04-23T00:00:00"/>
    <d v="1899-12-30T20:51:59"/>
    <n v="20"/>
    <n v="28"/>
    <s v="Silver"/>
    <s v="Rome"/>
    <s v="FLAGSHIP-LA"/>
    <s v="NEBULA-SERUM-07"/>
    <s v="Serum"/>
    <n v="216.92"/>
    <x v="1"/>
    <n v="0"/>
    <s v="Desktop"/>
    <s v="72.91.134.52"/>
    <x v="0"/>
    <n v="272"/>
    <n v="0.58569421589486459"/>
    <n v="0"/>
    <n v="0"/>
    <n v="1"/>
    <n v="1"/>
    <n v="0"/>
  </r>
  <r>
    <s v="af953374-57f7-41cd-8e90-fb182935d241"/>
    <s v="d03ba101-4889-4025-88ca-f5a57649f1da"/>
    <d v="2025-04-19T00:00:00"/>
    <d v="1899-12-30T03:52:33"/>
    <n v="3"/>
    <n v="18"/>
    <s v="Bronze"/>
    <s v="Tokyo"/>
    <s v="CONCESSION-LONDON"/>
    <s v="GALAXIA-SET-08"/>
    <s v="Blush"/>
    <n v="216.9"/>
    <x v="4"/>
    <n v="0"/>
    <s v="Desktop"/>
    <s v="19.58.59.81"/>
    <x v="0"/>
    <n v="453"/>
    <n v="0.58541733070534296"/>
    <n v="0"/>
    <n v="1"/>
    <n v="0"/>
    <n v="2"/>
    <n v="0"/>
  </r>
  <r>
    <s v="ce0f42c0-122b-48a2-941f-9351d7a82042"/>
    <s v="a855f85a-97a4-45dc-935a-6985504ade23"/>
    <d v="2025-07-26T00:00:00"/>
    <d v="1899-12-30T05:11:36"/>
    <n v="5"/>
    <n v="40"/>
    <s v="Silver"/>
    <s v="Dubai"/>
    <s v="FLAGSHIP-LA"/>
    <s v="ECLIPSE-EYE-10"/>
    <s v="Setting Spray"/>
    <n v="216.8"/>
    <x v="0"/>
    <n v="0"/>
    <s v="Mobile"/>
    <s v="52.82.222.98"/>
    <x v="0"/>
    <n v="161"/>
    <n v="0.58403290475773384"/>
    <n v="0"/>
    <n v="1"/>
    <n v="1"/>
    <n v="3"/>
    <n v="0"/>
  </r>
  <r>
    <s v="c7cba734-15d0-4e9a-a301-0766d8ed3f35"/>
    <s v="e43a15fb-c36a-4eb2-9a2d-30b796adb23b"/>
    <d v="2025-02-21T00:00:00"/>
    <d v="1899-12-30T02:21:13"/>
    <n v="2"/>
    <n v="18"/>
    <s v="Gold"/>
    <s v="Rome"/>
    <s v="BOUTIQUE-SHANGHAI"/>
    <s v="AURORA-LIP-01"/>
    <s v="Concealer"/>
    <n v="216.72"/>
    <x v="1"/>
    <n v="0"/>
    <s v="Laptop"/>
    <s v="250.58.75.227"/>
    <x v="0"/>
    <n v="242"/>
    <n v="0.58292536399964623"/>
    <n v="0"/>
    <n v="1"/>
    <n v="1"/>
    <n v="3"/>
    <n v="0"/>
  </r>
  <r>
    <s v="ca09f2f8-b852-41c1-8cbb-a76e2f6ed646"/>
    <s v="09df1a91-eb66-458d-b0c3-6ae9fab8b1aa"/>
    <d v="2025-05-02T00:00:00"/>
    <d v="1899-12-30T08:57:34"/>
    <n v="8"/>
    <n v="50"/>
    <s v="Gold"/>
    <s v="Dubai"/>
    <s v="POPUP-TOKYO"/>
    <s v="NEBULA-SERUM-07"/>
    <s v="Concealer"/>
    <n v="216.62"/>
    <x v="4"/>
    <n v="0"/>
    <s v="Desktop"/>
    <s v="156.23.2.129"/>
    <x v="0"/>
    <n v="283"/>
    <n v="0.5815409380520371"/>
    <n v="0"/>
    <n v="0"/>
    <n v="0"/>
    <n v="0"/>
    <n v="0"/>
  </r>
  <r>
    <s v="5a2d6606-a9e7-4db1-9dd1-12f0eb08f1ee"/>
    <s v="2814859b-2f60-41ad-b874-520c520a7577"/>
    <d v="2025-04-05T00:00:00"/>
    <d v="1899-12-30T05:26:41"/>
    <n v="5"/>
    <n v="61"/>
    <s v="VIP"/>
    <s v="Hong Kong"/>
    <s v="BOUTIQUE-DUBAI"/>
    <s v="COSMIC-HIGHLIGHT-06"/>
    <s v="Setting Spray"/>
    <n v="216.55"/>
    <x v="4"/>
    <n v="0"/>
    <s v="Desktop"/>
    <s v="74.39.55.84"/>
    <x v="0"/>
    <n v="122"/>
    <n v="0.58057183988871064"/>
    <n v="0"/>
    <n v="1"/>
    <n v="1"/>
    <n v="3"/>
    <n v="0"/>
  </r>
  <r>
    <s v="2329e4bd-2da6-42b4-8b79-365348203aa8"/>
    <s v="dda56f22-4186-4489-a440-71db707c3cbc"/>
    <d v="2025-02-20T00:00:00"/>
    <d v="1899-12-30T22:22:54"/>
    <n v="22"/>
    <n v="26"/>
    <s v="Bronze"/>
    <s v="London"/>
    <s v="BOUTIQUE-SHANGHAI"/>
    <s v="LUNAR-MASC-02"/>
    <s v="Foundation"/>
    <n v="216.46"/>
    <x v="3"/>
    <n v="0"/>
    <s v="Desktop"/>
    <s v="95.98.227.4"/>
    <x v="0"/>
    <n v="183"/>
    <n v="0.57932585653586233"/>
    <n v="0"/>
    <n v="0"/>
    <n v="1"/>
    <n v="1"/>
    <n v="0"/>
  </r>
  <r>
    <s v="3e939b36-3870-47ec-aaa5-0f2ae6304c29"/>
    <s v="1c28496e-29f4-4a35-91bb-d70aaff56d70"/>
    <d v="2025-07-27T00:00:00"/>
    <d v="1899-12-30T19:19:21"/>
    <n v="19"/>
    <n v="61"/>
    <s v="Bronze"/>
    <s v="Cannes"/>
    <s v="FLAGSHIP-LA"/>
    <s v="NEBULA-SERUM-07"/>
    <s v="Highlighter"/>
    <n v="216.42"/>
    <x v="3"/>
    <n v="0"/>
    <s v="Mobile"/>
    <s v="114.20.125.79"/>
    <x v="0"/>
    <n v="202"/>
    <n v="0.5787720861568183"/>
    <n v="0"/>
    <n v="0"/>
    <n v="1"/>
    <n v="1"/>
    <n v="0"/>
  </r>
  <r>
    <s v="3c19fe9e-fb48-4d69-9ce9-82bfa3778fa2"/>
    <s v="34882e13-51ba-4063-8149-a0dc93582fe8"/>
    <d v="2025-05-03T00:00:00"/>
    <d v="1899-12-30T02:52:51"/>
    <n v="2"/>
    <n v="56"/>
    <s v="Bronze"/>
    <s v="Shanghai"/>
    <s v="BOUTIQUE-SHANGHAI"/>
    <s v="ORION-CONCEAL-09"/>
    <s v="Serum"/>
    <n v="216.37"/>
    <x v="1"/>
    <n v="0"/>
    <s v="Laptop"/>
    <s v="114.198.237.186"/>
    <x v="0"/>
    <n v="471"/>
    <n v="0.5780798731830139"/>
    <n v="0"/>
    <n v="1"/>
    <n v="0"/>
    <n v="2"/>
    <n v="0"/>
  </r>
  <r>
    <s v="78bb2ff6-ce8f-4fe4-8094-d766fc4e9baa"/>
    <s v="8fd02852-81f0-4d14-87bb-fb0858556f9f"/>
    <d v="2025-02-16T00:00:00"/>
    <d v="1899-12-30T19:20:58"/>
    <n v="19"/>
    <n v="19"/>
    <s v="VIP"/>
    <s v="Las Vegas"/>
    <s v="CONCESSION-SINGAPORE"/>
    <s v="CELESTE-EYE-05"/>
    <s v="Eyeliner"/>
    <n v="216.09"/>
    <x v="0"/>
    <n v="0"/>
    <s v="Desktop"/>
    <s v="28.222.14.82"/>
    <x v="1"/>
    <n v="187"/>
    <n v="0.57420348052970804"/>
    <n v="0"/>
    <n v="0"/>
    <n v="1"/>
    <n v="1"/>
    <n v="0"/>
  </r>
  <r>
    <s v="9b43187b-d8f9-437c-b046-ffa91efc8779"/>
    <s v="107000cd-f39c-4050-962e-2578688ec53e"/>
    <d v="2025-08-09T00:00:00"/>
    <d v="1899-12-30T00:13:10"/>
    <n v="0"/>
    <n v="43"/>
    <s v="Bronze"/>
    <s v="London"/>
    <s v="BOUTIQUE-SHANGHAI"/>
    <s v="COSMIC-HIGHLIGHT-06"/>
    <s v="Highlighter"/>
    <n v="216.08"/>
    <x v="0"/>
    <n v="0"/>
    <s v="Mobile"/>
    <s v="204.92.196.247"/>
    <x v="0"/>
    <n v="122"/>
    <n v="0.57406503793494723"/>
    <n v="0"/>
    <n v="1"/>
    <n v="1"/>
    <n v="3"/>
    <n v="0"/>
  </r>
  <r>
    <s v="538633b1-4b4b-45c2-a259-79e9ae5b3ae1"/>
    <s v="20c16d0c-c2ce-4aae-9e27-7499840b0010"/>
    <d v="2025-05-20T00:00:00"/>
    <d v="1899-12-30T01:32:22"/>
    <n v="1"/>
    <n v="30"/>
    <s v="Bronze"/>
    <s v="Hong Kong"/>
    <s v="BOUTIQUE-SHANGHAI"/>
    <s v="CELESTE-EYE-05"/>
    <s v="Eyeshadow Palette"/>
    <n v="215.89"/>
    <x v="1"/>
    <n v="0"/>
    <s v="Laptop"/>
    <s v="192.63.193.205"/>
    <x v="0"/>
    <n v="338"/>
    <n v="0.57143462863448935"/>
    <n v="0"/>
    <n v="1"/>
    <n v="0"/>
    <n v="2"/>
    <n v="0"/>
  </r>
  <r>
    <s v="96aa4a72-ff18-44c6-bcaa-0c2e4dd62662"/>
    <s v="c041f3e4-2a4a-4e3a-ae7d-2f4ad3ebabe7"/>
    <d v="2025-03-15T00:00:00"/>
    <d v="1899-12-30T22:10:06"/>
    <n v="22"/>
    <n v="36"/>
    <s v="Bronze"/>
    <s v="Dubai"/>
    <s v="BOUTIQUE-SHANGHAI"/>
    <s v="AURORA-LIP-01"/>
    <s v="Setting Spray"/>
    <n v="215.77"/>
    <x v="3"/>
    <n v="0"/>
    <s v="Mobile"/>
    <s v="155.117.229.214"/>
    <x v="0"/>
    <n v="466"/>
    <n v="0.5697733174973586"/>
    <n v="0"/>
    <n v="0"/>
    <n v="0"/>
    <n v="0"/>
    <n v="0"/>
  </r>
  <r>
    <s v="e7ba3f78-2f6b-41b7-bde9-b7534360af68"/>
    <s v="275a62c2-19e8-4c3f-919e-d007b94a79b5"/>
    <d v="2025-03-15T00:00:00"/>
    <d v="1899-12-30T20:15:06"/>
    <n v="20"/>
    <n v="29"/>
    <s v="Bronze"/>
    <s v="Monte Carlo"/>
    <s v="BOUTIQUE-SHANGHAI"/>
    <s v="CELESTE-EYE-05"/>
    <s v="Concealer"/>
    <n v="215.54"/>
    <x v="3"/>
    <n v="0"/>
    <s v="Desktop"/>
    <s v="161.159.3.248"/>
    <x v="0"/>
    <n v="291"/>
    <n v="0.56658913781785702"/>
    <n v="0"/>
    <n v="0"/>
    <n v="0"/>
    <n v="0"/>
    <n v="0"/>
  </r>
  <r>
    <s v="6a591edd-8cc2-4f95-8597-75c9394d5ec1"/>
    <s v="df77318b-c926-4780-bd73-52a3c523318e"/>
    <d v="2025-05-13T00:00:00"/>
    <d v="1899-12-30T06:26:56"/>
    <n v="6"/>
    <n v="29"/>
    <s v="Silver"/>
    <s v="Hong Kong"/>
    <s v="FLAGSHIP-LA"/>
    <s v="STELLAR-FOUND-03"/>
    <s v="Highlighter"/>
    <n v="215.49"/>
    <x v="3"/>
    <n v="0"/>
    <s v="Mobile"/>
    <s v="213.87.18.197"/>
    <x v="0"/>
    <n v="358"/>
    <n v="0.56589692484405263"/>
    <n v="0"/>
    <n v="0"/>
    <n v="0"/>
    <n v="0"/>
    <n v="0"/>
  </r>
  <r>
    <s v="570ad0a9-0dba-4f51-ad88-4ce5730bba91"/>
    <s v="b9f11229-92b9-4014-8f2a-0b8d37fd8a8d"/>
    <d v="2025-05-23T00:00:00"/>
    <d v="1899-12-30T10:24:58"/>
    <n v="10"/>
    <n v="27"/>
    <s v="VIP"/>
    <s v="Miami"/>
    <s v="FLAGSHIP-PARIS"/>
    <s v="ECLIPSE-EYE-10"/>
    <s v="Lipstick"/>
    <n v="215.28"/>
    <x v="0"/>
    <n v="0"/>
    <s v="Mobile"/>
    <s v="26.112.137.253"/>
    <x v="0"/>
    <n v="224"/>
    <n v="0.56298963035407312"/>
    <n v="0"/>
    <n v="0"/>
    <n v="1"/>
    <n v="1"/>
    <n v="0"/>
  </r>
  <r>
    <s v="35b054c7-9b29-41da-b876-4926878bcb6c"/>
    <s v="f039b6c5-d278-4341-adda-0f389d4a9fea"/>
    <d v="2025-06-04T00:00:00"/>
    <d v="1899-12-30T18:24:27"/>
    <n v="18"/>
    <n v="60"/>
    <s v="Silver"/>
    <s v="Monte Carlo"/>
    <s v="BOUTIQUE-DUBAI"/>
    <s v="ECLIPSE-EYE-10"/>
    <s v="Concealer"/>
    <n v="215.25"/>
    <x v="0"/>
    <n v="0"/>
    <s v="Laptop"/>
    <s v="34.60.108.233"/>
    <x v="0"/>
    <n v="295"/>
    <n v="0.56257430256979035"/>
    <n v="0"/>
    <n v="0"/>
    <n v="0"/>
    <n v="0"/>
    <n v="0"/>
  </r>
  <r>
    <s v="8b33b3ca-2122-4c58-8f05-1a3cee37fbc2"/>
    <s v="e9962070-6543-443f-b647-3d55fa95aa78"/>
    <d v="2025-05-25T00:00:00"/>
    <d v="1899-12-30T02:36:23"/>
    <n v="2"/>
    <n v="25"/>
    <s v="Bronze"/>
    <s v="Las Vegas"/>
    <s v="BOUTIQUE-DUBAI"/>
    <s v="GALAXIA-SET-08"/>
    <s v="Highlighter"/>
    <n v="215.16"/>
    <x v="4"/>
    <n v="0"/>
    <s v="Tablet"/>
    <s v="44.167.210.200"/>
    <x v="0"/>
    <n v="79"/>
    <n v="0.56132831921694193"/>
    <n v="0"/>
    <n v="1"/>
    <n v="1"/>
    <n v="3"/>
    <n v="0"/>
  </r>
  <r>
    <s v="d295aeb0-64c2-40dd-a5cc-0fe9d5b1ee1e"/>
    <s v="a704eab8-6963-4cbc-87d6-a0befd6b2901"/>
    <d v="2025-05-22T00:00:00"/>
    <d v="1899-12-30T16:40:01"/>
    <n v="16"/>
    <n v="26"/>
    <s v="Platinum"/>
    <s v="Sydney"/>
    <s v="BOUTIQUE-DUBAI"/>
    <s v="GALAXIA-SET-08"/>
    <s v="Mascara"/>
    <n v="214.94"/>
    <x v="0"/>
    <n v="0"/>
    <s v="Laptop"/>
    <s v="118.71.142.155"/>
    <x v="0"/>
    <n v="455"/>
    <n v="0.55828258213220161"/>
    <n v="0"/>
    <n v="0"/>
    <n v="0"/>
    <n v="0"/>
    <n v="0"/>
  </r>
  <r>
    <s v="83108c8e-2ede-4e86-a0f6-ea4875c9e523"/>
    <s v="e94cecaf-9db8-49f4-97f6-a17bb5dd1187"/>
    <d v="2025-02-22T00:00:00"/>
    <d v="1899-12-30T21:04:47"/>
    <n v="21"/>
    <n v="35"/>
    <s v="Platinum"/>
    <s v="San Francisco"/>
    <s v="BOUTIQUE-SHANGHAI"/>
    <s v="STELLAR-FOUND-03"/>
    <s v="Setting Spray"/>
    <n v="214.88"/>
    <x v="1"/>
    <n v="0"/>
    <s v="Desktop"/>
    <s v="249.251.176.173"/>
    <x v="0"/>
    <n v="261"/>
    <n v="0.55745192656363607"/>
    <n v="0"/>
    <n v="0"/>
    <n v="1"/>
    <n v="1"/>
    <n v="0"/>
  </r>
  <r>
    <s v="8b211f38-3bcc-4e10-9c39-d9036a385dfc"/>
    <s v="9b0e751c-8760-4f29-adad-71657841d81e"/>
    <d v="2025-07-01T00:00:00"/>
    <d v="1899-12-30T01:15:47"/>
    <n v="1"/>
    <n v="41"/>
    <s v="Bronze"/>
    <s v="Dubai"/>
    <s v="FLAGSHIP-LA"/>
    <s v="ORION-CONCEAL-09"/>
    <s v="Highlighter"/>
    <n v="214.84"/>
    <x v="0"/>
    <n v="0"/>
    <s v="Laptop"/>
    <s v="196.139.204.182"/>
    <x v="0"/>
    <n v="290"/>
    <n v="0.55689815618459249"/>
    <n v="0"/>
    <n v="1"/>
    <n v="0"/>
    <n v="2"/>
    <n v="0"/>
  </r>
  <r>
    <s v="24fcb55f-a1ae-467b-97f9-0d2878a2ef71"/>
    <s v="e7e35696-32d5-4cdb-afe4-8c3169d4ea6f"/>
    <d v="2025-05-05T00:00:00"/>
    <d v="1899-12-30T04:45:21"/>
    <n v="4"/>
    <n v="50"/>
    <s v="Platinum"/>
    <s v="New York"/>
    <s v="CONCESSION-LONDON"/>
    <s v="COSMIC-HIGHLIGHT-06"/>
    <s v="Mascara"/>
    <n v="214.7"/>
    <x v="1"/>
    <n v="0"/>
    <s v="Laptop"/>
    <s v="194.212.86.189"/>
    <x v="0"/>
    <n v="77"/>
    <n v="0.55495995985793933"/>
    <n v="0"/>
    <n v="1"/>
    <n v="1"/>
    <n v="3"/>
    <n v="0"/>
  </r>
  <r>
    <s v="d71bd9d0-635a-4b66-af03-90b9c5aec8f4"/>
    <s v="29f4bc7e-7d98-4887-8ba0-5aa26c048dd1"/>
    <d v="2025-06-12T00:00:00"/>
    <d v="1899-12-30T20:27:52"/>
    <n v="20"/>
    <n v="46"/>
    <s v="Bronze"/>
    <s v="Paris"/>
    <s v="POPUP-MILAN"/>
    <s v="ECLIPSE-EYE-10"/>
    <s v="Serum"/>
    <n v="214.66"/>
    <x v="1"/>
    <n v="0"/>
    <s v="Mobile"/>
    <s v="204.247.107.135"/>
    <x v="0"/>
    <n v="96"/>
    <n v="0.55440618947889575"/>
    <n v="0"/>
    <n v="0"/>
    <n v="1"/>
    <n v="1"/>
    <n v="0"/>
  </r>
  <r>
    <s v="234e1c5b-d676-4afe-b266-37e37566357c"/>
    <s v="e8b618c7-d667-40cb-8756-b66e976d1435"/>
    <d v="2025-03-11T00:00:00"/>
    <d v="1899-12-30T09:43:52"/>
    <n v="9"/>
    <n v="20"/>
    <s v="Silver"/>
    <s v="Paris"/>
    <s v="FLAGSHIP-PARIS"/>
    <s v="AURORA-LIP-01"/>
    <s v="Foundation"/>
    <n v="214.47"/>
    <x v="4"/>
    <n v="0"/>
    <s v="Laptop"/>
    <s v="23.188.87.60"/>
    <x v="0"/>
    <n v="297"/>
    <n v="0.5517757801784382"/>
    <n v="0"/>
    <n v="0"/>
    <n v="0"/>
    <n v="0"/>
    <n v="0"/>
  </r>
  <r>
    <s v="8d3411b8-df71-472d-9891-4cea9538b891"/>
    <s v="16403aa3-9f47-4e73-a89c-147c0485836e"/>
    <d v="2025-07-26T00:00:00"/>
    <d v="1899-12-30T18:14:10"/>
    <n v="18"/>
    <n v="47"/>
    <s v="Silver"/>
    <s v="Cannes"/>
    <s v="POPUP-TOKYO"/>
    <s v="COSMIC-HIGHLIGHT-06"/>
    <s v="Mascara"/>
    <n v="214.4"/>
    <x v="3"/>
    <n v="0"/>
    <s v="Laptop"/>
    <s v="155.82.6.59"/>
    <x v="0"/>
    <n v="401"/>
    <n v="0.55080668201511185"/>
    <n v="0"/>
    <n v="0"/>
    <n v="0"/>
    <n v="0"/>
    <n v="0"/>
  </r>
  <r>
    <s v="37344d7c-a274-4d15-abbd-b867af13155e"/>
    <s v="294c3bf6-b80e-49dc-8fe3-0151a7d113e1"/>
    <d v="2025-08-02T00:00:00"/>
    <d v="1899-12-30T18:46:42"/>
    <n v="18"/>
    <n v="21"/>
    <s v="Bronze"/>
    <s v="San Francisco"/>
    <s v="FLAGSHIP-ROME"/>
    <s v="LUNAR-MASC-02"/>
    <s v="Blush"/>
    <n v="214.12"/>
    <x v="4"/>
    <n v="0"/>
    <s v="Tablet"/>
    <s v="163.38.109.147"/>
    <x v="0"/>
    <n v="309"/>
    <n v="0.54693028936180599"/>
    <n v="0"/>
    <n v="0"/>
    <n v="0"/>
    <n v="0"/>
    <n v="0"/>
  </r>
  <r>
    <s v="f6f89e2c-9da0-460e-88c5-aa6ceb4bfd38"/>
    <s v="5c2dc343-bc6b-4e6b-93de-8bfa0d79515b"/>
    <d v="2025-08-03T00:00:00"/>
    <d v="1899-12-30T22:52:25"/>
    <n v="22"/>
    <n v="46"/>
    <s v="Platinum"/>
    <s v="Monaco"/>
    <s v="CONCESSION-SINGAPORE"/>
    <s v="NEBULA-SERUM-07"/>
    <s v="Mascara"/>
    <n v="213.79"/>
    <x v="1"/>
    <n v="0"/>
    <s v="Tablet"/>
    <s v="34.45.162.221"/>
    <x v="0"/>
    <n v="169"/>
    <n v="0.54236168373469529"/>
    <n v="0"/>
    <n v="0"/>
    <n v="1"/>
    <n v="1"/>
    <n v="0"/>
  </r>
  <r>
    <s v="ad84140d-8547-4730-8478-fb1f5cf609d6"/>
    <s v="a83fd08b-1f87-4422-abfa-e616ff57e1f6"/>
    <d v="2025-02-25T00:00:00"/>
    <d v="1899-12-30T04:41:59"/>
    <n v="4"/>
    <n v="27"/>
    <s v="Silver"/>
    <s v="Miami"/>
    <s v="BOUTIQUE-NYC"/>
    <s v="GALAXIA-SET-08"/>
    <s v="Concealer"/>
    <n v="213.66"/>
    <x v="3"/>
    <n v="0"/>
    <s v="Tablet"/>
    <s v="161.191.135.164"/>
    <x v="0"/>
    <n v="185"/>
    <n v="0.54056193000280328"/>
    <n v="0"/>
    <n v="1"/>
    <n v="1"/>
    <n v="3"/>
    <n v="0"/>
  </r>
  <r>
    <s v="52c51f10-ac4d-4109-9713-2db65d5d1275"/>
    <s v="7f61e34d-1232-40b4-9230-93f11f319659"/>
    <d v="2025-04-02T00:00:00"/>
    <d v="1899-12-30T10:54:17"/>
    <n v="10"/>
    <n v="32"/>
    <s v="Silver"/>
    <s v="Cannes"/>
    <s v="CONCESSION-SINGAPORE"/>
    <s v="STELLAR-FOUND-03"/>
    <s v="Serum"/>
    <n v="213.41"/>
    <x v="0"/>
    <n v="0"/>
    <s v="Tablet"/>
    <s v="67.4.79.64"/>
    <x v="0"/>
    <n v="270"/>
    <n v="0.53710086513378019"/>
    <n v="0"/>
    <n v="0"/>
    <n v="1"/>
    <n v="1"/>
    <n v="0"/>
  </r>
  <r>
    <s v="ba76e600-21d0-4e2c-a28f-66ac7e250d61"/>
    <s v="6d273045-c740-468b-b372-d8d801ce4410"/>
    <d v="2025-07-16T00:00:00"/>
    <d v="1899-12-30T21:30:33"/>
    <n v="21"/>
    <n v="31"/>
    <s v="Gold"/>
    <s v="Las Vegas"/>
    <s v="POPUP-MILAN"/>
    <s v="NEBULA-SERUM-07"/>
    <s v="Eyeshadow Palette"/>
    <n v="213.2"/>
    <x v="3"/>
    <n v="0"/>
    <s v="Tablet"/>
    <s v="29.238.234.214"/>
    <x v="0"/>
    <n v="177"/>
    <n v="0.53419357064380069"/>
    <n v="0"/>
    <n v="0"/>
    <n v="1"/>
    <n v="1"/>
    <n v="0"/>
  </r>
  <r>
    <s v="361058fc-db9a-4adf-9f0f-5a3a87be25ec"/>
    <s v="dabdfdb1-4383-423f-9fdb-3cf2192b54a2"/>
    <d v="2025-08-01T00:00:00"/>
    <d v="1899-12-30T20:49:13"/>
    <n v="20"/>
    <n v="41"/>
    <s v="Silver"/>
    <s v="London"/>
    <s v="FLAGSHIP-ROME"/>
    <s v="ECLIPSE-EYE-10"/>
    <s v="Highlighter"/>
    <n v="213.01"/>
    <x v="1"/>
    <n v="0"/>
    <s v="Tablet"/>
    <s v="146.148.116.85"/>
    <x v="0"/>
    <n v="468"/>
    <n v="0.53156316134334314"/>
    <n v="0"/>
    <n v="0"/>
    <n v="0"/>
    <n v="0"/>
    <n v="0"/>
  </r>
  <r>
    <s v="f1bc0d62-39ae-459d-b974-d6fa085f4ccd"/>
    <s v="92429e6a-dfa8-47ec-a4d7-4039f133a14c"/>
    <d v="2025-07-01T00:00:00"/>
    <d v="1899-12-30T23:37:23"/>
    <n v="23"/>
    <n v="53"/>
    <s v="VIP"/>
    <s v="San Francisco"/>
    <s v="CONCESSION-SINGAPORE"/>
    <s v="SOLAR-BLUSH-04"/>
    <s v="Mascara"/>
    <n v="212.95"/>
    <x v="0"/>
    <n v="0"/>
    <s v="Mobile"/>
    <s v="192.133.186.134"/>
    <x v="0"/>
    <n v="412"/>
    <n v="0.5307325057747776"/>
    <n v="0"/>
    <n v="0"/>
    <n v="0"/>
    <n v="0"/>
    <n v="0"/>
  </r>
  <r>
    <s v="81b5c228-41db-4051-8576-5d1e48023179"/>
    <s v="f7ab63d0-f3c4-42a4-8cbb-aa44a5fb5d85"/>
    <d v="2025-02-15T00:00:00"/>
    <d v="1899-12-30T03:03:53"/>
    <n v="3"/>
    <n v="51"/>
    <s v="Gold"/>
    <s v="Paris"/>
    <s v="CONCESSION-SINGAPORE"/>
    <s v="GALAXIA-SET-08"/>
    <s v="Concealer"/>
    <n v="212.87"/>
    <x v="4"/>
    <n v="0"/>
    <s v="Laptop"/>
    <s v="197.93.48.85"/>
    <x v="0"/>
    <n v="400"/>
    <n v="0.52962496501669032"/>
    <n v="0"/>
    <n v="1"/>
    <n v="0"/>
    <n v="2"/>
    <n v="0"/>
  </r>
  <r>
    <s v="082479a1-a35b-4cd6-a69b-227a55ab1efa"/>
    <s v="5858cbca-cb3a-4e54-9104-2b0922147afb"/>
    <d v="2025-07-04T00:00:00"/>
    <d v="1899-12-30T02:57:06"/>
    <n v="2"/>
    <n v="19"/>
    <s v="VIP"/>
    <s v="Singapore"/>
    <s v="FLAGSHIP-PARIS"/>
    <s v="LUNAR-MASC-02"/>
    <s v="Foundation"/>
    <n v="212.8"/>
    <x v="3"/>
    <n v="0"/>
    <s v="Tablet"/>
    <s v="249.4.74.29"/>
    <x v="0"/>
    <n v="266"/>
    <n v="0.52865586685336396"/>
    <n v="0"/>
    <n v="1"/>
    <n v="1"/>
    <n v="3"/>
    <n v="0"/>
  </r>
  <r>
    <s v="c52efa63-5071-40c8-9dfc-ecb7aa75906f"/>
    <s v="11964f0b-9700-48c1-bd0b-1bf6ae701922"/>
    <d v="2025-08-06T00:00:00"/>
    <d v="1899-12-30T18:47:03"/>
    <n v="18"/>
    <n v="32"/>
    <s v="Gold"/>
    <s v="Hong Kong"/>
    <s v="FLAGSHIP-PARIS"/>
    <s v="COSMIC-HIGHLIGHT-06"/>
    <s v="Concealer"/>
    <n v="212.65"/>
    <x v="1"/>
    <n v="0"/>
    <s v="Tablet"/>
    <s v="50.55.118.109"/>
    <x v="0"/>
    <n v="444"/>
    <n v="0.52657922793195"/>
    <n v="0"/>
    <n v="0"/>
    <n v="0"/>
    <n v="0"/>
    <n v="0"/>
  </r>
  <r>
    <s v="173df0c3-bf3d-47b6-8fd9-476b8bee5290"/>
    <s v="d04a01eb-20bf-4754-ab99-1a768d98c6a3"/>
    <d v="2025-07-10T00:00:00"/>
    <d v="1899-12-30T11:05:44"/>
    <n v="11"/>
    <n v="56"/>
    <s v="Gold"/>
    <s v="Tokyo"/>
    <s v="BOUTIQUE-SHANGHAI"/>
    <s v="NEBULA-SERUM-07"/>
    <s v="Setting Spray"/>
    <n v="212.58"/>
    <x v="0"/>
    <n v="0"/>
    <s v="Mobile"/>
    <s v="84.216.191.74"/>
    <x v="0"/>
    <n v="500"/>
    <n v="0.52561012976862365"/>
    <n v="0"/>
    <n v="0"/>
    <n v="0"/>
    <n v="0"/>
    <n v="0"/>
  </r>
  <r>
    <s v="86ca39de-0b5a-4d6a-aaae-76bb34e46f36"/>
    <s v="59afb5aa-a559-49b8-9b7b-900b46f15d2c"/>
    <d v="2025-04-22T00:00:00"/>
    <d v="1899-12-30T17:31:45"/>
    <n v="17"/>
    <n v="25"/>
    <s v="Bronze"/>
    <s v="Shanghai"/>
    <s v="FLAGSHIP-LA"/>
    <s v="COSMIC-HIGHLIGHT-06"/>
    <s v="Highlighter"/>
    <n v="212.38"/>
    <x v="4"/>
    <n v="0"/>
    <s v="Tablet"/>
    <s v="62.89.19.92"/>
    <x v="0"/>
    <n v="99"/>
    <n v="0.52284127787340495"/>
    <n v="0"/>
    <n v="0"/>
    <n v="1"/>
    <n v="1"/>
    <n v="0"/>
  </r>
  <r>
    <s v="9f7fb0d0-0d02-4dbd-b929-7ac846462fe9"/>
    <s v="32842be1-9585-4d23-bc21-a24d8559476d"/>
    <d v="2025-03-06T00:00:00"/>
    <d v="1899-12-30T19:52:51"/>
    <n v="19"/>
    <n v="44"/>
    <s v="Platinum"/>
    <s v="Las Vegas"/>
    <s v="BOUTIQUE-SHANGHAI"/>
    <s v="NEBULA-SERUM-07"/>
    <s v="Foundation"/>
    <n v="212.09"/>
    <x v="0"/>
    <n v="0"/>
    <s v="Mobile"/>
    <s v="200.199.249.127"/>
    <x v="0"/>
    <n v="211"/>
    <n v="0.51882644262533828"/>
    <n v="0"/>
    <n v="0"/>
    <n v="1"/>
    <n v="1"/>
    <n v="0"/>
  </r>
  <r>
    <s v="1061b322-66fd-476c-921f-41944d644fc2"/>
    <s v="cf0a3d47-29c3-4642-ab00-7b7354a07bfe"/>
    <d v="2025-02-24T00:00:00"/>
    <d v="1899-12-30T13:50:56"/>
    <n v="13"/>
    <n v="22"/>
    <s v="Silver"/>
    <s v="San Francisco"/>
    <s v="BOUTIQUE-NYC"/>
    <s v="CELESTE-EYE-05"/>
    <s v="Mascara"/>
    <n v="212.03"/>
    <x v="1"/>
    <n v="0"/>
    <s v="Laptop"/>
    <s v="49.251.92.144"/>
    <x v="0"/>
    <n v="87"/>
    <n v="0.51799578705677263"/>
    <n v="0"/>
    <n v="0"/>
    <n v="1"/>
    <n v="1"/>
    <n v="0"/>
  </r>
  <r>
    <s v="d25a1fa2-f7cb-4bdf-a5dd-a1bcf84dc263"/>
    <s v="771908bd-c772-4ada-8e6d-bace539114f7"/>
    <d v="2025-02-23T00:00:00"/>
    <d v="1899-12-30T19:02:36"/>
    <n v="19"/>
    <n v="46"/>
    <s v="Gold"/>
    <s v="Milan"/>
    <s v="CONCESSION-LONDON"/>
    <s v="STELLAR-FOUND-03"/>
    <s v="Lipstick"/>
    <n v="211.9"/>
    <x v="0"/>
    <n v="0"/>
    <s v="Mobile"/>
    <s v="52.80.251.51"/>
    <x v="0"/>
    <n v="267"/>
    <n v="0.51619603332488073"/>
    <n v="0"/>
    <n v="0"/>
    <n v="1"/>
    <n v="1"/>
    <n v="0"/>
  </r>
  <r>
    <s v="80156675-057a-44c1-ab35-290695f4a844"/>
    <s v="784eb23c-0078-4297-a913-2951fd75d46a"/>
    <d v="2025-07-16T00:00:00"/>
    <d v="1899-12-30T09:28:30"/>
    <n v="9"/>
    <n v="42"/>
    <s v="Silver"/>
    <s v="Hong Kong"/>
    <s v="POPUP-MILAN"/>
    <s v="LUNAR-MASC-02"/>
    <s v="Blush"/>
    <n v="211.61"/>
    <x v="3"/>
    <n v="0"/>
    <s v="Desktop"/>
    <s v="120.116.235.185"/>
    <x v="0"/>
    <n v="211"/>
    <n v="0.51218119807681395"/>
    <n v="0"/>
    <n v="0"/>
    <n v="1"/>
    <n v="1"/>
    <n v="0"/>
  </r>
  <r>
    <s v="fff3a3d6-f42f-4b48-b617-1f343eb573ff"/>
    <s v="e0c9ed0d-cba7-4b34-88c4-c7d57aba2a11"/>
    <d v="2025-04-24T00:00:00"/>
    <d v="1899-12-30T11:03:31"/>
    <n v="11"/>
    <n v="41"/>
    <s v="Bronze"/>
    <s v="Shanghai"/>
    <s v="BOUTIQUE-SHANGHAI"/>
    <s v="CELESTE-EYE-05"/>
    <s v="Concealer"/>
    <n v="211.56"/>
    <x v="3"/>
    <n v="0"/>
    <s v="Tablet"/>
    <s v="110.213.107.224"/>
    <x v="0"/>
    <n v="321"/>
    <n v="0.51148898510300922"/>
    <n v="0"/>
    <n v="0"/>
    <n v="0"/>
    <n v="0"/>
    <n v="0"/>
  </r>
  <r>
    <s v="54f66157-62ff-468a-8ecd-4ec7f82a4f71"/>
    <s v="8f57247b-e979-4aa2-b602-444518df4518"/>
    <d v="2025-04-02T00:00:00"/>
    <d v="1899-12-30T18:37:46"/>
    <n v="18"/>
    <n v="44"/>
    <s v="Gold"/>
    <s v="Hong Kong"/>
    <s v="BOUTIQUE-NYC"/>
    <s v="ECLIPSE-EYE-10"/>
    <s v="Concealer"/>
    <n v="211.45"/>
    <x v="3"/>
    <n v="0"/>
    <s v="Mobile"/>
    <s v="165.21.248.10"/>
    <x v="0"/>
    <n v="230"/>
    <n v="0.50996611656063884"/>
    <n v="0"/>
    <n v="0"/>
    <n v="1"/>
    <n v="1"/>
    <n v="0"/>
  </r>
  <r>
    <s v="47d156e3-002c-4d71-8f94-09208b28fa6e"/>
    <s v="bc784383-e129-48c8-9367-907c355e5c98"/>
    <d v="2025-03-24T00:00:00"/>
    <d v="1899-12-30T15:50:04"/>
    <n v="15"/>
    <n v="47"/>
    <s v="Unknown"/>
    <s v="Cannes"/>
    <s v="FLAGSHIP-ROME"/>
    <s v="COSMIC-HIGHLIGHT-06"/>
    <s v="Blush"/>
    <n v="211.44"/>
    <x v="4"/>
    <n v="0"/>
    <s v="Desktop"/>
    <s v="142.39.23.55"/>
    <x v="0"/>
    <n v="418"/>
    <n v="0.50982767396587803"/>
    <n v="0"/>
    <n v="0"/>
    <n v="0"/>
    <n v="0"/>
    <n v="0"/>
  </r>
  <r>
    <s v="db0ac684-1292-4e18-acc2-7121d4ab9bdf"/>
    <s v="ae9035e2-3ff9-4774-b9fa-57d0c57da98d"/>
    <d v="2025-07-07T00:00:00"/>
    <d v="1899-12-30T06:34:33"/>
    <n v="6"/>
    <n v="24"/>
    <s v="Silver"/>
    <s v="Singapore"/>
    <s v="BOUTIQUE-NYC"/>
    <s v="NEBULA-SERUM-07"/>
    <s v="Lipstick"/>
    <n v="211.43"/>
    <x v="4"/>
    <n v="0"/>
    <s v="Laptop"/>
    <s v="165.210.218.202"/>
    <x v="0"/>
    <n v="190"/>
    <n v="0.50968923137111721"/>
    <n v="0"/>
    <n v="0"/>
    <n v="1"/>
    <n v="1"/>
    <n v="0"/>
  </r>
  <r>
    <s v="ad6fd1ed-5eaa-4319-89b8-afd84bb5d006"/>
    <s v="784d7e34-7dee-4f94-b009-488e1c80eb78"/>
    <d v="2025-07-05T00:00:00"/>
    <d v="1899-12-30T09:23:51"/>
    <n v="9"/>
    <n v="50"/>
    <s v="Bronze"/>
    <s v="Hong Kong"/>
    <s v="BOUTIQUE-NYC"/>
    <s v="CELESTE-EYE-05"/>
    <s v="Serum"/>
    <n v="211.33"/>
    <x v="0"/>
    <n v="0"/>
    <s v="Laptop"/>
    <s v="62.106.38.78"/>
    <x v="0"/>
    <n v="385"/>
    <n v="0.50830480542350809"/>
    <n v="0"/>
    <n v="0"/>
    <n v="0"/>
    <n v="0"/>
    <n v="0"/>
  </r>
  <r>
    <s v="0e2d8805-b86e-43e6-a7f7-ebae1f894cc1"/>
    <s v="95cdcf56-cc0c-4d98-9894-f14510180723"/>
    <d v="2025-05-09T00:00:00"/>
    <d v="1899-12-30T13:10:03"/>
    <n v="13"/>
    <n v="23"/>
    <s v="Bronze"/>
    <s v="Monaco"/>
    <s v="FLAGSHIP-ROME"/>
    <s v="ECLIPSE-EYE-10"/>
    <s v="Eyeshadow Palette"/>
    <n v="211.28"/>
    <x v="1"/>
    <n v="0"/>
    <s v="Laptop"/>
    <s v="54.111.100.4"/>
    <x v="0"/>
    <n v="394"/>
    <n v="0.50761259244970336"/>
    <n v="0"/>
    <n v="0"/>
    <n v="0"/>
    <n v="0"/>
    <n v="0"/>
  </r>
  <r>
    <s v="aff8ad95-d068-436d-9150-ac4c0e0adf14"/>
    <s v="df07cc1e-51ac-4ffb-8082-0a5595cc23d2"/>
    <d v="2025-04-23T00:00:00"/>
    <d v="1899-12-30T02:31:21"/>
    <n v="2"/>
    <n v="26"/>
    <s v="Platinum"/>
    <s v="Dubai"/>
    <s v="POPUP-TOKYO"/>
    <s v="LUNAR-MASC-02"/>
    <s v="Eyeliner"/>
    <n v="211.26"/>
    <x v="3"/>
    <n v="0"/>
    <s v="Laptop"/>
    <s v="63.28.136.63"/>
    <x v="0"/>
    <n v="496"/>
    <n v="0.50733570726018129"/>
    <n v="0"/>
    <n v="1"/>
    <n v="0"/>
    <n v="2"/>
    <n v="0"/>
  </r>
  <r>
    <s v="8216ffa4-ced3-42b8-a746-16d0c1ba5ee6"/>
    <s v="bd117650-739a-4455-b8c9-4ba90608fd81"/>
    <d v="2025-05-15T00:00:00"/>
    <d v="1899-12-30T18:12:37"/>
    <n v="18"/>
    <n v="18"/>
    <s v="Silver"/>
    <s v="Hong Kong"/>
    <s v="POPUP-MILAN"/>
    <s v="GALAXIA-SET-08"/>
    <s v="Mascara"/>
    <n v="211.21"/>
    <x v="0"/>
    <n v="0"/>
    <s v="Mobile"/>
    <s v="198.237.75.242"/>
    <x v="0"/>
    <n v="334"/>
    <n v="0.50664349428637689"/>
    <n v="0"/>
    <n v="0"/>
    <n v="0"/>
    <n v="0"/>
    <n v="0"/>
  </r>
  <r>
    <s v="b9a86078-1660-4297-954b-3b6c4dfa5be9"/>
    <s v="ddcad476-604d-45f0-910b-d7803447d39c"/>
    <d v="2025-03-04T00:00:00"/>
    <d v="1899-12-30T16:16:52"/>
    <n v="16"/>
    <n v="20"/>
    <s v="Bronze"/>
    <s v="Hong Kong"/>
    <s v="POPUP-TOKYO"/>
    <s v="ORION-CONCEAL-09"/>
    <s v="Eyeshadow Palette"/>
    <n v="211.2"/>
    <x v="4"/>
    <n v="0"/>
    <s v="Mobile"/>
    <s v="101.193.114.10"/>
    <x v="0"/>
    <n v="402"/>
    <n v="0.50650505169161575"/>
    <n v="0"/>
    <n v="0"/>
    <n v="0"/>
    <n v="0"/>
    <n v="0"/>
  </r>
  <r>
    <s v="b45b2b77-ed88-4793-b12a-79eb4595e8b2"/>
    <s v="a991af0b-7b1a-4ef4-a65c-ba8a165f0883"/>
    <d v="2025-02-17T00:00:00"/>
    <d v="1899-12-30T13:36:23"/>
    <n v="13"/>
    <n v="55"/>
    <s v="Bronze"/>
    <s v="Monte Carlo"/>
    <s v="BOUTIQUE-NYC"/>
    <s v="STELLAR-FOUND-03"/>
    <s v="Foundation"/>
    <n v="211.13"/>
    <x v="4"/>
    <n v="0"/>
    <s v="Laptop"/>
    <s v="95.22.148.76"/>
    <x v="0"/>
    <n v="485"/>
    <n v="0.50553595352828939"/>
    <n v="0"/>
    <n v="0"/>
    <n v="0"/>
    <n v="0"/>
    <n v="0"/>
  </r>
  <r>
    <s v="ef0f1b49-c4a2-412f-ba08-233ef545b0d6"/>
    <s v="966cd10c-0da0-4d05-83c3-2693c0392cf3"/>
    <d v="2025-05-24T00:00:00"/>
    <d v="1899-12-30T21:46:07"/>
    <n v="21"/>
    <n v="32"/>
    <s v="Gold"/>
    <s v="Los Angeles"/>
    <s v="POPUP-TOKYO"/>
    <s v="NEBULA-SERUM-07"/>
    <s v="Foundation"/>
    <n v="210.89"/>
    <x v="0"/>
    <n v="0"/>
    <s v="Mobile"/>
    <s v="108.217.206.153"/>
    <x v="0"/>
    <n v="200"/>
    <n v="0.50221333125402701"/>
    <n v="0"/>
    <n v="0"/>
    <n v="1"/>
    <n v="1"/>
    <n v="0"/>
  </r>
  <r>
    <s v="32411382-8578-4c10-8efa-a602ae624bbd"/>
    <s v="7f254080-5c0d-440a-8719-a69cea2b130d"/>
    <d v="2025-05-20T00:00:00"/>
    <d v="1899-12-30T16:35:20"/>
    <n v="16"/>
    <n v="41"/>
    <s v="VIP"/>
    <s v="Rome"/>
    <s v="FLAGSHIP-LA"/>
    <s v="LUNAR-MASC-02"/>
    <s v="Highlighter"/>
    <n v="210.87"/>
    <x v="3"/>
    <n v="0"/>
    <s v="Mobile"/>
    <s v="49.255.93.111"/>
    <x v="0"/>
    <n v="265"/>
    <n v="0.50193644606450549"/>
    <n v="0"/>
    <n v="0"/>
    <n v="1"/>
    <n v="1"/>
    <n v="0"/>
  </r>
  <r>
    <s v="50c8d043-6905-4203-b9d4-58243a394c8f"/>
    <s v="e56696d9-678c-4efb-a4d6-6c45c02b4541"/>
    <d v="2025-05-27T00:00:00"/>
    <d v="1899-12-30T09:26:58"/>
    <n v="9"/>
    <n v="65"/>
    <s v="Silver"/>
    <s v="Shanghai"/>
    <s v="POPUP-TOKYO"/>
    <s v="LUNAR-MASC-02"/>
    <s v="Serum"/>
    <n v="210.75"/>
    <x v="3"/>
    <n v="0"/>
    <s v="Tablet"/>
    <s v="162.60.105.185"/>
    <x v="0"/>
    <n v="155"/>
    <n v="0.5002751349273743"/>
    <n v="0"/>
    <n v="0"/>
    <n v="1"/>
    <n v="1"/>
    <n v="0"/>
  </r>
  <r>
    <s v="41d554a0-0e4c-41d2-822b-16ed475e20e6"/>
    <s v="2c9bb790-0534-4f44-ae30-b243d126b437"/>
    <d v="2025-03-22T00:00:00"/>
    <d v="1899-12-30T02:13:10"/>
    <n v="2"/>
    <n v="58"/>
    <s v="Gold"/>
    <s v="Monaco"/>
    <s v="BOUTIQUE-DUBAI"/>
    <s v="SOLAR-BLUSH-04"/>
    <s v="Eyeshadow Palette"/>
    <n v="210.64"/>
    <x v="0"/>
    <n v="0"/>
    <s v="Tablet"/>
    <s v="222.187.238.177"/>
    <x v="0"/>
    <n v="409"/>
    <n v="0.49875226638500392"/>
    <n v="0"/>
    <n v="1"/>
    <n v="0"/>
    <n v="2"/>
    <n v="0"/>
  </r>
  <r>
    <s v="4622a5de-9ea0-489b-9ffc-717575b77df0"/>
    <s v="a4574dde-0da4-4398-889b-4c581f28aae1"/>
    <d v="2025-02-21T00:00:00"/>
    <d v="1899-12-30T03:57:36"/>
    <n v="3"/>
    <n v="31"/>
    <s v="Platinum"/>
    <s v="Hong Kong"/>
    <s v="CONCESSION-SINGAPORE"/>
    <s v="LUNAR-MASC-02"/>
    <s v="Highlighter"/>
    <n v="210.4"/>
    <x v="2"/>
    <n v="1"/>
    <s v="Laptop"/>
    <s v="128.181.173.115"/>
    <x v="0"/>
    <n v="263"/>
    <n v="0.49542964411074203"/>
    <n v="0"/>
    <n v="1"/>
    <n v="1"/>
    <n v="5"/>
    <n v="1"/>
  </r>
  <r>
    <s v="0a1d08dd-4236-4a63-889d-73f631760544"/>
    <s v="b4de99e0-a618-4dcd-a1a2-9f96bdd8a7f1"/>
    <d v="2025-04-01T00:00:00"/>
    <d v="1899-12-30T17:43:51"/>
    <n v="17"/>
    <n v="33"/>
    <s v="Gold"/>
    <s v="Las Vegas"/>
    <s v="FLAGSHIP-LA"/>
    <s v="LUNAR-MASC-02"/>
    <s v="Concealer"/>
    <n v="210.37"/>
    <x v="0"/>
    <n v="0"/>
    <s v="Mobile"/>
    <s v="222.150.190.212"/>
    <x v="0"/>
    <n v="352"/>
    <n v="0.4950143163264592"/>
    <n v="0"/>
    <n v="0"/>
    <n v="0"/>
    <n v="0"/>
    <n v="0"/>
  </r>
  <r>
    <s v="d5dca143-a9d1-4e9e-9aec-25f0f9a1bf3f"/>
    <s v="da0f698f-1468-48c2-9cc9-ac9db4f5998c"/>
    <d v="2025-03-26T00:00:00"/>
    <d v="1899-12-30T14:40:08"/>
    <n v="14"/>
    <n v="41"/>
    <s v="Silver"/>
    <s v="Shanghai"/>
    <s v="FLAGSHIP-LA"/>
    <s v="NEBULA-SERUM-07"/>
    <s v="Blush"/>
    <n v="210.23"/>
    <x v="3"/>
    <n v="0"/>
    <s v="Desktop"/>
    <s v="126.88.242.53"/>
    <x v="0"/>
    <n v="86"/>
    <n v="0.49307611999980611"/>
    <n v="0"/>
    <n v="0"/>
    <n v="1"/>
    <n v="1"/>
    <n v="0"/>
  </r>
  <r>
    <s v="188f9927-a1ac-4797-9c36-a36008fc4c5d"/>
    <s v="e0a4aa26-e50e-4d10-b5a8-df26820a8630"/>
    <d v="2025-04-04T00:00:00"/>
    <d v="1899-12-30T15:54:07"/>
    <n v="15"/>
    <n v="39"/>
    <s v="Silver"/>
    <s v="Shanghai"/>
    <s v="POPUP-TOKYO"/>
    <s v="STELLAR-FOUND-03"/>
    <s v="Eyeliner"/>
    <n v="209.98"/>
    <x v="4"/>
    <n v="0"/>
    <s v="Laptop"/>
    <s v="26.166.32.94"/>
    <x v="1"/>
    <n v="101"/>
    <n v="0.48961505513078296"/>
    <n v="0"/>
    <n v="0"/>
    <n v="1"/>
    <n v="1"/>
    <n v="0"/>
  </r>
  <r>
    <s v="ea6b9464-d35e-4990-ba1d-07fddefcc21a"/>
    <s v="8a3c1a9d-dac5-4c02-87ad-6c453e363a42"/>
    <d v="2025-05-12T00:00:00"/>
    <d v="1899-12-30T17:24:57"/>
    <n v="17"/>
    <n v="56"/>
    <s v="Bronze"/>
    <s v="Rome"/>
    <s v="FLAGSHIP-LA"/>
    <s v="GALAXIA-SET-08"/>
    <s v="Setting Spray"/>
    <n v="209.9"/>
    <x v="1"/>
    <n v="0"/>
    <s v="Tablet"/>
    <s v="198.70.207.94"/>
    <x v="0"/>
    <n v="131"/>
    <n v="0.48850751437269579"/>
    <n v="0"/>
    <n v="0"/>
    <n v="1"/>
    <n v="1"/>
    <n v="0"/>
  </r>
  <r>
    <s v="a50eda50-615c-43f8-9853-ebad82c8fc50"/>
    <s v="11d2d86c-dda6-41b8-ab89-6316996ce363"/>
    <d v="2025-04-26T00:00:00"/>
    <d v="1899-12-30T06:21:38"/>
    <n v="6"/>
    <n v="51"/>
    <s v="Platinum"/>
    <s v="Shanghai"/>
    <s v="BOUTIQUE-NYC"/>
    <s v="NEBULA-SERUM-07"/>
    <s v="Serum"/>
    <n v="209.89"/>
    <x v="0"/>
    <n v="0"/>
    <s v="Tablet"/>
    <s v="199.31.195.198"/>
    <x v="0"/>
    <n v="192"/>
    <n v="0.48836907177793459"/>
    <n v="0"/>
    <n v="0"/>
    <n v="1"/>
    <n v="1"/>
    <n v="0"/>
  </r>
  <r>
    <s v="c40cc48d-acdd-43ca-b3ae-bc3706238668"/>
    <s v="e0dd4109-31b9-46bc-bca1-5ad637cfd1cb"/>
    <d v="2025-04-30T00:00:00"/>
    <d v="1899-12-30T18:31:21"/>
    <n v="18"/>
    <n v="20"/>
    <s v="Bronze"/>
    <s v="Zurich"/>
    <s v="FLAGSHIP-ROME"/>
    <s v="ECLIPSE-EYE-10"/>
    <s v="Mascara"/>
    <n v="209.86"/>
    <x v="0"/>
    <n v="0"/>
    <s v="Tablet"/>
    <s v="180.104.73.253"/>
    <x v="0"/>
    <n v="110"/>
    <n v="0.48795374399365221"/>
    <n v="0"/>
    <n v="0"/>
    <n v="1"/>
    <n v="1"/>
    <n v="0"/>
  </r>
  <r>
    <s v="945118a5-6766-47de-91b1-7b546c4c382f"/>
    <s v="083dd838-64c4-4e14-95c8-ee67ed8b130e"/>
    <d v="2025-07-24T00:00:00"/>
    <d v="1899-12-30T23:14:34"/>
    <n v="23"/>
    <n v="29"/>
    <s v="Silver"/>
    <s v="Tokyo"/>
    <s v="POPUP-TOKYO"/>
    <s v="SOLAR-BLUSH-04"/>
    <s v="Serum"/>
    <n v="209.79"/>
    <x v="1"/>
    <n v="0"/>
    <s v="Desktop"/>
    <s v="121.102.165.67"/>
    <x v="0"/>
    <n v="233"/>
    <n v="0.48698464583032541"/>
    <n v="0"/>
    <n v="0"/>
    <n v="1"/>
    <n v="1"/>
    <n v="0"/>
  </r>
  <r>
    <s v="02e3812e-4502-4401-a4b0-59a068a8ca98"/>
    <s v="59c19218-5121-4b78-8f32-5bcc23509544"/>
    <d v="2025-06-14T00:00:00"/>
    <d v="1899-12-30T05:49:45"/>
    <n v="5"/>
    <n v="39"/>
    <s v="Silver"/>
    <s v="Los Angeles"/>
    <s v="FLAGSHIP-LA"/>
    <s v="STELLAR-FOUND-03"/>
    <s v="Eyeshadow Palette"/>
    <n v="209.41"/>
    <x v="4"/>
    <n v="0"/>
    <s v="Desktop"/>
    <s v="26.149.211.14"/>
    <x v="0"/>
    <n v="130"/>
    <n v="0.48172382722941037"/>
    <n v="0"/>
    <n v="1"/>
    <n v="1"/>
    <n v="3"/>
    <n v="0"/>
  </r>
  <r>
    <s v="64e039c9-d9ef-4fbc-b736-c3926e128d73"/>
    <s v="f46e68b8-245a-4ea2-9166-0a76341ab7d6"/>
    <d v="2025-06-18T00:00:00"/>
    <d v="1899-12-30T16:52:48"/>
    <n v="16"/>
    <n v="58"/>
    <s v="Bronze"/>
    <s v="Monaco"/>
    <s v="BOUTIQUE-SHANGHAI"/>
    <s v="ECLIPSE-EYE-10"/>
    <s v="Blush"/>
    <n v="209.24"/>
    <x v="1"/>
    <n v="0"/>
    <s v="Tablet"/>
    <s v="118.41.126.157"/>
    <x v="0"/>
    <n v="74"/>
    <n v="0.47937030311847484"/>
    <n v="0"/>
    <n v="0"/>
    <n v="1"/>
    <n v="1"/>
    <n v="0"/>
  </r>
  <r>
    <s v="8018f872-b0af-439a-a508-2964597c790d"/>
    <s v="53bd9705-aba4-41b2-8607-e34c873ddd6f"/>
    <d v="2025-04-26T00:00:00"/>
    <d v="1899-12-30T23:44:18"/>
    <n v="23"/>
    <n v="37"/>
    <s v="Bronze"/>
    <s v="Rome"/>
    <s v="FLAGSHIP-ROME"/>
    <s v="SOLAR-BLUSH-04"/>
    <s v="Highlighter"/>
    <n v="209.13"/>
    <x v="0"/>
    <n v="0"/>
    <s v="Mobile"/>
    <s v="76.99.73.16"/>
    <x v="0"/>
    <n v="184"/>
    <n v="0.47784743457610446"/>
    <n v="0"/>
    <n v="0"/>
    <n v="1"/>
    <n v="1"/>
    <n v="0"/>
  </r>
  <r>
    <s v="7f863882-356b-4366-b07b-e308dc504ad0"/>
    <s v="fe19e27d-ecb9-427e-bb0c-440104a7aea9"/>
    <d v="2025-03-13T00:00:00"/>
    <d v="1899-12-30T07:01:57"/>
    <n v="7"/>
    <n v="18"/>
    <s v="Silver"/>
    <s v="Miami"/>
    <s v="FLAGSHIP-PARIS"/>
    <s v="GALAXIA-SET-08"/>
    <s v="Setting Spray"/>
    <n v="209.12"/>
    <x v="2"/>
    <n v="1"/>
    <s v="Desktop"/>
    <s v="123.17.185.14"/>
    <x v="0"/>
    <n v="208"/>
    <n v="0.47770899198134364"/>
    <n v="0"/>
    <n v="0"/>
    <n v="1"/>
    <n v="3"/>
    <n v="0"/>
  </r>
  <r>
    <s v="cf2157ae-e8ba-4825-82de-180b03617f89"/>
    <s v="81a7f3f5-0cb8-4763-a00b-189e0f0498c9"/>
    <d v="2025-06-22T00:00:00"/>
    <d v="1899-12-30T15:08:52"/>
    <n v="15"/>
    <n v="21"/>
    <s v="Bronze"/>
    <s v="Dubai"/>
    <s v="FLAGSHIP-PARIS"/>
    <s v="AURORA-LIP-01"/>
    <s v="Setting Spray"/>
    <n v="208.97"/>
    <x v="3"/>
    <n v="0"/>
    <s v="Laptop"/>
    <s v="60.50.64.60"/>
    <x v="0"/>
    <n v="211"/>
    <n v="0.47563235305992974"/>
    <n v="0"/>
    <n v="0"/>
    <n v="1"/>
    <n v="1"/>
    <n v="0"/>
  </r>
  <r>
    <s v="0f6a98f1-6205-48f6-a2d2-63f7f80de580"/>
    <s v="62dce49b-0351-467e-ab7b-185f1852d207"/>
    <d v="2025-04-27T00:00:00"/>
    <d v="1899-12-30T14:02:16"/>
    <n v="14"/>
    <n v="53"/>
    <s v="Silver"/>
    <s v="London"/>
    <s v="BOUTIQUE-SHANGHAI"/>
    <s v="GALAXIA-SET-08"/>
    <s v="Eyeliner"/>
    <n v="208.91"/>
    <x v="4"/>
    <n v="0"/>
    <s v="Laptop"/>
    <s v="251.63.152.186"/>
    <x v="0"/>
    <n v="351"/>
    <n v="0.47480169749136414"/>
    <n v="0"/>
    <n v="0"/>
    <n v="0"/>
    <n v="0"/>
    <n v="0"/>
  </r>
  <r>
    <s v="06011432-feca-4014-8f88-3562cb7118e3"/>
    <s v="d082a9d8-8060-4dc9-a75e-004ca2c685f2"/>
    <d v="2025-04-27T00:00:00"/>
    <d v="1899-12-30T07:13:57"/>
    <n v="7"/>
    <n v="19"/>
    <s v="Bronze"/>
    <s v="Dubai"/>
    <s v="POPUP-MILAN"/>
    <s v="AURORA-LIP-01"/>
    <s v="Blush"/>
    <n v="208.86"/>
    <x v="2"/>
    <n v="1"/>
    <s v="Laptop"/>
    <s v="176.108.196.216"/>
    <x v="0"/>
    <n v="366"/>
    <n v="0.47410948451755974"/>
    <n v="0"/>
    <n v="0"/>
    <n v="0"/>
    <n v="2"/>
    <n v="0"/>
  </r>
  <r>
    <s v="001a6603-1da9-4231-b1db-94cc5abd1fcf"/>
    <s v="f8eec5b5-e2eb-4044-8d10-25dcf74473e5"/>
    <d v="2025-02-28T00:00:00"/>
    <d v="1899-12-30T19:36:08"/>
    <n v="19"/>
    <n v="25"/>
    <s v="Platinum"/>
    <s v="Geneva"/>
    <s v="CONCESSION-LONDON"/>
    <s v="STELLAR-FOUND-03"/>
    <s v="Concealer"/>
    <n v="208.75"/>
    <x v="1"/>
    <n v="0"/>
    <s v="Mobile"/>
    <s v="22.10.4.27"/>
    <x v="0"/>
    <n v="445"/>
    <n v="0.47258661597518942"/>
    <n v="0"/>
    <n v="0"/>
    <n v="0"/>
    <n v="0"/>
    <n v="0"/>
  </r>
  <r>
    <s v="41bfa5cf-f3fa-496b-9ec7-e47f25d04323"/>
    <s v="f045cf62-9bfa-4d2b-bdcc-532d5b56a518"/>
    <d v="2025-03-01T00:00:00"/>
    <d v="1899-12-30T10:43:08"/>
    <n v="10"/>
    <n v="21"/>
    <s v="Bronze"/>
    <s v="Rome"/>
    <s v="BOUTIQUE-DUBAI"/>
    <s v="SOLAR-BLUSH-04"/>
    <s v="Eyeshadow Palette"/>
    <n v="208.71"/>
    <x v="4"/>
    <n v="0"/>
    <s v="Desktop"/>
    <s v="1.81.111.4"/>
    <x v="0"/>
    <n v="196"/>
    <n v="0.47203284559614578"/>
    <n v="0"/>
    <n v="0"/>
    <n v="1"/>
    <n v="1"/>
    <n v="0"/>
  </r>
  <r>
    <s v="85e389db-4d6c-4d7e-8ee0-a5b6b214f98e"/>
    <s v="4af0873e-0159-4a35-8834-8bf55a6a2b1f"/>
    <d v="2025-07-17T00:00:00"/>
    <d v="1899-12-30T08:44:39"/>
    <n v="8"/>
    <n v="65"/>
    <s v="Bronze"/>
    <s v="Singapore"/>
    <s v="CONCESSION-SINGAPORE"/>
    <s v="NEBULA-SERUM-07"/>
    <s v="Eyeshadow Palette"/>
    <n v="208.55"/>
    <x v="2"/>
    <n v="1"/>
    <s v="Desktop"/>
    <s v="214.124.129.191"/>
    <x v="0"/>
    <n v="312"/>
    <n v="0.46981776407997106"/>
    <n v="0"/>
    <n v="0"/>
    <n v="0"/>
    <n v="2"/>
    <n v="0"/>
  </r>
  <r>
    <s v="1a9bbc48-1792-47cd-b93a-e9242155e1f1"/>
    <s v="738e1c20-6c99-4fed-8649-eb8426041c12"/>
    <d v="2025-04-09T00:00:00"/>
    <d v="1899-12-30T01:58:23"/>
    <n v="1"/>
    <n v="50"/>
    <s v="VIP"/>
    <s v="Las Vegas"/>
    <s v="BOUTIQUE-NYC"/>
    <s v="COSMIC-HIGHLIGHT-06"/>
    <s v="Eyeliner"/>
    <n v="208.53"/>
    <x v="3"/>
    <n v="0"/>
    <s v="Mobile"/>
    <s v="129.199.67.56"/>
    <x v="0"/>
    <n v="76"/>
    <n v="0.46954087889044904"/>
    <n v="0"/>
    <n v="1"/>
    <n v="1"/>
    <n v="3"/>
    <n v="0"/>
  </r>
  <r>
    <s v="bd6ac6a0-bcc4-47a3-b825-0e885ee6fce5"/>
    <s v="9b7468c6-b834-45e5-8a68-f3f7f13be346"/>
    <d v="2025-08-11T00:00:00"/>
    <d v="1899-12-30T19:03:19"/>
    <n v="19"/>
    <n v="55"/>
    <s v="Gold"/>
    <s v="London"/>
    <s v="FLAGSHIP-ROME"/>
    <s v="AURORA-LIP-01"/>
    <s v="Mascara"/>
    <n v="208.52"/>
    <x v="4"/>
    <n v="0"/>
    <s v="Desktop"/>
    <s v="206.254.162.139"/>
    <x v="0"/>
    <n v="155"/>
    <n v="0.46940243629568829"/>
    <n v="0"/>
    <n v="0"/>
    <n v="1"/>
    <n v="1"/>
    <n v="0"/>
  </r>
  <r>
    <s v="d2eae354-6bd9-43e2-a8c7-cd9458bdde36"/>
    <s v="00ac49cb-23ea-46d3-bd56-660d16ee9974"/>
    <d v="2025-08-09T00:00:00"/>
    <d v="1899-12-30T00:15:02"/>
    <n v="0"/>
    <n v="45"/>
    <s v="Gold"/>
    <s v="Los Angeles"/>
    <s v="CONCESSION-LONDON"/>
    <s v="LUNAR-MASC-02"/>
    <s v="Setting Spray"/>
    <n v="208.51"/>
    <x v="1"/>
    <n v="0"/>
    <s v="Desktop"/>
    <s v="15.64.224.92"/>
    <x v="0"/>
    <n v="132"/>
    <n v="0.46926399370092708"/>
    <n v="0"/>
    <n v="1"/>
    <n v="1"/>
    <n v="3"/>
    <n v="0"/>
  </r>
  <r>
    <s v="d675b7e4-b001-4eb5-870e-85b5867168cd"/>
    <s v="36369ad4-55ad-487f-bd07-6208878fbefa"/>
    <d v="2025-03-15T00:00:00"/>
    <d v="1899-12-30T06:28:19"/>
    <n v="6"/>
    <n v="43"/>
    <s v="Silver"/>
    <s v="Monaco"/>
    <s v="FLAGSHIP-LA"/>
    <s v="ECLIPSE-EYE-10"/>
    <s v="Eyeliner"/>
    <n v="208.45"/>
    <x v="4"/>
    <n v="0"/>
    <s v="Tablet"/>
    <s v="45.7.205.161"/>
    <x v="0"/>
    <n v="396"/>
    <n v="0.46843333813236149"/>
    <n v="0"/>
    <n v="0"/>
    <n v="0"/>
    <n v="0"/>
    <n v="0"/>
  </r>
  <r>
    <s v="980aefc5-d0da-42c4-a52e-95f07267f81c"/>
    <s v="f3195f21-9da3-4045-a75f-7da74130a534"/>
    <d v="2025-07-29T00:00:00"/>
    <d v="1899-12-30T02:22:16"/>
    <n v="2"/>
    <n v="33"/>
    <s v="Bronze"/>
    <s v="Monaco"/>
    <s v="BOUTIQUE-DUBAI"/>
    <s v="STELLAR-FOUND-03"/>
    <s v="Lipstick"/>
    <n v="208.43"/>
    <x v="4"/>
    <n v="0"/>
    <s v="Desktop"/>
    <s v="80.31.97.198"/>
    <x v="0"/>
    <n v="434"/>
    <n v="0.46815645294283992"/>
    <n v="0"/>
    <n v="1"/>
    <n v="0"/>
    <n v="2"/>
    <n v="0"/>
  </r>
  <r>
    <s v="be15b430-c39d-4bd4-82f7-8ed629e865e3"/>
    <s v="3f5b878d-47b0-4a67-9935-2d7c415c5bfd"/>
    <d v="2025-05-11T00:00:00"/>
    <d v="1899-12-30T08:09:10"/>
    <n v="8"/>
    <n v="31"/>
    <s v="Bronze"/>
    <s v="Hong Kong"/>
    <s v="FLAGSHIP-PARIS"/>
    <s v="LUNAR-MASC-02"/>
    <s v="Serum"/>
    <n v="208.33"/>
    <x v="4"/>
    <n v="0"/>
    <s v="Laptop"/>
    <s v="40.149.32.115"/>
    <x v="0"/>
    <n v="239"/>
    <n v="0.46677202699523074"/>
    <n v="0"/>
    <n v="0"/>
    <n v="1"/>
    <n v="1"/>
    <n v="0"/>
  </r>
  <r>
    <s v="1db46668-ffc2-4370-8682-31e026902c87"/>
    <s v="ed5366ab-e8c7-478a-9505-4f782b47cf72"/>
    <d v="2025-08-09T00:00:00"/>
    <d v="1899-12-30T15:58:42"/>
    <n v="15"/>
    <n v="31"/>
    <s v="Silver"/>
    <s v="Monaco"/>
    <s v="BOUTIQUE-DUBAI"/>
    <s v="GALAXIA-SET-08"/>
    <s v="Eyeshadow Palette"/>
    <n v="208.27"/>
    <x v="3"/>
    <n v="0"/>
    <s v="Desktop"/>
    <s v="243.135.68.209"/>
    <x v="0"/>
    <n v="469"/>
    <n v="0.46594137142666514"/>
    <n v="0"/>
    <n v="0"/>
    <n v="0"/>
    <n v="0"/>
    <n v="0"/>
  </r>
  <r>
    <s v="04660be2-d4ea-4d9f-9584-b1f21b0a4bbd"/>
    <s v="0e6b726b-6033-454a-99d9-23dddb1f53cc"/>
    <d v="2025-08-06T00:00:00"/>
    <d v="1899-12-30T08:49:27"/>
    <n v="8"/>
    <n v="44"/>
    <s v="Gold"/>
    <s v="New York"/>
    <s v="FLAGSHIP-ROME"/>
    <s v="SOLAR-BLUSH-04"/>
    <s v="Blush"/>
    <n v="208.18"/>
    <x v="3"/>
    <n v="0"/>
    <s v="Laptop"/>
    <s v="2.206.28.209"/>
    <x v="0"/>
    <n v="384"/>
    <n v="0.46469538807381677"/>
    <n v="0"/>
    <n v="0"/>
    <n v="0"/>
    <n v="0"/>
    <n v="0"/>
  </r>
  <r>
    <s v="f14e659f-ddb5-47b8-a8d3-840b19ebb42a"/>
    <s v="66272365-9f8a-4d95-99fb-4759434980b4"/>
    <d v="2025-05-05T00:00:00"/>
    <d v="1899-12-30T06:32:29"/>
    <n v="6"/>
    <n v="23"/>
    <s v="Bronze"/>
    <s v="London"/>
    <s v="FLAGSHIP-LA"/>
    <s v="SOLAR-BLUSH-04"/>
    <s v="Foundation"/>
    <n v="208.15"/>
    <x v="3"/>
    <n v="0"/>
    <s v="Tablet"/>
    <s v="226.208.17.140"/>
    <x v="0"/>
    <n v="439"/>
    <n v="0.464280060289534"/>
    <n v="0"/>
    <n v="0"/>
    <n v="0"/>
    <n v="0"/>
    <n v="0"/>
  </r>
  <r>
    <s v="b3d656a9-d0f7-4a31-a7e7-8f8b6ccf2be4"/>
    <s v="48c4f112-8e0d-4572-9a28-eebcf540903a"/>
    <d v="2025-02-19T00:00:00"/>
    <d v="1899-12-30T15:05:43"/>
    <n v="15"/>
    <n v="24"/>
    <s v="Bronze"/>
    <s v="Monte Carlo"/>
    <s v="BOUTIQUE-SHANGHAI"/>
    <s v="LUNAR-MASC-02"/>
    <s v="Lipstick"/>
    <n v="207.91"/>
    <x v="0"/>
    <n v="0"/>
    <s v="Tablet"/>
    <s v="112.24.237.144"/>
    <x v="0"/>
    <n v="416"/>
    <n v="0.46095743801527167"/>
    <n v="0"/>
    <n v="0"/>
    <n v="0"/>
    <n v="0"/>
    <n v="0"/>
  </r>
  <r>
    <s v="c0630e5e-dce0-4ce7-b536-b031fd1a2247"/>
    <s v="8ca52166-1977-4320-bc0b-1c064ce532ad"/>
    <d v="2025-04-17T00:00:00"/>
    <d v="1899-12-30T08:05:41"/>
    <n v="8"/>
    <n v="33"/>
    <s v="Silver"/>
    <s v="Shanghai"/>
    <s v="FLAGSHIP-ROME"/>
    <s v="GALAXIA-SET-08"/>
    <s v="Highlighter"/>
    <n v="207.61"/>
    <x v="3"/>
    <n v="0"/>
    <s v="Laptop"/>
    <s v="72.215.229.161"/>
    <x v="1"/>
    <n v="119"/>
    <n v="0.45680416017244418"/>
    <n v="0"/>
    <n v="0"/>
    <n v="1"/>
    <n v="1"/>
    <n v="0"/>
  </r>
  <r>
    <s v="6b8ad0df-b81e-4d56-bef5-4f1b3ce13039"/>
    <s v="b0bc9e67-6c2a-4bb1-9b59-ab1fb149f614"/>
    <d v="2025-05-29T00:00:00"/>
    <d v="1899-12-30T00:24:03"/>
    <n v="0"/>
    <n v="41"/>
    <s v="Bronze"/>
    <s v="Miami"/>
    <s v="CONCESSION-SINGAPORE"/>
    <s v="STELLAR-FOUND-03"/>
    <s v="Blush"/>
    <n v="207.38"/>
    <x v="0"/>
    <n v="0"/>
    <s v="Laptop"/>
    <s v="34.205.19.140"/>
    <x v="0"/>
    <n v="132"/>
    <n v="0.45361998049294266"/>
    <n v="0"/>
    <n v="1"/>
    <n v="1"/>
    <n v="3"/>
    <n v="0"/>
  </r>
  <r>
    <s v="8b8adc1f-aaa7-4149-aae2-da54d464ea88"/>
    <s v="67251475-db39-4c72-8902-deb2d5aa005d"/>
    <d v="2025-05-05T00:00:00"/>
    <d v="1899-12-30T14:32:01"/>
    <n v="14"/>
    <n v="18"/>
    <s v="Bronze"/>
    <s v="Hong Kong"/>
    <s v="FLAGSHIP-PARIS"/>
    <s v="GALAXIA-SET-08"/>
    <s v="Highlighter"/>
    <n v="206.66"/>
    <x v="3"/>
    <n v="0"/>
    <s v="Mobile"/>
    <s v="160.132.216.158"/>
    <x v="0"/>
    <n v="281"/>
    <n v="0.44365211367015611"/>
    <n v="0"/>
    <n v="0"/>
    <n v="0"/>
    <n v="0"/>
    <n v="0"/>
  </r>
  <r>
    <s v="9a6ed065-9787-46a9-8cfd-f694c691b32a"/>
    <s v="1a026e00-e66a-4d13-a40e-5711a669c9a2"/>
    <d v="2025-07-27T00:00:00"/>
    <d v="1899-12-30T04:38:06"/>
    <n v="4"/>
    <n v="64"/>
    <s v="Silver"/>
    <s v="Los Angeles"/>
    <s v="FLAGSHIP-ROME"/>
    <s v="COSMIC-HIGHLIGHT-06"/>
    <s v="Eyeshadow Palette"/>
    <n v="206.61"/>
    <x v="4"/>
    <n v="0"/>
    <s v="Tablet"/>
    <s v="88.222.218.29"/>
    <x v="0"/>
    <n v="309"/>
    <n v="0.44295990069635172"/>
    <n v="0"/>
    <n v="1"/>
    <n v="0"/>
    <n v="2"/>
    <n v="0"/>
  </r>
  <r>
    <s v="6d928d4a-effe-47a9-b6aa-3ce308e7755f"/>
    <s v="c42938cc-40c1-4867-9699-3cd0f3a9d114"/>
    <d v="2025-05-19T00:00:00"/>
    <d v="1899-12-30T23:42:52"/>
    <n v="23"/>
    <n v="28"/>
    <s v="Bronze"/>
    <s v="Milan"/>
    <s v="CONCESSION-SINGAPORE"/>
    <s v="COSMIC-HIGHLIGHT-06"/>
    <s v="Eyeliner"/>
    <n v="206.51"/>
    <x v="0"/>
    <n v="0"/>
    <s v="Laptop"/>
    <s v="14.177.210.248"/>
    <x v="0"/>
    <n v="248"/>
    <n v="0.44157547474874215"/>
    <n v="0"/>
    <n v="0"/>
    <n v="1"/>
    <n v="1"/>
    <n v="0"/>
  </r>
  <r>
    <s v="5cb604e3-cca7-4ce0-a462-7b2f3138be5a"/>
    <s v="5627d9c1-4603-452c-b73e-b5d49ffa6de6"/>
    <d v="2025-03-03T00:00:00"/>
    <d v="1899-12-30T12:04:37"/>
    <n v="12"/>
    <n v="42"/>
    <s v="Bronze"/>
    <s v="Dubai"/>
    <s v="FLAGSHIP-PARIS"/>
    <s v="ORION-CONCEAL-09"/>
    <s v="Concealer"/>
    <n v="206.48"/>
    <x v="0"/>
    <n v="0"/>
    <s v="Desktop"/>
    <s v="183.17.110.226"/>
    <x v="0"/>
    <n v="117"/>
    <n v="0.44116014696445938"/>
    <n v="0"/>
    <n v="0"/>
    <n v="1"/>
    <n v="1"/>
    <n v="0"/>
  </r>
  <r>
    <s v="a364ab59-0a25-4726-8c94-60b1cb01eebb"/>
    <s v="53173031-06eb-4339-8673-3c547b627903"/>
    <d v="2025-07-18T00:00:00"/>
    <d v="1899-12-30T14:19:43"/>
    <n v="14"/>
    <n v="64"/>
    <s v="Unknown"/>
    <s v="Shanghai"/>
    <s v="BOUTIQUE-SHANGHAI"/>
    <s v="COSMIC-HIGHLIGHT-06"/>
    <s v="Mascara"/>
    <n v="206.48"/>
    <x v="3"/>
    <n v="0"/>
    <s v="Tablet"/>
    <s v="186.105.125.111"/>
    <x v="0"/>
    <n v="142"/>
    <n v="0.44116014696445938"/>
    <n v="0"/>
    <n v="0"/>
    <n v="1"/>
    <n v="1"/>
    <n v="0"/>
  </r>
  <r>
    <s v="faa271ca-ac9f-4673-bf61-69aaabd96f51"/>
    <s v="9cbd3bef-a3a7-4349-9b7a-1efafad1a74b"/>
    <d v="2025-02-20T00:00:00"/>
    <d v="1899-12-30T04:29:53"/>
    <n v="4"/>
    <n v="58"/>
    <s v="Platinum"/>
    <s v="Sydney"/>
    <s v="BOUTIQUE-DUBAI"/>
    <s v="CELESTE-EYE-05"/>
    <s v="Blush"/>
    <n v="206.23"/>
    <x v="3"/>
    <n v="0"/>
    <s v="Desktop"/>
    <s v="32.77.105.227"/>
    <x v="0"/>
    <n v="500"/>
    <n v="0.43769908209543629"/>
    <n v="0"/>
    <n v="1"/>
    <n v="0"/>
    <n v="2"/>
    <n v="0"/>
  </r>
  <r>
    <s v="00196faa-626a-42aa-b1bd-a93fae0b475e"/>
    <s v="e9b78ce1-8c76-4e52-8e96-e1ce524409d4"/>
    <d v="2025-03-09T00:00:00"/>
    <d v="1899-12-30T01:29:41"/>
    <n v="1"/>
    <n v="19"/>
    <s v="Unknown"/>
    <s v="Milan"/>
    <s v="CONCESSION-LONDON"/>
    <s v="ECLIPSE-EYE-10"/>
    <s v="Lipstick"/>
    <n v="206.18"/>
    <x v="1"/>
    <n v="0"/>
    <s v="Desktop"/>
    <s v="19.93.173.232"/>
    <x v="0"/>
    <n v="135"/>
    <n v="0.43700686912163189"/>
    <n v="0"/>
    <n v="1"/>
    <n v="1"/>
    <n v="3"/>
    <n v="0"/>
  </r>
  <r>
    <s v="ae407054-5543-429c-918a-cdcc42ea9782"/>
    <s v="cf14730a-8f5a-453d-b527-39a278852b27"/>
    <d v="2025-04-17T00:00:00"/>
    <d v="1899-12-30T14:23:23"/>
    <n v="14"/>
    <n v="41"/>
    <s v="Platinum"/>
    <s v="Miami"/>
    <s v="BOUTIQUE-NYC"/>
    <s v="LUNAR-MASC-02"/>
    <s v="Serum"/>
    <n v="205.86"/>
    <x v="1"/>
    <n v="0"/>
    <s v="Mobile"/>
    <s v="166.31.46.111"/>
    <x v="0"/>
    <n v="179"/>
    <n v="0.43257670608928239"/>
    <n v="0"/>
    <n v="0"/>
    <n v="1"/>
    <n v="1"/>
    <n v="0"/>
  </r>
  <r>
    <s v="9b51edf5-174f-4795-aed3-8dc6edfec706"/>
    <s v="6dd8c826-1eb4-494e-98bd-5a7708adcdb0"/>
    <d v="2025-08-11T00:00:00"/>
    <d v="1899-12-30T12:45:46"/>
    <n v="12"/>
    <n v="32"/>
    <s v="Bronze"/>
    <s v="Hong Kong"/>
    <s v="POPUP-MILAN"/>
    <s v="ORION-CONCEAL-09"/>
    <s v="Highlighter"/>
    <n v="205.79"/>
    <x v="1"/>
    <n v="0"/>
    <s v="Laptop"/>
    <s v="117.240.169.215"/>
    <x v="0"/>
    <n v="194"/>
    <n v="0.43160760792595559"/>
    <n v="0"/>
    <n v="0"/>
    <n v="1"/>
    <n v="1"/>
    <n v="0"/>
  </r>
  <r>
    <s v="309157e0-e871-4547-837d-e1ea2ee0e9bf"/>
    <s v="56fb1bde-ef1a-4b96-ba3e-3a6e0ab14d9a"/>
    <d v="2025-04-09T00:00:00"/>
    <d v="1899-12-30T15:33:29"/>
    <n v="15"/>
    <n v="22"/>
    <s v="Bronze"/>
    <s v="Geneva"/>
    <s v="POPUP-MILAN"/>
    <s v="GALAXIA-SET-08"/>
    <s v="Blush"/>
    <n v="205.78"/>
    <x v="3"/>
    <n v="0"/>
    <s v="Mobile"/>
    <s v="142.84.224.124"/>
    <x v="0"/>
    <n v="126"/>
    <n v="0.43146916533119484"/>
    <n v="0"/>
    <n v="0"/>
    <n v="1"/>
    <n v="1"/>
    <n v="0"/>
  </r>
  <r>
    <s v="8bd71d7b-4fb7-4420-b11e-f221a1a8b60f"/>
    <s v="3ab1c4d0-ff7e-4950-8925-735c1131f3ff"/>
    <d v="2025-05-04T00:00:00"/>
    <d v="1899-12-30T17:15:06"/>
    <n v="17"/>
    <n v="23"/>
    <s v="Platinum"/>
    <s v="Sydney"/>
    <s v="BOUTIQUE-DUBAI"/>
    <s v="COSMIC-HIGHLIGHT-06"/>
    <s v="Blush"/>
    <n v="205.64"/>
    <x v="1"/>
    <n v="0"/>
    <s v="Mobile"/>
    <s v="16.70.191.255"/>
    <x v="0"/>
    <n v="76"/>
    <n v="0.42953096900454169"/>
    <n v="0"/>
    <n v="0"/>
    <n v="1"/>
    <n v="1"/>
    <n v="0"/>
  </r>
  <r>
    <s v="e47b1462-1a0a-4d62-be50-06ee9fafbe28"/>
    <s v="c7b1fe7f-de30-44c7-a50f-2fc93c46f339"/>
    <d v="2025-02-24T00:00:00"/>
    <d v="1899-12-30T21:08:15"/>
    <n v="21"/>
    <n v="27"/>
    <s v="Unknown"/>
    <s v="Zurich"/>
    <s v="FLAGSHIP-ROME"/>
    <s v="SOLAR-BLUSH-04"/>
    <s v="Blush"/>
    <n v="205.62"/>
    <x v="3"/>
    <n v="0"/>
    <s v="Laptop"/>
    <s v="177.157.227.26"/>
    <x v="0"/>
    <n v="315"/>
    <n v="0.42925408381502006"/>
    <n v="0"/>
    <n v="0"/>
    <n v="0"/>
    <n v="0"/>
    <n v="0"/>
  </r>
  <r>
    <s v="2a31a8d3-6fed-41e8-bbff-01591d91cbb9"/>
    <s v="67d9f13d-3df5-4e98-888a-0655b65904c2"/>
    <d v="2025-05-08T00:00:00"/>
    <d v="1899-12-30T17:22:40"/>
    <n v="17"/>
    <n v="26"/>
    <s v="Gold"/>
    <s v="Milan"/>
    <s v="BOUTIQUE-NYC"/>
    <s v="AURORA-LIP-01"/>
    <s v="Highlighter"/>
    <n v="205.35"/>
    <x v="1"/>
    <n v="0"/>
    <s v="Laptop"/>
    <s v="255.188.39.53"/>
    <x v="0"/>
    <n v="231"/>
    <n v="0.42551613375647496"/>
    <n v="0"/>
    <n v="0"/>
    <n v="1"/>
    <n v="1"/>
    <n v="0"/>
  </r>
  <r>
    <s v="dd0aa3ad-6b51-47d5-bf29-c2c72c3773b1"/>
    <s v="7296fc2d-3dea-4e94-8a66-e26a11142376"/>
    <d v="2025-07-21T00:00:00"/>
    <d v="1899-12-30T04:56:19"/>
    <n v="4"/>
    <n v="43"/>
    <s v="Platinum"/>
    <s v="Monaco"/>
    <s v="BOUTIQUE-DUBAI"/>
    <s v="SOLAR-BLUSH-04"/>
    <s v="Setting Spray"/>
    <n v="205.34"/>
    <x v="1"/>
    <n v="0"/>
    <s v="Mobile"/>
    <s v="183.225.150.79"/>
    <x v="0"/>
    <n v="211"/>
    <n v="0.42537769116171414"/>
    <n v="0"/>
    <n v="1"/>
    <n v="1"/>
    <n v="3"/>
    <n v="0"/>
  </r>
  <r>
    <s v="50b67d21-e955-47d4-9abd-0d699b35279c"/>
    <s v="a7ac288b-895a-4eaa-b932-eca1e65926be"/>
    <d v="2025-07-02T00:00:00"/>
    <d v="1899-12-30T06:44:43"/>
    <n v="6"/>
    <n v="56"/>
    <s v="Bronze"/>
    <s v="Los Angeles"/>
    <s v="POPUP-MILAN"/>
    <s v="CELESTE-EYE-05"/>
    <s v="Eyeliner"/>
    <n v="205.3"/>
    <x v="3"/>
    <n v="0"/>
    <s v="Tablet"/>
    <s v="226.16.88.82"/>
    <x v="0"/>
    <n v="202"/>
    <n v="0.42482392078267056"/>
    <n v="0"/>
    <n v="0"/>
    <n v="1"/>
    <n v="1"/>
    <n v="0"/>
  </r>
  <r>
    <s v="d70572fe-cf95-447a-95cf-c361174942de"/>
    <s v="f6fa4758-809a-43fc-bf28-0a331fe5d3c1"/>
    <d v="2025-02-25T00:00:00"/>
    <d v="1899-12-30T09:11:07"/>
    <n v="9"/>
    <n v="29"/>
    <s v="Unknown"/>
    <s v="San Francisco"/>
    <s v="BOUTIQUE-NYC"/>
    <s v="STELLAR-FOUND-03"/>
    <s v="Lipstick"/>
    <n v="205.27"/>
    <x v="3"/>
    <n v="0"/>
    <s v="Desktop"/>
    <s v="169.169.90.199"/>
    <x v="0"/>
    <n v="365"/>
    <n v="0.42440859299838779"/>
    <n v="0"/>
    <n v="0"/>
    <n v="0"/>
    <n v="0"/>
    <n v="0"/>
  </r>
  <r>
    <s v="f95231cf-b5e6-4b02-adbe-f4a50fd5ac76"/>
    <s v="7e2d4e88-fd96-4189-a591-7a3ddf624f04"/>
    <d v="2025-05-21T00:00:00"/>
    <d v="1899-12-30T18:37:16"/>
    <n v="18"/>
    <n v="20"/>
    <s v="Gold"/>
    <s v="Zurich"/>
    <s v="FLAGSHIP-PARIS"/>
    <s v="LUNAR-MASC-02"/>
    <s v="Eyeliner"/>
    <n v="205.24"/>
    <x v="4"/>
    <n v="0"/>
    <s v="Desktop"/>
    <s v="233.127.113.195"/>
    <x v="0"/>
    <n v="410"/>
    <n v="0.42399326521410502"/>
    <n v="0"/>
    <n v="0"/>
    <n v="0"/>
    <n v="0"/>
    <n v="0"/>
  </r>
  <r>
    <s v="9d8d06ed-11fd-4911-8650-b13ecde7cb77"/>
    <s v="9be00381-2d27-4d01-bb9f-42ec7272e946"/>
    <d v="2025-06-03T00:00:00"/>
    <d v="1899-12-30T17:29:00"/>
    <n v="17"/>
    <n v="53"/>
    <s v="Silver"/>
    <s v="Monaco"/>
    <s v="BOUTIQUE-DUBAI"/>
    <s v="COSMIC-HIGHLIGHT-06"/>
    <s v="Concealer"/>
    <n v="205.01"/>
    <x v="0"/>
    <n v="0"/>
    <s v="Mobile"/>
    <s v="17.204.126.168"/>
    <x v="0"/>
    <n v="86"/>
    <n v="0.4208090855346035"/>
    <n v="0"/>
    <n v="0"/>
    <n v="1"/>
    <n v="1"/>
    <n v="0"/>
  </r>
  <r>
    <s v="9c531583-9285-43ca-85c0-975471671d17"/>
    <s v="e0fc9d44-d90d-40f6-a4fd-ae8a40f84fec"/>
    <d v="2025-04-12T00:00:00"/>
    <d v="1899-12-30T11:25:29"/>
    <n v="11"/>
    <n v="29"/>
    <s v="Silver"/>
    <s v="Hong Kong"/>
    <s v="FLAGSHIP-ROME"/>
    <s v="GALAXIA-SET-08"/>
    <s v="Lipstick"/>
    <n v="204.99"/>
    <x v="3"/>
    <n v="0"/>
    <s v="Laptop"/>
    <s v="198.136.77.53"/>
    <x v="0"/>
    <n v="122"/>
    <n v="0.42053220034508187"/>
    <n v="0"/>
    <n v="0"/>
    <n v="1"/>
    <n v="1"/>
    <n v="0"/>
  </r>
  <r>
    <s v="e3a84ba2-3dbc-467e-b72d-e65a542fc9dc"/>
    <s v="590e8a4d-3e14-4f54-aa8f-1903500a94d9"/>
    <d v="2025-02-24T00:00:00"/>
    <d v="1899-12-30T07:47:41"/>
    <n v="7"/>
    <n v="61"/>
    <s v="Silver"/>
    <s v="Las Vegas"/>
    <s v="FLAGSHIP-LA"/>
    <s v="ECLIPSE-EYE-10"/>
    <s v="Eyeshadow Palette"/>
    <n v="204.79"/>
    <x v="3"/>
    <n v="0"/>
    <s v="Mobile"/>
    <s v="51.244.59.226"/>
    <x v="0"/>
    <n v="377"/>
    <n v="0.41776334844986318"/>
    <n v="0"/>
    <n v="0"/>
    <n v="0"/>
    <n v="0"/>
    <n v="0"/>
  </r>
  <r>
    <s v="e060d607-4763-4de7-b900-d5142bff3f73"/>
    <s v="8a10b0a8-761f-4102-8d28-2dc0d89185b9"/>
    <d v="2025-08-03T00:00:00"/>
    <d v="1899-12-30T03:07:58"/>
    <n v="3"/>
    <n v="30"/>
    <s v="Bronze"/>
    <s v="Monte Carlo"/>
    <s v="BOUTIQUE-DUBAI"/>
    <s v="LUNAR-MASC-02"/>
    <s v="Eyeshadow Palette"/>
    <n v="204.67"/>
    <x v="4"/>
    <n v="0"/>
    <s v="Mobile"/>
    <s v="243.168.66.10"/>
    <x v="0"/>
    <n v="205"/>
    <n v="0.41610203731273199"/>
    <n v="0"/>
    <n v="1"/>
    <n v="1"/>
    <n v="3"/>
    <n v="0"/>
  </r>
  <r>
    <s v="b16eb00c-1035-45dc-a2c8-3c22def91e41"/>
    <s v="b1a09111-3efc-4fcb-a905-c0ba0189dc35"/>
    <d v="2025-05-25T00:00:00"/>
    <d v="1899-12-30T09:00:21"/>
    <n v="9"/>
    <n v="63"/>
    <s v="Platinum"/>
    <s v="San Francisco"/>
    <s v="BOUTIQUE-SHANGHAI"/>
    <s v="SOLAR-BLUSH-04"/>
    <s v="Setting Spray"/>
    <n v="204.48"/>
    <x v="3"/>
    <n v="0"/>
    <s v="Laptop"/>
    <s v="223.160.184.228"/>
    <x v="1"/>
    <n v="169"/>
    <n v="0.41347162801227449"/>
    <n v="0"/>
    <n v="0"/>
    <n v="1"/>
    <n v="1"/>
    <n v="0"/>
  </r>
  <r>
    <s v="ae15b685-3bd9-4bf4-be34-b3e043f58315"/>
    <s v="3202dfb2-e187-422a-b214-a64583c64f41"/>
    <d v="2025-03-03T00:00:00"/>
    <d v="1899-12-30T06:51:07"/>
    <n v="6"/>
    <n v="59"/>
    <s v="Bronze"/>
    <s v="Paris"/>
    <s v="FLAGSHIP-LA"/>
    <s v="ORION-CONCEAL-09"/>
    <s v="Eyeshadow Palette"/>
    <n v="204.32"/>
    <x v="4"/>
    <n v="0"/>
    <s v="Mobile"/>
    <s v="40.2.169.151"/>
    <x v="0"/>
    <n v="110"/>
    <n v="0.41125654649609972"/>
    <n v="0"/>
    <n v="0"/>
    <n v="1"/>
    <n v="1"/>
    <n v="0"/>
  </r>
  <r>
    <s v="b778fcbb-f885-4148-8a58-0bff83c3e2a8"/>
    <s v="e0ac4d85-630a-4af6-b9a9-5b1230ac3b5b"/>
    <d v="2025-05-24T00:00:00"/>
    <d v="1899-12-30T07:27:18"/>
    <n v="7"/>
    <n v="20"/>
    <s v="Silver"/>
    <s v="Miami"/>
    <s v="BOUTIQUE-DUBAI"/>
    <s v="SOLAR-BLUSH-04"/>
    <s v="Foundation"/>
    <n v="204.18"/>
    <x v="4"/>
    <n v="0"/>
    <s v="Desktop"/>
    <s v="82.240.253.83"/>
    <x v="0"/>
    <n v="247"/>
    <n v="0.40931835016944695"/>
    <n v="0"/>
    <n v="0"/>
    <n v="1"/>
    <n v="1"/>
    <n v="0"/>
  </r>
  <r>
    <s v="a0ab6f02-5e8e-4e73-a311-093aa6aee44a"/>
    <s v="f3c61818-7975-4811-98e8-fc480e50ee6d"/>
    <d v="2025-06-08T00:00:00"/>
    <d v="1899-12-30T22:29:06"/>
    <n v="22"/>
    <n v="48"/>
    <s v="Silver"/>
    <s v="Monaco"/>
    <s v="FLAGSHIP-PARIS"/>
    <s v="ECLIPSE-EYE-10"/>
    <s v="Mascara"/>
    <n v="204.18"/>
    <x v="1"/>
    <n v="0"/>
    <s v="Desktop"/>
    <s v="87.166.204.68"/>
    <x v="0"/>
    <n v="500"/>
    <n v="0.40931835016944695"/>
    <n v="0"/>
    <n v="0"/>
    <n v="0"/>
    <n v="0"/>
    <n v="0"/>
  </r>
  <r>
    <s v="18b3033c-ec9b-481a-b83b-5e73d709415e"/>
    <s v="a32fe0fb-8908-48d1-9549-0e167d648201"/>
    <d v="2025-05-31T00:00:00"/>
    <d v="1899-12-30T22:18:27"/>
    <n v="22"/>
    <n v="32"/>
    <s v="Gold"/>
    <s v="Monaco"/>
    <s v="FLAGSHIP-PARIS"/>
    <s v="LUNAR-MASC-02"/>
    <s v="Concealer"/>
    <n v="204.07"/>
    <x v="1"/>
    <n v="0"/>
    <s v="Laptop"/>
    <s v="80.155.169.119"/>
    <x v="0"/>
    <n v="160"/>
    <n v="0.40779548162707663"/>
    <n v="0"/>
    <n v="0"/>
    <n v="1"/>
    <n v="1"/>
    <n v="0"/>
  </r>
  <r>
    <s v="3338fb27-82eb-4711-b677-f816f4c7e86f"/>
    <s v="38c9f86a-fad7-43be-b0d7-7b33203ae761"/>
    <d v="2025-06-07T00:00:00"/>
    <d v="1899-12-30T18:09:03"/>
    <n v="18"/>
    <n v="18"/>
    <s v="Bronze"/>
    <s v="Los Angeles"/>
    <s v="CONCESSION-SINGAPORE"/>
    <s v="LUNAR-MASC-02"/>
    <s v="Concealer"/>
    <n v="203.98"/>
    <x v="4"/>
    <n v="0"/>
    <s v="Laptop"/>
    <s v="169.39.39.128"/>
    <x v="0"/>
    <n v="353"/>
    <n v="0.40654949827422826"/>
    <n v="0"/>
    <n v="0"/>
    <n v="0"/>
    <n v="0"/>
    <n v="0"/>
  </r>
  <r>
    <s v="a1c6b938-7ab4-4a1c-a38f-366a55f018f2"/>
    <s v="9eb96d27-8204-455c-9562-fdf4c8dfbee7"/>
    <d v="2025-08-01T00:00:00"/>
    <d v="1899-12-30T16:18:45"/>
    <n v="16"/>
    <n v="29"/>
    <s v="VIP"/>
    <s v="Singapore"/>
    <s v="BOUTIQUE-DUBAI"/>
    <s v="AURORA-LIP-01"/>
    <s v="Serum"/>
    <n v="203.94"/>
    <x v="3"/>
    <n v="0"/>
    <s v="Laptop"/>
    <s v="255.23.37.181"/>
    <x v="0"/>
    <n v="290"/>
    <n v="0.40599572789518468"/>
    <n v="0"/>
    <n v="0"/>
    <n v="0"/>
    <n v="0"/>
    <n v="0"/>
  </r>
  <r>
    <s v="ae386fe3-2fa5-4683-a84f-d938dbbc8706"/>
    <s v="330622b4-728f-4fc4-be7d-a7c98e650e83"/>
    <d v="2025-06-05T00:00:00"/>
    <d v="1899-12-30T14:46:12"/>
    <n v="14"/>
    <n v="49"/>
    <s v="Gold"/>
    <s v="Hong Kong"/>
    <s v="CONCESSION-SINGAPORE"/>
    <s v="AURORA-LIP-01"/>
    <s v="Highlighter"/>
    <n v="203.88"/>
    <x v="1"/>
    <n v="0"/>
    <s v="Mobile"/>
    <s v="45.43.48.64"/>
    <x v="0"/>
    <n v="318"/>
    <n v="0.40516507232661908"/>
    <n v="0"/>
    <n v="0"/>
    <n v="0"/>
    <n v="0"/>
    <n v="0"/>
  </r>
  <r>
    <s v="d61c4dce-95ba-44e8-b904-cc57e0db8064"/>
    <s v="5c89af44-c53a-4d75-ba0a-f508d131dea4"/>
    <d v="2025-02-18T00:00:00"/>
    <d v="1899-12-30T23:26:10"/>
    <n v="23"/>
    <n v="57"/>
    <s v="Gold"/>
    <s v="Milan"/>
    <s v="BOUTIQUE-NYC"/>
    <s v="STELLAR-FOUND-03"/>
    <s v="Blush"/>
    <n v="203.78"/>
    <x v="3"/>
    <n v="0"/>
    <s v="Laptop"/>
    <s v="102.4.235.161"/>
    <x v="0"/>
    <n v="163"/>
    <n v="0.4037806463790099"/>
    <n v="0"/>
    <n v="0"/>
    <n v="1"/>
    <n v="1"/>
    <n v="0"/>
  </r>
  <r>
    <s v="b35af90f-a598-415a-b82e-a923e126a47d"/>
    <s v="735dfb3b-fc5c-4616-90a5-bbce76d9fbb5"/>
    <d v="2025-03-05T00:00:00"/>
    <d v="1899-12-30T16:39:44"/>
    <n v="16"/>
    <n v="51"/>
    <s v="Bronze"/>
    <s v="San Francisco"/>
    <s v="FLAGSHIP-LA"/>
    <s v="COSMIC-HIGHLIGHT-06"/>
    <s v="Concealer"/>
    <n v="203.69"/>
    <x v="3"/>
    <n v="0"/>
    <s v="Mobile"/>
    <s v="91.111.214.142"/>
    <x v="0"/>
    <n v="334"/>
    <n v="0.40253466302616153"/>
    <n v="0"/>
    <n v="0"/>
    <n v="0"/>
    <n v="0"/>
    <n v="0"/>
  </r>
  <r>
    <s v="e8831f7b-0edc-4c14-8848-06238f8941e2"/>
    <s v="b5e907b1-d7e5-4299-a6f7-292c2cce1926"/>
    <d v="2025-07-20T00:00:00"/>
    <d v="1899-12-30T16:56:36"/>
    <n v="16"/>
    <n v="51"/>
    <s v="Gold"/>
    <s v="Cannes"/>
    <s v="POPUP-MILAN"/>
    <s v="GALAXIA-SET-08"/>
    <s v="Eyeshadow Palette"/>
    <n v="203.47"/>
    <x v="3"/>
    <n v="0"/>
    <s v="Desktop"/>
    <s v="108.169.16.82"/>
    <x v="1"/>
    <n v="179"/>
    <n v="0.39948892594142121"/>
    <n v="0"/>
    <n v="0"/>
    <n v="1"/>
    <n v="1"/>
    <n v="0"/>
  </r>
  <r>
    <s v="2ee80052-067d-4ff2-87a6-ec8919d13546"/>
    <s v="3ae3b36f-25bb-48ca-afee-7c524b58e1a0"/>
    <d v="2025-07-03T00:00:00"/>
    <d v="1899-12-30T03:01:47"/>
    <n v="3"/>
    <n v="28"/>
    <s v="Bronze"/>
    <s v="Tokyo"/>
    <s v="BOUTIQUE-SHANGHAI"/>
    <s v="ORION-CONCEAL-09"/>
    <s v="Mascara"/>
    <n v="203.38"/>
    <x v="4"/>
    <n v="0"/>
    <s v="Desktop"/>
    <s v="236.222.176.45"/>
    <x v="0"/>
    <n v="118"/>
    <n v="0.39824294258857285"/>
    <n v="0"/>
    <n v="1"/>
    <n v="1"/>
    <n v="3"/>
    <n v="0"/>
  </r>
  <r>
    <s v="06e0d12c-500f-4f34-a445-843ed2a5c5df"/>
    <s v="f193c371-9e21-45b1-b6f1-4a707007a230"/>
    <d v="2025-07-29T00:00:00"/>
    <d v="1899-12-30T12:25:29"/>
    <n v="12"/>
    <n v="44"/>
    <s v="Silver"/>
    <s v="Zurich"/>
    <s v="BOUTIQUE-NYC"/>
    <s v="GALAXIA-SET-08"/>
    <s v="Foundation"/>
    <n v="203.2"/>
    <x v="3"/>
    <n v="0"/>
    <s v="Mobile"/>
    <s v="11.186.146.205"/>
    <x v="0"/>
    <n v="486"/>
    <n v="0.39575097588287611"/>
    <n v="0"/>
    <n v="0"/>
    <n v="0"/>
    <n v="0"/>
    <n v="0"/>
  </r>
  <r>
    <s v="623f19a0-6ed7-4e8d-b427-e3ffd4fd7e07"/>
    <s v="4e990dd5-6394-4558-8d51-4f1d207d4be1"/>
    <d v="2025-04-30T00:00:00"/>
    <d v="1899-12-30T12:22:34"/>
    <n v="12"/>
    <n v="42"/>
    <s v="Silver"/>
    <s v="San Francisco"/>
    <s v="CONCESSION-SINGAPORE"/>
    <s v="STELLAR-FOUND-03"/>
    <s v="Mascara"/>
    <n v="203.18"/>
    <x v="1"/>
    <n v="0"/>
    <s v="Tablet"/>
    <s v="175.233.75.145"/>
    <x v="0"/>
    <n v="187"/>
    <n v="0.39547409069335454"/>
    <n v="0"/>
    <n v="0"/>
    <n v="1"/>
    <n v="1"/>
    <n v="0"/>
  </r>
  <r>
    <s v="2befd3d4-68c4-469a-9d13-d1eab3610371"/>
    <s v="764df91c-a735-4734-8940-5246ceb311f8"/>
    <d v="2025-03-12T00:00:00"/>
    <d v="1899-12-30T10:07:06"/>
    <n v="10"/>
    <n v="65"/>
    <s v="Gold"/>
    <s v="Zurich"/>
    <s v="BOUTIQUE-NYC"/>
    <s v="COSMIC-HIGHLIGHT-06"/>
    <s v="Serum"/>
    <n v="203.01"/>
    <x v="3"/>
    <n v="0"/>
    <s v="Desktop"/>
    <s v="75.161.231.239"/>
    <x v="0"/>
    <n v="471"/>
    <n v="0.39312056658241856"/>
    <n v="0"/>
    <n v="0"/>
    <n v="0"/>
    <n v="0"/>
    <n v="0"/>
  </r>
  <r>
    <s v="04db0293-ab87-4ae4-b6a6-46f75ff40c71"/>
    <s v="f9f32d36-e990-412c-bb46-66492919e9ea"/>
    <d v="2025-04-28T00:00:00"/>
    <d v="1899-12-30T01:17:24"/>
    <n v="1"/>
    <n v="33"/>
    <s v="VIP"/>
    <s v="Monte Carlo"/>
    <s v="FLAGSHIP-ROME"/>
    <s v="CELESTE-EYE-05"/>
    <s v="Serum"/>
    <n v="202.83"/>
    <x v="1"/>
    <n v="0"/>
    <s v="Mobile"/>
    <s v="83.50.250.51"/>
    <x v="0"/>
    <n v="52"/>
    <n v="0.39062859987672222"/>
    <n v="0"/>
    <n v="1"/>
    <n v="1"/>
    <n v="3"/>
    <n v="0"/>
  </r>
  <r>
    <s v="a4d55464-577a-49d8-9775-2f30dcc31ffe"/>
    <s v="e1f51f1a-7283-4cff-b9b8-627fcc9687bd"/>
    <d v="2025-06-29T00:00:00"/>
    <d v="1899-12-30T00:49:25"/>
    <n v="0"/>
    <n v="22"/>
    <s v="Bronze"/>
    <s v="New York"/>
    <s v="CONCESSION-SINGAPORE"/>
    <s v="LUNAR-MASC-02"/>
    <s v="Concealer"/>
    <n v="202.6"/>
    <x v="1"/>
    <n v="0"/>
    <s v="Tablet"/>
    <s v="2.158.168.48"/>
    <x v="0"/>
    <n v="152"/>
    <n v="0.3874444201972207"/>
    <n v="0"/>
    <n v="1"/>
    <n v="1"/>
    <n v="3"/>
    <n v="0"/>
  </r>
  <r>
    <s v="73fab382-dafc-4dd3-83dd-e05cffea2bf0"/>
    <s v="0c835fd2-1726-4b1b-90a5-a60125d85ff0"/>
    <d v="2025-04-22T00:00:00"/>
    <d v="1899-12-30T16:57:18"/>
    <n v="16"/>
    <n v="43"/>
    <s v="Bronze"/>
    <s v="Monte Carlo"/>
    <s v="BOUTIQUE-DUBAI"/>
    <s v="STELLAR-FOUND-03"/>
    <s v="Blush"/>
    <n v="201.63"/>
    <x v="3"/>
    <n v="0"/>
    <s v="Tablet"/>
    <s v="170.225.85.107"/>
    <x v="0"/>
    <n v="368"/>
    <n v="0.37401548850541105"/>
    <n v="0"/>
    <n v="0"/>
    <n v="0"/>
    <n v="0"/>
    <n v="0"/>
  </r>
  <r>
    <s v="4f0d7916-2098-4404-91e7-f3aaceaa2408"/>
    <s v="260684be-0b03-4fcd-810f-954e554ddac9"/>
    <d v="2025-03-30T00:00:00"/>
    <d v="1899-12-30T03:55:49"/>
    <n v="3"/>
    <n v="34"/>
    <s v="Unknown"/>
    <s v="Miami"/>
    <s v="FLAGSHIP-ROME"/>
    <s v="ORION-CONCEAL-09"/>
    <s v="Serum"/>
    <n v="201.29"/>
    <x v="1"/>
    <n v="0"/>
    <s v="Desktop"/>
    <s v="26.26.163.37"/>
    <x v="0"/>
    <n v="281"/>
    <n v="0.3693084402835396"/>
    <n v="0"/>
    <n v="1"/>
    <n v="0"/>
    <n v="2"/>
    <n v="0"/>
  </r>
  <r>
    <s v="13ebb297-fda5-4422-bcc5-39e1e0af2a0e"/>
    <s v="1efea057-7a2c-4f11-b5dd-8d45e79b8a36"/>
    <d v="2025-04-09T00:00:00"/>
    <d v="1899-12-30T22:09:51"/>
    <n v="22"/>
    <n v="42"/>
    <s v="Silver"/>
    <s v="Sydney"/>
    <s v="FLAGSHIP-ROME"/>
    <s v="SOLAR-BLUSH-04"/>
    <s v="Mascara"/>
    <n v="200.97"/>
    <x v="1"/>
    <n v="0"/>
    <s v="Laptop"/>
    <s v="90.13.174.194"/>
    <x v="0"/>
    <n v="80"/>
    <n v="0.3648782772511901"/>
    <n v="0"/>
    <n v="0"/>
    <n v="1"/>
    <n v="1"/>
    <n v="0"/>
  </r>
  <r>
    <s v="e48e9647-c8d6-4a8a-9c08-3ee1d21601a5"/>
    <s v="2214a15f-d0a6-4b71-8420-d7076141a96c"/>
    <d v="2025-07-28T00:00:00"/>
    <d v="1899-12-30T19:17:33"/>
    <n v="19"/>
    <n v="53"/>
    <s v="Platinum"/>
    <s v="Geneva"/>
    <s v="FLAGSHIP-ROME"/>
    <s v="LUNAR-MASC-02"/>
    <s v="Serum"/>
    <n v="200.96"/>
    <x v="2"/>
    <n v="1"/>
    <s v="Tablet"/>
    <s v="84.127.85.241"/>
    <x v="0"/>
    <n v="309"/>
    <n v="0.36473983465642928"/>
    <n v="0"/>
    <n v="0"/>
    <n v="0"/>
    <n v="2"/>
    <n v="0"/>
  </r>
  <r>
    <s v="27db8930-81d3-469c-a8b4-7e8eaafe1729"/>
    <s v="3c9f04b1-dd7b-48f1-8ee6-060dfeecd31c"/>
    <d v="2025-03-18T00:00:00"/>
    <d v="1899-12-30T19:34:52"/>
    <n v="19"/>
    <n v="62"/>
    <s v="Bronze"/>
    <s v="Sydney"/>
    <s v="POPUP-MILAN"/>
    <s v="ORION-CONCEAL-09"/>
    <s v="Eyeshadow Palette"/>
    <n v="200.5"/>
    <x v="4"/>
    <n v="0"/>
    <s v="Tablet"/>
    <s v="147.202.19.140"/>
    <x v="0"/>
    <n v="404"/>
    <n v="0.35837147529742663"/>
    <n v="0"/>
    <n v="0"/>
    <n v="0"/>
    <n v="0"/>
    <n v="0"/>
  </r>
  <r>
    <s v="5d72cc6a-7413-46da-9cf9-7d86e7d03306"/>
    <s v="2ea2c751-d59e-4f9c-a6dc-6af59bfd83bb"/>
    <d v="2025-08-10T00:00:00"/>
    <d v="1899-12-30T04:06:24"/>
    <n v="4"/>
    <n v="38"/>
    <s v="Gold"/>
    <s v="Shanghai"/>
    <s v="POPUP-TOKYO"/>
    <s v="ECLIPSE-EYE-10"/>
    <s v="Foundation"/>
    <n v="200.46"/>
    <x v="4"/>
    <n v="0"/>
    <s v="Tablet"/>
    <s v="47.152.5.91"/>
    <x v="0"/>
    <n v="319"/>
    <n v="0.35781770491838305"/>
    <n v="0"/>
    <n v="1"/>
    <n v="0"/>
    <n v="2"/>
    <n v="0"/>
  </r>
  <r>
    <s v="b42012a5-4d94-43d7-ac05-ab83c836c7ed"/>
    <s v="b0424357-77dc-444d-a341-9e5e4e54309d"/>
    <d v="2025-03-03T00:00:00"/>
    <d v="1899-12-30T18:26:39"/>
    <n v="18"/>
    <n v="21"/>
    <s v="VIP"/>
    <s v="Miami"/>
    <s v="CONCESSION-LONDON"/>
    <s v="COSMIC-HIGHLIGHT-06"/>
    <s v="Blush"/>
    <n v="200.35"/>
    <x v="2"/>
    <n v="1"/>
    <s v="Mobile"/>
    <s v="176.228.179.112"/>
    <x v="1"/>
    <n v="256"/>
    <n v="0.35629483637601267"/>
    <n v="0"/>
    <n v="0"/>
    <n v="1"/>
    <n v="3"/>
    <n v="0"/>
  </r>
  <r>
    <s v="4ddc2db9-b740-4b4a-bd31-736daf110aee"/>
    <s v="34a9a67a-1a89-4ef4-91f4-4f02773ced09"/>
    <d v="2025-02-22T00:00:00"/>
    <d v="1899-12-30T08:45:28"/>
    <n v="8"/>
    <n v="57"/>
    <s v="VIP"/>
    <s v="Rome"/>
    <s v="FLAGSHIP-LA"/>
    <s v="GALAXIA-SET-08"/>
    <s v="Eyeshadow Palette"/>
    <n v="200.05"/>
    <x v="0"/>
    <n v="0"/>
    <s v="Laptop"/>
    <s v="29.144.15.120"/>
    <x v="0"/>
    <n v="95"/>
    <n v="0.35214155853318518"/>
    <n v="0"/>
    <n v="0"/>
    <n v="1"/>
    <n v="1"/>
    <n v="0"/>
  </r>
  <r>
    <s v="dbca473a-1974-462d-9ee2-51f1d8a22097"/>
    <s v="cf12b49a-153f-4103-8db3-929438c03136"/>
    <d v="2025-04-30T00:00:00"/>
    <d v="1899-12-30T23:57:38"/>
    <n v="23"/>
    <n v="64"/>
    <s v="Silver"/>
    <s v="Shanghai"/>
    <s v="FLAGSHIP-LA"/>
    <s v="SOLAR-BLUSH-04"/>
    <s v="Highlighter"/>
    <n v="200.04"/>
    <x v="2"/>
    <n v="1"/>
    <s v="Desktop"/>
    <s v="235.181.221.139"/>
    <x v="0"/>
    <n v="68"/>
    <n v="0.35200311593842398"/>
    <n v="0"/>
    <n v="0"/>
    <n v="1"/>
    <n v="3"/>
    <n v="0"/>
  </r>
  <r>
    <s v="5be12ebe-5981-458a-91d3-2e487a81928b"/>
    <s v="ec39b58a-ae90-4938-bf89-b96e2900bf83"/>
    <d v="2025-03-16T00:00:00"/>
    <d v="1899-12-30T07:14:08"/>
    <n v="7"/>
    <n v="61"/>
    <s v="Bronze"/>
    <s v="Cannes"/>
    <s v="BOUTIQUE-SHANGHAI"/>
    <s v="ORION-CONCEAL-09"/>
    <s v="Serum"/>
    <n v="200"/>
    <x v="3"/>
    <n v="0"/>
    <s v="Desktop"/>
    <s v="77.241.63.147"/>
    <x v="0"/>
    <n v="152"/>
    <n v="0.3514493455593804"/>
    <n v="0"/>
    <n v="0"/>
    <n v="1"/>
    <n v="1"/>
    <n v="0"/>
  </r>
  <r>
    <s v="1a010212-c714-4d48-8356-ec8dc92a805d"/>
    <s v="ae0c846d-1ecc-4488-b0f1-189a59c77c82"/>
    <d v="2025-05-16T00:00:00"/>
    <d v="1899-12-30T19:17:43"/>
    <n v="19"/>
    <n v="51"/>
    <s v="Silver"/>
    <s v="San Francisco"/>
    <s v="BOUTIQUE-NYC"/>
    <s v="STELLAR-FOUND-03"/>
    <s v="Blush"/>
    <n v="199.93"/>
    <x v="2"/>
    <n v="1"/>
    <s v="Laptop"/>
    <s v="234.13.54.108"/>
    <x v="0"/>
    <n v="129"/>
    <n v="0.35048024739605405"/>
    <n v="0"/>
    <n v="0"/>
    <n v="1"/>
    <n v="3"/>
    <n v="0"/>
  </r>
  <r>
    <s v="9f3c1f6c-5e50-4e68-b52f-4ca498407d73"/>
    <s v="13d70325-0920-4b59-83bc-280fb02aea4c"/>
    <d v="2025-03-04T00:00:00"/>
    <d v="1899-12-30T06:48:10"/>
    <n v="6"/>
    <n v="62"/>
    <s v="Silver"/>
    <s v="Cannes"/>
    <s v="BOUTIQUE-DUBAI"/>
    <s v="SOLAR-BLUSH-04"/>
    <s v="Mascara"/>
    <n v="199.78"/>
    <x v="1"/>
    <n v="0"/>
    <s v="Tablet"/>
    <s v="1.196.246.62"/>
    <x v="0"/>
    <n v="161"/>
    <n v="0.34840360847464008"/>
    <n v="0"/>
    <n v="0"/>
    <n v="1"/>
    <n v="1"/>
    <n v="0"/>
  </r>
  <r>
    <s v="763350f2-210c-40f4-b771-d0dc7c6a2817"/>
    <s v="bef32d85-8242-47e0-974a-3a7f4e9c9e62"/>
    <d v="2025-05-03T00:00:00"/>
    <d v="1899-12-30T01:32:50"/>
    <n v="1"/>
    <n v="58"/>
    <s v="Bronze"/>
    <s v="Tokyo"/>
    <s v="FLAGSHIP-ROME"/>
    <s v="GALAXIA-SET-08"/>
    <s v="Lipstick"/>
    <n v="199.54"/>
    <x v="0"/>
    <n v="0"/>
    <s v="Mobile"/>
    <s v="254.224.224.82"/>
    <x v="0"/>
    <n v="422"/>
    <n v="0.34508098620037775"/>
    <n v="0"/>
    <n v="1"/>
    <n v="0"/>
    <n v="2"/>
    <n v="0"/>
  </r>
  <r>
    <s v="174ec8a5-8ba0-4a3a-b37c-5a53ff008a81"/>
    <s v="948b0637-21a5-4a6f-bcf5-41036df2a54a"/>
    <d v="2025-05-09T00:00:00"/>
    <d v="1899-12-30T22:44:42"/>
    <n v="22"/>
    <n v="37"/>
    <s v="Gold"/>
    <s v="Singapore"/>
    <s v="FLAGSHIP-LA"/>
    <s v="GALAXIA-SET-08"/>
    <s v="Setting Spray"/>
    <n v="199.47"/>
    <x v="1"/>
    <n v="0"/>
    <s v="Desktop"/>
    <s v="255.16.167.251"/>
    <x v="0"/>
    <n v="427"/>
    <n v="0.34411188803705139"/>
    <n v="0"/>
    <n v="0"/>
    <n v="0"/>
    <n v="0"/>
    <n v="0"/>
  </r>
  <r>
    <s v="c3cffafc-a88c-49cf-b253-6beb9eeb675f"/>
    <s v="3c394395-0375-4a78-9a70-0372dfeee4bb"/>
    <d v="2025-04-09T00:00:00"/>
    <d v="1899-12-30T00:47:13"/>
    <n v="0"/>
    <n v="36"/>
    <s v="Bronze"/>
    <s v="Dubai"/>
    <s v="FLAGSHIP-LA"/>
    <s v="ECLIPSE-EYE-10"/>
    <s v="Eyeshadow Palette"/>
    <n v="199.45"/>
    <x v="3"/>
    <n v="0"/>
    <s v="Laptop"/>
    <s v="33.107.66.40"/>
    <x v="0"/>
    <n v="304"/>
    <n v="0.34383500284752938"/>
    <n v="0"/>
    <n v="1"/>
    <n v="0"/>
    <n v="2"/>
    <n v="0"/>
  </r>
  <r>
    <s v="a63b3225-7d39-4d23-b886-c499e34f18a6"/>
    <s v="531a73e1-d91f-4cf5-a8f0-b17a348ca05a"/>
    <d v="2025-04-27T00:00:00"/>
    <d v="1899-12-30T04:53:38"/>
    <n v="4"/>
    <n v="64"/>
    <s v="Bronze"/>
    <s v="Milan"/>
    <s v="FLAGSHIP-ROME"/>
    <s v="CELESTE-EYE-05"/>
    <s v="Lipstick"/>
    <n v="199.16"/>
    <x v="2"/>
    <n v="1"/>
    <s v="Tablet"/>
    <s v="151.250.48.178"/>
    <x v="1"/>
    <n v="347"/>
    <n v="0.33982016759946271"/>
    <n v="0"/>
    <n v="1"/>
    <n v="0"/>
    <n v="4"/>
    <n v="0"/>
  </r>
  <r>
    <s v="2b2d9680-64ea-44ec-9f78-76f37db4f224"/>
    <s v="a7d6cb23-19c8-4ce4-8b60-373fce4c9928"/>
    <d v="2025-06-04T00:00:00"/>
    <d v="1899-12-30T11:55:45"/>
    <n v="11"/>
    <n v="65"/>
    <s v="Gold"/>
    <s v="Las Vegas"/>
    <s v="CONCESSION-LONDON"/>
    <s v="AURORA-LIP-01"/>
    <s v="Lipstick"/>
    <n v="199.1"/>
    <x v="1"/>
    <n v="0"/>
    <s v="Mobile"/>
    <s v="229.165.132.192"/>
    <x v="0"/>
    <n v="127"/>
    <n v="0.33898951203089711"/>
    <n v="0"/>
    <n v="0"/>
    <n v="1"/>
    <n v="1"/>
    <n v="0"/>
  </r>
  <r>
    <s v="18703105-ef40-464d-bd05-e945733e70bc"/>
    <s v="73edf2f8-c4cf-4e5f-9ea8-43aff4f1ff38"/>
    <d v="2025-04-26T00:00:00"/>
    <d v="1899-12-30T10:58:39"/>
    <n v="10"/>
    <n v="47"/>
    <s v="Silver"/>
    <s v="Shanghai"/>
    <s v="CONCESSION-SINGAPORE"/>
    <s v="SOLAR-BLUSH-04"/>
    <s v="Mascara"/>
    <n v="198.92"/>
    <x v="4"/>
    <n v="0"/>
    <s v="Tablet"/>
    <s v="17.175.15.120"/>
    <x v="0"/>
    <n v="177"/>
    <n v="0.33649754532520038"/>
    <n v="0"/>
    <n v="0"/>
    <n v="1"/>
    <n v="1"/>
    <n v="0"/>
  </r>
  <r>
    <s v="9586ec74-3f8e-466f-947c-33a59122d35e"/>
    <s v="674bce78-4307-4bd2-b124-f2d92769d9f0"/>
    <d v="2025-06-12T00:00:00"/>
    <d v="1899-12-30T11:56:19"/>
    <n v="11"/>
    <n v="61"/>
    <s v="Bronze"/>
    <s v="Geneva"/>
    <s v="BOUTIQUE-SHANGHAI"/>
    <s v="ECLIPSE-EYE-10"/>
    <s v="Setting Spray"/>
    <n v="198.87"/>
    <x v="3"/>
    <n v="0"/>
    <s v="Mobile"/>
    <s v="117.196.237.219"/>
    <x v="0"/>
    <n v="118"/>
    <n v="0.33580533235139598"/>
    <n v="0"/>
    <n v="0"/>
    <n v="1"/>
    <n v="1"/>
    <n v="0"/>
  </r>
  <r>
    <s v="ee917574-ea69-4e5c-adf5-b4403394fff1"/>
    <s v="16cdab28-d09d-4016-9285-86151754f8ca"/>
    <d v="2025-07-08T00:00:00"/>
    <d v="1899-12-30T07:44:14"/>
    <n v="7"/>
    <n v="48"/>
    <s v="Gold"/>
    <s v="Zurich"/>
    <s v="BOUTIQUE-DUBAI"/>
    <s v="AURORA-LIP-01"/>
    <s v="Highlighter"/>
    <n v="198.8"/>
    <x v="4"/>
    <n v="0"/>
    <s v="Desktop"/>
    <s v="159.219.133.76"/>
    <x v="0"/>
    <n v="218"/>
    <n v="0.33483623418806963"/>
    <n v="0"/>
    <n v="0"/>
    <n v="1"/>
    <n v="1"/>
    <n v="0"/>
  </r>
  <r>
    <s v="e3c0cb5c-6c6f-4c15-b14e-af9c1d427a10"/>
    <s v="1bac418b-5fe2-4cfa-84ea-8547a5fc3ed9"/>
    <d v="2025-05-16T00:00:00"/>
    <d v="1899-12-30T23:36:39"/>
    <n v="23"/>
    <n v="42"/>
    <s v="Silver"/>
    <s v="Shanghai"/>
    <s v="BOUTIQUE-NYC"/>
    <s v="AURORA-LIP-01"/>
    <s v="Serum"/>
    <n v="198.69"/>
    <x v="3"/>
    <n v="0"/>
    <s v="Tablet"/>
    <s v="181.90.76.227"/>
    <x v="0"/>
    <n v="223"/>
    <n v="0.33331336564569924"/>
    <n v="0"/>
    <n v="0"/>
    <n v="1"/>
    <n v="1"/>
    <n v="0"/>
  </r>
  <r>
    <s v="e19c8021-b803-4c4b-a34a-a08b24f4396c"/>
    <s v="c1edc2ad-f684-41f4-b0af-afcc4512fc84"/>
    <d v="2025-03-04T00:00:00"/>
    <d v="1899-12-30T12:54:22"/>
    <n v="12"/>
    <n v="45"/>
    <s v="Gold"/>
    <s v="Zurich"/>
    <s v="POPUP-MILAN"/>
    <s v="SOLAR-BLUSH-04"/>
    <s v="Setting Spray"/>
    <n v="198.64"/>
    <x v="3"/>
    <n v="0"/>
    <s v="Mobile"/>
    <s v="94.171.155.57"/>
    <x v="1"/>
    <n v="138"/>
    <n v="0.33262115267189446"/>
    <n v="0"/>
    <n v="0"/>
    <n v="1"/>
    <n v="1"/>
    <n v="0"/>
  </r>
  <r>
    <s v="e9cfeea3-1f84-4ecc-935a-b89a56d9f173"/>
    <s v="228b7385-dd42-484f-9ff7-82bd9c018485"/>
    <d v="2025-06-02T00:00:00"/>
    <d v="1899-12-30T09:43:06"/>
    <n v="9"/>
    <n v="32"/>
    <s v="Bronze"/>
    <s v="Los Angeles"/>
    <s v="CONCESSION-LONDON"/>
    <s v="ORION-CONCEAL-09"/>
    <s v="Setting Spray"/>
    <n v="198.64"/>
    <x v="4"/>
    <n v="0"/>
    <s v="Mobile"/>
    <s v="12.65.98.214"/>
    <x v="0"/>
    <n v="225"/>
    <n v="0.33262115267189446"/>
    <n v="0"/>
    <n v="0"/>
    <n v="1"/>
    <n v="1"/>
    <n v="0"/>
  </r>
  <r>
    <s v="3f67689c-79f6-4eca-9e32-ac19b9c4af2a"/>
    <s v="074a07de-e1d9-4f40-bb3f-6596a6b6459f"/>
    <d v="2025-04-15T00:00:00"/>
    <d v="1899-12-30T00:58:33"/>
    <n v="0"/>
    <n v="63"/>
    <s v="Platinum"/>
    <s v="Monte Carlo"/>
    <s v="CONCESSION-LONDON"/>
    <s v="STELLAR-FOUND-03"/>
    <s v="Blush"/>
    <n v="198.6"/>
    <x v="0"/>
    <n v="0"/>
    <s v="Mobile"/>
    <s v="25.94.244.156"/>
    <x v="0"/>
    <n v="424"/>
    <n v="0.33206738229285088"/>
    <n v="0"/>
    <n v="1"/>
    <n v="0"/>
    <n v="2"/>
    <n v="0"/>
  </r>
  <r>
    <s v="ae88a2e1-1809-469a-8d50-680e78ac04b3"/>
    <s v="ebb5d401-388a-4103-9833-94c21ac208a7"/>
    <d v="2025-07-02T00:00:00"/>
    <d v="1899-12-30T01:58:49"/>
    <n v="1"/>
    <n v="41"/>
    <s v="Silver"/>
    <s v="Hong Kong"/>
    <s v="BOUTIQUE-DUBAI"/>
    <s v="STELLAR-FOUND-03"/>
    <s v="Blush"/>
    <n v="198.53"/>
    <x v="0"/>
    <n v="0"/>
    <s v="Desktop"/>
    <s v="108.227.10.149"/>
    <x v="0"/>
    <n v="467"/>
    <n v="0.33109828412952452"/>
    <n v="0"/>
    <n v="1"/>
    <n v="0"/>
    <n v="2"/>
    <n v="0"/>
  </r>
  <r>
    <s v="00c2f1bf-99d4-433d-a3fc-a4d4609b1f30"/>
    <s v="ae63a6df-a9c1-431f-adec-27c9a2150957"/>
    <d v="2025-05-12T00:00:00"/>
    <d v="1899-12-30T10:33:33"/>
    <n v="10"/>
    <n v="64"/>
    <s v="Bronze"/>
    <s v="Sydney"/>
    <s v="CONCESSION-SINGAPORE"/>
    <s v="AURORA-LIP-01"/>
    <s v="Setting Spray"/>
    <n v="198.47"/>
    <x v="3"/>
    <n v="0"/>
    <s v="Laptop"/>
    <s v="37.35.140.207"/>
    <x v="0"/>
    <n v="82"/>
    <n v="0.33026762856095893"/>
    <n v="0"/>
    <n v="0"/>
    <n v="1"/>
    <n v="1"/>
    <n v="0"/>
  </r>
  <r>
    <s v="6687b3e4-fd18-4ec7-9552-1f5a4296dd65"/>
    <s v="8ce6ace8-e3fe-4494-9700-b4de60a34406"/>
    <d v="2025-05-15T00:00:00"/>
    <d v="1899-12-30T19:50:22"/>
    <n v="19"/>
    <n v="34"/>
    <s v="Silver"/>
    <s v="Shanghai"/>
    <s v="BOUTIQUE-SHANGHAI"/>
    <s v="COSMIC-HIGHLIGHT-06"/>
    <s v="Setting Spray"/>
    <n v="198.45"/>
    <x v="4"/>
    <n v="0"/>
    <s v="Mobile"/>
    <s v="174.227.119.248"/>
    <x v="0"/>
    <n v="138"/>
    <n v="0.32999074337143697"/>
    <n v="0"/>
    <n v="0"/>
    <n v="1"/>
    <n v="1"/>
    <n v="0"/>
  </r>
  <r>
    <s v="81fef45e-2100-4eb7-9e38-ba43005aaefc"/>
    <s v="45e28278-f5a7-4f90-88ad-0eaf3121f730"/>
    <d v="2025-07-28T00:00:00"/>
    <d v="1899-12-30T03:36:43"/>
    <n v="3"/>
    <n v="40"/>
    <s v="Unknown"/>
    <s v="London"/>
    <s v="POPUP-TOKYO"/>
    <s v="GALAXIA-SET-08"/>
    <s v="Highlighter"/>
    <n v="198.42"/>
    <x v="4"/>
    <n v="0"/>
    <s v="Mobile"/>
    <s v="220.12.232.237"/>
    <x v="0"/>
    <n v="187"/>
    <n v="0.32957541558715414"/>
    <n v="0"/>
    <n v="1"/>
    <n v="1"/>
    <n v="3"/>
    <n v="0"/>
  </r>
  <r>
    <s v="ade71f27-a4ed-47ff-a779-d0bdde07933f"/>
    <s v="4bd229e1-0d6a-4273-8f4c-9a6758e13e42"/>
    <d v="2025-03-06T00:00:00"/>
    <d v="1899-12-30T23:45:04"/>
    <n v="23"/>
    <n v="39"/>
    <s v="Bronze"/>
    <s v="San Francisco"/>
    <s v="CONCESSION-LONDON"/>
    <s v="NEBULA-SERUM-07"/>
    <s v="Eyeliner"/>
    <n v="198.4"/>
    <x v="3"/>
    <n v="0"/>
    <s v="Mobile"/>
    <s v="254.54.118.142"/>
    <x v="0"/>
    <n v="226"/>
    <n v="0.32929853039763257"/>
    <n v="0"/>
    <n v="0"/>
    <n v="1"/>
    <n v="1"/>
    <n v="0"/>
  </r>
  <r>
    <s v="30aa64fd-4ed6-4140-ba39-ae9b8f85866b"/>
    <s v="222ded86-fc5e-48db-a7a2-3abe85ba0d45"/>
    <d v="2025-02-19T00:00:00"/>
    <d v="1899-12-30T23:20:20"/>
    <n v="23"/>
    <n v="50"/>
    <s v="Gold"/>
    <s v="Paris"/>
    <s v="CONCESSION-SINGAPORE"/>
    <s v="AURORA-LIP-01"/>
    <s v="Highlighter"/>
    <n v="198.28"/>
    <x v="4"/>
    <n v="0"/>
    <s v="Tablet"/>
    <s v="5.215.14.7"/>
    <x v="0"/>
    <n v="366"/>
    <n v="0.32763721926050143"/>
    <n v="0"/>
    <n v="0"/>
    <n v="0"/>
    <n v="0"/>
    <n v="0"/>
  </r>
  <r>
    <s v="e28977b1-41fe-4a56-826c-218a50c3bd60"/>
    <s v="cff01c7e-b660-443c-817d-4a8933d5ebe4"/>
    <d v="2025-08-03T00:00:00"/>
    <d v="1899-12-30T10:24:17"/>
    <n v="10"/>
    <n v="29"/>
    <s v="Bronze"/>
    <s v="Shanghai"/>
    <s v="BOUTIQUE-DUBAI"/>
    <s v="ORION-CONCEAL-09"/>
    <s v="Setting Spray"/>
    <n v="198.25"/>
    <x v="4"/>
    <n v="0"/>
    <s v="Mobile"/>
    <s v="167.74.123.223"/>
    <x v="0"/>
    <n v="484"/>
    <n v="0.32722189147621861"/>
    <n v="0"/>
    <n v="0"/>
    <n v="0"/>
    <n v="0"/>
    <n v="0"/>
  </r>
  <r>
    <s v="921843ff-e5d4-4ceb-bb32-9db73535d82b"/>
    <s v="0d30fed1-5e1d-4f8a-ac6f-1224771d779f"/>
    <d v="2025-02-22T00:00:00"/>
    <d v="1899-12-30T19:43:39"/>
    <n v="19"/>
    <n v="25"/>
    <s v="Gold"/>
    <s v="Hong Kong"/>
    <s v="BOUTIQUE-SHANGHAI"/>
    <s v="ORION-CONCEAL-09"/>
    <s v="Concealer"/>
    <n v="198.03"/>
    <x v="2"/>
    <n v="1"/>
    <s v="Laptop"/>
    <s v="211.49.233.87"/>
    <x v="0"/>
    <n v="284"/>
    <n v="0.32417615439147829"/>
    <n v="0"/>
    <n v="0"/>
    <n v="0"/>
    <n v="2"/>
    <n v="0"/>
  </r>
  <r>
    <s v="f40a8549-3fcb-4eb8-8d10-141591b949ff"/>
    <s v="e16737ca-9927-4cb8-9f29-9be284a5de07"/>
    <d v="2025-02-24T00:00:00"/>
    <d v="1899-12-30T05:34:14"/>
    <n v="5"/>
    <n v="65"/>
    <s v="Bronze"/>
    <s v="Paris"/>
    <s v="CONCESSION-SINGAPORE"/>
    <s v="AURORA-LIP-01"/>
    <s v="Mascara"/>
    <n v="197.91"/>
    <x v="3"/>
    <n v="0"/>
    <s v="Laptop"/>
    <s v="37.100.221.41"/>
    <x v="0"/>
    <n v="62"/>
    <n v="0.32251484325434715"/>
    <n v="0"/>
    <n v="1"/>
    <n v="1"/>
    <n v="3"/>
    <n v="0"/>
  </r>
  <r>
    <s v="fdb38943-c054-465f-b187-b3626d71e49a"/>
    <s v="598020ea-153d-4fc5-8987-2a95c5d5c9fa"/>
    <d v="2025-02-23T00:00:00"/>
    <d v="1899-12-30T13:25:01"/>
    <n v="13"/>
    <n v="62"/>
    <s v="Bronze"/>
    <s v="London"/>
    <s v="BOUTIQUE-SHANGHAI"/>
    <s v="LUNAR-MASC-02"/>
    <s v="Eyeliner"/>
    <n v="197.86"/>
    <x v="3"/>
    <n v="0"/>
    <s v="Mobile"/>
    <s v="115.105.226.176"/>
    <x v="0"/>
    <n v="467"/>
    <n v="0.32182263028054275"/>
    <n v="0"/>
    <n v="0"/>
    <n v="0"/>
    <n v="0"/>
    <n v="0"/>
  </r>
  <r>
    <s v="59f1c170-3d43-4930-848c-7271faed371a"/>
    <s v="54bf59ae-8d00-468f-b2eb-0cfea0e44473"/>
    <d v="2025-02-25T00:00:00"/>
    <d v="1899-12-30T07:30:19"/>
    <n v="7"/>
    <n v="41"/>
    <s v="Platinum"/>
    <s v="Hong Kong"/>
    <s v="BOUTIQUE-DUBAI"/>
    <s v="COSMIC-HIGHLIGHT-06"/>
    <s v="Blush"/>
    <n v="197.58"/>
    <x v="0"/>
    <n v="0"/>
    <s v="Laptop"/>
    <s v="241.73.104.36"/>
    <x v="0"/>
    <n v="406"/>
    <n v="0.31794623762723684"/>
    <n v="0"/>
    <n v="0"/>
    <n v="0"/>
    <n v="0"/>
    <n v="0"/>
  </r>
  <r>
    <s v="2a2c1cc6-0d03-49b7-bbe9-f017c1bd7c74"/>
    <s v="80592ea2-4139-4596-b6ff-a8b69bd87c14"/>
    <d v="2025-03-15T00:00:00"/>
    <d v="1899-12-30T15:04:21"/>
    <n v="15"/>
    <n v="28"/>
    <s v="Silver"/>
    <s v="Monaco"/>
    <s v="BOUTIQUE-NYC"/>
    <s v="STELLAR-FOUND-03"/>
    <s v="Setting Spray"/>
    <n v="197.34"/>
    <x v="3"/>
    <n v="0"/>
    <s v="Desktop"/>
    <s v="141.129.177.187"/>
    <x v="0"/>
    <n v="413"/>
    <n v="0.31462361535297451"/>
    <n v="0"/>
    <n v="0"/>
    <n v="0"/>
    <n v="0"/>
    <n v="0"/>
  </r>
  <r>
    <s v="7bc25773-fb58-4cad-9f90-bed66f4a2613"/>
    <s v="07f52aeb-38ec-4263-84e9-ad68f71645f7"/>
    <d v="2025-05-31T00:00:00"/>
    <d v="1899-12-30T06:15:47"/>
    <n v="6"/>
    <n v="32"/>
    <s v="Gold"/>
    <s v="Shanghai"/>
    <s v="CONCESSION-LONDON"/>
    <s v="STELLAR-FOUND-03"/>
    <s v="Eyeliner"/>
    <n v="197.28"/>
    <x v="4"/>
    <n v="0"/>
    <s v="Mobile"/>
    <s v="208.226.217.204"/>
    <x v="0"/>
    <n v="182"/>
    <n v="0.31379295978440896"/>
    <n v="0"/>
    <n v="0"/>
    <n v="1"/>
    <n v="1"/>
    <n v="0"/>
  </r>
  <r>
    <s v="958b8015-bfe5-4e55-a2aa-76fab621ca7a"/>
    <s v="358b87c3-9470-4477-bbb3-94686d97dfaf"/>
    <d v="2025-05-29T00:00:00"/>
    <d v="1899-12-30T09:05:32"/>
    <n v="9"/>
    <n v="45"/>
    <s v="Bronze"/>
    <s v="New York"/>
    <s v="BOUTIQUE-DUBAI"/>
    <s v="AURORA-LIP-01"/>
    <s v="Setting Spray"/>
    <n v="197.13"/>
    <x v="4"/>
    <n v="0"/>
    <s v="Tablet"/>
    <s v="183.191.247.253"/>
    <x v="0"/>
    <n v="104"/>
    <n v="0.311716320862995"/>
    <n v="0"/>
    <n v="0"/>
    <n v="1"/>
    <n v="1"/>
    <n v="0"/>
  </r>
  <r>
    <s v="72414e1a-4b2c-4bc6-8c40-190a9f530a61"/>
    <s v="3b47dd99-ccb7-44fc-bc96-68c24fb678d4"/>
    <d v="2025-06-17T00:00:00"/>
    <d v="1899-12-30T22:22:36"/>
    <n v="22"/>
    <n v="19"/>
    <s v="Silver"/>
    <s v="Las Vegas"/>
    <s v="BOUTIQUE-NYC"/>
    <s v="COSMIC-HIGHLIGHT-06"/>
    <s v="Setting Spray"/>
    <n v="197.08"/>
    <x v="1"/>
    <n v="0"/>
    <s v="Mobile"/>
    <s v="168.147.220.87"/>
    <x v="0"/>
    <n v="395"/>
    <n v="0.3110241078891906"/>
    <n v="0"/>
    <n v="0"/>
    <n v="0"/>
    <n v="0"/>
    <n v="0"/>
  </r>
  <r>
    <s v="b909e19e-f3a5-46e6-9092-27656239ef91"/>
    <s v="508fdaf8-96d1-4733-8a98-072932eee74a"/>
    <d v="2025-06-07T00:00:00"/>
    <d v="1899-12-30T17:10:20"/>
    <n v="17"/>
    <n v="40"/>
    <s v="Bronze"/>
    <s v="Shanghai"/>
    <s v="FLAGSHIP-PARIS"/>
    <s v="AURORA-LIP-01"/>
    <s v="Blush"/>
    <n v="197.03"/>
    <x v="0"/>
    <n v="0"/>
    <s v="Mobile"/>
    <s v="234.9.137.51"/>
    <x v="0"/>
    <n v="187"/>
    <n v="0.31033189491538582"/>
    <n v="0"/>
    <n v="0"/>
    <n v="1"/>
    <n v="1"/>
    <n v="0"/>
  </r>
  <r>
    <s v="b520891b-538f-43c9-baf7-8187954820f4"/>
    <s v="6a1634ef-a0cd-43e2-a687-e791958dd508"/>
    <d v="2025-06-14T00:00:00"/>
    <d v="1899-12-30T04:23:25"/>
    <n v="4"/>
    <n v="26"/>
    <s v="Bronze"/>
    <s v="Sydney"/>
    <s v="POPUP-TOKYO"/>
    <s v="LUNAR-MASC-02"/>
    <s v="Foundation"/>
    <n v="196.84"/>
    <x v="3"/>
    <n v="0"/>
    <s v="Tablet"/>
    <s v="240.243.165.118"/>
    <x v="0"/>
    <n v="323"/>
    <n v="0.30770148561492833"/>
    <n v="0"/>
    <n v="1"/>
    <n v="0"/>
    <n v="2"/>
    <n v="0"/>
  </r>
  <r>
    <s v="da5ccd23-e31d-415c-9e8e-ca6d0dd4dbd5"/>
    <s v="e5a57759-9f82-4ab4-b3cb-e752213da68e"/>
    <d v="2025-04-17T00:00:00"/>
    <d v="1899-12-30T11:46:08"/>
    <n v="11"/>
    <n v="47"/>
    <s v="Silver"/>
    <s v="Sydney"/>
    <s v="CONCESSION-SINGAPORE"/>
    <s v="COSMIC-HIGHLIGHT-06"/>
    <s v="Highlighter"/>
    <n v="196.84"/>
    <x v="3"/>
    <n v="0"/>
    <s v="Mobile"/>
    <s v="229.140.176.234"/>
    <x v="0"/>
    <n v="161"/>
    <n v="0.30770148561492833"/>
    <n v="0"/>
    <n v="0"/>
    <n v="1"/>
    <n v="1"/>
    <n v="0"/>
  </r>
  <r>
    <s v="3bf6c0a5-cdf2-4357-b3a6-19748ae04049"/>
    <s v="adb38cc8-2b55-4bdb-8d55-564a647c68af"/>
    <d v="2025-05-19T00:00:00"/>
    <d v="1899-12-30T16:25:22"/>
    <n v="16"/>
    <n v="38"/>
    <s v="Platinum"/>
    <s v="Los Angeles"/>
    <s v="FLAGSHIP-LA"/>
    <s v="COSMIC-HIGHLIGHT-06"/>
    <s v="Concealer"/>
    <n v="196.66"/>
    <x v="3"/>
    <n v="0"/>
    <s v="Tablet"/>
    <s v="127.37.18.177"/>
    <x v="0"/>
    <n v="491"/>
    <n v="0.30520951890923159"/>
    <n v="0"/>
    <n v="0"/>
    <n v="0"/>
    <n v="0"/>
    <n v="0"/>
  </r>
  <r>
    <s v="524c5a0d-75b8-41e7-8fc9-aebbcfba8c85"/>
    <s v="bc78a490-0f9c-41ca-b13d-2862b26613c6"/>
    <d v="2025-08-06T00:00:00"/>
    <d v="1899-12-30T12:14:16"/>
    <n v="12"/>
    <n v="57"/>
    <s v="Bronze"/>
    <s v="Cannes"/>
    <s v="POPUP-MILAN"/>
    <s v="LUNAR-MASC-02"/>
    <s v="Blush"/>
    <n v="196.56"/>
    <x v="3"/>
    <n v="0"/>
    <s v="Desktop"/>
    <s v="67.111.239.133"/>
    <x v="0"/>
    <n v="153"/>
    <n v="0.30382509296162241"/>
    <n v="0"/>
    <n v="0"/>
    <n v="1"/>
    <n v="1"/>
    <n v="0"/>
  </r>
  <r>
    <s v="b78068b9-fcfc-4105-8d4e-7a2162b5bf9a"/>
    <s v="2d6beabc-18e2-45c2-aadd-64108c5027aa"/>
    <d v="2025-03-21T00:00:00"/>
    <d v="1899-12-30T16:39:10"/>
    <n v="16"/>
    <n v="41"/>
    <s v="Bronze"/>
    <s v="Tokyo"/>
    <s v="FLAGSHIP-ROME"/>
    <s v="GALAXIA-SET-08"/>
    <s v="Serum"/>
    <n v="196.37"/>
    <x v="3"/>
    <n v="0"/>
    <s v="Tablet"/>
    <s v="155.55.50.48"/>
    <x v="0"/>
    <n v="304"/>
    <n v="0.30119468366116486"/>
    <n v="0"/>
    <n v="0"/>
    <n v="0"/>
    <n v="0"/>
    <n v="0"/>
  </r>
  <r>
    <s v="17b51a19-5ac1-4db3-bf14-57e54fe5f26e"/>
    <s v="48b26a6b-1484-4e9e-8615-2b6a68707e2d"/>
    <d v="2025-04-21T00:00:00"/>
    <d v="1899-12-30T10:35:27"/>
    <n v="10"/>
    <n v="36"/>
    <s v="Silver"/>
    <s v="Monte Carlo"/>
    <s v="FLAGSHIP-ROME"/>
    <s v="STELLAR-FOUND-03"/>
    <s v="Eyeshadow Palette"/>
    <n v="196.16"/>
    <x v="4"/>
    <n v="0"/>
    <s v="Desktop"/>
    <s v="101.18.77.29"/>
    <x v="0"/>
    <n v="178"/>
    <n v="0.29828738917118536"/>
    <n v="0"/>
    <n v="0"/>
    <n v="1"/>
    <n v="1"/>
    <n v="0"/>
  </r>
  <r>
    <s v="35e35b34-10d9-48a1-86d0-16c713930182"/>
    <s v="cf8e551b-16c3-4d31-b1c5-7f77db9d4690"/>
    <d v="2025-05-10T00:00:00"/>
    <d v="1899-12-30T03:05:30"/>
    <n v="3"/>
    <n v="60"/>
    <s v="Bronze"/>
    <s v="Sydney"/>
    <s v="CONCESSION-LONDON"/>
    <s v="COSMIC-HIGHLIGHT-06"/>
    <s v="Lipstick"/>
    <n v="196.15"/>
    <x v="1"/>
    <n v="0"/>
    <s v="Tablet"/>
    <s v="34.7.143.140"/>
    <x v="0"/>
    <n v="315"/>
    <n v="0.29814894657642455"/>
    <n v="0"/>
    <n v="1"/>
    <n v="0"/>
    <n v="2"/>
    <n v="0"/>
  </r>
  <r>
    <s v="66078a23-afaf-4616-88aa-b766d91457bf"/>
    <s v="5512dacb-fa79-4789-9773-ae0afdbed8dc"/>
    <d v="2025-06-30T00:00:00"/>
    <d v="1899-12-30T09:28:51"/>
    <n v="9"/>
    <n v="57"/>
    <s v="Silver"/>
    <s v="Tokyo"/>
    <s v="FLAGSHIP-ROME"/>
    <s v="LUNAR-MASC-02"/>
    <s v="Serum"/>
    <n v="195.94"/>
    <x v="3"/>
    <n v="0"/>
    <s v="Desktop"/>
    <s v="8.167.70.112"/>
    <x v="0"/>
    <n v="339"/>
    <n v="0.29524165208644504"/>
    <n v="0"/>
    <n v="0"/>
    <n v="0"/>
    <n v="0"/>
    <n v="0"/>
  </r>
  <r>
    <s v="1dab1b57-b9e3-42d5-a110-0d1fdefaca95"/>
    <s v="201d27aa-bb64-4a94-a1fd-b53d66ed39d7"/>
    <d v="2025-05-14T00:00:00"/>
    <d v="1899-12-30T17:52:24"/>
    <n v="17"/>
    <n v="48"/>
    <s v="Bronze"/>
    <s v="Hong Kong"/>
    <s v="CONCESSION-LONDON"/>
    <s v="AURORA-LIP-01"/>
    <s v="Eyeshadow Palette"/>
    <n v="195.93"/>
    <x v="0"/>
    <n v="0"/>
    <s v="Laptop"/>
    <s v="82.177.227.77"/>
    <x v="0"/>
    <n v="190"/>
    <n v="0.29510320949168423"/>
    <n v="0"/>
    <n v="0"/>
    <n v="1"/>
    <n v="1"/>
    <n v="0"/>
  </r>
  <r>
    <s v="63d71a5a-f400-433e-a004-4e33e53b4313"/>
    <s v="e00cb401-7711-4a42-9c72-804557f0f360"/>
    <d v="2025-04-06T00:00:00"/>
    <d v="1899-12-30T13:57:41"/>
    <n v="13"/>
    <n v="46"/>
    <s v="Bronze"/>
    <s v="Singapore"/>
    <s v="POPUP-MILAN"/>
    <s v="LUNAR-MASC-02"/>
    <s v="Mascara"/>
    <n v="195.78"/>
    <x v="3"/>
    <n v="0"/>
    <s v="Tablet"/>
    <s v="108.210.236.14"/>
    <x v="0"/>
    <n v="65"/>
    <n v="0.29302657057027026"/>
    <n v="0"/>
    <n v="0"/>
    <n v="1"/>
    <n v="1"/>
    <n v="0"/>
  </r>
  <r>
    <s v="ab58a166-53c8-4553-b3cf-4ea20ac5ad0a"/>
    <s v="930ebca9-f95b-41e8-937c-21c2ca412d28"/>
    <d v="2025-03-02T00:00:00"/>
    <d v="1899-12-30T10:45:02"/>
    <n v="10"/>
    <n v="31"/>
    <s v="VIP"/>
    <s v="Zurich"/>
    <s v="POPUP-MILAN"/>
    <s v="SOLAR-BLUSH-04"/>
    <s v="Eyeshadow Palette"/>
    <n v="195.45"/>
    <x v="0"/>
    <n v="0"/>
    <s v="Laptop"/>
    <s v="26.234.95.113"/>
    <x v="0"/>
    <n v="397"/>
    <n v="0.28845796494315956"/>
    <n v="0"/>
    <n v="0"/>
    <n v="0"/>
    <n v="0"/>
    <n v="0"/>
  </r>
  <r>
    <s v="768805a5-f373-4100-8cc9-aa3b83187294"/>
    <s v="5dd05a7f-ec6f-4208-a120-aee9235f768a"/>
    <d v="2025-02-20T00:00:00"/>
    <d v="1899-12-30T21:22:45"/>
    <n v="21"/>
    <n v="47"/>
    <s v="Gold"/>
    <s v="Paris"/>
    <s v="POPUP-MILAN"/>
    <s v="COSMIC-HIGHLIGHT-06"/>
    <s v="Foundation"/>
    <n v="195.38"/>
    <x v="1"/>
    <n v="0"/>
    <s v="Laptop"/>
    <s v="185.249.223.69"/>
    <x v="0"/>
    <n v="276"/>
    <n v="0.28748886677983321"/>
    <n v="0"/>
    <n v="0"/>
    <n v="0"/>
    <n v="0"/>
    <n v="0"/>
  </r>
  <r>
    <s v="1445703b-1679-4ae6-9af6-2243f47df79b"/>
    <s v="bdc2f7a1-2da6-4c99-9536-cf6e26586955"/>
    <d v="2025-03-05T00:00:00"/>
    <d v="1899-12-30T16:06:25"/>
    <n v="16"/>
    <n v="46"/>
    <s v="Bronze"/>
    <s v="Shanghai"/>
    <s v="FLAGSHIP-PARIS"/>
    <s v="ECLIPSE-EYE-10"/>
    <s v="Highlighter"/>
    <n v="195.31"/>
    <x v="3"/>
    <n v="0"/>
    <s v="Laptop"/>
    <s v="85.46.160.182"/>
    <x v="0"/>
    <n v="134"/>
    <n v="0.28651976861650685"/>
    <n v="0"/>
    <n v="0"/>
    <n v="1"/>
    <n v="1"/>
    <n v="0"/>
  </r>
  <r>
    <s v="7557b73d-1e39-4296-abc7-6f36bd2ebfdd"/>
    <s v="b17c540f-27a0-4dae-b7a7-61a4a3db749e"/>
    <d v="2025-06-10T00:00:00"/>
    <d v="1899-12-30T20:17:27"/>
    <n v="20"/>
    <n v="37"/>
    <s v="Silver"/>
    <s v="Paris"/>
    <s v="BOUTIQUE-NYC"/>
    <s v="COSMIC-HIGHLIGHT-06"/>
    <s v="Concealer"/>
    <n v="195.13"/>
    <x v="1"/>
    <n v="0"/>
    <s v="Mobile"/>
    <s v="111.94.129.251"/>
    <x v="0"/>
    <n v="112"/>
    <n v="0.28402780191081012"/>
    <n v="0"/>
    <n v="0"/>
    <n v="1"/>
    <n v="1"/>
    <n v="0"/>
  </r>
  <r>
    <s v="fad1bfa8-9cd8-448f-9fcc-95c635933397"/>
    <s v="646ed6de-9926-41f6-9321-d245b47290a3"/>
    <d v="2025-05-14T00:00:00"/>
    <d v="1899-12-30T11:29:47"/>
    <n v="11"/>
    <n v="35"/>
    <s v="Silver"/>
    <s v="Shanghai"/>
    <s v="FLAGSHIP-PARIS"/>
    <s v="AURORA-LIP-01"/>
    <s v="Highlighter"/>
    <n v="195.08"/>
    <x v="1"/>
    <n v="0"/>
    <s v="Tablet"/>
    <s v="76.63.200.86"/>
    <x v="0"/>
    <n v="370"/>
    <n v="0.28333558893700572"/>
    <n v="0"/>
    <n v="0"/>
    <n v="0"/>
    <n v="0"/>
    <n v="0"/>
  </r>
  <r>
    <s v="1c27b8ad-6e44-4e99-b611-e228271961c1"/>
    <s v="b2821b89-f016-43c6-af34-d93305806970"/>
    <d v="2025-06-12T00:00:00"/>
    <d v="1899-12-30T10:03:01"/>
    <n v="10"/>
    <n v="51"/>
    <s v="Silver"/>
    <s v="Geneva"/>
    <s v="FLAGSHIP-ROME"/>
    <s v="AURORA-LIP-01"/>
    <s v="Foundation"/>
    <n v="194.91"/>
    <x v="0"/>
    <n v="0"/>
    <s v="Tablet"/>
    <s v="25.108.3.192"/>
    <x v="0"/>
    <n v="247"/>
    <n v="0.2809820648260698"/>
    <n v="0"/>
    <n v="0"/>
    <n v="1"/>
    <n v="1"/>
    <n v="0"/>
  </r>
  <r>
    <s v="1e411b82-902d-4406-aecc-52f176396c3d"/>
    <s v="e941bcfc-86e8-46ca-a8b7-bc64042dfc35"/>
    <d v="2025-03-06T00:00:00"/>
    <d v="1899-12-30T07:26:31"/>
    <n v="7"/>
    <n v="46"/>
    <s v="Bronze"/>
    <s v="Rome"/>
    <s v="BOUTIQUE-NYC"/>
    <s v="ORION-CONCEAL-09"/>
    <s v="Lipstick"/>
    <n v="194.86"/>
    <x v="0"/>
    <n v="0"/>
    <s v="Laptop"/>
    <s v="30.69.167.237"/>
    <x v="0"/>
    <n v="218"/>
    <n v="0.2802898518522654"/>
    <n v="0"/>
    <n v="0"/>
    <n v="1"/>
    <n v="1"/>
    <n v="0"/>
  </r>
  <r>
    <s v="c7fae1ef-b4fc-4095-b6b8-9918de4cd13f"/>
    <s v="b2200b9a-2c09-4f17-ab24-d1684542e897"/>
    <d v="2025-05-31T00:00:00"/>
    <d v="1899-12-30T00:02:37"/>
    <n v="0"/>
    <n v="59"/>
    <s v="Bronze"/>
    <s v="New York"/>
    <s v="CONCESSION-SINGAPORE"/>
    <s v="ORION-CONCEAL-09"/>
    <s v="Lipstick"/>
    <n v="194.82"/>
    <x v="3"/>
    <n v="0"/>
    <s v="Laptop"/>
    <s v="200.242.171.186"/>
    <x v="0"/>
    <n v="383"/>
    <n v="0.27973608147322143"/>
    <n v="0"/>
    <n v="1"/>
    <n v="0"/>
    <n v="2"/>
    <n v="0"/>
  </r>
  <r>
    <s v="bc4f04a5-aa0e-49b1-ad32-39eb5f821131"/>
    <s v="8c154c14-f3af-42a3-990f-af67ffd8956a"/>
    <d v="2025-06-18T00:00:00"/>
    <d v="1899-12-30T16:29:17"/>
    <n v="16"/>
    <n v="50"/>
    <s v="Silver"/>
    <s v="Cannes"/>
    <s v="CONCESSION-LONDON"/>
    <s v="STELLAR-FOUND-03"/>
    <s v="Mascara"/>
    <n v="194.78"/>
    <x v="0"/>
    <n v="0"/>
    <s v="Tablet"/>
    <s v="197.74.234.163"/>
    <x v="0"/>
    <n v="282"/>
    <n v="0.27918231109417779"/>
    <n v="0"/>
    <n v="0"/>
    <n v="0"/>
    <n v="0"/>
    <n v="0"/>
  </r>
  <r>
    <s v="4ffde9ef-2c8d-4109-9bcb-391a45d8183d"/>
    <s v="e17db2a3-f428-4e03-ac9c-aa677cb6e5eb"/>
    <d v="2025-03-22T00:00:00"/>
    <d v="1899-12-30T23:32:07"/>
    <n v="23"/>
    <n v="40"/>
    <s v="Silver"/>
    <s v="Paris"/>
    <s v="FLAGSHIP-PARIS"/>
    <s v="ORION-CONCEAL-09"/>
    <s v="Eyeshadow Palette"/>
    <n v="194.68"/>
    <x v="0"/>
    <n v="0"/>
    <s v="Laptop"/>
    <s v="68.151.42.180"/>
    <x v="0"/>
    <n v="323"/>
    <n v="0.27779788514656867"/>
    <n v="0"/>
    <n v="0"/>
    <n v="0"/>
    <n v="0"/>
    <n v="0"/>
  </r>
  <r>
    <s v="0721f3f5-c3a5-4544-9401-3d535cb34174"/>
    <s v="3eea5d3b-706d-4a87-b051-1ef8b87ee510"/>
    <d v="2025-04-29T00:00:00"/>
    <d v="1899-12-30T22:30:44"/>
    <n v="22"/>
    <n v="53"/>
    <s v="Platinum"/>
    <s v="Sydney"/>
    <s v="CONCESSION-LONDON"/>
    <s v="ORION-CONCEAL-09"/>
    <s v="Lipstick"/>
    <n v="194.67"/>
    <x v="4"/>
    <n v="0"/>
    <s v="Desktop"/>
    <s v="29.91.217.196"/>
    <x v="0"/>
    <n v="310"/>
    <n v="0.27765944255180747"/>
    <n v="0"/>
    <n v="0"/>
    <n v="0"/>
    <n v="0"/>
    <n v="0"/>
  </r>
  <r>
    <s v="a0e0df6f-da1c-4022-ba48-22ebebb176bc"/>
    <s v="f83df900-cb0a-4799-861e-5d8da42f13ea"/>
    <d v="2025-03-05T00:00:00"/>
    <d v="1899-12-30T07:19:56"/>
    <n v="7"/>
    <n v="33"/>
    <s v="Silver"/>
    <s v="Sydney"/>
    <s v="BOUTIQUE-NYC"/>
    <s v="ECLIPSE-EYE-10"/>
    <s v="Blush"/>
    <n v="194.62"/>
    <x v="0"/>
    <n v="0"/>
    <s v="Laptop"/>
    <s v="160.49.39.252"/>
    <x v="0"/>
    <n v="481"/>
    <n v="0.27696722957800307"/>
    <n v="0"/>
    <n v="0"/>
    <n v="0"/>
    <n v="0"/>
    <n v="0"/>
  </r>
  <r>
    <s v="3092eb34-2d53-4e6b-b25b-4dba6b5c0531"/>
    <s v="be5d1acf-b100-4451-b9f1-e33742e90ddf"/>
    <d v="2025-03-28T00:00:00"/>
    <d v="1899-12-30T16:58:08"/>
    <n v="16"/>
    <n v="37"/>
    <s v="Platinum"/>
    <s v="Hong Kong"/>
    <s v="BOUTIQUE-NYC"/>
    <s v="NEBULA-SERUM-07"/>
    <s v="Eyeliner"/>
    <n v="194.58"/>
    <x v="0"/>
    <n v="0"/>
    <s v="Desktop"/>
    <s v="226.56.83.15"/>
    <x v="0"/>
    <n v="491"/>
    <n v="0.27641345919895949"/>
    <n v="0"/>
    <n v="0"/>
    <n v="0"/>
    <n v="0"/>
    <n v="0"/>
  </r>
  <r>
    <s v="6d37ddd0-faa9-4670-895e-8adb94b64c7b"/>
    <s v="525ed9b4-b80c-4527-a8ea-6d9f65aaebca"/>
    <d v="2025-08-12T00:00:00"/>
    <d v="1899-12-30T04:47:46"/>
    <n v="4"/>
    <n v="28"/>
    <s v="Bronze"/>
    <s v="Miami"/>
    <s v="BOUTIQUE-NYC"/>
    <s v="ORION-CONCEAL-09"/>
    <s v="Blush"/>
    <n v="194.49"/>
    <x v="3"/>
    <n v="0"/>
    <s v="Laptop"/>
    <s v="9.71.2.184"/>
    <x v="0"/>
    <n v="157"/>
    <n v="0.27516747584611112"/>
    <n v="0"/>
    <n v="1"/>
    <n v="1"/>
    <n v="3"/>
    <n v="0"/>
  </r>
  <r>
    <s v="3e250547-32ad-4ffa-8a1d-a82ec9a85664"/>
    <s v="8ccd73a6-c69f-406d-8a84-6d251b0f69cf"/>
    <d v="2025-03-07T00:00:00"/>
    <d v="1899-12-30T12:56:56"/>
    <n v="12"/>
    <n v="27"/>
    <s v="Bronze"/>
    <s v="San Francisco"/>
    <s v="FLAGSHIP-ROME"/>
    <s v="ORION-CONCEAL-09"/>
    <s v="Lipstick"/>
    <n v="194.44"/>
    <x v="1"/>
    <n v="0"/>
    <s v="Desktop"/>
    <s v="132.180.26.216"/>
    <x v="0"/>
    <n v="339"/>
    <n v="0.27447526287230634"/>
    <n v="0"/>
    <n v="0"/>
    <n v="0"/>
    <n v="0"/>
    <n v="0"/>
  </r>
  <r>
    <s v="1d061b37-efd8-4505-8466-fb607efcb843"/>
    <s v="41881e40-e37e-4350-8e90-c10a7aa367b7"/>
    <d v="2025-08-03T00:00:00"/>
    <d v="1899-12-30T08:33:36"/>
    <n v="8"/>
    <n v="52"/>
    <s v="Silver"/>
    <s v="London"/>
    <s v="POPUP-TOKYO"/>
    <s v="ORION-CONCEAL-09"/>
    <s v="Eyeliner"/>
    <n v="194.17"/>
    <x v="1"/>
    <n v="0"/>
    <s v="Desktop"/>
    <s v="221.3.27.183"/>
    <x v="0"/>
    <n v="467"/>
    <n v="0.27073731281376123"/>
    <n v="0"/>
    <n v="0"/>
    <n v="0"/>
    <n v="0"/>
    <n v="0"/>
  </r>
  <r>
    <s v="38da66d4-ea04-41af-bdde-783cb7204ae3"/>
    <s v="7bd483e7-fb44-4c7c-8cd8-7dbad7ec3b5a"/>
    <d v="2025-02-18T00:00:00"/>
    <d v="1899-12-30T04:12:00"/>
    <n v="4"/>
    <n v="45"/>
    <s v="Unknown"/>
    <s v="Zurich"/>
    <s v="CONCESSION-SINGAPORE"/>
    <s v="SOLAR-BLUSH-04"/>
    <s v="Lipstick"/>
    <n v="194.14"/>
    <x v="0"/>
    <n v="0"/>
    <s v="Mobile"/>
    <s v="143.164.205.178"/>
    <x v="0"/>
    <n v="289"/>
    <n v="0.27032198502947846"/>
    <n v="0"/>
    <n v="1"/>
    <n v="0"/>
    <n v="2"/>
    <n v="0"/>
  </r>
  <r>
    <s v="2302cd5b-0b69-435f-83a6-d753246144c5"/>
    <s v="52b5e873-e7a6-4f79-93fa-f00aa0d0cf27"/>
    <d v="2025-08-11T00:00:00"/>
    <d v="1899-12-30T03:53:36"/>
    <n v="3"/>
    <n v="23"/>
    <s v="Gold"/>
    <s v="Geneva"/>
    <s v="POPUP-TOKYO"/>
    <s v="COSMIC-HIGHLIGHT-06"/>
    <s v="Foundation"/>
    <n v="194.13"/>
    <x v="1"/>
    <n v="0"/>
    <s v="Desktop"/>
    <s v="81.200.182.66"/>
    <x v="0"/>
    <n v="279"/>
    <n v="0.27018354243471765"/>
    <n v="0"/>
    <n v="1"/>
    <n v="0"/>
    <n v="2"/>
    <n v="0"/>
  </r>
  <r>
    <s v="cd28c84b-dbd9-44da-8138-046c8b0d408e"/>
    <s v="b012c36c-4eb0-4836-80bb-32c2d12f5242"/>
    <d v="2025-06-05T00:00:00"/>
    <d v="1899-12-30T11:00:57"/>
    <n v="11"/>
    <n v="28"/>
    <s v="Gold"/>
    <s v="Los Angeles"/>
    <s v="CONCESSION-LONDON"/>
    <s v="ORION-CONCEAL-09"/>
    <s v="Serum"/>
    <n v="193.77"/>
    <x v="3"/>
    <n v="0"/>
    <s v="Desktop"/>
    <s v="46.219.171.92"/>
    <x v="0"/>
    <n v="196"/>
    <n v="0.26519960902332457"/>
    <n v="0"/>
    <n v="0"/>
    <n v="1"/>
    <n v="1"/>
    <n v="0"/>
  </r>
  <r>
    <s v="69cf9bef-f4a9-46ee-8c0d-5c8bb90414d8"/>
    <s v="77615af4-1f0a-4ad4-a847-7ce46df8e9cf"/>
    <d v="2025-03-26T00:00:00"/>
    <d v="1899-12-30T14:40:47"/>
    <n v="14"/>
    <n v="30"/>
    <s v="Bronze"/>
    <s v="Shanghai"/>
    <s v="CONCESSION-SINGAPORE"/>
    <s v="SOLAR-BLUSH-04"/>
    <s v="Serum"/>
    <n v="193.73"/>
    <x v="1"/>
    <n v="0"/>
    <s v="Tablet"/>
    <s v="212.75.136.42"/>
    <x v="0"/>
    <n v="360"/>
    <n v="0.2646458386442806"/>
    <n v="0"/>
    <n v="0"/>
    <n v="0"/>
    <n v="0"/>
    <n v="0"/>
  </r>
  <r>
    <s v="67ac90fd-3b25-46fb-b174-0bab17e5d25c"/>
    <s v="c7ffee57-3de0-4bbc-b037-aa8d146a3a3b"/>
    <d v="2025-07-27T00:00:00"/>
    <d v="1899-12-30T03:27:08"/>
    <n v="3"/>
    <n v="62"/>
    <s v="VIP"/>
    <s v="New York"/>
    <s v="FLAGSHIP-PARIS"/>
    <s v="LUNAR-MASC-02"/>
    <s v="Setting Spray"/>
    <n v="193.49"/>
    <x v="1"/>
    <n v="0"/>
    <s v="Mobile"/>
    <s v="17.157.255.230"/>
    <x v="1"/>
    <n v="125"/>
    <n v="0.26132321637001865"/>
    <n v="0"/>
    <n v="1"/>
    <n v="1"/>
    <n v="3"/>
    <n v="0"/>
  </r>
  <r>
    <s v="14b616f0-a7ab-4e88-8bf0-43ba09442b1c"/>
    <s v="2b7dad1d-f6c3-421b-a0bc-00016b51920b"/>
    <d v="2025-08-04T00:00:00"/>
    <d v="1899-12-30T01:19:18"/>
    <n v="1"/>
    <n v="46"/>
    <s v="Gold"/>
    <s v="Cannes"/>
    <s v="CONCESSION-LONDON"/>
    <s v="GALAXIA-SET-08"/>
    <s v="Highlighter"/>
    <n v="193.4"/>
    <x v="3"/>
    <n v="0"/>
    <s v="Desktop"/>
    <s v="197.197.180.163"/>
    <x v="0"/>
    <n v="392"/>
    <n v="0.26007723301717028"/>
    <n v="0"/>
    <n v="1"/>
    <n v="0"/>
    <n v="2"/>
    <n v="0"/>
  </r>
  <r>
    <s v="880623d4-15f3-49b0-9ab3-6fd88c8ad57d"/>
    <s v="d13e3538-cd09-4370-9ffa-476654a243a8"/>
    <d v="2025-05-03T00:00:00"/>
    <d v="1899-12-30T23:55:59"/>
    <n v="23"/>
    <n v="20"/>
    <s v="Bronze"/>
    <s v="Singapore"/>
    <s v="BOUTIQUE-DUBAI"/>
    <s v="SOLAR-BLUSH-04"/>
    <s v="Eyeliner"/>
    <n v="193.26"/>
    <x v="1"/>
    <n v="0"/>
    <s v="Mobile"/>
    <s v="250.89.78.82"/>
    <x v="0"/>
    <n v="498"/>
    <n v="0.25813903669051713"/>
    <n v="0"/>
    <n v="0"/>
    <n v="0"/>
    <n v="0"/>
    <n v="0"/>
  </r>
  <r>
    <s v="365717d5-38d2-448a-a996-921be75c66ba"/>
    <s v="fd897d6a-07f3-4618-8397-11104fd5f24a"/>
    <d v="2025-05-26T00:00:00"/>
    <d v="1899-12-30T21:38:38"/>
    <n v="21"/>
    <n v="41"/>
    <s v="VIP"/>
    <s v="Zurich"/>
    <s v="FLAGSHIP-ROME"/>
    <s v="GALAXIA-SET-08"/>
    <s v="Eyeshadow Palette"/>
    <n v="193.25"/>
    <x v="4"/>
    <n v="0"/>
    <s v="Mobile"/>
    <s v="169.16.60.175"/>
    <x v="0"/>
    <n v="157"/>
    <n v="0.25800059409575632"/>
    <n v="0"/>
    <n v="0"/>
    <n v="1"/>
    <n v="1"/>
    <n v="0"/>
  </r>
  <r>
    <s v="584529b7-435e-4a4e-aeaa-efcd7fc1a6bc"/>
    <s v="f6e775a1-7d0c-4fbb-a57d-275c7638f529"/>
    <d v="2025-03-01T00:00:00"/>
    <d v="1899-12-30T22:33:29"/>
    <n v="22"/>
    <n v="49"/>
    <s v="Bronze"/>
    <s v="London"/>
    <s v="FLAGSHIP-LA"/>
    <s v="NEBULA-SERUM-07"/>
    <s v="Blush"/>
    <n v="193.21"/>
    <x v="1"/>
    <n v="0"/>
    <s v="Tablet"/>
    <s v="191.77.48.200"/>
    <x v="0"/>
    <n v="477"/>
    <n v="0.25744682371671274"/>
    <n v="0"/>
    <n v="0"/>
    <n v="0"/>
    <n v="0"/>
    <n v="0"/>
  </r>
  <r>
    <s v="5c616c88-6698-4ff6-bce2-9a1ef29cb9a1"/>
    <s v="ce04f8ba-4389-4ca2-85c7-b51ad88e4ffb"/>
    <d v="2025-06-08T00:00:00"/>
    <d v="1899-12-30T15:20:15"/>
    <n v="15"/>
    <n v="44"/>
    <s v="Gold"/>
    <s v="Monte Carlo"/>
    <s v="FLAGSHIP-PARIS"/>
    <s v="COSMIC-HIGHLIGHT-06"/>
    <s v="Blush"/>
    <n v="192.97"/>
    <x v="4"/>
    <n v="0"/>
    <s v="Desktop"/>
    <s v="68.1.230.64"/>
    <x v="0"/>
    <n v="52"/>
    <n v="0.25412420144245046"/>
    <n v="0"/>
    <n v="0"/>
    <n v="1"/>
    <n v="1"/>
    <n v="0"/>
  </r>
  <r>
    <s v="667f5d60-bab5-4b19-b751-8f864fd375ea"/>
    <s v="2f962798-7665-4535-b018-62357dff670c"/>
    <d v="2025-03-02T00:00:00"/>
    <d v="1899-12-30T15:25:41"/>
    <n v="15"/>
    <n v="35"/>
    <s v="Bronze"/>
    <s v="Milan"/>
    <s v="BOUTIQUE-SHANGHAI"/>
    <s v="ECLIPSE-EYE-10"/>
    <s v="Serum"/>
    <n v="192.9"/>
    <x v="1"/>
    <n v="0"/>
    <s v="Laptop"/>
    <s v="59.134.241.155"/>
    <x v="0"/>
    <n v="265"/>
    <n v="0.25315510327912405"/>
    <n v="0"/>
    <n v="0"/>
    <n v="1"/>
    <n v="1"/>
    <n v="0"/>
  </r>
  <r>
    <s v="fd0a9efb-00e8-4f5e-86f0-013c5cabde77"/>
    <s v="8818fc31-94e7-49c5-a4ed-9a4150017b65"/>
    <d v="2025-05-28T00:00:00"/>
    <d v="1899-12-30T09:55:02"/>
    <n v="9"/>
    <n v="27"/>
    <s v="Bronze"/>
    <s v="Singapore"/>
    <s v="BOUTIQUE-NYC"/>
    <s v="STELLAR-FOUND-03"/>
    <s v="Foundation"/>
    <n v="192.84"/>
    <x v="4"/>
    <n v="0"/>
    <s v="Tablet"/>
    <s v="74.73.93.130"/>
    <x v="0"/>
    <n v="414"/>
    <n v="0.25232444771055851"/>
    <n v="0"/>
    <n v="0"/>
    <n v="0"/>
    <n v="0"/>
    <n v="0"/>
  </r>
  <r>
    <s v="994a7324-d028-44e9-b65d-c02a68bb9dd4"/>
    <s v="a545dce1-df84-44e4-b5f7-d15caa9309d5"/>
    <d v="2025-06-11T00:00:00"/>
    <d v="1899-12-30T13:11:10"/>
    <n v="13"/>
    <n v="41"/>
    <s v="Platinum"/>
    <s v="Las Vegas"/>
    <s v="CONCESSION-SINGAPORE"/>
    <s v="ECLIPSE-EYE-10"/>
    <s v="Setting Spray"/>
    <n v="192.64"/>
    <x v="0"/>
    <n v="0"/>
    <s v="Desktop"/>
    <s v="58.112.125.115"/>
    <x v="0"/>
    <n v="337"/>
    <n v="0.24955559581533976"/>
    <n v="0"/>
    <n v="0"/>
    <n v="0"/>
    <n v="0"/>
    <n v="0"/>
  </r>
  <r>
    <s v="1fa8dcf6-19ae-4abd-b4f1-81a47329a85b"/>
    <s v="f9698d85-df15-4852-bbbb-4db7e0d3bacd"/>
    <d v="2025-03-20T00:00:00"/>
    <d v="1899-12-30T11:37:41"/>
    <n v="11"/>
    <n v="40"/>
    <s v="Bronze"/>
    <s v="Los Angeles"/>
    <s v="CONCESSION-SINGAPORE"/>
    <s v="COSMIC-HIGHLIGHT-06"/>
    <s v="Lipstick"/>
    <n v="192.61"/>
    <x v="0"/>
    <n v="0"/>
    <s v="Laptop"/>
    <s v="108.133.102.171"/>
    <x v="0"/>
    <n v="452"/>
    <n v="0.24914026803105735"/>
    <n v="0"/>
    <n v="0"/>
    <n v="0"/>
    <n v="0"/>
    <n v="0"/>
  </r>
  <r>
    <s v="9bdd6175-53f7-4556-8e8b-eb5c1d4e4ea2"/>
    <s v="573bef0f-30eb-4139-bf94-b0454c25f56a"/>
    <d v="2025-07-25T00:00:00"/>
    <d v="1899-12-30T18:38:24"/>
    <n v="18"/>
    <n v="28"/>
    <s v="Gold"/>
    <s v="Sydney"/>
    <s v="FLAGSHIP-ROME"/>
    <s v="STELLAR-FOUND-03"/>
    <s v="Concealer"/>
    <n v="192.59"/>
    <x v="1"/>
    <n v="0"/>
    <s v="Mobile"/>
    <s v="13.155.197.96"/>
    <x v="0"/>
    <n v="188"/>
    <n v="0.24886338284153536"/>
    <n v="0"/>
    <n v="0"/>
    <n v="1"/>
    <n v="1"/>
    <n v="0"/>
  </r>
  <r>
    <s v="aada70c2-0172-4e44-94de-dadb906ed944"/>
    <s v="d10bf240-e09a-4bfb-bf71-cea4a1300e31"/>
    <d v="2025-08-04T00:00:00"/>
    <d v="1899-12-30T16:55:23"/>
    <n v="16"/>
    <n v="41"/>
    <s v="Silver"/>
    <s v="San Francisco"/>
    <s v="BOUTIQUE-DUBAI"/>
    <s v="SOLAR-BLUSH-04"/>
    <s v="Foundation"/>
    <n v="192.56"/>
    <x v="0"/>
    <n v="0"/>
    <s v="Mobile"/>
    <s v="95.175.161.122"/>
    <x v="0"/>
    <n v="56"/>
    <n v="0.24844805505725259"/>
    <n v="0"/>
    <n v="0"/>
    <n v="1"/>
    <n v="1"/>
    <n v="0"/>
  </r>
  <r>
    <s v="4c793917-25db-45e3-8132-e6e3f6905afc"/>
    <s v="2a98eae1-94da-47dd-8dc2-d1c88a9326da"/>
    <d v="2025-04-22T00:00:00"/>
    <d v="1899-12-30T23:55:44"/>
    <n v="23"/>
    <n v="40"/>
    <s v="Gold"/>
    <s v="Dubai"/>
    <s v="BOUTIQUE-NYC"/>
    <s v="ECLIPSE-EYE-10"/>
    <s v="Highlighter"/>
    <n v="192.5"/>
    <x v="0"/>
    <n v="0"/>
    <s v="Mobile"/>
    <s v="71.27.99.57"/>
    <x v="0"/>
    <n v="494"/>
    <n v="0.247617399488687"/>
    <n v="0"/>
    <n v="0"/>
    <n v="0"/>
    <n v="0"/>
    <n v="0"/>
  </r>
  <r>
    <s v="1ed40244-1dbb-4bd8-bc8a-6c9cf770d02d"/>
    <s v="cd02f970-03bf-4ba8-b8b2-959cee0f99e6"/>
    <d v="2025-07-13T00:00:00"/>
    <d v="1899-12-30T14:39:09"/>
    <n v="14"/>
    <n v="63"/>
    <s v="Platinum"/>
    <s v="San Francisco"/>
    <s v="FLAGSHIP-ROME"/>
    <s v="SOLAR-BLUSH-04"/>
    <s v="Serum"/>
    <n v="192.46"/>
    <x v="0"/>
    <n v="0"/>
    <s v="Tablet"/>
    <s v="72.192.30.51"/>
    <x v="0"/>
    <n v="91"/>
    <n v="0.24706362910964341"/>
    <n v="0"/>
    <n v="0"/>
    <n v="1"/>
    <n v="1"/>
    <n v="0"/>
  </r>
  <r>
    <s v="54cb9e3a-f8d9-4eac-802c-9d7e8eba6839"/>
    <s v="b38e960e-2c7c-4897-a318-a59dc0521060"/>
    <d v="2025-07-08T00:00:00"/>
    <d v="1899-12-30T14:16:54"/>
    <n v="14"/>
    <n v="42"/>
    <s v="Silver"/>
    <s v="Milan"/>
    <s v="FLAGSHIP-LA"/>
    <s v="SOLAR-BLUSH-04"/>
    <s v="Mascara"/>
    <n v="192.27"/>
    <x v="3"/>
    <n v="0"/>
    <s v="Desktop"/>
    <s v="4.199.108.234"/>
    <x v="0"/>
    <n v="449"/>
    <n v="0.24443321980918589"/>
    <n v="0"/>
    <n v="0"/>
    <n v="0"/>
    <n v="0"/>
    <n v="0"/>
  </r>
  <r>
    <s v="7f63473e-0614-40c3-9686-4227ea6437ac"/>
    <s v="0a190fc9-1cd7-4d86-b210-3f40b7b84921"/>
    <d v="2025-07-12T00:00:00"/>
    <d v="1899-12-30T04:07:00"/>
    <n v="4"/>
    <n v="34"/>
    <s v="Unknown"/>
    <s v="Las Vegas"/>
    <s v="FLAGSHIP-ROME"/>
    <s v="GALAXIA-SET-08"/>
    <s v="Concealer"/>
    <n v="192.26"/>
    <x v="4"/>
    <n v="0"/>
    <s v="Desktop"/>
    <s v="53.19.121.227"/>
    <x v="0"/>
    <n v="312"/>
    <n v="0.24429477721442469"/>
    <n v="0"/>
    <n v="1"/>
    <n v="0"/>
    <n v="2"/>
    <n v="0"/>
  </r>
  <r>
    <s v="41ce599f-05b3-42c0-a17f-2dc2b97ae298"/>
    <s v="494700ca-e359-4bec-8bf1-5895fd8a391e"/>
    <d v="2025-03-23T00:00:00"/>
    <d v="1899-12-30T20:03:12"/>
    <n v="20"/>
    <n v="41"/>
    <s v="Bronze"/>
    <s v="London"/>
    <s v="CONCESSION-SINGAPORE"/>
    <s v="ORION-CONCEAL-09"/>
    <s v="Eyeliner"/>
    <n v="191.98"/>
    <x v="3"/>
    <n v="0"/>
    <s v="Tablet"/>
    <s v="237.34.30.210"/>
    <x v="0"/>
    <n v="262"/>
    <n v="0.24041838456111878"/>
    <n v="0"/>
    <n v="0"/>
    <n v="1"/>
    <n v="1"/>
    <n v="0"/>
  </r>
  <r>
    <s v="8911b8e4-17be-4b61-b4fb-3d916e152677"/>
    <s v="ab6149cb-4531-4e35-937f-46ea7f725edb"/>
    <d v="2025-07-03T00:00:00"/>
    <d v="1899-12-30T06:00:07"/>
    <n v="6"/>
    <n v="59"/>
    <s v="Silver"/>
    <s v="Hong Kong"/>
    <s v="CONCESSION-SINGAPORE"/>
    <s v="COSMIC-HIGHLIGHT-06"/>
    <s v="Eyeshadow Palette"/>
    <n v="191.88"/>
    <x v="1"/>
    <n v="0"/>
    <s v="Desktop"/>
    <s v="36.175.93.49"/>
    <x v="0"/>
    <n v="173"/>
    <n v="0.23903395861350962"/>
    <n v="0"/>
    <n v="0"/>
    <n v="1"/>
    <n v="1"/>
    <n v="0"/>
  </r>
  <r>
    <s v="09c28e73-f6d6-4559-8413-785203f4eb69"/>
    <s v="b6dde188-f52b-455b-88ab-b7c6d979ce24"/>
    <d v="2025-08-04T00:00:00"/>
    <d v="1899-12-30T09:46:01"/>
    <n v="9"/>
    <n v="37"/>
    <s v="Silver"/>
    <s v="Tokyo"/>
    <s v="POPUP-MILAN"/>
    <s v="ECLIPSE-EYE-10"/>
    <s v="Highlighter"/>
    <n v="191.87"/>
    <x v="3"/>
    <n v="0"/>
    <s v="Mobile"/>
    <s v="8.60.113.65"/>
    <x v="0"/>
    <n v="250"/>
    <n v="0.23889551601874881"/>
    <n v="0"/>
    <n v="0"/>
    <n v="1"/>
    <n v="1"/>
    <n v="0"/>
  </r>
  <r>
    <s v="b5d559a1-e8da-40df-b258-e07e7b02dad2"/>
    <s v="cb795c17-e5ee-4bad-abc2-37a13f7d1194"/>
    <d v="2025-07-28T00:00:00"/>
    <d v="1899-12-30T21:59:51"/>
    <n v="21"/>
    <n v="62"/>
    <s v="Gold"/>
    <s v="San Francisco"/>
    <s v="CONCESSION-SINGAPORE"/>
    <s v="ECLIPSE-EYE-10"/>
    <s v="Foundation"/>
    <n v="191.77"/>
    <x v="1"/>
    <n v="0"/>
    <s v="Tablet"/>
    <s v="39.3.189.232"/>
    <x v="0"/>
    <n v="446"/>
    <n v="0.23751109007113966"/>
    <n v="0"/>
    <n v="0"/>
    <n v="0"/>
    <n v="0"/>
    <n v="0"/>
  </r>
  <r>
    <s v="1dbd60a0-deeb-450d-8c54-6a7b248f0ba0"/>
    <s v="191aeaed-848e-47ed-a74e-9755ae108123"/>
    <d v="2025-04-27T00:00:00"/>
    <d v="1899-12-30T10:01:40"/>
    <n v="10"/>
    <n v="25"/>
    <s v="Bronze"/>
    <s v="London"/>
    <s v="FLAGSHIP-LA"/>
    <s v="SOLAR-BLUSH-04"/>
    <s v="Eyeshadow Palette"/>
    <n v="191.74"/>
    <x v="0"/>
    <n v="0"/>
    <s v="Tablet"/>
    <s v="29.75.63.178"/>
    <x v="0"/>
    <n v="238"/>
    <n v="0.23709576228685686"/>
    <n v="0"/>
    <n v="0"/>
    <n v="1"/>
    <n v="1"/>
    <n v="0"/>
  </r>
  <r>
    <s v="fa25f843-bdad-465d-b31f-2d91b6d1d0f1"/>
    <s v="fb678962-4102-46f5-854f-cc2e47f72ab6"/>
    <d v="2025-06-24T00:00:00"/>
    <d v="1899-12-30T05:07:08"/>
    <n v="5"/>
    <n v="19"/>
    <s v="Bronze"/>
    <s v="Sydney"/>
    <s v="POPUP-TOKYO"/>
    <s v="LUNAR-MASC-02"/>
    <s v="Serum"/>
    <n v="191.58"/>
    <x v="2"/>
    <n v="1"/>
    <s v="Tablet"/>
    <s v="225.21.29.125"/>
    <x v="0"/>
    <n v="230"/>
    <n v="0.23488068077068211"/>
    <n v="0"/>
    <n v="1"/>
    <n v="1"/>
    <n v="5"/>
    <n v="1"/>
  </r>
  <r>
    <s v="8f5cdc80-389a-4a86-bbe6-4aad2603d96a"/>
    <s v="024a53dc-c6ed-46c7-851d-562e657a70cc"/>
    <d v="2025-07-04T00:00:00"/>
    <d v="1899-12-30T00:38:56"/>
    <n v="0"/>
    <n v="32"/>
    <s v="Gold"/>
    <s v="Dubai"/>
    <s v="FLAGSHIP-ROME"/>
    <s v="COSMIC-HIGHLIGHT-06"/>
    <s v="Serum"/>
    <n v="191.33"/>
    <x v="4"/>
    <n v="0"/>
    <s v="Tablet"/>
    <s v="164.207.160.254"/>
    <x v="0"/>
    <n v="298"/>
    <n v="0.23141961590165899"/>
    <n v="0"/>
    <n v="1"/>
    <n v="0"/>
    <n v="2"/>
    <n v="0"/>
  </r>
  <r>
    <s v="63154871-4e3c-4358-a433-4f63d74bc8d2"/>
    <s v="67584b03-6caa-49a5-a887-02057edc89aa"/>
    <d v="2025-07-03T00:00:00"/>
    <d v="1899-12-30T22:38:57"/>
    <n v="22"/>
    <n v="29"/>
    <s v="Bronze"/>
    <s v="Singapore"/>
    <s v="BOUTIQUE-SHANGHAI"/>
    <s v="AURORA-LIP-01"/>
    <s v="Eyeshadow Palette"/>
    <n v="191.3"/>
    <x v="1"/>
    <n v="0"/>
    <s v="Desktop"/>
    <s v="251.232.245.78"/>
    <x v="0"/>
    <n v="329"/>
    <n v="0.23100428811737622"/>
    <n v="0"/>
    <n v="0"/>
    <n v="0"/>
    <n v="0"/>
    <n v="0"/>
  </r>
  <r>
    <s v="e0dd8a79-cc13-485e-89d3-4f44afcabe9e"/>
    <s v="e52f1c2a-a888-41f3-a928-e6f55ed5f9fa"/>
    <d v="2025-08-02T00:00:00"/>
    <d v="1899-12-30T12:08:06"/>
    <n v="12"/>
    <n v="22"/>
    <s v="Platinum"/>
    <s v="London"/>
    <s v="BOUTIQUE-DUBAI"/>
    <s v="ECLIPSE-EYE-10"/>
    <s v="Foundation"/>
    <n v="191.08"/>
    <x v="0"/>
    <n v="0"/>
    <s v="Desktop"/>
    <s v="48.220.26.156"/>
    <x v="0"/>
    <n v="447"/>
    <n v="0.2279585510326359"/>
    <n v="0"/>
    <n v="0"/>
    <n v="0"/>
    <n v="0"/>
    <n v="0"/>
  </r>
  <r>
    <s v="4a8811ce-1d99-4427-a35d-82f9094e2750"/>
    <s v="b51d584f-0d75-456a-b6ab-fa40b0abf0de"/>
    <d v="2025-04-22T00:00:00"/>
    <d v="1899-12-30T17:17:59"/>
    <n v="17"/>
    <n v="49"/>
    <s v="Bronze"/>
    <s v="San Francisco"/>
    <s v="CONCESSION-SINGAPORE"/>
    <s v="ECLIPSE-EYE-10"/>
    <s v="Foundation"/>
    <n v="190.95"/>
    <x v="0"/>
    <n v="0"/>
    <s v="Desktop"/>
    <s v="94.238.20.187"/>
    <x v="0"/>
    <n v="180"/>
    <n v="0.22615879730074354"/>
    <n v="0"/>
    <n v="0"/>
    <n v="1"/>
    <n v="1"/>
    <n v="0"/>
  </r>
  <r>
    <s v="d21d08ff-a21b-4866-929f-5dcd76eb4c62"/>
    <s v="9cadece1-83ce-4a4d-a44d-bc8c08e700cb"/>
    <d v="2025-04-23T00:00:00"/>
    <d v="1899-12-30T23:17:18"/>
    <n v="23"/>
    <n v="54"/>
    <s v="Bronze"/>
    <s v="Monaco"/>
    <s v="POPUP-TOKYO"/>
    <s v="COSMIC-HIGHLIGHT-06"/>
    <s v="Lipstick"/>
    <n v="190.77"/>
    <x v="3"/>
    <n v="0"/>
    <s v="Mobile"/>
    <s v="172.156.82.235"/>
    <x v="0"/>
    <n v="386"/>
    <n v="0.22366683059504719"/>
    <n v="0"/>
    <n v="0"/>
    <n v="0"/>
    <n v="0"/>
    <n v="0"/>
  </r>
  <r>
    <s v="169bca44-7329-424b-92e9-9c8c9fbee7b1"/>
    <s v="c6084de0-9de5-4d1f-85ea-11376e9d5f95"/>
    <d v="2025-05-15T00:00:00"/>
    <d v="1899-12-30T13:24:28"/>
    <n v="13"/>
    <n v="51"/>
    <s v="Bronze"/>
    <s v="Rome"/>
    <s v="BOUTIQUE-SHANGHAI"/>
    <s v="ECLIPSE-EYE-10"/>
    <s v="Foundation"/>
    <n v="190.46"/>
    <x v="0"/>
    <n v="0"/>
    <s v="Mobile"/>
    <s v="225.230.89.135"/>
    <x v="0"/>
    <n v="299"/>
    <n v="0.2193751101574585"/>
    <n v="0"/>
    <n v="0"/>
    <n v="0"/>
    <n v="0"/>
    <n v="0"/>
  </r>
  <r>
    <s v="43d77b3d-c0fe-4fe3-897b-93229fcd62d3"/>
    <s v="21463cf3-fca6-4b84-9663-2d60e88afa98"/>
    <d v="2025-04-06T00:00:00"/>
    <d v="1899-12-30T12:44:53"/>
    <n v="12"/>
    <n v="22"/>
    <s v="Gold"/>
    <s v="Paris"/>
    <s v="BOUTIQUE-SHANGHAI"/>
    <s v="CELESTE-EYE-05"/>
    <s v="Eyeshadow Palette"/>
    <n v="190.42"/>
    <x v="1"/>
    <n v="0"/>
    <s v="Desktop"/>
    <s v="233.122.102.46"/>
    <x v="0"/>
    <n v="200"/>
    <n v="0.21882133977841453"/>
    <n v="0"/>
    <n v="0"/>
    <n v="1"/>
    <n v="1"/>
    <n v="0"/>
  </r>
  <r>
    <s v="f543bed5-a8d6-42a4-b48e-dd7f50d49f9f"/>
    <s v="2003d3bf-4374-4f05-a2ec-f3230443be41"/>
    <d v="2025-06-02T00:00:00"/>
    <d v="1899-12-30T09:00:00"/>
    <n v="9"/>
    <n v="28"/>
    <s v="Platinum"/>
    <s v="Shanghai"/>
    <s v="BOUTIQUE-DUBAI"/>
    <s v="GALAXIA-SET-08"/>
    <s v="Foundation"/>
    <n v="190.38"/>
    <x v="2"/>
    <n v="1"/>
    <s v="Desktop"/>
    <s v="202.5.111.191"/>
    <x v="0"/>
    <n v="62"/>
    <n v="0.21826756939937095"/>
    <n v="0"/>
    <n v="0"/>
    <n v="1"/>
    <n v="3"/>
    <n v="0"/>
  </r>
  <r>
    <s v="b689738e-609e-4586-ad4e-db0c79b69bd9"/>
    <s v="b56e634a-2fa1-43ac-b83e-ef730a5f36ae"/>
    <d v="2025-05-22T00:00:00"/>
    <d v="1899-12-30T08:49:34"/>
    <n v="8"/>
    <n v="28"/>
    <s v="Gold"/>
    <s v="London"/>
    <s v="POPUP-TOKYO"/>
    <s v="SOLAR-BLUSH-04"/>
    <s v="Mascara"/>
    <n v="190.28"/>
    <x v="1"/>
    <n v="0"/>
    <s v="Tablet"/>
    <s v="247.9.140.105"/>
    <x v="0"/>
    <n v="196"/>
    <n v="0.21688314345176177"/>
    <n v="0"/>
    <n v="0"/>
    <n v="1"/>
    <n v="1"/>
    <n v="0"/>
  </r>
  <r>
    <s v="c2f350ec-5b39-4f69-a013-8545ab87c75c"/>
    <s v="a1f74485-db6c-4840-a2eb-966d84005e82"/>
    <d v="2025-08-12T00:00:00"/>
    <d v="1899-12-30T05:49:34"/>
    <n v="5"/>
    <n v="24"/>
    <s v="Bronze"/>
    <s v="Milan"/>
    <s v="FLAGSHIP-ROME"/>
    <s v="COSMIC-HIGHLIGHT-06"/>
    <s v="Eyeshadow Palette"/>
    <n v="190.26"/>
    <x v="0"/>
    <n v="0"/>
    <s v="Laptop"/>
    <s v="44.4.180.242"/>
    <x v="0"/>
    <n v="442"/>
    <n v="0.21660625826223978"/>
    <n v="0"/>
    <n v="1"/>
    <n v="0"/>
    <n v="2"/>
    <n v="0"/>
  </r>
  <r>
    <s v="5f1b3d89-865c-434a-b54c-845bdd6dc4aa"/>
    <s v="5c51ae58-5aa5-4451-a054-5313ca068985"/>
    <d v="2025-04-19T00:00:00"/>
    <d v="1899-12-30T20:37:37"/>
    <n v="20"/>
    <n v="19"/>
    <s v="Platinum"/>
    <s v="Miami"/>
    <s v="CONCESSION-SINGAPORE"/>
    <s v="GALAXIA-SET-08"/>
    <s v="Lipstick"/>
    <n v="190.24"/>
    <x v="0"/>
    <n v="0"/>
    <s v="Tablet"/>
    <s v="117.206.51.70"/>
    <x v="0"/>
    <n v="302"/>
    <n v="0.21632937307271818"/>
    <n v="0"/>
    <n v="0"/>
    <n v="0"/>
    <n v="0"/>
    <n v="0"/>
  </r>
  <r>
    <s v="b9a09c36-d188-4d19-8b36-130e7279c6b5"/>
    <s v="81e65546-a441-4afe-a916-9d705d386544"/>
    <d v="2025-03-18T00:00:00"/>
    <d v="1899-12-30T04:54:55"/>
    <n v="4"/>
    <n v="29"/>
    <s v="Bronze"/>
    <s v="Las Vegas"/>
    <s v="FLAGSHIP-ROME"/>
    <s v="GALAXIA-SET-08"/>
    <s v="Mascara"/>
    <n v="190.18"/>
    <x v="4"/>
    <n v="0"/>
    <s v="Tablet"/>
    <s v="117.161.59.123"/>
    <x v="0"/>
    <n v="78"/>
    <n v="0.21549871750415261"/>
    <n v="0"/>
    <n v="1"/>
    <n v="1"/>
    <n v="3"/>
    <n v="0"/>
  </r>
  <r>
    <s v="c15e8fab-043b-4703-8763-3621726181d7"/>
    <s v="d976f98e-e8a1-41ea-bcf1-b5799406c849"/>
    <d v="2025-06-23T00:00:00"/>
    <d v="1899-12-30T03:47:54"/>
    <n v="3"/>
    <n v="31"/>
    <s v="Gold"/>
    <s v="Tokyo"/>
    <s v="FLAGSHIP-ROME"/>
    <s v="COSMIC-HIGHLIGHT-06"/>
    <s v="Lipstick"/>
    <n v="189.94"/>
    <x v="1"/>
    <n v="0"/>
    <s v="Mobile"/>
    <s v="226.129.255.46"/>
    <x v="0"/>
    <n v="82"/>
    <n v="0.21217609522989028"/>
    <n v="0"/>
    <n v="1"/>
    <n v="1"/>
    <n v="3"/>
    <n v="0"/>
  </r>
  <r>
    <s v="636e63f9-a688-408d-a2da-25ab3868607d"/>
    <s v="61c5f4ed-e3ac-437b-9e13-312ea4fadf20"/>
    <d v="2025-06-20T00:00:00"/>
    <d v="1899-12-30T03:45:33"/>
    <n v="3"/>
    <n v="34"/>
    <s v="Bronze"/>
    <s v="San Francisco"/>
    <s v="FLAGSHIP-PARIS"/>
    <s v="CELESTE-EYE-05"/>
    <s v="Foundation"/>
    <n v="189.62"/>
    <x v="2"/>
    <n v="1"/>
    <s v="Desktop"/>
    <s v="100.183.34.80"/>
    <x v="0"/>
    <n v="214"/>
    <n v="0.20774593219754081"/>
    <n v="0"/>
    <n v="1"/>
    <n v="1"/>
    <n v="5"/>
    <n v="1"/>
  </r>
  <r>
    <s v="ca78d757-a6f0-4d71-a13d-065e11517b6d"/>
    <s v="07877e4f-7342-4fc6-96ad-fd482f931b8c"/>
    <d v="2025-03-25T00:00:00"/>
    <d v="1899-12-30T07:17:34"/>
    <n v="7"/>
    <n v="34"/>
    <s v="Gold"/>
    <s v="Geneva"/>
    <s v="CONCESSION-LONDON"/>
    <s v="ORION-CONCEAL-09"/>
    <s v="Serum"/>
    <n v="189.6"/>
    <x v="0"/>
    <n v="0"/>
    <s v="Desktop"/>
    <s v="181.41.96.216"/>
    <x v="0"/>
    <n v="258"/>
    <n v="0.2074690470080188"/>
    <n v="0"/>
    <n v="0"/>
    <n v="1"/>
    <n v="1"/>
    <n v="0"/>
  </r>
  <r>
    <s v="53528d36-755e-44e5-8b0f-71105acdc805"/>
    <s v="0b044a5a-f13c-4a15-a25d-87b9d6a8ed51"/>
    <d v="2025-03-24T00:00:00"/>
    <d v="1899-12-30T15:02:11"/>
    <n v="15"/>
    <n v="30"/>
    <s v="Gold"/>
    <s v="New York"/>
    <s v="BOUTIQUE-NYC"/>
    <s v="CELESTE-EYE-05"/>
    <s v="Serum"/>
    <n v="189.48"/>
    <x v="4"/>
    <n v="0"/>
    <s v="Desktop"/>
    <s v="158.97.3.217"/>
    <x v="0"/>
    <n v="152"/>
    <n v="0.20580773587088766"/>
    <n v="0"/>
    <n v="0"/>
    <n v="1"/>
    <n v="1"/>
    <n v="0"/>
  </r>
  <r>
    <s v="50cba75f-5581-4d61-bc3b-b27e3155daaa"/>
    <s v="5313bbd6-baaa-411c-8081-ae83558ac9b1"/>
    <d v="2025-04-23T00:00:00"/>
    <d v="1899-12-30T12:55:39"/>
    <n v="12"/>
    <n v="40"/>
    <s v="Bronze"/>
    <s v="Shanghai"/>
    <s v="FLAGSHIP-LA"/>
    <s v="AURORA-LIP-01"/>
    <s v="Lipstick"/>
    <n v="189.45"/>
    <x v="0"/>
    <n v="0"/>
    <s v="Laptop"/>
    <s v="39.0.19.199"/>
    <x v="0"/>
    <n v="389"/>
    <n v="0.20539240808660486"/>
    <n v="0"/>
    <n v="0"/>
    <n v="0"/>
    <n v="0"/>
    <n v="0"/>
  </r>
  <r>
    <s v="a92cb5a4-938b-48fa-b6da-81e67fee3876"/>
    <s v="61c6b09c-0bf5-4344-b608-86447e4a8bfc"/>
    <d v="2025-04-05T00:00:00"/>
    <d v="1899-12-30T07:02:43"/>
    <n v="7"/>
    <n v="49"/>
    <s v="Silver"/>
    <s v="Las Vegas"/>
    <s v="CONCESSION-SINGAPORE"/>
    <s v="LUNAR-MASC-02"/>
    <s v="Lipstick"/>
    <n v="189.24"/>
    <x v="4"/>
    <n v="0"/>
    <s v="Desktop"/>
    <s v="226.207.200.201"/>
    <x v="0"/>
    <n v="265"/>
    <n v="0.20248511359662572"/>
    <n v="0"/>
    <n v="0"/>
    <n v="1"/>
    <n v="1"/>
    <n v="0"/>
  </r>
  <r>
    <s v="eef249a1-eee8-474c-ae62-1032ee812a6b"/>
    <s v="be1c624f-f252-4460-93ce-26448e3c8c5f"/>
    <d v="2025-03-27T00:00:00"/>
    <d v="1899-12-30T13:24:49"/>
    <n v="13"/>
    <n v="25"/>
    <s v="Silver"/>
    <s v="Singapore"/>
    <s v="CONCESSION-LONDON"/>
    <s v="LUNAR-MASC-02"/>
    <s v="Setting Spray"/>
    <n v="189.19"/>
    <x v="0"/>
    <n v="0"/>
    <s v="Laptop"/>
    <s v="69.216.46.216"/>
    <x v="0"/>
    <n v="110"/>
    <n v="0.20179290062282096"/>
    <n v="0"/>
    <n v="0"/>
    <n v="1"/>
    <n v="1"/>
    <n v="0"/>
  </r>
  <r>
    <s v="5ed6aaf8-e9d5-479a-b9c9-f275efcc8e61"/>
    <s v="5b2abfe7-ea8b-4f20-959f-ede08ea2cb1d"/>
    <d v="2025-03-09T00:00:00"/>
    <d v="1899-12-30T06:32:07"/>
    <n v="6"/>
    <n v="57"/>
    <s v="Silver"/>
    <s v="New York"/>
    <s v="BOUTIQUE-SHANGHAI"/>
    <s v="COSMIC-HIGHLIGHT-06"/>
    <s v="Eyeshadow Palette"/>
    <n v="189.18"/>
    <x v="1"/>
    <n v="0"/>
    <s v="Laptop"/>
    <s v="99.10.56.6"/>
    <x v="0"/>
    <n v="438"/>
    <n v="0.20165445802806015"/>
    <n v="0"/>
    <n v="0"/>
    <n v="0"/>
    <n v="0"/>
    <n v="0"/>
  </r>
  <r>
    <s v="71df7fc2-8346-42fe-b835-7e8cfbcf7e0e"/>
    <s v="e580af6c-03be-49e4-9ce9-b5ae736a3020"/>
    <d v="2025-03-14T00:00:00"/>
    <d v="1899-12-30T21:44:44"/>
    <n v="21"/>
    <n v="58"/>
    <s v="Bronze"/>
    <s v="Singapore"/>
    <s v="FLAGSHIP-PARIS"/>
    <s v="ORION-CONCEAL-09"/>
    <s v="Eyeliner"/>
    <n v="189.1"/>
    <x v="0"/>
    <n v="0"/>
    <s v="Tablet"/>
    <s v="76.124.10.247"/>
    <x v="0"/>
    <n v="157"/>
    <n v="0.20054691726997259"/>
    <n v="0"/>
    <n v="0"/>
    <n v="1"/>
    <n v="1"/>
    <n v="0"/>
  </r>
  <r>
    <s v="1f9f48d6-5fa5-4703-8ed2-7b7c39fdeb8f"/>
    <s v="4536e6b1-e104-4e51-bb16-8e86204d63e5"/>
    <d v="2025-04-08T00:00:00"/>
    <d v="1899-12-30T10:18:47"/>
    <n v="10"/>
    <n v="41"/>
    <s v="Gold"/>
    <s v="Geneva"/>
    <s v="POPUP-MILAN"/>
    <s v="ECLIPSE-EYE-10"/>
    <s v="Concealer"/>
    <n v="188.96"/>
    <x v="3"/>
    <n v="0"/>
    <s v="Tablet"/>
    <s v="23.64.69.7"/>
    <x v="0"/>
    <n v="227"/>
    <n v="0.19860872094331983"/>
    <n v="0"/>
    <n v="0"/>
    <n v="1"/>
    <n v="1"/>
    <n v="0"/>
  </r>
  <r>
    <s v="de154529-595e-44ca-b0ab-c5539bbd3598"/>
    <s v="0f580db0-cad7-41c0-b7f9-4829ba626551"/>
    <d v="2025-05-02T00:00:00"/>
    <d v="1899-12-30T11:32:19"/>
    <n v="11"/>
    <n v="55"/>
    <s v="Silver"/>
    <s v="London"/>
    <s v="FLAGSHIP-LA"/>
    <s v="AURORA-LIP-01"/>
    <s v="Blush"/>
    <n v="188.55"/>
    <x v="1"/>
    <n v="0"/>
    <s v="Laptop"/>
    <s v="230.150.166.29"/>
    <x v="0"/>
    <n v="451"/>
    <n v="0.19293257455812196"/>
    <n v="0"/>
    <n v="0"/>
    <n v="0"/>
    <n v="0"/>
    <n v="0"/>
  </r>
  <r>
    <s v="edf560ab-aea9-4b62-93cf-7a95eb6ea6bb"/>
    <s v="93b897d0-ea26-4df5-9a9b-bcc8e3ff55cb"/>
    <d v="2025-08-06T00:00:00"/>
    <d v="1899-12-30T02:27:40"/>
    <n v="2"/>
    <n v="42"/>
    <s v="Gold"/>
    <s v="Tokyo"/>
    <s v="FLAGSHIP-ROME"/>
    <s v="GALAXIA-SET-08"/>
    <s v="Concealer"/>
    <n v="188.44"/>
    <x v="1"/>
    <n v="0"/>
    <s v="Mobile"/>
    <s v="9.59.95.243"/>
    <x v="0"/>
    <n v="281"/>
    <n v="0.19140970601575161"/>
    <n v="0"/>
    <n v="1"/>
    <n v="0"/>
    <n v="2"/>
    <n v="0"/>
  </r>
  <r>
    <s v="81d34942-701a-4494-8d4e-c48577f05392"/>
    <s v="3596310d-2ef5-4a34-b20c-c15d73163f22"/>
    <d v="2025-06-08T00:00:00"/>
    <d v="1899-12-30T17:47:56"/>
    <n v="17"/>
    <n v="21"/>
    <s v="Bronze"/>
    <s v="Las Vegas"/>
    <s v="POPUP-TOKYO"/>
    <s v="GALAXIA-SET-08"/>
    <s v="Serum"/>
    <n v="188.41"/>
    <x v="4"/>
    <n v="0"/>
    <s v="Tablet"/>
    <s v="250.214.210.96"/>
    <x v="0"/>
    <n v="377"/>
    <n v="0.19099437823146881"/>
    <n v="0"/>
    <n v="0"/>
    <n v="0"/>
    <n v="0"/>
    <n v="0"/>
  </r>
  <r>
    <s v="59ae29ac-e913-4a1a-aef2-c7fec3ae0a09"/>
    <s v="2c41bc38-a407-44c1-a802-5c2216354294"/>
    <d v="2025-06-18T00:00:00"/>
    <d v="1899-12-30T17:30:15"/>
    <n v="17"/>
    <n v="52"/>
    <s v="Bronze"/>
    <s v="Miami"/>
    <s v="CONCESSION-SINGAPORE"/>
    <s v="CELESTE-EYE-05"/>
    <s v="Lipstick"/>
    <n v="188.21"/>
    <x v="4"/>
    <n v="0"/>
    <s v="Desktop"/>
    <s v="197.145.164.31"/>
    <x v="0"/>
    <n v="445"/>
    <n v="0.18822552633625048"/>
    <n v="0"/>
    <n v="0"/>
    <n v="0"/>
    <n v="0"/>
    <n v="0"/>
  </r>
  <r>
    <s v="4a7df907-87e6-447c-8679-1ea6d3f6782f"/>
    <s v="6e5c6b0d-bb59-457f-9c79-3e0edeaf26ef"/>
    <d v="2025-04-21T00:00:00"/>
    <d v="1899-12-30T20:05:15"/>
    <n v="20"/>
    <n v="36"/>
    <s v="Platinum"/>
    <s v="Los Angeles"/>
    <s v="POPUP-MILAN"/>
    <s v="GALAXIA-SET-08"/>
    <s v="Blush"/>
    <n v="188.01"/>
    <x v="4"/>
    <n v="0"/>
    <s v="Mobile"/>
    <s v="108.168.83.53"/>
    <x v="0"/>
    <n v="286"/>
    <n v="0.18545667444103175"/>
    <n v="0"/>
    <n v="0"/>
    <n v="0"/>
    <n v="0"/>
    <n v="0"/>
  </r>
  <r>
    <s v="768c573b-c49f-45d1-8d31-a9a21b0296f7"/>
    <s v="765e804c-342e-4d3d-977e-b6acfc578332"/>
    <d v="2025-04-19T00:00:00"/>
    <d v="1899-12-30T21:22:28"/>
    <n v="21"/>
    <n v="46"/>
    <s v="Bronze"/>
    <s v="Zurich"/>
    <s v="CONCESSION-SINGAPORE"/>
    <s v="ECLIPSE-EYE-10"/>
    <s v="Highlighter"/>
    <n v="187.91"/>
    <x v="1"/>
    <n v="0"/>
    <s v="Tablet"/>
    <s v="57.58.27.18"/>
    <x v="0"/>
    <n v="373"/>
    <n v="0.1840722484934226"/>
    <n v="0"/>
    <n v="0"/>
    <n v="0"/>
    <n v="0"/>
    <n v="0"/>
  </r>
  <r>
    <s v="c5830b3d-2eb9-4413-b084-d3bac2f1ed54"/>
    <s v="61e5673c-a669-4817-94cd-eea2ba9469bf"/>
    <d v="2025-05-20T00:00:00"/>
    <d v="1899-12-30T12:26:20"/>
    <n v="12"/>
    <n v="41"/>
    <s v="None"/>
    <s v="Zurich"/>
    <s v="BOUTIQUE-SHANGHAI"/>
    <s v="SOLAR-BLUSH-04"/>
    <s v="Setting Spray"/>
    <n v="187.87"/>
    <x v="4"/>
    <n v="0"/>
    <s v="Laptop"/>
    <s v="19.174.139.20"/>
    <x v="0"/>
    <n v="312"/>
    <n v="0.18351847811437899"/>
    <n v="0"/>
    <n v="0"/>
    <n v="0"/>
    <n v="0"/>
    <n v="0"/>
  </r>
  <r>
    <s v="2de94d44-2d1c-47bb-a068-b7d46f729f57"/>
    <s v="f98c57ac-b2cd-42b2-81a9-78584ee11531"/>
    <d v="2025-04-22T00:00:00"/>
    <d v="1899-12-30T07:45:04"/>
    <n v="7"/>
    <n v="45"/>
    <s v="Silver"/>
    <s v="New York"/>
    <s v="BOUTIQUE-DUBAI"/>
    <s v="LUNAR-MASC-02"/>
    <s v="Serum"/>
    <n v="187.51"/>
    <x v="3"/>
    <n v="0"/>
    <s v="Laptop"/>
    <s v="152.54.165.78"/>
    <x v="0"/>
    <n v="111"/>
    <n v="0.17853454470298552"/>
    <n v="0"/>
    <n v="0"/>
    <n v="1"/>
    <n v="1"/>
    <n v="0"/>
  </r>
  <r>
    <s v="980927b2-4e7a-4568-9bbc-9b8ebe11e9b3"/>
    <s v="c614fa7f-ad95-44bb-81e2-06fd6a35ec5b"/>
    <d v="2025-02-24T00:00:00"/>
    <d v="1899-12-30T04:06:02"/>
    <n v="4"/>
    <n v="52"/>
    <s v="Bronze"/>
    <s v="Hong Kong"/>
    <s v="FLAGSHIP-LA"/>
    <s v="LUNAR-MASC-02"/>
    <s v="Lipstick"/>
    <n v="187.48"/>
    <x v="4"/>
    <n v="0"/>
    <s v="Laptop"/>
    <s v="134.191.193.248"/>
    <x v="0"/>
    <n v="302"/>
    <n v="0.17811921691870275"/>
    <n v="0"/>
    <n v="1"/>
    <n v="0"/>
    <n v="2"/>
    <n v="0"/>
  </r>
  <r>
    <s v="45f6c8c2-094c-4401-bca4-1f42d8875bd1"/>
    <s v="368ff039-5835-4751-ab2f-4e301c169797"/>
    <d v="2025-05-15T00:00:00"/>
    <d v="1899-12-30T03:46:17"/>
    <n v="3"/>
    <n v="37"/>
    <s v="Bronze"/>
    <s v="Monaco"/>
    <s v="POPUP-TOKYO"/>
    <s v="LUNAR-MASC-02"/>
    <s v="Concealer"/>
    <n v="187.34"/>
    <x v="3"/>
    <n v="0"/>
    <s v="Desktop"/>
    <s v="37.206.242.119"/>
    <x v="0"/>
    <n v="85"/>
    <n v="0.17618102059204999"/>
    <n v="0"/>
    <n v="1"/>
    <n v="1"/>
    <n v="3"/>
    <n v="0"/>
  </r>
  <r>
    <s v="fe98e33e-2fa4-48b7-8eb3-94bfdf020b52"/>
    <s v="79c7265f-9890-41e0-a626-7158fb18c112"/>
    <d v="2025-07-05T00:00:00"/>
    <d v="1899-12-30T07:53:04"/>
    <n v="7"/>
    <n v="62"/>
    <s v="Bronze"/>
    <s v="Geneva"/>
    <s v="CONCESSION-LONDON"/>
    <s v="ORION-CONCEAL-09"/>
    <s v="Setting Spray"/>
    <n v="187.24"/>
    <x v="0"/>
    <n v="0"/>
    <s v="Desktop"/>
    <s v="42.239.223.59"/>
    <x v="0"/>
    <n v="272"/>
    <n v="0.17479659464444081"/>
    <n v="0"/>
    <n v="0"/>
    <n v="1"/>
    <n v="1"/>
    <n v="0"/>
  </r>
  <r>
    <s v="77e9f2fd-c165-4d3c-9161-54fe5c47a693"/>
    <s v="e907fe78-b47d-4e5c-b129-501f11ce1057"/>
    <d v="2025-04-16T00:00:00"/>
    <d v="1899-12-30T12:18:41"/>
    <n v="12"/>
    <n v="24"/>
    <s v="Gold"/>
    <s v="Cannes"/>
    <s v="BOUTIQUE-SHANGHAI"/>
    <s v="STELLAR-FOUND-03"/>
    <s v="Highlighter"/>
    <n v="186.95"/>
    <x v="0"/>
    <n v="0"/>
    <s v="Tablet"/>
    <s v="143.58.72.148"/>
    <x v="0"/>
    <n v="306"/>
    <n v="0.17078175939637372"/>
    <n v="0"/>
    <n v="0"/>
    <n v="0"/>
    <n v="0"/>
    <n v="0"/>
  </r>
  <r>
    <s v="0d573d2e-f861-4bd2-bf33-2d884d817623"/>
    <s v="1f401b3b-f51a-4d6b-954d-0cea7fe15ffc"/>
    <d v="2025-06-01T00:00:00"/>
    <d v="1899-12-30T00:59:17"/>
    <n v="0"/>
    <n v="57"/>
    <s v="Bronze"/>
    <s v="Tokyo"/>
    <s v="FLAGSHIP-ROME"/>
    <s v="AURORA-LIP-01"/>
    <s v="Concealer"/>
    <n v="186.77"/>
    <x v="1"/>
    <n v="0"/>
    <s v="Tablet"/>
    <s v="140.225.60.143"/>
    <x v="0"/>
    <n v="215"/>
    <n v="0.16828979269067737"/>
    <n v="0"/>
    <n v="1"/>
    <n v="1"/>
    <n v="3"/>
    <n v="0"/>
  </r>
  <r>
    <s v="090ecf10-bb96-401b-b006-4fd65dbc472f"/>
    <s v="90bd1063-70ed-4ccd-99f0-52ec9debbf43"/>
    <d v="2025-06-05T00:00:00"/>
    <d v="1899-12-30T21:45:51"/>
    <n v="21"/>
    <n v="60"/>
    <s v="Silver"/>
    <s v="Tokyo"/>
    <s v="FLAGSHIP-ROME"/>
    <s v="ECLIPSE-EYE-10"/>
    <s v="Eyeliner"/>
    <n v="186.73"/>
    <x v="1"/>
    <n v="0"/>
    <s v="Desktop"/>
    <s v="26.75.217.210"/>
    <x v="0"/>
    <n v="417"/>
    <n v="0.1677360223116334"/>
    <n v="0"/>
    <n v="0"/>
    <n v="0"/>
    <n v="0"/>
    <n v="0"/>
  </r>
  <r>
    <s v="6b2b3a60-6810-4a37-9cf5-e7fec5351928"/>
    <s v="54b89c05-eff5-417c-88e7-837da2142e77"/>
    <d v="2025-02-17T00:00:00"/>
    <d v="1899-12-30T21:20:27"/>
    <n v="21"/>
    <n v="47"/>
    <s v="Bronze"/>
    <s v="San Francisco"/>
    <s v="FLAGSHIP-PARIS"/>
    <s v="SOLAR-BLUSH-04"/>
    <s v="Foundation"/>
    <n v="186.7"/>
    <x v="0"/>
    <n v="0"/>
    <s v="Tablet"/>
    <s v="146.254.49.7"/>
    <x v="0"/>
    <n v="158"/>
    <n v="0.1673206945273506"/>
    <n v="0"/>
    <n v="0"/>
    <n v="1"/>
    <n v="1"/>
    <n v="0"/>
  </r>
  <r>
    <s v="6d39b9d3-830f-4c84-a080-0c0d63814fe5"/>
    <s v="fe3f3b6f-900d-47a3-be5a-3471102abe56"/>
    <d v="2025-08-05T00:00:00"/>
    <d v="1899-12-30T18:17:54"/>
    <n v="18"/>
    <n v="54"/>
    <s v="Silver"/>
    <s v="Zurich"/>
    <s v="POPUP-MILAN"/>
    <s v="AURORA-LIP-01"/>
    <s v="Lipstick"/>
    <n v="186.63"/>
    <x v="4"/>
    <n v="0"/>
    <s v="Laptop"/>
    <s v="115.42.104.72"/>
    <x v="0"/>
    <n v="259"/>
    <n v="0.16635159636402425"/>
    <n v="0"/>
    <n v="0"/>
    <n v="1"/>
    <n v="1"/>
    <n v="0"/>
  </r>
  <r>
    <s v="ebb9d094-c846-428e-83c9-23ad5fc41c54"/>
    <s v="faa73fdb-9594-4861-8bd1-4c03f376ea38"/>
    <d v="2025-06-03T00:00:00"/>
    <d v="1899-12-30T07:53:39"/>
    <n v="7"/>
    <n v="39"/>
    <s v="VIP"/>
    <s v="Dubai"/>
    <s v="BOUTIQUE-DUBAI"/>
    <s v="COSMIC-HIGHLIGHT-06"/>
    <s v="Highlighter"/>
    <n v="186.63"/>
    <x v="4"/>
    <n v="0"/>
    <s v="Mobile"/>
    <s v="79.229.209.113"/>
    <x v="0"/>
    <n v="267"/>
    <n v="0.16635159636402425"/>
    <n v="0"/>
    <n v="0"/>
    <n v="1"/>
    <n v="1"/>
    <n v="0"/>
  </r>
  <r>
    <s v="d85f9a4a-de08-467e-a186-5c936f656cbc"/>
    <s v="d3ead36f-b657-4817-9ba7-0cf51ce27ab8"/>
    <d v="2025-02-26T00:00:00"/>
    <d v="1899-12-30T04:03:41"/>
    <n v="4"/>
    <n v="54"/>
    <s v="Silver"/>
    <s v="Geneva"/>
    <s v="POPUP-TOKYO"/>
    <s v="ORION-CONCEAL-09"/>
    <s v="Blush"/>
    <n v="186.63"/>
    <x v="2"/>
    <n v="1"/>
    <s v="Laptop"/>
    <s v="137.181.203.68"/>
    <x v="0"/>
    <n v="293"/>
    <n v="0.16635159636402425"/>
    <n v="0"/>
    <n v="1"/>
    <n v="0"/>
    <n v="4"/>
    <n v="0"/>
  </r>
  <r>
    <s v="2b2ade09-8aef-49b2-b1ac-cf01365c9697"/>
    <s v="be059c91-3e6c-44c5-95c2-73fa8e3f5f63"/>
    <d v="2025-03-20T00:00:00"/>
    <d v="1899-12-30T14:50:52"/>
    <n v="14"/>
    <n v="52"/>
    <s v="Bronze"/>
    <s v="Miami"/>
    <s v="CONCESSION-SINGAPORE"/>
    <s v="ECLIPSE-EYE-10"/>
    <s v="Serum"/>
    <n v="186.51"/>
    <x v="0"/>
    <n v="0"/>
    <s v="Desktop"/>
    <s v="11.183.30.245"/>
    <x v="1"/>
    <n v="440"/>
    <n v="0.16469028522689308"/>
    <n v="0"/>
    <n v="0"/>
    <n v="0"/>
    <n v="0"/>
    <n v="0"/>
  </r>
  <r>
    <s v="80184b09-4450-46c2-8e57-0c9c32a8aac4"/>
    <s v="b962a317-2a52-41ba-b2eb-b0f53abaced0"/>
    <d v="2025-04-01T00:00:00"/>
    <d v="1899-12-30T20:31:41"/>
    <n v="20"/>
    <n v="46"/>
    <s v="Unknown"/>
    <s v="Rome"/>
    <s v="FLAGSHIP-LA"/>
    <s v="SOLAR-BLUSH-04"/>
    <s v="Blush"/>
    <n v="186.46"/>
    <x v="2"/>
    <n v="1"/>
    <s v="Desktop"/>
    <s v="95.231.243.211"/>
    <x v="0"/>
    <n v="50"/>
    <n v="0.16399807225308868"/>
    <n v="0"/>
    <n v="0"/>
    <n v="1"/>
    <n v="3"/>
    <n v="0"/>
  </r>
  <r>
    <s v="7218f9d1-cbd2-45e9-b289-9c7c62820c2b"/>
    <s v="e3b903a3-971c-4bc5-bd1f-463c3c38caf4"/>
    <d v="2025-06-15T00:00:00"/>
    <d v="1899-12-30T13:58:03"/>
    <n v="13"/>
    <n v="40"/>
    <s v="Bronze"/>
    <s v="Geneva"/>
    <s v="BOUTIQUE-DUBAI"/>
    <s v="GALAXIA-SET-08"/>
    <s v="Mascara"/>
    <n v="186.2"/>
    <x v="0"/>
    <n v="0"/>
    <s v="Desktop"/>
    <s v="209.237.148.85"/>
    <x v="0"/>
    <n v="202"/>
    <n v="0.16039856478930439"/>
    <n v="0"/>
    <n v="0"/>
    <n v="1"/>
    <n v="1"/>
    <n v="0"/>
  </r>
  <r>
    <s v="1dd6264e-b6dc-4ae7-8c45-4c312e6114c0"/>
    <s v="5971c204-1c0d-4c83-9420-adb88604e21b"/>
    <d v="2025-06-24T00:00:00"/>
    <d v="1899-12-30T21:15:02"/>
    <n v="21"/>
    <n v="52"/>
    <s v="Bronze"/>
    <s v="Las Vegas"/>
    <s v="POPUP-MILAN"/>
    <s v="LUNAR-MASC-02"/>
    <s v="Highlighter"/>
    <n v="185.98"/>
    <x v="3"/>
    <n v="0"/>
    <s v="Laptop"/>
    <s v="108.101.166.117"/>
    <x v="0"/>
    <n v="469"/>
    <n v="0.15735282770456405"/>
    <n v="0"/>
    <n v="0"/>
    <n v="0"/>
    <n v="0"/>
    <n v="0"/>
  </r>
  <r>
    <s v="59ace3e5-9c89-49a9-b15d-e12a78834251"/>
    <s v="22018f5d-9bdb-489e-9da3-e32dd489f7dc"/>
    <d v="2025-07-30T00:00:00"/>
    <d v="1899-12-30T05:11:15"/>
    <n v="5"/>
    <n v="32"/>
    <s v="Platinum"/>
    <s v="Dubai"/>
    <s v="FLAGSHIP-LA"/>
    <s v="SOLAR-BLUSH-04"/>
    <s v="Setting Spray"/>
    <n v="185.95"/>
    <x v="4"/>
    <n v="0"/>
    <s v="Tablet"/>
    <s v="209.73.137.107"/>
    <x v="0"/>
    <n v="227"/>
    <n v="0.15693749992028128"/>
    <n v="0"/>
    <n v="1"/>
    <n v="1"/>
    <n v="3"/>
    <n v="0"/>
  </r>
  <r>
    <s v="8876fcff-efe6-480f-b7d9-bda56ef6384e"/>
    <s v="9646eed0-6bd0-4254-b81c-f9eb24edd1c3"/>
    <d v="2025-07-28T00:00:00"/>
    <d v="1899-12-30T12:39:47"/>
    <n v="12"/>
    <n v="45"/>
    <s v="Gold"/>
    <s v="Geneva"/>
    <s v="FLAGSHIP-LA"/>
    <s v="SOLAR-BLUSH-04"/>
    <s v="Setting Spray"/>
    <n v="185.9"/>
    <x v="4"/>
    <n v="0"/>
    <s v="Desktop"/>
    <s v="2.91.45.145"/>
    <x v="0"/>
    <n v="480"/>
    <n v="0.15624528694647688"/>
    <n v="0"/>
    <n v="0"/>
    <n v="0"/>
    <n v="0"/>
    <n v="0"/>
  </r>
  <r>
    <s v="6b43535f-c2ce-4dd7-9aa1-cfbe86c355f5"/>
    <s v="dec6b01f-6975-4c86-ab41-be8cab9d3390"/>
    <d v="2025-05-14T00:00:00"/>
    <d v="1899-12-30T22:56:22"/>
    <n v="22"/>
    <n v="52"/>
    <s v="Platinum"/>
    <s v="Hong Kong"/>
    <s v="FLAGSHIP-PARIS"/>
    <s v="NEBULA-SERUM-07"/>
    <s v="Serum"/>
    <n v="185.55"/>
    <x v="0"/>
    <n v="0"/>
    <s v="Tablet"/>
    <s v="200.75.163.75"/>
    <x v="0"/>
    <n v="169"/>
    <n v="0.15139979612984461"/>
    <n v="0"/>
    <n v="0"/>
    <n v="1"/>
    <n v="1"/>
    <n v="0"/>
  </r>
  <r>
    <s v="d5febd60-5fe2-44db-aa39-ace4917729db"/>
    <s v="2e778ebe-5feb-40df-8edd-577b0ba66a58"/>
    <d v="2025-02-21T00:00:00"/>
    <d v="1899-12-30T22:50:10"/>
    <n v="22"/>
    <n v="36"/>
    <s v="Bronze"/>
    <s v="Hong Kong"/>
    <s v="POPUP-TOKYO"/>
    <s v="STELLAR-FOUND-03"/>
    <s v="Setting Spray"/>
    <n v="185.27"/>
    <x v="1"/>
    <n v="0"/>
    <s v="Laptop"/>
    <s v="232.128.168.214"/>
    <x v="0"/>
    <n v="53"/>
    <n v="0.14752340347653869"/>
    <n v="0"/>
    <n v="0"/>
    <n v="1"/>
    <n v="1"/>
    <n v="0"/>
  </r>
  <r>
    <s v="adf5f5fe-619d-4df5-8c2a-05390ba8c668"/>
    <s v="86466b77-4bbf-4662-a2a6-956eceae1ffb"/>
    <d v="2025-04-12T00:00:00"/>
    <d v="1899-12-30T23:38:23"/>
    <n v="23"/>
    <n v="49"/>
    <s v="Bronze"/>
    <s v="Tokyo"/>
    <s v="BOUTIQUE-DUBAI"/>
    <s v="AURORA-LIP-01"/>
    <s v="Highlighter"/>
    <n v="185.24"/>
    <x v="4"/>
    <n v="0"/>
    <s v="Laptop"/>
    <s v="8.61.141.252"/>
    <x v="0"/>
    <n v="123"/>
    <n v="0.1471080756922559"/>
    <n v="0"/>
    <n v="0"/>
    <n v="1"/>
    <n v="1"/>
    <n v="0"/>
  </r>
  <r>
    <s v="231615f8-fb6b-4caa-845d-cb9dee247a63"/>
    <s v="c10e73d8-1544-478c-a600-b179af7095d1"/>
    <d v="2025-07-11T00:00:00"/>
    <d v="1899-12-30T12:12:09"/>
    <n v="12"/>
    <n v="18"/>
    <s v="Unknown"/>
    <s v="Paris"/>
    <s v="FLAGSHIP-PARIS"/>
    <s v="ECLIPSE-EYE-10"/>
    <s v="Lipstick"/>
    <n v="185.24"/>
    <x v="0"/>
    <n v="0"/>
    <s v="Desktop"/>
    <s v="80.172.77.18"/>
    <x v="0"/>
    <n v="433"/>
    <n v="0.1471080756922559"/>
    <n v="0"/>
    <n v="0"/>
    <n v="0"/>
    <n v="0"/>
    <n v="0"/>
  </r>
  <r>
    <s v="1099a493-77af-4033-a9af-da602d25c032"/>
    <s v="ef344ab0-d503-46ba-8980-0ecd1d2ae0e6"/>
    <d v="2025-07-21T00:00:00"/>
    <d v="1899-12-30T09:46:49"/>
    <n v="9"/>
    <n v="49"/>
    <s v="Gold"/>
    <s v="Milan"/>
    <s v="CONCESSION-SINGAPORE"/>
    <s v="COSMIC-HIGHLIGHT-06"/>
    <s v="Eyeliner"/>
    <n v="185.13"/>
    <x v="3"/>
    <n v="0"/>
    <s v="Mobile"/>
    <s v="210.176.180.127"/>
    <x v="0"/>
    <n v="129"/>
    <n v="0.14558520714988554"/>
    <n v="0"/>
    <n v="0"/>
    <n v="1"/>
    <n v="1"/>
    <n v="0"/>
  </r>
  <r>
    <s v="57202aac-847b-4073-8574-0f338342d7b9"/>
    <s v="8e152115-3da7-4f2c-b244-3208d47acfb5"/>
    <d v="2025-07-30T00:00:00"/>
    <d v="1899-12-30T02:08:39"/>
    <n v="2"/>
    <n v="47"/>
    <s v="Platinum"/>
    <s v="Tokyo"/>
    <s v="POPUP-TOKYO"/>
    <s v="AURORA-LIP-01"/>
    <s v="Concealer"/>
    <n v="185.07"/>
    <x v="3"/>
    <n v="0"/>
    <s v="Tablet"/>
    <s v="176.57.251.86"/>
    <x v="0"/>
    <n v="441"/>
    <n v="0.14475455158131997"/>
    <n v="0"/>
    <n v="1"/>
    <n v="0"/>
    <n v="2"/>
    <n v="0"/>
  </r>
  <r>
    <s v="00809469-6284-4be0-8f62-71f00718e046"/>
    <s v="706a611e-2f52-4053-9b4e-35d540b95656"/>
    <d v="2025-06-23T00:00:00"/>
    <d v="1899-12-30T12:35:30"/>
    <n v="12"/>
    <n v="49"/>
    <s v="Silver"/>
    <s v="San Francisco"/>
    <s v="FLAGSHIP-ROME"/>
    <s v="ORION-CONCEAL-09"/>
    <s v="Eyeshadow Palette"/>
    <n v="184.84"/>
    <x v="1"/>
    <n v="0"/>
    <s v="Laptop"/>
    <s v="98.66.220.105"/>
    <x v="0"/>
    <n v="313"/>
    <n v="0.14157037190181884"/>
    <n v="0"/>
    <n v="0"/>
    <n v="0"/>
    <n v="0"/>
    <n v="0"/>
  </r>
  <r>
    <s v="d0be093d-a02b-43a7-81b9-786463f6d4f4"/>
    <s v="795113a1-2dac-42af-8cf4-790a9988fcf4"/>
    <d v="2025-03-17T00:00:00"/>
    <d v="1899-12-30T02:14:24"/>
    <n v="2"/>
    <n v="29"/>
    <s v="Gold"/>
    <s v="Sydney"/>
    <s v="BOUTIQUE-DUBAI"/>
    <s v="SOLAR-BLUSH-04"/>
    <s v="Foundation"/>
    <n v="184.84"/>
    <x v="4"/>
    <n v="0"/>
    <s v="Mobile"/>
    <s v="174.28.26.150"/>
    <x v="0"/>
    <n v="172"/>
    <n v="0.14157037190181884"/>
    <n v="0"/>
    <n v="1"/>
    <n v="1"/>
    <n v="3"/>
    <n v="0"/>
  </r>
  <r>
    <s v="53548b2b-baae-4308-a46d-021484f148e4"/>
    <s v="e000b6f2-18aa-44e6-9979-cc2d8c3efe7c"/>
    <d v="2025-03-23T00:00:00"/>
    <d v="1899-12-30T07:47:41"/>
    <n v="7"/>
    <n v="39"/>
    <s v="Platinum"/>
    <s v="Milan"/>
    <s v="POPUP-MILAN"/>
    <s v="CELESTE-EYE-05"/>
    <s v="Concealer"/>
    <n v="184.62"/>
    <x v="4"/>
    <n v="0"/>
    <s v="Desktop"/>
    <s v="25.212.154.140"/>
    <x v="1"/>
    <n v="289"/>
    <n v="0.13852463481707852"/>
    <n v="0"/>
    <n v="0"/>
    <n v="0"/>
    <n v="0"/>
    <n v="0"/>
  </r>
  <r>
    <s v="c47d5ed3-2915-47c5-9aa7-11fd4afc85bb"/>
    <s v="fe37694e-f59e-4548-8621-d61a55bdcb2c"/>
    <d v="2025-04-23T00:00:00"/>
    <d v="1899-12-30T22:57:51"/>
    <n v="22"/>
    <n v="29"/>
    <s v="Gold"/>
    <s v="Zurich"/>
    <s v="BOUTIQUE-NYC"/>
    <s v="CELESTE-EYE-05"/>
    <s v="Concealer"/>
    <n v="184.55"/>
    <x v="3"/>
    <n v="0"/>
    <s v="Tablet"/>
    <s v="130.112.173.239"/>
    <x v="0"/>
    <n v="484"/>
    <n v="0.13755553665375214"/>
    <n v="0"/>
    <n v="0"/>
    <n v="0"/>
    <n v="0"/>
    <n v="0"/>
  </r>
  <r>
    <s v="a8785df6-2590-4243-b51d-a08d90011324"/>
    <s v="530ae1cf-8853-4da7-9b16-c88a88d5bfe5"/>
    <d v="2025-08-11T00:00:00"/>
    <d v="1899-12-30T21:55:09"/>
    <n v="21"/>
    <n v="35"/>
    <s v="Bronze"/>
    <s v="Los Angeles"/>
    <s v="POPUP-TOKYO"/>
    <s v="SOLAR-BLUSH-04"/>
    <s v="Eyeshadow Palette"/>
    <n v="184.55"/>
    <x v="1"/>
    <n v="0"/>
    <s v="Laptop"/>
    <s v="241.204.221.13"/>
    <x v="0"/>
    <n v="164"/>
    <n v="0.13755553665375214"/>
    <n v="0"/>
    <n v="0"/>
    <n v="1"/>
    <n v="1"/>
    <n v="0"/>
  </r>
  <r>
    <s v="fd171338-88cc-427c-b9b8-fd2fdcf107ff"/>
    <s v="6efa8182-9300-453c-bde1-66a4df55ff3a"/>
    <d v="2025-03-06T00:00:00"/>
    <d v="1899-12-30T10:52:12"/>
    <n v="10"/>
    <n v="60"/>
    <s v="Gold"/>
    <s v="New York"/>
    <s v="CONCESSION-LONDON"/>
    <s v="NEBULA-SERUM-07"/>
    <s v="Mascara"/>
    <n v="184.27"/>
    <x v="4"/>
    <n v="0"/>
    <s v="Desktop"/>
    <s v="111.153.73.21"/>
    <x v="0"/>
    <n v="176"/>
    <n v="0.13367914400044625"/>
    <n v="0"/>
    <n v="0"/>
    <n v="1"/>
    <n v="1"/>
    <n v="0"/>
  </r>
  <r>
    <s v="0128e22d-c369-4c10-a90a-1307e37661f7"/>
    <s v="c71575fb-41c4-4ab7-874e-ec850f6bec6a"/>
    <d v="2025-04-30T00:00:00"/>
    <d v="1899-12-30T16:05:06"/>
    <n v="16"/>
    <n v="49"/>
    <s v="Bronze"/>
    <s v="Sydney"/>
    <s v="BOUTIQUE-DUBAI"/>
    <s v="GALAXIA-SET-08"/>
    <s v="Concealer"/>
    <n v="184.23"/>
    <x v="0"/>
    <n v="0"/>
    <s v="Mobile"/>
    <s v="6.90.135.39"/>
    <x v="0"/>
    <n v="181"/>
    <n v="0.13312537362140225"/>
    <n v="0"/>
    <n v="0"/>
    <n v="1"/>
    <n v="1"/>
    <n v="0"/>
  </r>
  <r>
    <s v="00d23c39-c3a2-4607-86a0-9205aa37da46"/>
    <s v="5724ab04-1bf2-40ec-a3ad-12db0a6c7b7f"/>
    <d v="2025-03-02T00:00:00"/>
    <d v="1899-12-30T17:34:39"/>
    <n v="17"/>
    <n v="45"/>
    <s v="Bronze"/>
    <s v="Zurich"/>
    <s v="BOUTIQUE-SHANGHAI"/>
    <s v="ORION-CONCEAL-09"/>
    <s v="Blush"/>
    <n v="184.16"/>
    <x v="3"/>
    <n v="0"/>
    <s v="Desktop"/>
    <s v="43.198.191.255"/>
    <x v="0"/>
    <n v="500"/>
    <n v="0.13215627545807587"/>
    <n v="0"/>
    <n v="0"/>
    <n v="0"/>
    <n v="0"/>
    <n v="0"/>
  </r>
  <r>
    <s v="cbd88891-d047-478f-a8fd-160da7e4639e"/>
    <s v="359586d5-d382-4737-b84e-219a1e170a1a"/>
    <d v="2025-02-20T00:00:00"/>
    <d v="1899-12-30T21:37:44"/>
    <n v="21"/>
    <n v="33"/>
    <s v="Bronze"/>
    <s v="Sydney"/>
    <s v="POPUP-TOKYO"/>
    <s v="COSMIC-HIGHLIGHT-06"/>
    <s v="Highlighter"/>
    <n v="183.9"/>
    <x v="4"/>
    <n v="0"/>
    <s v="Mobile"/>
    <s v="181.25.224.234"/>
    <x v="0"/>
    <n v="196"/>
    <n v="0.12855676799429197"/>
    <n v="0"/>
    <n v="0"/>
    <n v="1"/>
    <n v="1"/>
    <n v="0"/>
  </r>
  <r>
    <s v="f1d94ae3-d5c0-4db6-a293-15111f44361a"/>
    <s v="1d1d180d-5e94-4b8e-ae50-899895ad3d53"/>
    <d v="2025-04-20T00:00:00"/>
    <d v="1899-12-30T01:13:53"/>
    <n v="1"/>
    <n v="50"/>
    <s v="VIP"/>
    <s v="Dubai"/>
    <s v="FLAGSHIP-LA"/>
    <s v="CELESTE-EYE-05"/>
    <s v="Highlighter"/>
    <n v="183.86"/>
    <x v="4"/>
    <n v="0"/>
    <s v="Desktop"/>
    <s v="65.48.166.198"/>
    <x v="0"/>
    <n v="416"/>
    <n v="0.12800299761524839"/>
    <n v="0"/>
    <n v="1"/>
    <n v="0"/>
    <n v="2"/>
    <n v="0"/>
  </r>
  <r>
    <s v="dffdedb9-0909-4006-b124-2eccec7bc581"/>
    <s v="26096732-bbcc-4990-abdd-a89da010bda4"/>
    <d v="2025-03-17T00:00:00"/>
    <d v="1899-12-30T19:34:05"/>
    <n v="19"/>
    <n v="64"/>
    <s v="Bronze"/>
    <s v="New York"/>
    <s v="POPUP-MILAN"/>
    <s v="AURORA-LIP-01"/>
    <s v="Concealer"/>
    <n v="183.4"/>
    <x v="1"/>
    <n v="0"/>
    <s v="Laptop"/>
    <s v="122.119.194.199"/>
    <x v="0"/>
    <n v="107"/>
    <n v="0.12163463825624575"/>
    <n v="0"/>
    <n v="0"/>
    <n v="1"/>
    <n v="1"/>
    <n v="0"/>
  </r>
  <r>
    <s v="d3ca6942-b4f5-4840-bb32-5376d8f8a979"/>
    <s v="95ac8930-d8e6-4285-b4d1-69e8824c70d8"/>
    <d v="2025-08-12T00:00:00"/>
    <d v="1899-12-30T00:44:36"/>
    <n v="0"/>
    <n v="22"/>
    <s v="Bronze"/>
    <s v="Sydney"/>
    <s v="POPUP-MILAN"/>
    <s v="ECLIPSE-EYE-10"/>
    <s v="Mascara"/>
    <n v="183.22"/>
    <x v="3"/>
    <n v="0"/>
    <s v="Mobile"/>
    <s v="214.239.86.228"/>
    <x v="0"/>
    <n v="359"/>
    <n v="0.11914267155054901"/>
    <n v="0"/>
    <n v="1"/>
    <n v="0"/>
    <n v="2"/>
    <n v="0"/>
  </r>
  <r>
    <s v="3efe6086-06c5-479e-aa38-e7af4e9b7eb0"/>
    <s v="35ee0e91-6680-488e-a76d-f77a40ac3daa"/>
    <d v="2025-03-21T00:00:00"/>
    <d v="1899-12-30T05:55:09"/>
    <n v="5"/>
    <n v="36"/>
    <s v="Gold"/>
    <s v="Rome"/>
    <s v="BOUTIQUE-NYC"/>
    <s v="STELLAR-FOUND-03"/>
    <s v="Concealer"/>
    <n v="183.22"/>
    <x v="3"/>
    <n v="0"/>
    <s v="Laptop"/>
    <s v="56.92.12.168"/>
    <x v="0"/>
    <n v="256"/>
    <n v="0.11914267155054901"/>
    <n v="0"/>
    <n v="1"/>
    <n v="1"/>
    <n v="3"/>
    <n v="0"/>
  </r>
  <r>
    <s v="499d5d0d-a497-40be-b1e6-dd916dd20b16"/>
    <s v="4b07ffb3-5540-4a24-864a-f1676eb7c487"/>
    <d v="2025-04-25T00:00:00"/>
    <d v="1899-12-30T05:39:42"/>
    <n v="5"/>
    <n v="52"/>
    <s v="Silver"/>
    <s v="San Francisco"/>
    <s v="CONCESSION-SINGAPORE"/>
    <s v="LUNAR-MASC-02"/>
    <s v="Setting Spray"/>
    <n v="182.97"/>
    <x v="1"/>
    <n v="0"/>
    <s v="Mobile"/>
    <s v="215.17.138.142"/>
    <x v="0"/>
    <n v="338"/>
    <n v="0.1156816066815259"/>
    <n v="0"/>
    <n v="1"/>
    <n v="0"/>
    <n v="2"/>
    <n v="0"/>
  </r>
  <r>
    <s v="e18e1488-4aa6-43fe-805a-99ba3efc9489"/>
    <s v="41f58643-f49f-44b8-9cec-0638fb24f610"/>
    <d v="2025-04-29T00:00:00"/>
    <d v="1899-12-30T07:51:51"/>
    <n v="7"/>
    <n v="21"/>
    <s v="Silver"/>
    <s v="Tokyo"/>
    <s v="FLAGSHIP-PARIS"/>
    <s v="AURORA-LIP-01"/>
    <s v="Mascara"/>
    <n v="182.96"/>
    <x v="1"/>
    <n v="0"/>
    <s v="Mobile"/>
    <s v="23.66.192.94"/>
    <x v="0"/>
    <n v="389"/>
    <n v="0.1155431640867651"/>
    <n v="0"/>
    <n v="0"/>
    <n v="0"/>
    <n v="0"/>
    <n v="0"/>
  </r>
  <r>
    <s v="5bac78e8-88a4-4a81-826b-28172204cbba"/>
    <s v="35a11479-026a-4bd8-911d-4892ba81fb63"/>
    <d v="2025-05-30T00:00:00"/>
    <d v="1899-12-30T07:16:42"/>
    <n v="7"/>
    <n v="18"/>
    <s v="Bronze"/>
    <s v="Paris"/>
    <s v="CONCESSION-LONDON"/>
    <s v="COSMIC-HIGHLIGHT-06"/>
    <s v="Highlighter"/>
    <n v="182.85"/>
    <x v="0"/>
    <n v="0"/>
    <s v="Mobile"/>
    <s v="132.249.118.31"/>
    <x v="0"/>
    <n v="417"/>
    <n v="0.11402029554439475"/>
    <n v="0"/>
    <n v="0"/>
    <n v="0"/>
    <n v="0"/>
    <n v="0"/>
  </r>
  <r>
    <s v="dc2efe37-cd56-43ed-9026-b728799e2eb5"/>
    <s v="80efe645-4ebb-41cb-875b-9899cd5b37f9"/>
    <d v="2025-03-23T00:00:00"/>
    <d v="1899-12-30T11:16:05"/>
    <n v="11"/>
    <n v="56"/>
    <s v="Silver"/>
    <s v="Zurich"/>
    <s v="FLAGSHIP-PARIS"/>
    <s v="CELESTE-EYE-05"/>
    <s v="Serum"/>
    <n v="182.48"/>
    <x v="0"/>
    <n v="0"/>
    <s v="Mobile"/>
    <s v="2.200.99.171"/>
    <x v="0"/>
    <n v="325"/>
    <n v="0.10889791953824046"/>
    <n v="0"/>
    <n v="0"/>
    <n v="0"/>
    <n v="0"/>
    <n v="0"/>
  </r>
  <r>
    <s v="aa82e7af-f4cd-4a80-8201-abd1b4d1cc07"/>
    <s v="7ea2bc76-c8a7-462c-b3e5-c3a9293cdc98"/>
    <d v="2025-04-18T00:00:00"/>
    <d v="1899-12-30T19:59:00"/>
    <n v="19"/>
    <n v="45"/>
    <s v="Bronze"/>
    <s v="Geneva"/>
    <s v="CONCESSION-SINGAPORE"/>
    <s v="STELLAR-FOUND-03"/>
    <s v="Foundation"/>
    <n v="182.4"/>
    <x v="0"/>
    <n v="0"/>
    <s v="Mobile"/>
    <s v="22.243.101.51"/>
    <x v="0"/>
    <n v="287"/>
    <n v="0.1077903787801533"/>
    <n v="0"/>
    <n v="0"/>
    <n v="0"/>
    <n v="0"/>
    <n v="0"/>
  </r>
  <r>
    <s v="0db245ef-d078-4519-a000-9605d7fba2be"/>
    <s v="e1bbf4f9-45e0-4e07-8944-a9b1192d14d5"/>
    <d v="2025-07-02T00:00:00"/>
    <d v="1899-12-30T12:15:28"/>
    <n v="12"/>
    <n v="34"/>
    <s v="Bronze"/>
    <s v="Los Angeles"/>
    <s v="FLAGSHIP-ROME"/>
    <s v="NEBULA-SERUM-07"/>
    <s v="Mascara"/>
    <n v="182.13"/>
    <x v="1"/>
    <n v="0"/>
    <s v="Desktop"/>
    <s v="56.227.212.226"/>
    <x v="0"/>
    <n v="285"/>
    <n v="0.10405242872160819"/>
    <n v="0"/>
    <n v="0"/>
    <n v="0"/>
    <n v="0"/>
    <n v="0"/>
  </r>
  <r>
    <s v="ffb0b7f9-9521-42ca-a763-a7e62c50b420"/>
    <s v="aa809630-6be3-44f2-a933-22699ba4e73a"/>
    <d v="2025-04-16T00:00:00"/>
    <d v="1899-12-30T02:50:38"/>
    <n v="2"/>
    <n v="63"/>
    <s v="Bronze"/>
    <s v="Las Vegas"/>
    <s v="FLAGSHIP-PARIS"/>
    <s v="LUNAR-MASC-02"/>
    <s v="Serum"/>
    <n v="182.09"/>
    <x v="3"/>
    <n v="0"/>
    <s v="Laptop"/>
    <s v="180.50.44.53"/>
    <x v="0"/>
    <n v="419"/>
    <n v="0.1034986583425646"/>
    <n v="0"/>
    <n v="1"/>
    <n v="0"/>
    <n v="2"/>
    <n v="0"/>
  </r>
  <r>
    <s v="0e0fcdda-3331-40aa-8a1b-bce6dbb7fd9f"/>
    <s v="0482542c-1844-4009-96e0-811ca7625fba"/>
    <d v="2025-05-02T00:00:00"/>
    <d v="1899-12-30T15:22:02"/>
    <n v="15"/>
    <n v="23"/>
    <s v="Bronze"/>
    <s v="Los Angeles"/>
    <s v="CONCESSION-LONDON"/>
    <s v="NEBULA-SERUM-07"/>
    <s v="Eyeliner"/>
    <n v="181.85"/>
    <x v="3"/>
    <n v="0"/>
    <s v="Desktop"/>
    <s v="199.208.36.174"/>
    <x v="0"/>
    <n v="143"/>
    <n v="0.10017603606830229"/>
    <n v="0"/>
    <n v="0"/>
    <n v="1"/>
    <n v="1"/>
    <n v="0"/>
  </r>
  <r>
    <s v="6da3dfbb-2e46-441a-9087-c2e6e5ad0c36"/>
    <s v="48a9cb70-cecc-487d-9be8-fa09f6be9825"/>
    <d v="2025-03-11T00:00:00"/>
    <d v="1899-12-30T19:36:40"/>
    <n v="19"/>
    <n v="46"/>
    <s v="Bronze"/>
    <s v="New York"/>
    <s v="BOUTIQUE-DUBAI"/>
    <s v="ORION-CONCEAL-09"/>
    <s v="Highlighter"/>
    <n v="181.69"/>
    <x v="0"/>
    <n v="0"/>
    <s v="Desktop"/>
    <s v="242.187.149.125"/>
    <x v="0"/>
    <n v="460"/>
    <n v="9.7960954552127541E-2"/>
    <n v="0"/>
    <n v="0"/>
    <n v="0"/>
    <n v="0"/>
    <n v="0"/>
  </r>
  <r>
    <s v="3c6aa30c-fde5-4464-92c6-ef8eff78c409"/>
    <s v="73d96548-073f-420f-bb47-9d697745a72f"/>
    <d v="2025-03-02T00:00:00"/>
    <d v="1899-12-30T06:32:25"/>
    <n v="6"/>
    <n v="25"/>
    <s v="Gold"/>
    <s v="Miami"/>
    <s v="FLAGSHIP-PARIS"/>
    <s v="NEBULA-SERUM-07"/>
    <s v="Lipstick"/>
    <n v="181.69"/>
    <x v="4"/>
    <n v="0"/>
    <s v="Tablet"/>
    <s v="59.64.125.208"/>
    <x v="0"/>
    <n v="124"/>
    <n v="9.7960954552127541E-2"/>
    <n v="0"/>
    <n v="0"/>
    <n v="1"/>
    <n v="1"/>
    <n v="0"/>
  </r>
  <r>
    <s v="4404a4bf-334b-4c21-9c6a-949846274291"/>
    <s v="c4606b3f-3812-465b-a687-76637021a77a"/>
    <d v="2025-07-26T00:00:00"/>
    <d v="1899-12-30T23:57:53"/>
    <n v="23"/>
    <n v="41"/>
    <s v="None"/>
    <s v="Geneva"/>
    <s v="POPUP-TOKYO"/>
    <s v="ECLIPSE-EYE-10"/>
    <s v="Highlighter"/>
    <n v="181.6"/>
    <x v="1"/>
    <n v="0"/>
    <s v="Laptop"/>
    <s v="200.160.62.4"/>
    <x v="0"/>
    <n v="386"/>
    <n v="9.6714971199279173E-2"/>
    <n v="0"/>
    <n v="0"/>
    <n v="0"/>
    <n v="0"/>
    <n v="0"/>
  </r>
  <r>
    <s v="7a61f318-15c1-416c-a1c1-85fd58a0caeb"/>
    <s v="83f9e3fa-72cd-4dca-a643-89527ecad8e0"/>
    <d v="2025-05-14T00:00:00"/>
    <d v="1899-12-30T01:25:06"/>
    <n v="1"/>
    <n v="54"/>
    <s v="Silver"/>
    <s v="Dubai"/>
    <s v="POPUP-TOKYO"/>
    <s v="NEBULA-SERUM-07"/>
    <s v="Concealer"/>
    <n v="181.46"/>
    <x v="3"/>
    <n v="0"/>
    <s v="Mobile"/>
    <s v="10.217.253.87"/>
    <x v="0"/>
    <n v="386"/>
    <n v="9.477677487262641E-2"/>
    <n v="0"/>
    <n v="1"/>
    <n v="0"/>
    <n v="2"/>
    <n v="0"/>
  </r>
  <r>
    <s v="85cc4d60-c77c-4ddb-8947-bf129ec753aa"/>
    <s v="98432ea2-e667-47ff-8e52-bc55dea8afd6"/>
    <d v="2025-06-11T00:00:00"/>
    <d v="1899-12-30T12:05:23"/>
    <n v="12"/>
    <n v="42"/>
    <s v="VIP"/>
    <s v="Milan"/>
    <s v="CONCESSION-SINGAPORE"/>
    <s v="AURORA-LIP-01"/>
    <s v="Eyeliner"/>
    <n v="181.42"/>
    <x v="0"/>
    <n v="0"/>
    <s v="Tablet"/>
    <s v="250.236.101.134"/>
    <x v="0"/>
    <n v="231"/>
    <n v="9.4223004493582438E-2"/>
    <n v="0"/>
    <n v="0"/>
    <n v="1"/>
    <n v="1"/>
    <n v="0"/>
  </r>
  <r>
    <s v="369a9df1-b3f7-4bd3-b340-d11d66cc8bc6"/>
    <s v="f4e56512-adb0-484f-8450-f5a75bf6a342"/>
    <d v="2025-08-11T00:00:00"/>
    <d v="1899-12-30T17:35:00"/>
    <n v="17"/>
    <n v="43"/>
    <s v="Gold"/>
    <s v="Las Vegas"/>
    <s v="BOUTIQUE-NYC"/>
    <s v="AURORA-LIP-01"/>
    <s v="Concealer"/>
    <n v="181.39"/>
    <x v="1"/>
    <n v="0"/>
    <s v="Mobile"/>
    <s v="98.145.223.145"/>
    <x v="0"/>
    <n v="66"/>
    <n v="9.3807676709299639E-2"/>
    <n v="0"/>
    <n v="0"/>
    <n v="1"/>
    <n v="1"/>
    <n v="0"/>
  </r>
  <r>
    <s v="2a27f954-7aea-4c39-a947-98e305148e97"/>
    <s v="c6af4562-6879-41d5-9719-9c27651b71e4"/>
    <d v="2025-07-21T00:00:00"/>
    <d v="1899-12-30T00:04:30"/>
    <n v="0"/>
    <n v="59"/>
    <s v="Gold"/>
    <s v="New York"/>
    <s v="FLAGSHIP-LA"/>
    <s v="CELESTE-EYE-05"/>
    <s v="Foundation"/>
    <n v="181.34"/>
    <x v="1"/>
    <n v="0"/>
    <s v="Tablet"/>
    <s v="70.79.205.101"/>
    <x v="0"/>
    <n v="212"/>
    <n v="9.3115463735495257E-2"/>
    <n v="0"/>
    <n v="1"/>
    <n v="1"/>
    <n v="3"/>
    <n v="0"/>
  </r>
  <r>
    <s v="3334a0de-d538-4a26-a05b-39001cd7d747"/>
    <s v="9e5f76ee-71a4-49ab-8fe5-3c8b8cfb4110"/>
    <d v="2025-03-21T00:00:00"/>
    <d v="1899-12-30T12:09:52"/>
    <n v="12"/>
    <n v="44"/>
    <s v="Silver"/>
    <s v="Paris"/>
    <s v="FLAGSHIP-LA"/>
    <s v="SOLAR-BLUSH-04"/>
    <s v="Serum"/>
    <n v="181.2"/>
    <x v="4"/>
    <n v="0"/>
    <s v="Mobile"/>
    <s v="19.120.227.166"/>
    <x v="0"/>
    <n v="381"/>
    <n v="9.1177267408842105E-2"/>
    <n v="0"/>
    <n v="0"/>
    <n v="0"/>
    <n v="0"/>
    <n v="0"/>
  </r>
  <r>
    <s v="111b97f2-7961-415a-bd8f-a4e25f69ea80"/>
    <s v="579b8ff9-f0e7-4fe1-a199-0de83346f8ac"/>
    <d v="2025-04-17T00:00:00"/>
    <d v="1899-12-30T05:39:24"/>
    <n v="5"/>
    <n v="55"/>
    <s v="Gold"/>
    <s v="Shanghai"/>
    <s v="BOUTIQUE-DUBAI"/>
    <s v="STELLAR-FOUND-03"/>
    <s v="Lipstick"/>
    <n v="181.15"/>
    <x v="0"/>
    <n v="0"/>
    <s v="Laptop"/>
    <s v="120.239.238.55"/>
    <x v="0"/>
    <n v="448"/>
    <n v="9.0485054435037723E-2"/>
    <n v="0"/>
    <n v="1"/>
    <n v="0"/>
    <n v="2"/>
    <n v="0"/>
  </r>
  <r>
    <s v="faf63866-6845-4a0f-9add-e52315686761"/>
    <s v="dac4abbc-e051-45b1-96b8-20d8c16a7fd5"/>
    <d v="2025-03-28T00:00:00"/>
    <d v="1899-12-30T13:26:09"/>
    <n v="13"/>
    <n v="57"/>
    <s v="Gold"/>
    <s v="Rome"/>
    <s v="POPUP-MILAN"/>
    <s v="GALAXIA-SET-08"/>
    <s v="Lipstick"/>
    <n v="181.11"/>
    <x v="0"/>
    <n v="0"/>
    <s v="Desktop"/>
    <s v="122.80.28.200"/>
    <x v="0"/>
    <n v="104"/>
    <n v="8.993128405599414E-2"/>
    <n v="0"/>
    <n v="0"/>
    <n v="1"/>
    <n v="1"/>
    <n v="0"/>
  </r>
  <r>
    <s v="5ec219c8-d902-4c3a-8c10-d3a931d5a3d5"/>
    <s v="25bba9f8-cab2-4641-b212-880a2e5b83e3"/>
    <d v="2025-05-19T00:00:00"/>
    <d v="1899-12-30T04:33:53"/>
    <n v="4"/>
    <n v="52"/>
    <s v="Bronze"/>
    <s v="Shanghai"/>
    <s v="FLAGSHIP-ROME"/>
    <s v="COSMIC-HIGHLIGHT-06"/>
    <s v="Lipstick"/>
    <n v="180.8"/>
    <x v="3"/>
    <n v="0"/>
    <s v="Mobile"/>
    <s v="10.189.14.78"/>
    <x v="0"/>
    <n v="442"/>
    <n v="8.563956361840544E-2"/>
    <n v="0"/>
    <n v="1"/>
    <n v="0"/>
    <n v="2"/>
    <n v="0"/>
  </r>
  <r>
    <s v="2af314a5-cd30-4133-85c1-a37d4a53ec7a"/>
    <s v="867fdb50-58da-499f-bd2c-88a759d43b6b"/>
    <d v="2025-07-26T00:00:00"/>
    <d v="1899-12-30T19:18:51"/>
    <n v="19"/>
    <n v="32"/>
    <s v="Gold"/>
    <s v="Paris"/>
    <s v="FLAGSHIP-LA"/>
    <s v="ORION-CONCEAL-09"/>
    <s v="Blush"/>
    <n v="180.67"/>
    <x v="3"/>
    <n v="0"/>
    <s v="Tablet"/>
    <s v="73.62.201.191"/>
    <x v="0"/>
    <n v="184"/>
    <n v="8.3839809886513086E-2"/>
    <n v="0"/>
    <n v="0"/>
    <n v="1"/>
    <n v="1"/>
    <n v="0"/>
  </r>
  <r>
    <s v="b8e403ac-544a-4a3f-8ee0-e0a91720096d"/>
    <s v="e36c430d-94c2-44b6-8cd4-d72946cfeae6"/>
    <d v="2025-03-06T00:00:00"/>
    <d v="1899-12-30T07:22:14"/>
    <n v="7"/>
    <n v="23"/>
    <s v="Bronze"/>
    <s v="Geneva"/>
    <s v="CONCESSION-SINGAPORE"/>
    <s v="AURORA-LIP-01"/>
    <s v="Eyeliner"/>
    <n v="180.6"/>
    <x v="3"/>
    <n v="0"/>
    <s v="Desktop"/>
    <s v="231.245.47.253"/>
    <x v="0"/>
    <n v="95"/>
    <n v="8.2870711723186719E-2"/>
    <n v="0"/>
    <n v="0"/>
    <n v="1"/>
    <n v="1"/>
    <n v="0"/>
  </r>
  <r>
    <s v="63b13c2f-a2c2-4786-aa34-cff06e639c68"/>
    <s v="d31c678c-1ce9-4961-9ef3-6ef03a861cbc"/>
    <d v="2025-04-15T00:00:00"/>
    <d v="1899-12-30T02:25:32"/>
    <n v="2"/>
    <n v="36"/>
    <s v="Unknown"/>
    <s v="New York"/>
    <s v="CONCESSION-LONDON"/>
    <s v="ECLIPSE-EYE-10"/>
    <s v="Mascara"/>
    <n v="180.46"/>
    <x v="3"/>
    <n v="0"/>
    <s v="Laptop"/>
    <s v="2.4.88.211"/>
    <x v="0"/>
    <n v="376"/>
    <n v="8.0932515396533955E-2"/>
    <n v="0"/>
    <n v="1"/>
    <n v="0"/>
    <n v="2"/>
    <n v="0"/>
  </r>
  <r>
    <s v="9fb37301-a185-4843-bd70-c7a47e20efc1"/>
    <s v="d911a8fc-ae6a-4eb2-b2ed-7b7b7037aa78"/>
    <d v="2025-07-16T00:00:00"/>
    <d v="1899-12-30T00:19:14"/>
    <n v="0"/>
    <n v="51"/>
    <s v="Bronze"/>
    <s v="Singapore"/>
    <s v="POPUP-TOKYO"/>
    <s v="NEBULA-SERUM-07"/>
    <s v="Eyeshadow Palette"/>
    <n v="180.37"/>
    <x v="1"/>
    <n v="0"/>
    <s v="Mobile"/>
    <s v="191.65.75.149"/>
    <x v="0"/>
    <n v="334"/>
    <n v="7.9686532043685587E-2"/>
    <n v="0"/>
    <n v="1"/>
    <n v="0"/>
    <n v="2"/>
    <n v="0"/>
  </r>
  <r>
    <s v="563481ff-6aa4-4487-8e86-d9cc2b4015f0"/>
    <s v="b30e889d-3052-4ae0-a571-b801286e33af"/>
    <d v="2025-05-17T00:00:00"/>
    <d v="1899-12-30T15:10:33"/>
    <n v="15"/>
    <n v="57"/>
    <s v="Silver"/>
    <s v="Monaco"/>
    <s v="FLAGSHIP-PARIS"/>
    <s v="STELLAR-FOUND-03"/>
    <s v="Blush"/>
    <n v="180.29"/>
    <x v="0"/>
    <n v="0"/>
    <s v="Laptop"/>
    <s v="12.53.26.90"/>
    <x v="0"/>
    <n v="248"/>
    <n v="7.8578991285598018E-2"/>
    <n v="0"/>
    <n v="0"/>
    <n v="1"/>
    <n v="1"/>
    <n v="0"/>
  </r>
  <r>
    <s v="36463c71-f988-40d9-930b-7d183c64daba"/>
    <s v="a2af6831-0470-4ae9-937a-a5e4d9815255"/>
    <d v="2025-04-27T00:00:00"/>
    <d v="1899-12-30T11:42:43"/>
    <n v="11"/>
    <n v="19"/>
    <s v="Silver"/>
    <s v="Miami"/>
    <s v="FLAGSHIP-PARIS"/>
    <s v="ORION-CONCEAL-09"/>
    <s v="Lipstick"/>
    <n v="180.13"/>
    <x v="4"/>
    <n v="0"/>
    <s v="Tablet"/>
    <s v="88.152.84.101"/>
    <x v="0"/>
    <n v="357"/>
    <n v="7.6363909769423283E-2"/>
    <n v="0"/>
    <n v="0"/>
    <n v="0"/>
    <n v="0"/>
    <n v="0"/>
  </r>
  <r>
    <s v="6779b4a0-3272-4674-8779-739f067d56ea"/>
    <s v="c9f396d5-f170-4e34-827c-baa5b507ab72"/>
    <d v="2025-06-01T00:00:00"/>
    <d v="1899-12-30T03:12:50"/>
    <n v="3"/>
    <n v="39"/>
    <s v="Gold"/>
    <s v="Miami"/>
    <s v="POPUP-MILAN"/>
    <s v="NEBULA-SERUM-07"/>
    <s v="Foundation"/>
    <n v="180.05"/>
    <x v="3"/>
    <n v="0"/>
    <s v="Laptop"/>
    <s v="183.137.210.187"/>
    <x v="0"/>
    <n v="394"/>
    <n v="7.5256369011336102E-2"/>
    <n v="0"/>
    <n v="1"/>
    <n v="0"/>
    <n v="2"/>
    <n v="0"/>
  </r>
  <r>
    <s v="92ea195e-7785-4c56-b5cd-3e7bef72200d"/>
    <s v="b4d787bb-fc1f-4c3d-a892-b20b5800fa8f"/>
    <d v="2025-05-22T00:00:00"/>
    <d v="1899-12-30T00:45:08"/>
    <n v="0"/>
    <n v="62"/>
    <s v="Silver"/>
    <s v="Rome"/>
    <s v="CONCESSION-LONDON"/>
    <s v="LUNAR-MASC-02"/>
    <s v="Concealer"/>
    <n v="179.86"/>
    <x v="3"/>
    <n v="0"/>
    <s v="Laptop"/>
    <s v="231.42.150.40"/>
    <x v="0"/>
    <n v="124"/>
    <n v="7.2625959710878568E-2"/>
    <n v="0"/>
    <n v="1"/>
    <n v="1"/>
    <n v="3"/>
    <n v="0"/>
  </r>
  <r>
    <s v="17ab4c76-f45c-461b-80c0-ac8853c53543"/>
    <s v="6db71c55-5d42-4e57-9529-7038babd4569"/>
    <d v="2025-06-29T00:00:00"/>
    <d v="1899-12-30T19:54:23"/>
    <n v="19"/>
    <n v="58"/>
    <s v="Gold"/>
    <s v="Monte Carlo"/>
    <s v="POPUP-MILAN"/>
    <s v="NEBULA-SERUM-07"/>
    <s v="Highlighter"/>
    <n v="179.86"/>
    <x v="3"/>
    <n v="0"/>
    <s v="Tablet"/>
    <s v="17.147.235.215"/>
    <x v="0"/>
    <n v="396"/>
    <n v="7.2625959710878568E-2"/>
    <n v="0"/>
    <n v="0"/>
    <n v="0"/>
    <n v="0"/>
    <n v="0"/>
  </r>
  <r>
    <s v="b414cc7f-7d0c-41b0-b847-152d5eb5cc54"/>
    <s v="8dd0cb28-d9e2-4c37-a85b-430f2accc1e5"/>
    <d v="2025-04-25T00:00:00"/>
    <d v="1899-12-30T03:13:34"/>
    <n v="3"/>
    <n v="41"/>
    <s v="Silver"/>
    <s v="San Francisco"/>
    <s v="CONCESSION-SINGAPORE"/>
    <s v="ORION-CONCEAL-09"/>
    <s v="Mascara"/>
    <n v="179.65"/>
    <x v="0"/>
    <n v="0"/>
    <s v="Laptop"/>
    <s v="78.171.231.251"/>
    <x v="0"/>
    <n v="189"/>
    <n v="6.9718665220899048E-2"/>
    <n v="0"/>
    <n v="1"/>
    <n v="1"/>
    <n v="3"/>
    <n v="0"/>
  </r>
  <r>
    <s v="26fc9418-110a-4a05-86db-f3185e22378d"/>
    <s v="c0a1d633-1fd4-4cd2-a729-a7ab7481cc00"/>
    <d v="2025-07-08T00:00:00"/>
    <d v="1899-12-30T22:03:52"/>
    <n v="22"/>
    <n v="49"/>
    <s v="Silver"/>
    <s v="Monte Carlo"/>
    <s v="BOUTIQUE-NYC"/>
    <s v="GALAXIA-SET-08"/>
    <s v="Serum"/>
    <n v="179.64"/>
    <x v="4"/>
    <n v="0"/>
    <s v="Tablet"/>
    <s v="157.41.209.11"/>
    <x v="0"/>
    <n v="209"/>
    <n v="6.9580222626137847E-2"/>
    <n v="0"/>
    <n v="0"/>
    <n v="1"/>
    <n v="1"/>
    <n v="0"/>
  </r>
  <r>
    <s v="6710f888-aca5-458e-9600-8290cca0862f"/>
    <s v="8ab8624a-1d68-4c8c-ae29-9e7b87117e0e"/>
    <d v="2025-05-07T00:00:00"/>
    <d v="1899-12-30T02:35:18"/>
    <n v="2"/>
    <n v="24"/>
    <s v="Gold"/>
    <s v="New York"/>
    <s v="BOUTIQUE-DUBAI"/>
    <s v="NEBULA-SERUM-07"/>
    <s v="Concealer"/>
    <n v="179.5"/>
    <x v="4"/>
    <n v="0"/>
    <s v="Tablet"/>
    <s v="37.49.105.86"/>
    <x v="0"/>
    <n v="230"/>
    <n v="6.7642026299485097E-2"/>
    <n v="0"/>
    <n v="1"/>
    <n v="1"/>
    <n v="3"/>
    <n v="0"/>
  </r>
  <r>
    <s v="dad8b667-0a11-4168-b616-397b559d69d6"/>
    <s v="ca6f9374-92e0-42c7-849a-8e7b0895637e"/>
    <d v="2025-05-28T00:00:00"/>
    <d v="1899-12-30T08:37:07"/>
    <n v="8"/>
    <n v="62"/>
    <s v="Unknown"/>
    <s v="Rome"/>
    <s v="FLAGSHIP-LA"/>
    <s v="SOLAR-BLUSH-04"/>
    <s v="Lipstick"/>
    <n v="179.49"/>
    <x v="3"/>
    <n v="0"/>
    <s v="Mobile"/>
    <s v="198.27.155.217"/>
    <x v="0"/>
    <n v="98"/>
    <n v="6.7503583704724299E-2"/>
    <n v="0"/>
    <n v="0"/>
    <n v="1"/>
    <n v="1"/>
    <n v="0"/>
  </r>
  <r>
    <s v="8084d78a-44af-4a05-92dd-63d1c78df468"/>
    <s v="9e8fd3ab-f66f-4f6a-8a64-c79a3615f1c4"/>
    <d v="2025-07-26T00:00:00"/>
    <d v="1899-12-30T16:06:35"/>
    <n v="16"/>
    <n v="40"/>
    <s v="Gold"/>
    <s v="Zurich"/>
    <s v="FLAGSHIP-ROME"/>
    <s v="SOLAR-BLUSH-04"/>
    <s v="Mascara"/>
    <n v="179.48"/>
    <x v="4"/>
    <n v="0"/>
    <s v="Mobile"/>
    <s v="255.142.59.181"/>
    <x v="0"/>
    <n v="315"/>
    <n v="6.7365141109963098E-2"/>
    <n v="0"/>
    <n v="0"/>
    <n v="0"/>
    <n v="0"/>
    <n v="0"/>
  </r>
  <r>
    <s v="34c24174-595f-4109-b4aa-71143776b098"/>
    <s v="23d2f3eb-f041-4095-971f-78e4cf5e795c"/>
    <d v="2025-05-07T00:00:00"/>
    <d v="1899-12-30T01:36:22"/>
    <n v="1"/>
    <n v="49"/>
    <s v="Bronze"/>
    <s v="Los Angeles"/>
    <s v="POPUP-TOKYO"/>
    <s v="AURORA-LIP-01"/>
    <s v="Serum"/>
    <n v="179.46"/>
    <x v="0"/>
    <n v="0"/>
    <s v="Desktop"/>
    <s v="82.237.208.33"/>
    <x v="0"/>
    <n v="278"/>
    <n v="6.70882559204415E-2"/>
    <n v="0"/>
    <n v="1"/>
    <n v="0"/>
    <n v="2"/>
    <n v="0"/>
  </r>
  <r>
    <s v="7dacafea-111d-4856-9deb-a87d27658353"/>
    <s v="1c6feac6-d891-42c8-b448-1fa9d94b1b66"/>
    <d v="2025-06-21T00:00:00"/>
    <d v="1899-12-30T19:36:50"/>
    <n v="19"/>
    <n v="53"/>
    <s v="Silver"/>
    <s v="Hong Kong"/>
    <s v="FLAGSHIP-LA"/>
    <s v="GALAXIA-SET-08"/>
    <s v="Lipstick"/>
    <n v="179.4"/>
    <x v="4"/>
    <n v="0"/>
    <s v="Tablet"/>
    <s v="215.224.212.98"/>
    <x v="0"/>
    <n v="82"/>
    <n v="6.6257600351875931E-2"/>
    <n v="0"/>
    <n v="0"/>
    <n v="1"/>
    <n v="1"/>
    <n v="0"/>
  </r>
  <r>
    <s v="af825aed-af18-453d-b0c9-b2db1a404dc3"/>
    <s v="d400a5f1-31db-4e85-b259-77197bad8d07"/>
    <d v="2025-04-24T00:00:00"/>
    <d v="1899-12-30T17:29:41"/>
    <n v="17"/>
    <n v="37"/>
    <s v="Silver"/>
    <s v="Shanghai"/>
    <s v="POPUP-MILAN"/>
    <s v="GALAXIA-SET-08"/>
    <s v="Mascara"/>
    <n v="179.32"/>
    <x v="3"/>
    <n v="0"/>
    <s v="Mobile"/>
    <s v="215.27.43.28"/>
    <x v="0"/>
    <n v="468"/>
    <n v="6.5150059593788362E-2"/>
    <n v="0"/>
    <n v="0"/>
    <n v="0"/>
    <n v="0"/>
    <n v="0"/>
  </r>
  <r>
    <s v="6d8b4aaa-671a-4c03-a3cf-a9e6414d9045"/>
    <s v="51cd1b59-230e-4d18-a5c6-bc1d9f96ac0f"/>
    <d v="2025-02-23T00:00:00"/>
    <d v="1899-12-30T15:56:15"/>
    <n v="15"/>
    <n v="27"/>
    <s v="Platinum"/>
    <s v="London"/>
    <s v="POPUP-TOKYO"/>
    <s v="STELLAR-FOUND-03"/>
    <s v="Eyeliner"/>
    <n v="179.06"/>
    <x v="1"/>
    <n v="0"/>
    <s v="Tablet"/>
    <s v="127.105.7.23"/>
    <x v="1"/>
    <n v="395"/>
    <n v="6.1550552130004446E-2"/>
    <n v="0"/>
    <n v="0"/>
    <n v="0"/>
    <n v="0"/>
    <n v="0"/>
  </r>
  <r>
    <s v="db22e097-76a9-44b8-8409-5a9f31ca46e0"/>
    <s v="ca5358ff-70c3-4ead-b659-1aeaa6748037"/>
    <d v="2025-04-30T00:00:00"/>
    <d v="1899-12-30T00:13:59"/>
    <n v="0"/>
    <n v="65"/>
    <s v="Bronze"/>
    <s v="Rome"/>
    <s v="POPUP-TOKYO"/>
    <s v="ORION-CONCEAL-09"/>
    <s v="Foundation"/>
    <n v="178.87"/>
    <x v="0"/>
    <n v="0"/>
    <s v="Mobile"/>
    <s v="146.243.218.107"/>
    <x v="0"/>
    <n v="123"/>
    <n v="5.8920142829546912E-2"/>
    <n v="0"/>
    <n v="1"/>
    <n v="1"/>
    <n v="3"/>
    <n v="0"/>
  </r>
  <r>
    <s v="187e6906-842e-4425-b17c-f1eed770853e"/>
    <s v="06237840-b813-49e1-a929-45fe351bf82a"/>
    <d v="2025-04-12T00:00:00"/>
    <d v="1899-12-30T21:19:44"/>
    <n v="21"/>
    <n v="55"/>
    <s v="Gold"/>
    <s v="Rome"/>
    <s v="POPUP-MILAN"/>
    <s v="CELESTE-EYE-05"/>
    <s v="Foundation"/>
    <n v="178.58"/>
    <x v="4"/>
    <n v="0"/>
    <s v="Laptop"/>
    <s v="7.227.200.28"/>
    <x v="0"/>
    <n v="106"/>
    <n v="5.4905307581480212E-2"/>
    <n v="0"/>
    <n v="0"/>
    <n v="1"/>
    <n v="1"/>
    <n v="0"/>
  </r>
  <r>
    <s v="23f32717-770e-495c-b741-d2af6915e0e2"/>
    <s v="00eafe7e-7764-4574-ae39-777710290a61"/>
    <d v="2025-04-19T00:00:00"/>
    <d v="1899-12-30T19:03:38"/>
    <n v="19"/>
    <n v="42"/>
    <s v="Bronze"/>
    <s v="Hong Kong"/>
    <s v="FLAGSHIP-LA"/>
    <s v="ECLIPSE-EYE-10"/>
    <s v="Setting Spray"/>
    <n v="178.52"/>
    <x v="0"/>
    <n v="0"/>
    <s v="Laptop"/>
    <s v="215.80.15.75"/>
    <x v="0"/>
    <n v="217"/>
    <n v="5.4074652012914629E-2"/>
    <n v="0"/>
    <n v="0"/>
    <n v="1"/>
    <n v="1"/>
    <n v="0"/>
  </r>
  <r>
    <s v="a1a9ad85-4aa5-4626-a07e-b9530e98b892"/>
    <s v="11316d42-1ed0-4521-896d-905b41895799"/>
    <d v="2025-07-08T00:00:00"/>
    <d v="1899-12-30T02:29:51"/>
    <n v="2"/>
    <n v="46"/>
    <s v="Platinum"/>
    <s v="Milan"/>
    <s v="BOUTIQUE-NYC"/>
    <s v="COSMIC-HIGHLIGHT-06"/>
    <s v="Mascara"/>
    <n v="178.35"/>
    <x v="3"/>
    <n v="0"/>
    <s v="Tablet"/>
    <s v="1.171.237.88"/>
    <x v="0"/>
    <n v="308"/>
    <n v="5.1721127901978692E-2"/>
    <n v="0"/>
    <n v="1"/>
    <n v="0"/>
    <n v="2"/>
    <n v="0"/>
  </r>
  <r>
    <s v="34efce0e-9f20-4a65-b261-ba482a9c663d"/>
    <s v="1585dfaf-d2f1-44f4-9477-a77ba81a5abf"/>
    <d v="2025-04-13T00:00:00"/>
    <d v="1899-12-30T02:33:28"/>
    <n v="2"/>
    <n v="55"/>
    <s v="Bronze"/>
    <s v="Cannes"/>
    <s v="FLAGSHIP-LA"/>
    <s v="CELESTE-EYE-05"/>
    <s v="Foundation"/>
    <n v="178.12"/>
    <x v="4"/>
    <n v="0"/>
    <s v="Tablet"/>
    <s v="92.83.27.139"/>
    <x v="0"/>
    <n v="71"/>
    <n v="4.8536948222477568E-2"/>
    <n v="0"/>
    <n v="1"/>
    <n v="1"/>
    <n v="3"/>
    <n v="0"/>
  </r>
  <r>
    <s v="9820dfa2-347b-4cce-8a94-79a37c380321"/>
    <s v="288011fb-38a9-4de3-8f2e-2f1590039059"/>
    <d v="2025-08-06T00:00:00"/>
    <d v="1899-12-30T20:41:05"/>
    <n v="20"/>
    <n v="55"/>
    <s v="Unknown"/>
    <s v="Singapore"/>
    <s v="CONCESSION-LONDON"/>
    <s v="COSMIC-HIGHLIGHT-06"/>
    <s v="Lipstick"/>
    <n v="178.11"/>
    <x v="1"/>
    <n v="0"/>
    <s v="Laptop"/>
    <s v="88.124.105.27"/>
    <x v="1"/>
    <n v="314"/>
    <n v="4.8398505627716769E-2"/>
    <n v="0"/>
    <n v="0"/>
    <n v="0"/>
    <n v="0"/>
    <n v="0"/>
  </r>
  <r>
    <s v="209804ec-8558-4f66-b5eb-79a276b9c155"/>
    <s v="59567b75-3a57-409e-aea0-a6aee67b57a4"/>
    <d v="2025-06-25T00:00:00"/>
    <d v="1899-12-30T04:12:21"/>
    <n v="4"/>
    <n v="37"/>
    <s v="VIP"/>
    <s v="Hong Kong"/>
    <s v="FLAGSHIP-LA"/>
    <s v="STELLAR-FOUND-03"/>
    <s v="Blush"/>
    <n v="177.95"/>
    <x v="1"/>
    <n v="0"/>
    <s v="Laptop"/>
    <s v="107.211.193.142"/>
    <x v="0"/>
    <n v="435"/>
    <n v="4.6183424111541631E-2"/>
    <n v="0"/>
    <n v="1"/>
    <n v="0"/>
    <n v="2"/>
    <n v="0"/>
  </r>
  <r>
    <s v="220dda54-c91d-41ae-8f2c-386c307d8903"/>
    <s v="83d18762-3e4f-449c-a836-4c39bf602e97"/>
    <d v="2025-04-16T00:00:00"/>
    <d v="1899-12-30T02:30:46"/>
    <n v="2"/>
    <n v="57"/>
    <s v="Bronze"/>
    <s v="Paris"/>
    <s v="BOUTIQUE-NYC"/>
    <s v="STELLAR-FOUND-03"/>
    <s v="Highlighter"/>
    <n v="177.75"/>
    <x v="0"/>
    <n v="0"/>
    <s v="Desktop"/>
    <s v="183.251.220.68"/>
    <x v="0"/>
    <n v="398"/>
    <n v="4.3414572216323298E-2"/>
    <n v="0"/>
    <n v="1"/>
    <n v="0"/>
    <n v="2"/>
    <n v="0"/>
  </r>
  <r>
    <s v="75867499-466b-45d9-8f39-50d03f23c1cf"/>
    <s v="8c80150e-fd7f-403b-af6c-3deec055f624"/>
    <d v="2025-04-22T00:00:00"/>
    <d v="1899-12-30T12:00:18"/>
    <n v="12"/>
    <n v="50"/>
    <s v="Bronze"/>
    <s v="Monaco"/>
    <s v="FLAGSHIP-ROME"/>
    <s v="STELLAR-FOUND-03"/>
    <s v="Eyeshadow Palette"/>
    <n v="177.7"/>
    <x v="3"/>
    <n v="0"/>
    <s v="Mobile"/>
    <s v="126.228.198.243"/>
    <x v="0"/>
    <n v="347"/>
    <n v="4.2722359242518521E-2"/>
    <n v="0"/>
    <n v="0"/>
    <n v="0"/>
    <n v="0"/>
    <n v="0"/>
  </r>
  <r>
    <s v="e6a6d137-73cd-452e-8834-2fa0de22635b"/>
    <s v="c1a54b6a-0065-4ecf-ab38-061ccd700ab1"/>
    <d v="2025-05-20T00:00:00"/>
    <d v="1899-12-30T14:48:38"/>
    <n v="14"/>
    <n v="36"/>
    <s v="Platinum"/>
    <s v="Monte Carlo"/>
    <s v="CONCESSION-SINGAPORE"/>
    <s v="GALAXIA-SET-08"/>
    <s v="Mascara"/>
    <n v="177.68"/>
    <x v="4"/>
    <n v="0"/>
    <s v="Desktop"/>
    <s v="174.158.225.57"/>
    <x v="0"/>
    <n v="385"/>
    <n v="4.2445474052996923E-2"/>
    <n v="0"/>
    <n v="0"/>
    <n v="0"/>
    <n v="0"/>
    <n v="0"/>
  </r>
  <r>
    <s v="88be8249-4aba-4306-9e49-ba57d575c57f"/>
    <s v="dbd53e96-32f1-4d08-92dc-2da371fb60f7"/>
    <d v="2025-08-10T00:00:00"/>
    <d v="1899-12-30T04:55:10"/>
    <n v="4"/>
    <n v="41"/>
    <s v="Bronze"/>
    <s v="Shanghai"/>
    <s v="CONCESSION-LONDON"/>
    <s v="STELLAR-FOUND-03"/>
    <s v="Lipstick"/>
    <n v="177.53"/>
    <x v="1"/>
    <n v="0"/>
    <s v="Desktop"/>
    <s v="20.78.52.110"/>
    <x v="0"/>
    <n v="314"/>
    <n v="4.0368835131582972E-2"/>
    <n v="0"/>
    <n v="1"/>
    <n v="0"/>
    <n v="2"/>
    <n v="0"/>
  </r>
  <r>
    <s v="d1683e46-0049-4df7-9b55-461efa320908"/>
    <s v="21318fd8-9115-437b-86a1-41a85a97768f"/>
    <d v="2025-05-21T00:00:00"/>
    <d v="1899-12-30T15:28:20"/>
    <n v="15"/>
    <n v="23"/>
    <s v="Bronze"/>
    <s v="Geneva"/>
    <s v="CONCESSION-LONDON"/>
    <s v="AURORA-LIP-01"/>
    <s v="Concealer"/>
    <n v="177.52"/>
    <x v="0"/>
    <n v="0"/>
    <s v="Desktop"/>
    <s v="167.233.211.210"/>
    <x v="0"/>
    <n v="284"/>
    <n v="4.0230392536822174E-2"/>
    <n v="0"/>
    <n v="0"/>
    <n v="0"/>
    <n v="0"/>
    <n v="0"/>
  </r>
  <r>
    <s v="0ed6520e-fcc4-48f6-873f-0f368b09f66f"/>
    <s v="fcd40b8c-baa1-4ccb-82d7-38d01241ea93"/>
    <d v="2025-08-11T00:00:00"/>
    <d v="1899-12-30T18:43:39"/>
    <n v="18"/>
    <n v="31"/>
    <s v="Bronze"/>
    <s v="San Francisco"/>
    <s v="BOUTIQUE-NYC"/>
    <s v="STELLAR-FOUND-03"/>
    <s v="Serum"/>
    <n v="177.5"/>
    <x v="0"/>
    <n v="0"/>
    <s v="Mobile"/>
    <s v="247.126.39.138"/>
    <x v="0"/>
    <n v="60"/>
    <n v="3.9953507347300188E-2"/>
    <n v="0"/>
    <n v="0"/>
    <n v="1"/>
    <n v="1"/>
    <n v="0"/>
  </r>
  <r>
    <s v="b127a6a3-44de-4ee3-9b3b-2589619e1dad"/>
    <s v="176fdff9-d461-4571-8a25-76dad6639066"/>
    <d v="2025-07-09T00:00:00"/>
    <d v="1899-12-30T10:55:30"/>
    <n v="10"/>
    <n v="41"/>
    <s v="Bronze"/>
    <s v="Miami"/>
    <s v="BOUTIQUE-NYC"/>
    <s v="ORION-CONCEAL-09"/>
    <s v="Highlighter"/>
    <n v="177.44"/>
    <x v="4"/>
    <n v="0"/>
    <s v="Tablet"/>
    <s v="164.31.160.49"/>
    <x v="0"/>
    <n v="411"/>
    <n v="3.9122851778734605E-2"/>
    <n v="0"/>
    <n v="0"/>
    <n v="0"/>
    <n v="0"/>
    <n v="0"/>
  </r>
  <r>
    <s v="6ddd4f7c-0273-4b37-824f-f5e41808b547"/>
    <s v="ef46e331-a041-4ccc-a1d0-d3a36c9e0396"/>
    <d v="2025-05-17T00:00:00"/>
    <d v="1899-12-30T00:05:02"/>
    <n v="0"/>
    <n v="34"/>
    <s v="Gold"/>
    <s v="Sydney"/>
    <s v="CONCESSION-LONDON"/>
    <s v="STELLAR-FOUND-03"/>
    <s v="Highlighter"/>
    <n v="177.37"/>
    <x v="4"/>
    <n v="0"/>
    <s v="Desktop"/>
    <s v="188.99.172.92"/>
    <x v="0"/>
    <n v="417"/>
    <n v="3.815375361540823E-2"/>
    <n v="0"/>
    <n v="1"/>
    <n v="0"/>
    <n v="2"/>
    <n v="0"/>
  </r>
  <r>
    <s v="588b0751-aaa0-4e5c-961d-5cb55fb0fa00"/>
    <s v="8f0925ef-af6c-4f34-8338-7e15cb9d5cf6"/>
    <d v="2025-05-05T00:00:00"/>
    <d v="1899-12-30T21:31:01"/>
    <n v="21"/>
    <n v="41"/>
    <s v="Bronze"/>
    <s v="Paris"/>
    <s v="BOUTIQUE-DUBAI"/>
    <s v="AURORA-LIP-01"/>
    <s v="Mascara"/>
    <n v="177.27"/>
    <x v="1"/>
    <n v="0"/>
    <s v="Desktop"/>
    <s v="130.33.180.215"/>
    <x v="0"/>
    <n v="118"/>
    <n v="3.6769327667799064E-2"/>
    <n v="0"/>
    <n v="0"/>
    <n v="1"/>
    <n v="1"/>
    <n v="0"/>
  </r>
  <r>
    <s v="bf5b66f9-6924-4659-8d4d-55654a6a761a"/>
    <s v="7c8be8f6-71c0-4016-a41b-cdafeffe86e9"/>
    <d v="2025-08-04T00:00:00"/>
    <d v="1899-12-30T00:02:54"/>
    <n v="0"/>
    <n v="18"/>
    <s v="Gold"/>
    <s v="Sydney"/>
    <s v="CONCESSION-SINGAPORE"/>
    <s v="SOLAR-BLUSH-04"/>
    <s v="Lipstick"/>
    <n v="177.09"/>
    <x v="1"/>
    <n v="0"/>
    <s v="Laptop"/>
    <s v="40.169.200.195"/>
    <x v="0"/>
    <n v="92"/>
    <n v="3.4277360962102328E-2"/>
    <n v="0"/>
    <n v="1"/>
    <n v="1"/>
    <n v="3"/>
    <n v="0"/>
  </r>
  <r>
    <s v="5402e077-9900-46d9-8788-8f2cee078653"/>
    <s v="0c39fb10-1e0a-4e3a-8a0a-2330f567d169"/>
    <d v="2025-04-07T00:00:00"/>
    <d v="1899-12-30T22:26:18"/>
    <n v="22"/>
    <n v="64"/>
    <s v="Unknown"/>
    <s v="Hong Kong"/>
    <s v="BOUTIQUE-DUBAI"/>
    <s v="CELESTE-EYE-05"/>
    <s v="Highlighter"/>
    <n v="176.81"/>
    <x v="3"/>
    <n v="0"/>
    <s v="Mobile"/>
    <s v="55.5.158.96"/>
    <x v="0"/>
    <n v="481"/>
    <n v="3.0400968308796423E-2"/>
    <n v="0"/>
    <n v="0"/>
    <n v="0"/>
    <n v="0"/>
    <n v="0"/>
  </r>
  <r>
    <s v="6f8aefbd-f944-48d2-9a58-f9a82beb599a"/>
    <s v="fb3140b0-4b20-4dc8-bb84-ca2413380095"/>
    <d v="2025-07-05T00:00:00"/>
    <d v="1899-12-30T02:19:10"/>
    <n v="2"/>
    <n v="59"/>
    <s v="Bronze"/>
    <s v="Tokyo"/>
    <s v="FLAGSHIP-ROME"/>
    <s v="ORION-CONCEAL-09"/>
    <s v="Eyeliner"/>
    <n v="176.8"/>
    <x v="1"/>
    <n v="0"/>
    <s v="Mobile"/>
    <s v="37.133.59.160"/>
    <x v="0"/>
    <n v="477"/>
    <n v="3.0262525714035624E-2"/>
    <n v="0"/>
    <n v="1"/>
    <n v="0"/>
    <n v="2"/>
    <n v="0"/>
  </r>
  <r>
    <s v="68e231a2-25cf-48a0-827d-db6389b62487"/>
    <s v="b9c7531f-b518-40ec-a933-7ed07c465b0e"/>
    <d v="2025-04-01T00:00:00"/>
    <d v="1899-12-30T05:38:07"/>
    <n v="5"/>
    <n v="27"/>
    <s v="Bronze"/>
    <s v="Cannes"/>
    <s v="FLAGSHIP-LA"/>
    <s v="COSMIC-HIGHLIGHT-06"/>
    <s v="Foundation"/>
    <n v="176.7"/>
    <x v="3"/>
    <n v="0"/>
    <s v="Tablet"/>
    <s v="91.26.222.91"/>
    <x v="0"/>
    <n v="104"/>
    <n v="2.8878099766426066E-2"/>
    <n v="0"/>
    <n v="1"/>
    <n v="1"/>
    <n v="3"/>
    <n v="0"/>
  </r>
  <r>
    <s v="8c99ac54-d7a3-4e9d-9b18-fa53b13c3b98"/>
    <s v="1a197e46-416b-4532-843a-f5d08493d3b3"/>
    <d v="2025-04-24T00:00:00"/>
    <d v="1899-12-30T11:59:20"/>
    <n v="11"/>
    <n v="48"/>
    <s v="Silver"/>
    <s v="Rome"/>
    <s v="FLAGSHIP-ROME"/>
    <s v="NEBULA-SERUM-07"/>
    <s v="Setting Spray"/>
    <n v="176.59"/>
    <x v="3"/>
    <n v="0"/>
    <s v="Laptop"/>
    <s v="216.134.51.10"/>
    <x v="0"/>
    <n v="224"/>
    <n v="2.7355231224056097E-2"/>
    <n v="0"/>
    <n v="0"/>
    <n v="1"/>
    <n v="1"/>
    <n v="0"/>
  </r>
  <r>
    <s v="367215b8-3878-466b-a150-047ace2f077f"/>
    <s v="f3fbfe19-b8e4-4dfe-bbc1-e462fecfdf70"/>
    <d v="2025-04-09T00:00:00"/>
    <d v="1899-12-30T16:57:43"/>
    <n v="16"/>
    <n v="29"/>
    <s v="Bronze"/>
    <s v="Rome"/>
    <s v="POPUP-MILAN"/>
    <s v="COSMIC-HIGHLIGHT-06"/>
    <s v="Concealer"/>
    <n v="176.49"/>
    <x v="0"/>
    <n v="0"/>
    <s v="Tablet"/>
    <s v="96.86.125.216"/>
    <x v="0"/>
    <n v="207"/>
    <n v="2.5970805276446931E-2"/>
    <n v="0"/>
    <n v="0"/>
    <n v="1"/>
    <n v="1"/>
    <n v="0"/>
  </r>
  <r>
    <s v="df838ee9-9998-4a83-bbc8-35518b1c00e9"/>
    <s v="adda2e05-abe7-4095-9267-e336eb5067ff"/>
    <d v="2025-04-28T00:00:00"/>
    <d v="1899-12-30T22:40:20"/>
    <n v="22"/>
    <n v="28"/>
    <s v="Silver"/>
    <s v="Miami"/>
    <s v="BOUTIQUE-DUBAI"/>
    <s v="AURORA-LIP-01"/>
    <s v="Highlighter"/>
    <n v="176.16"/>
    <x v="4"/>
    <n v="0"/>
    <s v="Mobile"/>
    <s v="151.209.150.180"/>
    <x v="0"/>
    <n v="181"/>
    <n v="2.1402199649336248E-2"/>
    <n v="0"/>
    <n v="0"/>
    <n v="1"/>
    <n v="1"/>
    <n v="0"/>
  </r>
  <r>
    <s v="d6a12b55-ce0d-419d-be2d-19b100846f78"/>
    <s v="79a83ecf-bd28-421c-b769-fe1db3843888"/>
    <d v="2025-06-30T00:00:00"/>
    <d v="1899-12-30T16:26:34"/>
    <n v="16"/>
    <n v="45"/>
    <s v="Silver"/>
    <s v="Sydney"/>
    <s v="POPUP-TOKYO"/>
    <s v="COSMIC-HIGHLIGHT-06"/>
    <s v="Concealer"/>
    <n v="175.72"/>
    <x v="1"/>
    <n v="0"/>
    <s v="Desktop"/>
    <s v="187.216.38.130"/>
    <x v="0"/>
    <n v="62"/>
    <n v="1.53107254798556E-2"/>
    <n v="0"/>
    <n v="0"/>
    <n v="1"/>
    <n v="1"/>
    <n v="0"/>
  </r>
  <r>
    <s v="d73b1714-af22-4c77-b5d8-cf4d27d5d630"/>
    <s v="0ba11ac6-da7b-4db7-a181-6124c5b3eb6c"/>
    <d v="2025-08-01T00:00:00"/>
    <d v="1899-12-30T15:44:09"/>
    <n v="15"/>
    <n v="25"/>
    <s v="Bronze"/>
    <s v="Paris"/>
    <s v="BOUTIQUE-DUBAI"/>
    <s v="CELESTE-EYE-05"/>
    <s v="Mascara"/>
    <n v="175.7"/>
    <x v="0"/>
    <n v="0"/>
    <s v="Desktop"/>
    <s v="74.56.79.30"/>
    <x v="0"/>
    <n v="390"/>
    <n v="1.5033840290333609E-2"/>
    <n v="0"/>
    <n v="0"/>
    <n v="0"/>
    <n v="0"/>
    <n v="0"/>
  </r>
  <r>
    <s v="3a1043e2-4b7c-4ffd-9ffb-8fa5dfb86bbe"/>
    <s v="318700ea-4b4e-46be-99bb-5da84cfb4353"/>
    <d v="2025-03-04T00:00:00"/>
    <d v="1899-12-30T10:35:20"/>
    <n v="10"/>
    <n v="29"/>
    <s v="Bronze"/>
    <s v="Miami"/>
    <s v="CONCESSION-SINGAPORE"/>
    <s v="SOLAR-BLUSH-04"/>
    <s v="Mascara"/>
    <n v="175.64"/>
    <x v="0"/>
    <n v="0"/>
    <s v="Laptop"/>
    <s v="185.86.187.211"/>
    <x v="0"/>
    <n v="229"/>
    <n v="1.4203184721768031E-2"/>
    <n v="0"/>
    <n v="0"/>
    <n v="1"/>
    <n v="1"/>
    <n v="0"/>
  </r>
  <r>
    <s v="55e1a6fd-9dea-4a2f-af68-831fdb0e6c51"/>
    <s v="98c79f13-99ae-455a-9a11-f79003806e1b"/>
    <d v="2025-07-01T00:00:00"/>
    <d v="1899-12-30T18:01:45"/>
    <n v="18"/>
    <n v="31"/>
    <s v="Platinum"/>
    <s v="Geneva"/>
    <s v="FLAGSHIP-ROME"/>
    <s v="GALAXIA-SET-08"/>
    <s v="Blush"/>
    <n v="175.5"/>
    <x v="3"/>
    <n v="0"/>
    <s v="Desktop"/>
    <s v="25.35.213.213"/>
    <x v="0"/>
    <n v="64"/>
    <n v="1.2264988395115277E-2"/>
    <n v="0"/>
    <n v="0"/>
    <n v="1"/>
    <n v="1"/>
    <n v="0"/>
  </r>
  <r>
    <s v="0fb79fe9-36fb-4862-aeb9-8174cf5781fa"/>
    <s v="feb68fc1-0070-4acc-a6bd-4e581d3cc6b4"/>
    <d v="2025-05-13T00:00:00"/>
    <d v="1899-12-30T20:24:25"/>
    <n v="20"/>
    <n v="28"/>
    <s v="Bronze"/>
    <s v="New York"/>
    <s v="FLAGSHIP-ROME"/>
    <s v="STELLAR-FOUND-03"/>
    <s v="Foundation"/>
    <n v="175.41"/>
    <x v="0"/>
    <n v="0"/>
    <s v="Mobile"/>
    <s v="154.193.110.178"/>
    <x v="0"/>
    <n v="304"/>
    <n v="1.1019005042266907E-2"/>
    <n v="0"/>
    <n v="0"/>
    <n v="0"/>
    <n v="0"/>
    <n v="0"/>
  </r>
  <r>
    <s v="b57bfc74-f7fc-4b67-b680-1adffd2cf33b"/>
    <s v="1763cca3-ae06-441d-b646-056b9a5dedcf"/>
    <d v="2025-05-01T00:00:00"/>
    <d v="1899-12-30T21:03:12"/>
    <n v="21"/>
    <n v="61"/>
    <s v="Bronze"/>
    <s v="London"/>
    <s v="FLAGSHIP-LA"/>
    <s v="LUNAR-MASC-02"/>
    <s v="Eyeliner"/>
    <n v="175.23"/>
    <x v="0"/>
    <n v="0"/>
    <s v="Tablet"/>
    <s v="175.222.162.163"/>
    <x v="0"/>
    <n v="281"/>
    <n v="8.5270383365701717E-3"/>
    <n v="0"/>
    <n v="0"/>
    <n v="0"/>
    <n v="0"/>
    <n v="0"/>
  </r>
  <r>
    <s v="e3c94fa0-5038-4afe-ad3a-8edca0bb0b30"/>
    <s v="f908fbab-c828-47e9-8fac-0180d27d1747"/>
    <d v="2025-03-12T00:00:00"/>
    <d v="1899-12-30T17:40:37"/>
    <n v="17"/>
    <n v="26"/>
    <s v="Bronze"/>
    <s v="London"/>
    <s v="FLAGSHIP-PARIS"/>
    <s v="LUNAR-MASC-02"/>
    <s v="Highlighter"/>
    <n v="174.68"/>
    <x v="0"/>
    <n v="0"/>
    <s v="Mobile"/>
    <s v="158.143.140.131"/>
    <x v="0"/>
    <n v="407"/>
    <n v="9.126956247195577E-4"/>
    <n v="0"/>
    <n v="0"/>
    <n v="0"/>
    <n v="0"/>
    <n v="0"/>
  </r>
  <r>
    <s v="27103bbe-70f5-4c17-8e85-cbebf3d644b7"/>
    <s v="ad4b142e-d00b-4d44-b999-341c0595fbc6"/>
    <d v="2025-07-13T00:00:00"/>
    <d v="1899-12-30T16:56:31"/>
    <n v="16"/>
    <n v="39"/>
    <s v="Gold"/>
    <s v="Paris"/>
    <s v="FLAGSHIP-LA"/>
    <s v="CELESTE-EYE-05"/>
    <s v="Blush"/>
    <n v="174.66"/>
    <x v="1"/>
    <n v="0"/>
    <s v="Laptop"/>
    <s v="82.32.104.211"/>
    <x v="0"/>
    <n v="322"/>
    <n v="6.35810435197567E-4"/>
    <n v="0"/>
    <n v="0"/>
    <n v="0"/>
    <n v="0"/>
    <n v="0"/>
  </r>
  <r>
    <s v="1ca3672b-3662-40b9-9bfe-9a73ff1f9ffe"/>
    <s v="4f4a3c6c-8126-4528-abeb-f07cda423321"/>
    <d v="2025-07-02T00:00:00"/>
    <d v="1899-12-30T07:57:54"/>
    <n v="7"/>
    <n v="52"/>
    <s v="Silver"/>
    <s v="Cannes"/>
    <s v="BOUTIQUE-NYC"/>
    <s v="NEBULA-SERUM-07"/>
    <s v="Setting Spray"/>
    <n v="174.63"/>
    <x v="0"/>
    <n v="0"/>
    <s v="Desktop"/>
    <s v="121.142.82.87"/>
    <x v="0"/>
    <n v="252"/>
    <n v="2.2048265091477762E-4"/>
    <n v="0"/>
    <n v="0"/>
    <n v="1"/>
    <n v="1"/>
    <n v="0"/>
  </r>
  <r>
    <s v="663d8a76-1f6c-42c1-acd0-d2368d155d2b"/>
    <s v="50820871-e68a-4186-9795-cf49512e20fc"/>
    <d v="2025-02-18T00:00:00"/>
    <d v="1899-12-30T05:59:58"/>
    <n v="5"/>
    <n v="44"/>
    <s v="Gold"/>
    <s v="Monaco"/>
    <s v="POPUP-TOKYO"/>
    <s v="COSMIC-HIGHLIGHT-06"/>
    <s v="Concealer"/>
    <n v="174.39"/>
    <x v="0"/>
    <n v="0"/>
    <s v="Desktop"/>
    <s v="96.147.24.75"/>
    <x v="0"/>
    <n v="147"/>
    <n v="-3.1021396233475375E-3"/>
    <n v="0"/>
    <n v="1"/>
    <n v="1"/>
    <n v="3"/>
    <n v="0"/>
  </r>
  <r>
    <s v="20e28f6a-d73d-4a04-8e2f-65294e5fe91a"/>
    <s v="5466ceef-be1e-4bcd-8e86-5626c7d6567d"/>
    <d v="2025-06-26T00:00:00"/>
    <d v="1899-12-30T16:41:56"/>
    <n v="16"/>
    <n v="25"/>
    <s v="Bronze"/>
    <s v="Milan"/>
    <s v="FLAGSHIP-PARIS"/>
    <s v="NEBULA-SERUM-07"/>
    <s v="Eyeliner"/>
    <n v="174.35"/>
    <x v="0"/>
    <n v="0"/>
    <s v="Mobile"/>
    <s v="205.185.117.85"/>
    <x v="0"/>
    <n v="414"/>
    <n v="-3.6559100023911256E-3"/>
    <n v="0"/>
    <n v="0"/>
    <n v="0"/>
    <n v="0"/>
    <n v="0"/>
  </r>
  <r>
    <s v="3ca40516-3a96-4b5a-a181-a3b8461b7c56"/>
    <s v="b16c2f34-924f-4cdc-932c-2d9e79c34bc3"/>
    <d v="2025-06-09T00:00:00"/>
    <d v="1899-12-30T09:23:39"/>
    <n v="9"/>
    <n v="19"/>
    <s v="Platinum"/>
    <s v="Monte Carlo"/>
    <s v="POPUP-MILAN"/>
    <s v="CELESTE-EYE-05"/>
    <s v="Setting Spray"/>
    <n v="174.18"/>
    <x v="4"/>
    <n v="0"/>
    <s v="Desktop"/>
    <s v="203.1.78.134"/>
    <x v="0"/>
    <n v="192"/>
    <n v="-6.0094341133266694E-3"/>
    <n v="0"/>
    <n v="0"/>
    <n v="1"/>
    <n v="1"/>
    <n v="0"/>
  </r>
  <r>
    <s v="ae250a7c-6796-405c-928e-19e3875c97b4"/>
    <s v="d331c159-a5cc-410e-91fb-df738e1d758d"/>
    <d v="2025-04-06T00:00:00"/>
    <d v="1899-12-30T21:12:48"/>
    <n v="21"/>
    <n v="20"/>
    <s v="Bronze"/>
    <s v="Tokyo"/>
    <s v="POPUP-TOKYO"/>
    <s v="ECLIPSE-EYE-10"/>
    <s v="Eyeliner"/>
    <n v="174.18"/>
    <x v="1"/>
    <n v="0"/>
    <s v="Laptop"/>
    <s v="66.174.249.233"/>
    <x v="0"/>
    <n v="280"/>
    <n v="-6.0094341133266694E-3"/>
    <n v="0"/>
    <n v="0"/>
    <n v="0"/>
    <n v="0"/>
    <n v="0"/>
  </r>
  <r>
    <s v="67d3b683-8ea8-4e65-875a-31c5bee44959"/>
    <s v="fbd3eb19-1b21-4b64-97fd-4825f45daa1a"/>
    <d v="2025-04-03T00:00:00"/>
    <d v="1899-12-30T21:07:34"/>
    <n v="21"/>
    <n v="41"/>
    <s v="Silver"/>
    <s v="Milan"/>
    <s v="BOUTIQUE-SHANGHAI"/>
    <s v="STELLAR-FOUND-03"/>
    <s v="Serum"/>
    <n v="174.17"/>
    <x v="0"/>
    <n v="0"/>
    <s v="Laptop"/>
    <s v="49.21.175.62"/>
    <x v="0"/>
    <n v="262"/>
    <n v="-6.1478767080878618E-3"/>
    <n v="0"/>
    <n v="0"/>
    <n v="1"/>
    <n v="1"/>
    <n v="0"/>
  </r>
  <r>
    <s v="0ef18f1a-f65c-4bfb-949e-4486867d8e7e"/>
    <s v="3988686f-29e5-40a2-b18c-8fc2730c523a"/>
    <d v="2025-05-17T00:00:00"/>
    <d v="1899-12-30T20:24:14"/>
    <n v="20"/>
    <n v="34"/>
    <s v="Gold"/>
    <s v="Cannes"/>
    <s v="BOUTIQUE-DUBAI"/>
    <s v="COSMIC-HIGHLIGHT-06"/>
    <s v="Blush"/>
    <n v="174.03"/>
    <x v="3"/>
    <n v="0"/>
    <s v="Tablet"/>
    <s v="150.167.234.102"/>
    <x v="0"/>
    <n v="198"/>
    <n v="-8.0860730347406158E-3"/>
    <n v="0"/>
    <n v="0"/>
    <n v="1"/>
    <n v="1"/>
    <n v="0"/>
  </r>
  <r>
    <s v="7cf2d958-b5cc-4c4d-965d-4223633cb322"/>
    <s v="204cd9e0-15c6-4afd-b539-c5b11ecaa350"/>
    <d v="2025-04-15T00:00:00"/>
    <d v="1899-12-30T20:43:21"/>
    <n v="20"/>
    <n v="50"/>
    <s v="Gold"/>
    <s v="San Francisco"/>
    <s v="POPUP-TOKYO"/>
    <s v="AURORA-LIP-01"/>
    <s v="Lipstick"/>
    <n v="173.93"/>
    <x v="1"/>
    <n v="0"/>
    <s v="Laptop"/>
    <s v="128.46.121.62"/>
    <x v="0"/>
    <n v="171"/>
    <n v="-9.4704989823497839E-3"/>
    <n v="0"/>
    <n v="0"/>
    <n v="1"/>
    <n v="1"/>
    <n v="0"/>
  </r>
  <r>
    <s v="62fe4738-7afd-4601-9804-48fa6aa6a630"/>
    <s v="6fdf3d7c-d3e7-4cc6-8b91-c8561e857ac7"/>
    <d v="2025-03-14T00:00:00"/>
    <d v="1899-12-30T12:52:22"/>
    <n v="12"/>
    <n v="62"/>
    <s v="Gold"/>
    <s v="Las Vegas"/>
    <s v="FLAGSHIP-LA"/>
    <s v="COSMIC-HIGHLIGHT-06"/>
    <s v="Lipstick"/>
    <n v="173.89"/>
    <x v="1"/>
    <n v="0"/>
    <s v="Desktop"/>
    <s v="203.189.237.0"/>
    <x v="0"/>
    <n v="285"/>
    <n v="-1.0024269361393764E-2"/>
    <n v="0"/>
    <n v="0"/>
    <n v="0"/>
    <n v="0"/>
    <n v="0"/>
  </r>
  <r>
    <s v="172268c8-f3ea-4bf3-a106-390d339075f6"/>
    <s v="c156d813-56ae-4782-ba71-f28e66546cec"/>
    <d v="2025-06-17T00:00:00"/>
    <d v="1899-12-30T16:14:35"/>
    <n v="16"/>
    <n v="37"/>
    <s v="Silver"/>
    <s v="Paris"/>
    <s v="CONCESSION-SINGAPORE"/>
    <s v="GALAXIA-SET-08"/>
    <s v="Eyeliner"/>
    <n v="173.88"/>
    <x v="3"/>
    <n v="0"/>
    <s v="Mobile"/>
    <s v="56.96.215.85"/>
    <x v="0"/>
    <n v="151"/>
    <n v="-1.0162711956154563E-2"/>
    <n v="0"/>
    <n v="0"/>
    <n v="1"/>
    <n v="1"/>
    <n v="0"/>
  </r>
  <r>
    <s v="6bf3baa5-b9f0-4fb3-8bda-f809cee3c53e"/>
    <s v="ad3e8151-10b2-4b36-b6f0-a1091336fd7c"/>
    <d v="2025-08-12T00:00:00"/>
    <d v="1899-12-30T02:06:49"/>
    <n v="2"/>
    <n v="33"/>
    <s v="Silver"/>
    <s v="Hong Kong"/>
    <s v="FLAGSHIP-ROME"/>
    <s v="AURORA-LIP-01"/>
    <s v="Eyeshadow Palette"/>
    <n v="173.69"/>
    <x v="3"/>
    <n v="0"/>
    <s v="Desktop"/>
    <s v="214.184.241.82"/>
    <x v="0"/>
    <n v="449"/>
    <n v="-1.2793121256612099E-2"/>
    <n v="0"/>
    <n v="1"/>
    <n v="0"/>
    <n v="2"/>
    <n v="0"/>
  </r>
  <r>
    <s v="1d14a3f2-4f04-4dc6-bc54-525f58db1efb"/>
    <s v="3a3eb8a7-7baf-48c5-8e50-95905d5ea5be"/>
    <d v="2025-07-31T00:00:00"/>
    <d v="1899-12-30T04:38:57"/>
    <n v="4"/>
    <n v="59"/>
    <s v="Bronze"/>
    <s v="Miami"/>
    <s v="CONCESSION-LONDON"/>
    <s v="AURORA-LIP-01"/>
    <s v="Mascara"/>
    <n v="173.65"/>
    <x v="0"/>
    <n v="0"/>
    <s v="Desktop"/>
    <s v="237.20.68.51"/>
    <x v="1"/>
    <n v="462"/>
    <n v="-1.3346891635655686E-2"/>
    <n v="0"/>
    <n v="1"/>
    <n v="0"/>
    <n v="2"/>
    <n v="0"/>
  </r>
  <r>
    <s v="d7006c39-8051-4e48-8229-3ff3016d7e96"/>
    <s v="6cf8b79c-c0b9-4561-be02-13b269b73c9e"/>
    <d v="2025-03-31T00:00:00"/>
    <d v="1899-12-30T12:04:28"/>
    <n v="12"/>
    <n v="56"/>
    <s v="Bronze"/>
    <s v="Dubai"/>
    <s v="POPUP-TOKYO"/>
    <s v="COSMIC-HIGHLIGHT-06"/>
    <s v="Serum"/>
    <n v="173.65"/>
    <x v="4"/>
    <n v="0"/>
    <s v="Desktop"/>
    <s v="142.32.137.213"/>
    <x v="0"/>
    <n v="472"/>
    <n v="-1.3346891635655686E-2"/>
    <n v="0"/>
    <n v="0"/>
    <n v="0"/>
    <n v="0"/>
    <n v="0"/>
  </r>
  <r>
    <s v="d0c00e03-641e-4da3-9772-138bed85d596"/>
    <s v="14db9af6-6994-45d0-b7c4-da861cf67bf6"/>
    <d v="2025-03-06T00:00:00"/>
    <d v="1899-12-30T16:02:53"/>
    <n v="16"/>
    <n v="34"/>
    <s v="Gold"/>
    <s v="Cannes"/>
    <s v="FLAGSHIP-ROME"/>
    <s v="ORION-CONCEAL-09"/>
    <s v="Highlighter"/>
    <n v="173.46"/>
    <x v="3"/>
    <n v="0"/>
    <s v="Tablet"/>
    <s v="6.17.27.122"/>
    <x v="0"/>
    <n v="98"/>
    <n v="-1.5977300936113221E-2"/>
    <n v="0"/>
    <n v="0"/>
    <n v="1"/>
    <n v="1"/>
    <n v="0"/>
  </r>
  <r>
    <s v="2c8863ef-2734-49d5-901a-d6f2f5a26a59"/>
    <s v="a8cb71db-fbab-4190-bd9f-4078912e0778"/>
    <d v="2025-06-23T00:00:00"/>
    <d v="1899-12-30T12:50:45"/>
    <n v="12"/>
    <n v="25"/>
    <s v="Platinum"/>
    <s v="Monte Carlo"/>
    <s v="BOUTIQUE-SHANGHAI"/>
    <s v="NEBULA-SERUM-07"/>
    <s v="Lipstick"/>
    <n v="173.39"/>
    <x v="3"/>
    <n v="0"/>
    <s v="Desktop"/>
    <s v="99.250.157.36"/>
    <x v="0"/>
    <n v="355"/>
    <n v="-1.6946399099439992E-2"/>
    <n v="0"/>
    <n v="0"/>
    <n v="0"/>
    <n v="0"/>
    <n v="0"/>
  </r>
  <r>
    <s v="0be091f4-5bf5-4063-a24a-3dc798ffada3"/>
    <s v="cc210310-fc59-4517-bb68-116eb9059517"/>
    <d v="2025-06-19T00:00:00"/>
    <d v="1899-12-30T06:51:12"/>
    <n v="6"/>
    <n v="64"/>
    <s v="Silver"/>
    <s v="New York"/>
    <s v="FLAGSHIP-PARIS"/>
    <s v="LUNAR-MASC-02"/>
    <s v="Highlighter"/>
    <n v="173.37"/>
    <x v="2"/>
    <n v="1"/>
    <s v="Laptop"/>
    <s v="200.139.74.115"/>
    <x v="0"/>
    <n v="55"/>
    <n v="-1.7223284288961589E-2"/>
    <n v="0"/>
    <n v="0"/>
    <n v="1"/>
    <n v="3"/>
    <n v="0"/>
  </r>
  <r>
    <s v="29fee0f1-3cf6-482e-90e7-daa93d1ba944"/>
    <s v="7a7d6b8b-b5e2-4c60-844e-baf0d86769ad"/>
    <d v="2025-06-02T00:00:00"/>
    <d v="1899-12-30T08:06:08"/>
    <n v="8"/>
    <n v="39"/>
    <s v="VIP"/>
    <s v="Monaco"/>
    <s v="POPUP-TOKYO"/>
    <s v="ORION-CONCEAL-09"/>
    <s v="Eyeshadow Palette"/>
    <n v="173.31"/>
    <x v="4"/>
    <n v="0"/>
    <s v="Tablet"/>
    <s v="103.130.91.122"/>
    <x v="0"/>
    <n v="381"/>
    <n v="-1.8053939857527169E-2"/>
    <n v="0"/>
    <n v="0"/>
    <n v="0"/>
    <n v="0"/>
    <n v="0"/>
  </r>
  <r>
    <s v="5124110a-1662-4f59-a852-2cc1bb461775"/>
    <s v="720ea923-780b-4629-baa4-0406be372e49"/>
    <d v="2025-04-22T00:00:00"/>
    <d v="1899-12-30T11:05:34"/>
    <n v="11"/>
    <n v="19"/>
    <s v="Bronze"/>
    <s v="Cannes"/>
    <s v="FLAGSHIP-PARIS"/>
    <s v="ORION-CONCEAL-09"/>
    <s v="Concealer"/>
    <n v="173.02"/>
    <x v="4"/>
    <n v="0"/>
    <s v="Tablet"/>
    <s v="69.10.240.11"/>
    <x v="0"/>
    <n v="234"/>
    <n v="-2.2068775105593869E-2"/>
    <n v="0"/>
    <n v="0"/>
    <n v="1"/>
    <n v="1"/>
    <n v="0"/>
  </r>
  <r>
    <s v="d6abc13f-3b5c-406f-b75b-aa7366fe2a33"/>
    <s v="0a9a8672-5f49-4431-a654-31a706755e6a"/>
    <d v="2025-05-23T00:00:00"/>
    <d v="1899-12-30T00:49:52"/>
    <n v="0"/>
    <n v="51"/>
    <s v="Bronze"/>
    <s v="Shanghai"/>
    <s v="CONCESSION-SINGAPORE"/>
    <s v="NEBULA-SERUM-07"/>
    <s v="Highlighter"/>
    <n v="172.93"/>
    <x v="1"/>
    <n v="0"/>
    <s v="Laptop"/>
    <s v="8.108.155.75"/>
    <x v="0"/>
    <n v="134"/>
    <n v="-2.3314758458442237E-2"/>
    <n v="0"/>
    <n v="1"/>
    <n v="1"/>
    <n v="3"/>
    <n v="0"/>
  </r>
  <r>
    <s v="a38f510a-5994-430e-a4d8-4c20b63510c3"/>
    <s v="fb92a7a3-2009-4dd3-8d2c-3cfba66bdad6"/>
    <d v="2025-06-26T00:00:00"/>
    <d v="1899-12-30T07:33:43"/>
    <n v="7"/>
    <n v="46"/>
    <s v="Bronze"/>
    <s v="Monaco"/>
    <s v="BOUTIQUE-NYC"/>
    <s v="LUNAR-MASC-02"/>
    <s v="Foundation"/>
    <n v="172.59"/>
    <x v="0"/>
    <n v="0"/>
    <s v="Desktop"/>
    <s v="196.48.228.63"/>
    <x v="0"/>
    <n v="483"/>
    <n v="-2.8021806680313718E-2"/>
    <n v="0"/>
    <n v="0"/>
    <n v="0"/>
    <n v="0"/>
    <n v="0"/>
  </r>
  <r>
    <s v="43df0c9d-8500-42c6-8b72-7622efe0d5dd"/>
    <s v="0d54e5d8-b47e-4fed-8629-539dfa5074db"/>
    <d v="2025-03-23T00:00:00"/>
    <d v="1899-12-30T23:57:08"/>
    <n v="23"/>
    <n v="64"/>
    <s v="Platinum"/>
    <s v="Shanghai"/>
    <s v="FLAGSHIP-LA"/>
    <s v="AURORA-LIP-01"/>
    <s v="Eyeshadow Palette"/>
    <n v="172.59"/>
    <x v="1"/>
    <n v="0"/>
    <s v="Desktop"/>
    <s v="85.33.162.175"/>
    <x v="0"/>
    <n v="83"/>
    <n v="-2.8021806680313718E-2"/>
    <n v="0"/>
    <n v="0"/>
    <n v="1"/>
    <n v="1"/>
    <n v="0"/>
  </r>
  <r>
    <s v="d0990bae-673f-4331-b1ea-1d4580815637"/>
    <s v="d2ac6429-2c8c-4c59-849b-8819d28d4525"/>
    <d v="2025-05-27T00:00:00"/>
    <d v="1899-12-30T06:46:01"/>
    <n v="6"/>
    <n v="54"/>
    <s v="Bronze"/>
    <s v="Monaco"/>
    <s v="FLAGSHIP-PARIS"/>
    <s v="CELESTE-EYE-05"/>
    <s v="Concealer"/>
    <n v="172.43"/>
    <x v="1"/>
    <n v="0"/>
    <s v="Mobile"/>
    <s v="234.178.184.71"/>
    <x v="0"/>
    <n v="73"/>
    <n v="-3.0236888196488464E-2"/>
    <n v="0"/>
    <n v="0"/>
    <n v="1"/>
    <n v="1"/>
    <n v="0"/>
  </r>
  <r>
    <s v="f066a3c0-75b8-41e6-b26d-a67f214b1e1f"/>
    <s v="ba4b155f-c42c-4dfc-a4c0-e7cc2f6c7a3b"/>
    <d v="2025-07-25T00:00:00"/>
    <d v="1899-12-30T21:48:03"/>
    <n v="21"/>
    <n v="22"/>
    <s v="Bronze"/>
    <s v="Sydney"/>
    <s v="BOUTIQUE-NYC"/>
    <s v="NEBULA-SERUM-07"/>
    <s v="Lipstick"/>
    <n v="172.32"/>
    <x v="4"/>
    <n v="0"/>
    <s v="Desktop"/>
    <s v="191.33.65.132"/>
    <x v="0"/>
    <n v="494"/>
    <n v="-3.1759756738858821E-2"/>
    <n v="0"/>
    <n v="0"/>
    <n v="0"/>
    <n v="0"/>
    <n v="0"/>
  </r>
  <r>
    <s v="b6cb8a69-20bc-4ac3-a079-828ee5b8c858"/>
    <s v="a95c07b3-16d2-4123-b269-b60725a67aba"/>
    <d v="2025-03-07T00:00:00"/>
    <d v="1899-12-30T15:56:08"/>
    <n v="15"/>
    <n v="54"/>
    <s v="Silver"/>
    <s v="Shanghai"/>
    <s v="CONCESSION-SINGAPORE"/>
    <s v="GALAXIA-SET-08"/>
    <s v="Serum"/>
    <n v="172.18"/>
    <x v="4"/>
    <n v="0"/>
    <s v="Desktop"/>
    <s v="32.12.207.255"/>
    <x v="0"/>
    <n v="383"/>
    <n v="-3.3697953065511578E-2"/>
    <n v="0"/>
    <n v="0"/>
    <n v="0"/>
    <n v="0"/>
    <n v="0"/>
  </r>
  <r>
    <s v="d602dce9-267c-4b01-96ec-dc16f80840db"/>
    <s v="5bc8f82a-f0ed-4ba6-a88a-c14f730c2ec9"/>
    <d v="2025-06-09T00:00:00"/>
    <d v="1899-12-30T05:54:36"/>
    <n v="5"/>
    <n v="26"/>
    <s v="Bronze"/>
    <s v="Miami"/>
    <s v="BOUTIQUE-DUBAI"/>
    <s v="ECLIPSE-EYE-10"/>
    <s v="Concealer"/>
    <n v="172.18"/>
    <x v="1"/>
    <n v="0"/>
    <s v="Tablet"/>
    <s v="254.98.74.218"/>
    <x v="0"/>
    <n v="409"/>
    <n v="-3.3697953065511578E-2"/>
    <n v="0"/>
    <n v="1"/>
    <n v="0"/>
    <n v="2"/>
    <n v="0"/>
  </r>
  <r>
    <s v="8470e421-7756-4c17-9a80-6e6f7b0ed609"/>
    <s v="cf53cab3-7f3c-4f12-8614-59858f929dbd"/>
    <d v="2025-02-14T00:00:00"/>
    <d v="1899-12-30T03:35:16"/>
    <n v="3"/>
    <n v="57"/>
    <s v="Bronze"/>
    <s v="Tokyo"/>
    <s v="POPUP-TOKYO"/>
    <s v="ECLIPSE-EYE-10"/>
    <s v="Foundation"/>
    <n v="172.11"/>
    <x v="4"/>
    <n v="0"/>
    <s v="Tablet"/>
    <s v="185.172.227.6"/>
    <x v="0"/>
    <n v="434"/>
    <n v="-3.4667051228837953E-2"/>
    <n v="0"/>
    <n v="1"/>
    <n v="0"/>
    <n v="2"/>
    <n v="0"/>
  </r>
  <r>
    <s v="873c4a76-bc07-4af1-8bf1-69db22059a52"/>
    <s v="1f2b7666-45c0-4ebd-a232-7ac2009c1e7d"/>
    <d v="2025-06-02T00:00:00"/>
    <d v="1899-12-30T15:20:59"/>
    <n v="15"/>
    <n v="20"/>
    <s v="Platinum"/>
    <s v="Zurich"/>
    <s v="FLAGSHIP-PARIS"/>
    <s v="NEBULA-SERUM-07"/>
    <s v="Concealer"/>
    <n v="171.26"/>
    <x v="4"/>
    <n v="0"/>
    <s v="Desktop"/>
    <s v="96.6.145.176"/>
    <x v="0"/>
    <n v="450"/>
    <n v="-4.6434671783516859E-2"/>
    <n v="0"/>
    <n v="0"/>
    <n v="0"/>
    <n v="0"/>
    <n v="0"/>
  </r>
  <r>
    <s v="03b84c33-9dd5-4f61-9b82-dab0009cd135"/>
    <s v="a90485f6-33b2-47d2-b5a1-c193cc08c3e6"/>
    <d v="2025-03-21T00:00:00"/>
    <d v="1899-12-30T14:55:39"/>
    <n v="14"/>
    <n v="26"/>
    <s v="Bronze"/>
    <s v="Singapore"/>
    <s v="FLAGSHIP-LA"/>
    <s v="LUNAR-MASC-02"/>
    <s v="Foundation"/>
    <n v="170.81"/>
    <x v="4"/>
    <n v="0"/>
    <s v="Tablet"/>
    <s v="17.187.218.13"/>
    <x v="0"/>
    <n v="408"/>
    <n v="-5.2664588547758302E-2"/>
    <n v="0"/>
    <n v="0"/>
    <n v="0"/>
    <n v="0"/>
    <n v="0"/>
  </r>
  <r>
    <s v="8a7ded0f-3a66-404e-9724-6343fdb49e4b"/>
    <s v="fdbaa5c5-84ab-4357-b3d3-022bf7ffb76d"/>
    <d v="2025-05-22T00:00:00"/>
    <d v="1899-12-30T12:15:16"/>
    <n v="12"/>
    <n v="35"/>
    <s v="Bronze"/>
    <s v="Tokyo"/>
    <s v="FLAGSHIP-LA"/>
    <s v="AURORA-LIP-01"/>
    <s v="Highlighter"/>
    <n v="170.52"/>
    <x v="1"/>
    <n v="0"/>
    <s v="Tablet"/>
    <s v="234.33.156.58"/>
    <x v="0"/>
    <n v="218"/>
    <n v="-5.6679423795825003E-2"/>
    <n v="0"/>
    <n v="0"/>
    <n v="1"/>
    <n v="1"/>
    <n v="0"/>
  </r>
  <r>
    <s v="a2c9a3f2-923f-4d65-82c3-15adb16304cb"/>
    <s v="640e6453-dbd9-47b4-a118-926ec38d952b"/>
    <d v="2025-07-01T00:00:00"/>
    <d v="1899-12-30T17:59:59"/>
    <n v="17"/>
    <n v="47"/>
    <s v="Bronze"/>
    <s v="Shanghai"/>
    <s v="FLAGSHIP-PARIS"/>
    <s v="NEBULA-SERUM-07"/>
    <s v="Blush"/>
    <n v="170.47"/>
    <x v="3"/>
    <n v="0"/>
    <s v="Mobile"/>
    <s v="166.46.8.245"/>
    <x v="0"/>
    <n v="289"/>
    <n v="-5.7371636769629787E-2"/>
    <n v="0"/>
    <n v="0"/>
    <n v="0"/>
    <n v="0"/>
    <n v="0"/>
  </r>
  <r>
    <s v="c4a689fd-8a6d-4575-8cfd-83791f7a403b"/>
    <s v="7dd62680-2d06-447e-b838-4f6a502ff9a6"/>
    <d v="2025-08-01T00:00:00"/>
    <d v="1899-12-30T01:48:00"/>
    <n v="1"/>
    <n v="45"/>
    <s v="Bronze"/>
    <s v="London"/>
    <s v="CONCESSION-LONDON"/>
    <s v="NEBULA-SERUM-07"/>
    <s v="Foundation"/>
    <n v="170.44"/>
    <x v="4"/>
    <n v="0"/>
    <s v="Desktop"/>
    <s v="232.62.121.226"/>
    <x v="0"/>
    <n v="359"/>
    <n v="-5.7786964553912579E-2"/>
    <n v="0"/>
    <n v="1"/>
    <n v="0"/>
    <n v="2"/>
    <n v="0"/>
  </r>
  <r>
    <s v="37f78e30-8a96-4769-9c4f-a21e78f4a524"/>
    <s v="654c5b65-dfe5-4993-b7d7-8903535b3aed"/>
    <d v="2025-03-31T00:00:00"/>
    <d v="1899-12-30T04:40:19"/>
    <n v="4"/>
    <n v="62"/>
    <s v="Bronze"/>
    <s v="San Francisco"/>
    <s v="BOUTIQUE-DUBAI"/>
    <s v="STELLAR-FOUND-03"/>
    <s v="Setting Spray"/>
    <n v="170.38"/>
    <x v="1"/>
    <n v="0"/>
    <s v="Mobile"/>
    <s v="10.249.204.248"/>
    <x v="0"/>
    <n v="141"/>
    <n v="-5.8617620122478155E-2"/>
    <n v="0"/>
    <n v="1"/>
    <n v="1"/>
    <n v="3"/>
    <n v="0"/>
  </r>
  <r>
    <s v="2ff2d695-8853-4e46-bcf3-94d4cc30eac1"/>
    <s v="62a1f996-ff96-47cd-aacb-1752f90e3570"/>
    <d v="2025-05-14T00:00:00"/>
    <d v="1899-12-30T11:30:06"/>
    <n v="11"/>
    <n v="47"/>
    <s v="Gold"/>
    <s v="London"/>
    <s v="BOUTIQUE-SHANGHAI"/>
    <s v="GALAXIA-SET-08"/>
    <s v="Mascara"/>
    <n v="170.25"/>
    <x v="4"/>
    <n v="0"/>
    <s v="Laptop"/>
    <s v="214.242.174.146"/>
    <x v="0"/>
    <n v="400"/>
    <n v="-6.0417373854370113E-2"/>
    <n v="0"/>
    <n v="0"/>
    <n v="0"/>
    <n v="0"/>
    <n v="0"/>
  </r>
  <r>
    <s v="907cc291-1202-43d8-b417-8dc8d6ad811d"/>
    <s v="c9c21a9b-f1c4-4830-9a03-35d76359bd47"/>
    <d v="2025-07-16T00:00:00"/>
    <d v="1899-12-30T06:28:37"/>
    <n v="6"/>
    <n v="33"/>
    <s v="Silver"/>
    <s v="Rome"/>
    <s v="CONCESSION-LONDON"/>
    <s v="AURORA-LIP-01"/>
    <s v="Eyeliner"/>
    <n v="170.19"/>
    <x v="0"/>
    <n v="0"/>
    <s v="Mobile"/>
    <s v="22.18.171.199"/>
    <x v="0"/>
    <n v="301"/>
    <n v="-6.1248029422935689E-2"/>
    <n v="0"/>
    <n v="0"/>
    <n v="0"/>
    <n v="0"/>
    <n v="0"/>
  </r>
  <r>
    <s v="699493f7-4610-496f-8d0d-9bd2abe6ded0"/>
    <s v="21a93218-cb49-427f-887f-205a29778e5e"/>
    <d v="2025-02-27T00:00:00"/>
    <d v="1899-12-30T22:25:47"/>
    <n v="22"/>
    <n v="64"/>
    <s v="Unknown"/>
    <s v="Las Vegas"/>
    <s v="POPUP-MILAN"/>
    <s v="GALAXIA-SET-08"/>
    <s v="Highlighter"/>
    <n v="170.16"/>
    <x v="4"/>
    <n v="0"/>
    <s v="Tablet"/>
    <s v="85.124.185.118"/>
    <x v="0"/>
    <n v="476"/>
    <n v="-6.166335720721848E-2"/>
    <n v="0"/>
    <n v="0"/>
    <n v="0"/>
    <n v="0"/>
    <n v="0"/>
  </r>
  <r>
    <s v="c135894a-affe-46bb-af53-c3c3a54cf8ae"/>
    <s v="fae7df7e-249b-4bae-9e90-287ee9209043"/>
    <d v="2025-04-14T00:00:00"/>
    <d v="1899-12-30T20:42:29"/>
    <n v="20"/>
    <n v="43"/>
    <s v="Bronze"/>
    <s v="Monaco"/>
    <s v="FLAGSHIP-ROME"/>
    <s v="GALAXIA-SET-08"/>
    <s v="Eyeliner"/>
    <n v="169.89"/>
    <x v="0"/>
    <n v="0"/>
    <s v="Tablet"/>
    <s v="171.148.215.108"/>
    <x v="0"/>
    <n v="415"/>
    <n v="-6.5401307265763584E-2"/>
    <n v="0"/>
    <n v="0"/>
    <n v="0"/>
    <n v="0"/>
    <n v="0"/>
  </r>
  <r>
    <s v="7ac725e7-8a73-444b-bf5d-6bfd7cf5e177"/>
    <s v="2d62b2d9-ddab-423d-b867-18f84d853a74"/>
    <d v="2025-02-28T00:00:00"/>
    <d v="1899-12-30T16:21:42"/>
    <n v="16"/>
    <n v="29"/>
    <s v="Gold"/>
    <s v="Miami"/>
    <s v="FLAGSHIP-ROME"/>
    <s v="NEBULA-SERUM-07"/>
    <s v="Setting Spray"/>
    <n v="169.88"/>
    <x v="0"/>
    <n v="0"/>
    <s v="Tablet"/>
    <s v="213.20.186.204"/>
    <x v="0"/>
    <n v="394"/>
    <n v="-6.5539749860524382E-2"/>
    <n v="0"/>
    <n v="0"/>
    <n v="0"/>
    <n v="0"/>
    <n v="0"/>
  </r>
  <r>
    <s v="9e5168cc-8a6e-4e76-b36c-ae29be7a7c14"/>
    <s v="706f3632-548c-48e8-9e15-9f059673ba3d"/>
    <d v="2025-02-26T00:00:00"/>
    <d v="1899-12-30T17:32:48"/>
    <n v="17"/>
    <n v="52"/>
    <s v="Silver"/>
    <s v="Shanghai"/>
    <s v="CONCESSION-SINGAPORE"/>
    <s v="ECLIPSE-EYE-10"/>
    <s v="Eyeliner"/>
    <n v="169.87"/>
    <x v="4"/>
    <n v="0"/>
    <s v="Laptop"/>
    <s v="42.195.239.121"/>
    <x v="0"/>
    <n v="387"/>
    <n v="-6.5678192455285181E-2"/>
    <n v="0"/>
    <n v="0"/>
    <n v="0"/>
    <n v="0"/>
    <n v="0"/>
  </r>
  <r>
    <s v="4063164c-ba02-4328-9aab-2bb4090786d9"/>
    <s v="24cffcc2-4a4a-4174-837e-deccbf814716"/>
    <d v="2025-02-27T00:00:00"/>
    <d v="1899-12-30T14:56:15"/>
    <n v="14"/>
    <n v="26"/>
    <s v="Bronze"/>
    <s v="Sydney"/>
    <s v="FLAGSHIP-ROME"/>
    <s v="ORION-CONCEAL-09"/>
    <s v="Eyeliner"/>
    <n v="169.32"/>
    <x v="1"/>
    <n v="0"/>
    <s v="Mobile"/>
    <s v="250.234.56.61"/>
    <x v="0"/>
    <n v="450"/>
    <n v="-7.3292535167136186E-2"/>
    <n v="0"/>
    <n v="0"/>
    <n v="0"/>
    <n v="0"/>
    <n v="0"/>
  </r>
  <r>
    <s v="1a8d4240-0561-4617-b693-55ffb7a47411"/>
    <s v="251dc952-95c1-4316-aefc-6381afe31601"/>
    <d v="2025-07-05T00:00:00"/>
    <d v="1899-12-30T08:35:19"/>
    <n v="8"/>
    <n v="30"/>
    <s v="Bronze"/>
    <s v="Shanghai"/>
    <s v="POPUP-TOKYO"/>
    <s v="CELESTE-EYE-05"/>
    <s v="Eyeliner"/>
    <n v="169.29"/>
    <x v="4"/>
    <n v="0"/>
    <s v="Tablet"/>
    <s v="11.240.17.217"/>
    <x v="0"/>
    <n v="252"/>
    <n v="-7.370786295141897E-2"/>
    <n v="0"/>
    <n v="0"/>
    <n v="1"/>
    <n v="1"/>
    <n v="0"/>
  </r>
  <r>
    <s v="8d586d93-a2f4-4498-8b35-e288ff098280"/>
    <s v="2734eaae-d047-44f8-92a3-9428b45d36fb"/>
    <d v="2025-04-10T00:00:00"/>
    <d v="1899-12-30T13:51:18"/>
    <n v="13"/>
    <n v="20"/>
    <s v="Bronze"/>
    <s v="Monte Carlo"/>
    <s v="FLAGSHIP-PARIS"/>
    <s v="STELLAR-FOUND-03"/>
    <s v="Mascara"/>
    <n v="169.18"/>
    <x v="1"/>
    <n v="0"/>
    <s v="Mobile"/>
    <s v="46.151.132.225"/>
    <x v="0"/>
    <n v="171"/>
    <n v="-7.5230731493788949E-2"/>
    <n v="0"/>
    <n v="0"/>
    <n v="1"/>
    <n v="1"/>
    <n v="0"/>
  </r>
  <r>
    <s v="8fef42af-8ba5-48ec-a4f9-247683585191"/>
    <s v="ac49340a-467a-4ecf-80be-9e14a09da549"/>
    <d v="2025-08-10T00:00:00"/>
    <d v="1899-12-30T18:41:48"/>
    <n v="18"/>
    <n v="20"/>
    <s v="Bronze"/>
    <s v="New York"/>
    <s v="BOUTIQUE-DUBAI"/>
    <s v="AURORA-LIP-01"/>
    <s v="Eyeshadow Palette"/>
    <n v="168.77"/>
    <x v="1"/>
    <n v="0"/>
    <s v="Laptop"/>
    <s v="162.110.253.149"/>
    <x v="0"/>
    <n v="193"/>
    <n v="-8.0906877878986802E-2"/>
    <n v="0"/>
    <n v="0"/>
    <n v="1"/>
    <n v="1"/>
    <n v="0"/>
  </r>
  <r>
    <s v="32bc9498-85a3-4653-849b-90469598ffce"/>
    <s v="c10c84a2-1cb1-48a0-9ed5-cca203ec8e41"/>
    <d v="2025-07-14T00:00:00"/>
    <d v="1899-12-30T15:50:49"/>
    <n v="15"/>
    <n v="26"/>
    <s v="Platinum"/>
    <s v="Shanghai"/>
    <s v="BOUTIQUE-NYC"/>
    <s v="STELLAR-FOUND-03"/>
    <s v="Blush"/>
    <n v="168.54"/>
    <x v="0"/>
    <n v="0"/>
    <s v="Laptop"/>
    <s v="105.29.40.141"/>
    <x v="0"/>
    <n v="256"/>
    <n v="-8.4091057558488322E-2"/>
    <n v="0"/>
    <n v="0"/>
    <n v="1"/>
    <n v="1"/>
    <n v="0"/>
  </r>
  <r>
    <s v="c1f36607-ef1b-4130-92c0-8da20b81622a"/>
    <s v="68c76278-e9f6-4dfb-ae67-2e3459f7f447"/>
    <d v="2025-05-03T00:00:00"/>
    <d v="1899-12-30T21:18:19"/>
    <n v="21"/>
    <n v="43"/>
    <s v="Silver"/>
    <s v="San Francisco"/>
    <s v="FLAGSHIP-LA"/>
    <s v="SOLAR-BLUSH-04"/>
    <s v="Eyeshadow Palette"/>
    <n v="168.36"/>
    <x v="1"/>
    <n v="0"/>
    <s v="Tablet"/>
    <s v="152.222.76.206"/>
    <x v="0"/>
    <n v="148"/>
    <n v="-8.6583024264184655E-2"/>
    <n v="0"/>
    <n v="0"/>
    <n v="1"/>
    <n v="1"/>
    <n v="0"/>
  </r>
  <r>
    <s v="ab6c66bd-d011-4814-9568-13664a617488"/>
    <s v="3a7bcb2d-a88c-46a9-84a7-bb15f461e6f4"/>
    <d v="2025-02-23T00:00:00"/>
    <d v="1899-12-30T23:40:31"/>
    <n v="23"/>
    <n v="41"/>
    <s v="Gold"/>
    <s v="Rome"/>
    <s v="CONCESSION-LONDON"/>
    <s v="ECLIPSE-EYE-10"/>
    <s v="Highlighter"/>
    <n v="168.05"/>
    <x v="0"/>
    <n v="0"/>
    <s v="Mobile"/>
    <s v="119.129.181.130"/>
    <x v="0"/>
    <n v="126"/>
    <n v="-9.0874744701773355E-2"/>
    <n v="0"/>
    <n v="0"/>
    <n v="1"/>
    <n v="1"/>
    <n v="0"/>
  </r>
  <r>
    <s v="84feb3b1-a0fc-46e4-8691-d71bf31807c6"/>
    <s v="3b36a3f5-6c6e-41b2-a20a-f2be7da8edfa"/>
    <d v="2025-04-19T00:00:00"/>
    <d v="1899-12-30T16:00:24"/>
    <n v="16"/>
    <n v="52"/>
    <s v="Silver"/>
    <s v="Miami"/>
    <s v="FLAGSHIP-LA"/>
    <s v="AURORA-LIP-01"/>
    <s v="Eyeliner"/>
    <n v="167.83"/>
    <x v="3"/>
    <n v="0"/>
    <s v="Tablet"/>
    <s v="131.39.121.104"/>
    <x v="0"/>
    <n v="219"/>
    <n v="-9.3920481786513674E-2"/>
    <n v="0"/>
    <n v="0"/>
    <n v="1"/>
    <n v="1"/>
    <n v="0"/>
  </r>
  <r>
    <s v="13c23352-cb15-488b-8c3b-f7cf003490a9"/>
    <s v="efbe5cfd-3fe4-4613-916a-71f009a08ae6"/>
    <d v="2025-03-25T00:00:00"/>
    <d v="1899-12-30T13:27:44"/>
    <n v="13"/>
    <n v="62"/>
    <s v="Platinum"/>
    <s v="London"/>
    <s v="POPUP-TOKYO"/>
    <s v="SOLAR-BLUSH-04"/>
    <s v="Eyeliner"/>
    <n v="167.65"/>
    <x v="0"/>
    <n v="0"/>
    <s v="Laptop"/>
    <s v="224.64.250.107"/>
    <x v="0"/>
    <n v="367"/>
    <n v="-9.6412448492210409E-2"/>
    <n v="0"/>
    <n v="0"/>
    <n v="0"/>
    <n v="0"/>
    <n v="0"/>
  </r>
  <r>
    <s v="b885404b-0ecc-49c6-a990-c926ac74b9ab"/>
    <s v="499fd1bc-a1f9-433b-a7a2-b20ee66b22e3"/>
    <d v="2025-05-04T00:00:00"/>
    <d v="1899-12-30T00:16:41"/>
    <n v="0"/>
    <n v="41"/>
    <s v="Silver"/>
    <s v="Shanghai"/>
    <s v="POPUP-TOKYO"/>
    <s v="ECLIPSE-EYE-10"/>
    <s v="Foundation"/>
    <n v="167.57"/>
    <x v="1"/>
    <n v="0"/>
    <s v="Tablet"/>
    <s v="78.243.171.33"/>
    <x v="0"/>
    <n v="255"/>
    <n v="-9.7519989250297978E-2"/>
    <n v="0"/>
    <n v="1"/>
    <n v="1"/>
    <n v="3"/>
    <n v="0"/>
  </r>
  <r>
    <s v="5fcc2c2b-d2ed-4886-98cd-7cfa0beb156e"/>
    <s v="791d65de-da98-4ef1-abf5-010c010fb824"/>
    <d v="2025-07-02T00:00:00"/>
    <d v="1899-12-30T17:43:11"/>
    <n v="17"/>
    <n v="56"/>
    <s v="Bronze"/>
    <s v="San Francisco"/>
    <s v="FLAGSHIP-PARIS"/>
    <s v="CELESTE-EYE-05"/>
    <s v="Serum"/>
    <n v="167.56"/>
    <x v="0"/>
    <n v="0"/>
    <s v="Mobile"/>
    <s v="62.189.190.87"/>
    <x v="0"/>
    <n v="56"/>
    <n v="-9.7658431845058777E-2"/>
    <n v="0"/>
    <n v="0"/>
    <n v="1"/>
    <n v="1"/>
    <n v="0"/>
  </r>
  <r>
    <s v="3fd34bea-2bde-4b86-b6f6-47cca0d43402"/>
    <s v="afe597a2-3f60-4c95-9fe8-4aaf609f8fe3"/>
    <d v="2025-05-14T00:00:00"/>
    <d v="1899-12-30T11:25:11"/>
    <n v="11"/>
    <n v="37"/>
    <s v="Gold"/>
    <s v="Geneva"/>
    <s v="CONCESSION-SINGAPORE"/>
    <s v="SOLAR-BLUSH-04"/>
    <s v="Highlighter"/>
    <n v="167.51"/>
    <x v="3"/>
    <n v="0"/>
    <s v="Tablet"/>
    <s v="77.211.26.102"/>
    <x v="0"/>
    <n v="380"/>
    <n v="-9.8350644818863561E-2"/>
    <n v="0"/>
    <n v="0"/>
    <n v="0"/>
    <n v="0"/>
    <n v="0"/>
  </r>
  <r>
    <s v="02bd4788-9af8-4d20-ac4e-1bae9808bdcc"/>
    <s v="d1dc8f05-7690-4bf4-8859-0af9bf03c911"/>
    <d v="2025-07-18T00:00:00"/>
    <d v="1899-12-30T03:30:03"/>
    <n v="3"/>
    <n v="61"/>
    <s v="VIP"/>
    <s v="Monaco"/>
    <s v="FLAGSHIP-ROME"/>
    <s v="GALAXIA-SET-08"/>
    <s v="Eyeshadow Palette"/>
    <n v="167.45"/>
    <x v="3"/>
    <n v="0"/>
    <s v="Mobile"/>
    <s v="37.36.218.125"/>
    <x v="0"/>
    <n v="58"/>
    <n v="-9.9181300387429144E-2"/>
    <n v="0"/>
    <n v="1"/>
    <n v="1"/>
    <n v="3"/>
    <n v="0"/>
  </r>
  <r>
    <s v="39d607b4-33e5-4201-89fb-233f5955b70d"/>
    <s v="d5b6d12f-4ffc-471a-9db7-7e77915a1e73"/>
    <d v="2025-06-18T00:00:00"/>
    <d v="1899-12-30T00:02:15"/>
    <n v="0"/>
    <n v="64"/>
    <s v="Bronze"/>
    <s v="San Francisco"/>
    <s v="BOUTIQUE-DUBAI"/>
    <s v="GALAXIA-SET-08"/>
    <s v="Lipstick"/>
    <n v="167.13"/>
    <x v="1"/>
    <n v="0"/>
    <s v="Desktop"/>
    <s v="254.138.119.111"/>
    <x v="1"/>
    <n v="333"/>
    <n v="-0.10361146341977863"/>
    <n v="0"/>
    <n v="1"/>
    <n v="0"/>
    <n v="2"/>
    <n v="0"/>
  </r>
  <r>
    <s v="239cd3f2-e110-4cab-88ec-17a0590d3690"/>
    <s v="eb5e5b21-8dc8-446a-8470-2cc1b92a4b30"/>
    <d v="2025-04-28T00:00:00"/>
    <d v="1899-12-30T16:07:00"/>
    <n v="16"/>
    <n v="54"/>
    <s v="Bronze"/>
    <s v="Tokyo"/>
    <s v="FLAGSHIP-PARIS"/>
    <s v="GALAXIA-SET-08"/>
    <s v="Concealer"/>
    <n v="167.05"/>
    <x v="0"/>
    <n v="0"/>
    <s v="Laptop"/>
    <s v="73.133.55.61"/>
    <x v="0"/>
    <n v="152"/>
    <n v="-0.10471900417786581"/>
    <n v="0"/>
    <n v="0"/>
    <n v="1"/>
    <n v="1"/>
    <n v="0"/>
  </r>
  <r>
    <s v="19e4c2e0-be94-42c1-bbb9-19e46daa3f15"/>
    <s v="86e4c27b-e31b-4bc2-8fa2-1d5f7cc41842"/>
    <d v="2025-06-10T00:00:00"/>
    <d v="1899-12-30T07:57:41"/>
    <n v="7"/>
    <n v="56"/>
    <s v="Bronze"/>
    <s v="Cannes"/>
    <s v="FLAGSHIP-LA"/>
    <s v="GALAXIA-SET-08"/>
    <s v="Foundation"/>
    <n v="167.03"/>
    <x v="2"/>
    <n v="1"/>
    <s v="Mobile"/>
    <s v="148.136.122.33"/>
    <x v="0"/>
    <n v="485"/>
    <n v="-0.1049958893673878"/>
    <n v="0"/>
    <n v="0"/>
    <n v="0"/>
    <n v="2"/>
    <n v="0"/>
  </r>
  <r>
    <s v="4cd07b1c-9fa8-4839-b955-56282806c016"/>
    <s v="812bd525-ad5a-4b1d-b924-86ae7ee54933"/>
    <d v="2025-06-11T00:00:00"/>
    <d v="1899-12-30T09:37:21"/>
    <n v="9"/>
    <n v="24"/>
    <s v="Silver"/>
    <s v="Milan"/>
    <s v="POPUP-MILAN"/>
    <s v="GALAXIA-SET-08"/>
    <s v="Serum"/>
    <n v="167"/>
    <x v="4"/>
    <n v="0"/>
    <s v="Desktop"/>
    <s v="107.243.64.105"/>
    <x v="0"/>
    <n v="222"/>
    <n v="-0.10541121715167059"/>
    <n v="0"/>
    <n v="0"/>
    <n v="1"/>
    <n v="1"/>
    <n v="0"/>
  </r>
  <r>
    <s v="1a0e7475-fa50-4146-9e62-8bd89ccbbc4a"/>
    <s v="dde780f7-b6bf-416b-a0bf-c78fc54da8e0"/>
    <d v="2025-06-28T00:00:00"/>
    <d v="1899-12-30T07:45:18"/>
    <n v="7"/>
    <n v="41"/>
    <s v="Gold"/>
    <s v="Zurich"/>
    <s v="FLAGSHIP-ROME"/>
    <s v="ECLIPSE-EYE-10"/>
    <s v="Serum"/>
    <n v="166.98"/>
    <x v="3"/>
    <n v="0"/>
    <s v="Desktop"/>
    <s v="207.208.195.242"/>
    <x v="0"/>
    <n v="170"/>
    <n v="-0.10568810234119258"/>
    <n v="0"/>
    <n v="0"/>
    <n v="1"/>
    <n v="1"/>
    <n v="0"/>
  </r>
  <r>
    <s v="a8162d4b-f7e5-4e6c-a317-e9e1e0b8c0a0"/>
    <s v="32fb2856-f390-46e1-912f-ecd502be39ce"/>
    <d v="2025-04-10T00:00:00"/>
    <d v="1899-12-30T12:22:37"/>
    <n v="12"/>
    <n v="26"/>
    <s v="Silver"/>
    <s v="Cannes"/>
    <s v="FLAGSHIP-LA"/>
    <s v="LUNAR-MASC-02"/>
    <s v="Serum"/>
    <n v="166.97"/>
    <x v="0"/>
    <n v="0"/>
    <s v="Laptop"/>
    <s v="230.160.32.225"/>
    <x v="0"/>
    <n v="202"/>
    <n v="-0.10582654493595338"/>
    <n v="0"/>
    <n v="0"/>
    <n v="1"/>
    <n v="1"/>
    <n v="0"/>
  </r>
  <r>
    <s v="1a7a1976-8e32-43fb-aa38-9787630d16ad"/>
    <s v="190386f2-b788-48d8-8dc5-c4fa8f9e3015"/>
    <d v="2025-06-16T00:00:00"/>
    <d v="1899-12-30T22:00:10"/>
    <n v="22"/>
    <n v="49"/>
    <s v="VIP"/>
    <s v="Milan"/>
    <s v="CONCESSION-SINGAPORE"/>
    <s v="ECLIPSE-EYE-10"/>
    <s v="Eyeliner"/>
    <n v="166.7"/>
    <x v="4"/>
    <n v="0"/>
    <s v="Desktop"/>
    <s v="202.141.116.50"/>
    <x v="0"/>
    <n v="496"/>
    <n v="-0.10956449499449848"/>
    <n v="0"/>
    <n v="0"/>
    <n v="0"/>
    <n v="0"/>
    <n v="0"/>
  </r>
  <r>
    <s v="abb472ab-aa20-4dc3-b5b3-3ce9b08b5831"/>
    <s v="88dc1e9e-1080-4994-bb95-4d8033a84e6c"/>
    <d v="2025-07-30T00:00:00"/>
    <d v="1899-12-30T18:15:14"/>
    <n v="18"/>
    <n v="56"/>
    <s v="Bronze"/>
    <s v="Singapore"/>
    <s v="POPUP-MILAN"/>
    <s v="ORION-CONCEAL-09"/>
    <s v="Highlighter"/>
    <n v="166.68"/>
    <x v="0"/>
    <n v="0"/>
    <s v="Tablet"/>
    <s v="88.115.158.105"/>
    <x v="0"/>
    <n v="179"/>
    <n v="-0.10984138018402008"/>
    <n v="0"/>
    <n v="0"/>
    <n v="1"/>
    <n v="1"/>
    <n v="0"/>
  </r>
  <r>
    <s v="fdfe24cd-65bc-49e5-8976-f0a8b0d88084"/>
    <s v="e9555ef1-5818-48e0-ab26-966014267011"/>
    <d v="2025-06-22T00:00:00"/>
    <d v="1899-12-30T10:50:30"/>
    <n v="10"/>
    <n v="49"/>
    <s v="Silver"/>
    <s v="San Francisco"/>
    <s v="BOUTIQUE-DUBAI"/>
    <s v="CELESTE-EYE-05"/>
    <s v="Concealer"/>
    <n v="166.66"/>
    <x v="4"/>
    <n v="0"/>
    <s v="Mobile"/>
    <s v="244.168.34.138"/>
    <x v="0"/>
    <n v="140"/>
    <n v="-0.11011826537354207"/>
    <n v="0"/>
    <n v="0"/>
    <n v="1"/>
    <n v="1"/>
    <n v="0"/>
  </r>
  <r>
    <s v="42bb3178-292e-4782-a52f-12980ab6c1ca"/>
    <s v="27dfddcd-202f-4f3c-9c78-3b5060ad68c2"/>
    <d v="2025-05-10T00:00:00"/>
    <d v="1899-12-30T12:28:04"/>
    <n v="12"/>
    <n v="39"/>
    <s v="VIP"/>
    <s v="New York"/>
    <s v="BOUTIQUE-NYC"/>
    <s v="AURORA-LIP-01"/>
    <s v="Eyeliner"/>
    <n v="166.58"/>
    <x v="4"/>
    <n v="0"/>
    <s v="Laptop"/>
    <s v="54.235.168.8"/>
    <x v="0"/>
    <n v="150"/>
    <n v="-0.11122580613162925"/>
    <n v="0"/>
    <n v="0"/>
    <n v="1"/>
    <n v="1"/>
    <n v="0"/>
  </r>
  <r>
    <s v="548676fc-00c9-4a1f-ad5e-1d8dc5f41c9d"/>
    <s v="c2591c7c-3ca8-4cab-9158-86e1768c652c"/>
    <d v="2025-03-04T00:00:00"/>
    <d v="1899-12-30T10:35:36"/>
    <n v="10"/>
    <n v="36"/>
    <s v="Platinum"/>
    <s v="San Francisco"/>
    <s v="FLAGSHIP-PARIS"/>
    <s v="AURORA-LIP-01"/>
    <s v="Blush"/>
    <n v="166.49"/>
    <x v="1"/>
    <n v="0"/>
    <s v="Mobile"/>
    <s v="51.202.56.142"/>
    <x v="0"/>
    <n v="307"/>
    <n v="-0.11247178948447761"/>
    <n v="0"/>
    <n v="0"/>
    <n v="0"/>
    <n v="0"/>
    <n v="0"/>
  </r>
  <r>
    <s v="1183e964-1936-4cd6-8f78-25c68508a3cc"/>
    <s v="3ac42154-37c7-4562-9f59-e32a82165676"/>
    <d v="2025-06-15T00:00:00"/>
    <d v="1899-12-30T23:04:46"/>
    <n v="23"/>
    <n v="28"/>
    <s v="Silver"/>
    <s v="London"/>
    <s v="POPUP-MILAN"/>
    <s v="AURORA-LIP-01"/>
    <s v="Concealer"/>
    <n v="166.4"/>
    <x v="2"/>
    <n v="1"/>
    <s v="Tablet"/>
    <s v="94.16.204.50"/>
    <x v="0"/>
    <n v="375"/>
    <n v="-0.11371777283732598"/>
    <n v="0"/>
    <n v="0"/>
    <n v="0"/>
    <n v="2"/>
    <n v="0"/>
  </r>
  <r>
    <s v="c1990e3c-1758-4c38-aaa3-ec3930e52ca5"/>
    <s v="c2af13f6-f4ad-483f-80b4-2f5daa2946f2"/>
    <d v="2025-05-09T00:00:00"/>
    <d v="1899-12-30T02:07:53"/>
    <n v="2"/>
    <n v="38"/>
    <s v="Silver"/>
    <s v="London"/>
    <s v="FLAGSHIP-ROME"/>
    <s v="LUNAR-MASC-02"/>
    <s v="Setting Spray"/>
    <n v="166.28"/>
    <x v="0"/>
    <n v="0"/>
    <s v="Laptop"/>
    <s v="41.149.226.255"/>
    <x v="0"/>
    <n v="143"/>
    <n v="-0.11537908397445713"/>
    <n v="0"/>
    <n v="1"/>
    <n v="1"/>
    <n v="3"/>
    <n v="0"/>
  </r>
  <r>
    <s v="dcc556c5-1424-4d2d-9ade-09202dc0c00c"/>
    <s v="cc32c9c7-2d48-4d73-aa20-e1dcc2475d81"/>
    <d v="2025-08-10T00:00:00"/>
    <d v="1899-12-30T03:13:34"/>
    <n v="3"/>
    <n v="54"/>
    <s v="Bronze"/>
    <s v="London"/>
    <s v="POPUP-MILAN"/>
    <s v="GALAXIA-SET-08"/>
    <s v="Serum"/>
    <n v="166.13"/>
    <x v="3"/>
    <n v="0"/>
    <s v="Tablet"/>
    <s v="155.147.82.73"/>
    <x v="0"/>
    <n v="412"/>
    <n v="-0.11745572289587108"/>
    <n v="0"/>
    <n v="1"/>
    <n v="0"/>
    <n v="2"/>
    <n v="0"/>
  </r>
  <r>
    <s v="78799e27-3255-4a90-ab03-3b1e4c4db458"/>
    <s v="fe8e8f04-7d7a-4c95-9a02-41fd859547ac"/>
    <d v="2025-05-09T00:00:00"/>
    <d v="1899-12-30T22:48:15"/>
    <n v="22"/>
    <n v="40"/>
    <s v="Bronze"/>
    <s v="Monte Carlo"/>
    <s v="FLAGSHIP-PARIS"/>
    <s v="LUNAR-MASC-02"/>
    <s v="Foundation"/>
    <n v="166.02"/>
    <x v="2"/>
    <n v="1"/>
    <s v="Tablet"/>
    <s v="156.15.11.78"/>
    <x v="0"/>
    <n v="175"/>
    <n v="-0.11897859143824105"/>
    <n v="0"/>
    <n v="0"/>
    <n v="1"/>
    <n v="3"/>
    <n v="0"/>
  </r>
  <r>
    <s v="ffefb6c5-f008-4a88-8472-89e7346ed127"/>
    <s v="4ca2f3b4-b9c2-4992-9436-cc76814eaf2d"/>
    <d v="2025-06-17T00:00:00"/>
    <d v="1899-12-30T18:30:51"/>
    <n v="18"/>
    <n v="27"/>
    <s v="Bronze"/>
    <s v="Sydney"/>
    <s v="FLAGSHIP-PARIS"/>
    <s v="AURORA-LIP-01"/>
    <s v="Serum"/>
    <n v="165.96"/>
    <x v="0"/>
    <n v="0"/>
    <s v="Tablet"/>
    <s v="219.37.114.198"/>
    <x v="0"/>
    <n v="52"/>
    <n v="-0.11980924700680663"/>
    <n v="0"/>
    <n v="0"/>
    <n v="1"/>
    <n v="1"/>
    <n v="0"/>
  </r>
  <r>
    <s v="bf94d913-3455-4cfc-81a7-82cf8ca32f5f"/>
    <s v="75d6e729-c403-4b41-adc2-112250200af5"/>
    <d v="2025-03-18T00:00:00"/>
    <d v="1899-12-30T21:55:59"/>
    <n v="21"/>
    <n v="40"/>
    <s v="Bronze"/>
    <s v="Dubai"/>
    <s v="BOUTIQUE-DUBAI"/>
    <s v="CELESTE-EYE-05"/>
    <s v="Foundation"/>
    <n v="165.78"/>
    <x v="4"/>
    <n v="0"/>
    <s v="Mobile"/>
    <s v="67.195.83.204"/>
    <x v="0"/>
    <n v="439"/>
    <n v="-0.12230121371250337"/>
    <n v="0"/>
    <n v="0"/>
    <n v="0"/>
    <n v="0"/>
    <n v="0"/>
  </r>
  <r>
    <s v="5a92d992-46eb-44a5-a37e-82fffaaf56a0"/>
    <s v="74ba01cc-ba8b-4662-829e-67cc9a419bc7"/>
    <d v="2025-06-27T00:00:00"/>
    <d v="1899-12-30T12:22:59"/>
    <n v="12"/>
    <n v="40"/>
    <s v="Bronze"/>
    <s v="Hong Kong"/>
    <s v="POPUP-TOKYO"/>
    <s v="GALAXIA-SET-08"/>
    <s v="Eyeshadow Palette"/>
    <n v="165.69"/>
    <x v="4"/>
    <n v="0"/>
    <s v="Mobile"/>
    <s v="193.45.55.176"/>
    <x v="0"/>
    <n v="162"/>
    <n v="-0.12354719706535174"/>
    <n v="0"/>
    <n v="0"/>
    <n v="1"/>
    <n v="1"/>
    <n v="0"/>
  </r>
  <r>
    <s v="b115dc9a-01d8-46af-88ef-2603c9b22a57"/>
    <s v="db0a57cb-fabd-4b0d-8ccd-6ec0ab1ea1fe"/>
    <d v="2025-04-04T00:00:00"/>
    <d v="1899-12-30T08:41:13"/>
    <n v="8"/>
    <n v="57"/>
    <s v="Gold"/>
    <s v="Miami"/>
    <s v="BOUTIQUE-SHANGHAI"/>
    <s v="ORION-CONCEAL-09"/>
    <s v="Eyeliner"/>
    <n v="165.64"/>
    <x v="0"/>
    <n v="0"/>
    <s v="Tablet"/>
    <s v="4.210.50.53"/>
    <x v="0"/>
    <n v="96"/>
    <n v="-0.12423941003915652"/>
    <n v="0"/>
    <n v="0"/>
    <n v="1"/>
    <n v="1"/>
    <n v="0"/>
  </r>
  <r>
    <s v="0649ef1f-56fc-4abe-9e68-e5d0a661b4bb"/>
    <s v="b2861d40-58f7-4920-9f2c-caeeecce078c"/>
    <d v="2025-06-12T00:00:00"/>
    <d v="1899-12-30T23:05:23"/>
    <n v="23"/>
    <n v="50"/>
    <s v="Bronze"/>
    <s v="Milan"/>
    <s v="FLAGSHIP-PARIS"/>
    <s v="COSMIC-HIGHLIGHT-06"/>
    <s v="Foundation"/>
    <n v="165.56"/>
    <x v="0"/>
    <n v="0"/>
    <s v="Tablet"/>
    <s v="253.242.131.226"/>
    <x v="0"/>
    <n v="308"/>
    <n v="-0.1253469507972437"/>
    <n v="0"/>
    <n v="0"/>
    <n v="0"/>
    <n v="0"/>
    <n v="0"/>
  </r>
  <r>
    <s v="198e8155-a278-458c-9ef4-101fb1f17847"/>
    <s v="f6a3e058-5af3-4bdb-9a29-0989d073d80f"/>
    <d v="2025-02-23T00:00:00"/>
    <d v="1899-12-30T12:42:08"/>
    <n v="12"/>
    <n v="28"/>
    <s v="Bronze"/>
    <s v="New York"/>
    <s v="CONCESSION-LONDON"/>
    <s v="GALAXIA-SET-08"/>
    <s v="Eyeshadow Palette"/>
    <n v="165.5"/>
    <x v="1"/>
    <n v="0"/>
    <s v="Tablet"/>
    <s v="5.3.194.215"/>
    <x v="0"/>
    <n v="330"/>
    <n v="-0.12617760636580927"/>
    <n v="0"/>
    <n v="0"/>
    <n v="0"/>
    <n v="0"/>
    <n v="0"/>
  </r>
  <r>
    <s v="220a8f75-ee65-4b27-b787-8d27660b07f9"/>
    <s v="14e5bc97-12e5-4af6-b216-8563f70b15a7"/>
    <d v="2025-06-19T00:00:00"/>
    <d v="1899-12-30T13:51:21"/>
    <n v="13"/>
    <n v="27"/>
    <s v="Bronze"/>
    <s v="Tokyo"/>
    <s v="BOUTIQUE-SHANGHAI"/>
    <s v="GALAXIA-SET-08"/>
    <s v="Setting Spray"/>
    <n v="165.45"/>
    <x v="3"/>
    <n v="0"/>
    <s v="Tablet"/>
    <s v="113.60.188.180"/>
    <x v="0"/>
    <n v="422"/>
    <n v="-0.12686981933961405"/>
    <n v="0"/>
    <n v="0"/>
    <n v="0"/>
    <n v="0"/>
    <n v="0"/>
  </r>
  <r>
    <s v="6879a052-3853-469d-8931-d97cd16d0db2"/>
    <s v="ff0099d6-ade1-40d4-bfcc-29d468a515f2"/>
    <d v="2025-03-25T00:00:00"/>
    <d v="1899-12-30T20:04:28"/>
    <n v="20"/>
    <n v="54"/>
    <s v="Bronze"/>
    <s v="Monaco"/>
    <s v="CONCESSION-LONDON"/>
    <s v="ORION-CONCEAL-09"/>
    <s v="Highlighter"/>
    <n v="165.44"/>
    <x v="0"/>
    <n v="0"/>
    <s v="Laptop"/>
    <s v="169.149.13.146"/>
    <x v="0"/>
    <n v="375"/>
    <n v="-0.12700826193437484"/>
    <n v="0"/>
    <n v="0"/>
    <n v="0"/>
    <n v="0"/>
    <n v="0"/>
  </r>
  <r>
    <s v="e93bc8ff-283c-4cc8-9843-587d3b3033f2"/>
    <s v="065c1f9e-2388-49da-b340-26f1b87190f7"/>
    <d v="2025-04-13T00:00:00"/>
    <d v="1899-12-30T16:28:07"/>
    <n v="16"/>
    <n v="65"/>
    <s v="Gold"/>
    <s v="San Francisco"/>
    <s v="BOUTIQUE-DUBAI"/>
    <s v="ORION-CONCEAL-09"/>
    <s v="Eyeliner"/>
    <n v="165.44"/>
    <x v="0"/>
    <n v="0"/>
    <s v="Mobile"/>
    <s v="133.144.190.248"/>
    <x v="0"/>
    <n v="119"/>
    <n v="-0.12700826193437484"/>
    <n v="0"/>
    <n v="0"/>
    <n v="1"/>
    <n v="1"/>
    <n v="0"/>
  </r>
  <r>
    <s v="15c2f060-fad0-461c-be62-a56c20e4f7fb"/>
    <s v="9ed08461-4ca2-4e1b-956b-41d669b8a2c4"/>
    <d v="2025-03-31T00:00:00"/>
    <d v="1899-12-30T07:36:54"/>
    <n v="7"/>
    <n v="64"/>
    <s v="Bronze"/>
    <s v="London"/>
    <s v="FLAGSHIP-ROME"/>
    <s v="CELESTE-EYE-05"/>
    <s v="Eyeliner"/>
    <n v="165.35"/>
    <x v="4"/>
    <n v="0"/>
    <s v="Laptop"/>
    <s v="129.195.157.210"/>
    <x v="0"/>
    <n v="254"/>
    <n v="-0.12825424528722321"/>
    <n v="0"/>
    <n v="0"/>
    <n v="1"/>
    <n v="1"/>
    <n v="0"/>
  </r>
  <r>
    <s v="3777ce31-c868-4689-afd2-45f722327a65"/>
    <s v="3fd947a0-c9d0-4072-8d2e-dc5e56ad73fb"/>
    <d v="2025-03-31T00:00:00"/>
    <d v="1899-12-30T00:13:30"/>
    <n v="0"/>
    <n v="52"/>
    <s v="Gold"/>
    <s v="New York"/>
    <s v="CONCESSION-LONDON"/>
    <s v="NEBULA-SERUM-07"/>
    <s v="Mascara"/>
    <n v="165.29"/>
    <x v="1"/>
    <n v="0"/>
    <s v="Mobile"/>
    <s v="246.174.27.170"/>
    <x v="0"/>
    <n v="185"/>
    <n v="-0.1290849008557888"/>
    <n v="0"/>
    <n v="1"/>
    <n v="1"/>
    <n v="3"/>
    <n v="0"/>
  </r>
  <r>
    <s v="40941df6-2b1b-4e56-83b8-d6898049abf1"/>
    <s v="c12ea6f5-9bda-4cbf-ad55-97e4d5b91ad3"/>
    <d v="2025-05-17T00:00:00"/>
    <d v="1899-12-30T20:31:31"/>
    <n v="20"/>
    <n v="65"/>
    <s v="Silver"/>
    <s v="Cannes"/>
    <s v="BOUTIQUE-NYC"/>
    <s v="STELLAR-FOUND-03"/>
    <s v="Serum"/>
    <n v="165.26"/>
    <x v="1"/>
    <n v="0"/>
    <s v="Laptop"/>
    <s v="167.253.61.169"/>
    <x v="0"/>
    <n v="334"/>
    <n v="-0.12950022864007157"/>
    <n v="0"/>
    <n v="0"/>
    <n v="0"/>
    <n v="0"/>
    <n v="0"/>
  </r>
  <r>
    <s v="c46db64b-0cc1-4fc0-944b-a312b5d259ed"/>
    <s v="a3e22d40-957f-4a8f-b93b-a41a1a18378d"/>
    <d v="2025-07-30T00:00:00"/>
    <d v="1899-12-30T05:45:45"/>
    <n v="5"/>
    <n v="41"/>
    <s v="Bronze"/>
    <s v="Los Angeles"/>
    <s v="POPUP-TOKYO"/>
    <s v="CELESTE-EYE-05"/>
    <s v="Mascara"/>
    <n v="165.24"/>
    <x v="1"/>
    <n v="0"/>
    <s v="Mobile"/>
    <s v="131.217.230.196"/>
    <x v="0"/>
    <n v="107"/>
    <n v="-0.12977711382959317"/>
    <n v="0"/>
    <n v="1"/>
    <n v="1"/>
    <n v="3"/>
    <n v="0"/>
  </r>
  <r>
    <s v="3d7dc84d-0396-41b8-9988-7f4009f02799"/>
    <s v="c1f5ec3a-5c3f-4c57-a24f-e188b71c9f51"/>
    <d v="2025-04-22T00:00:00"/>
    <d v="1899-12-30T18:22:49"/>
    <n v="18"/>
    <n v="27"/>
    <s v="Bronze"/>
    <s v="Singapore"/>
    <s v="CONCESSION-LONDON"/>
    <s v="STELLAR-FOUND-03"/>
    <s v="Concealer"/>
    <n v="165.13"/>
    <x v="3"/>
    <n v="0"/>
    <s v="Laptop"/>
    <s v="69.99.150.124"/>
    <x v="0"/>
    <n v="375"/>
    <n v="-0.13129998237196355"/>
    <n v="0"/>
    <n v="0"/>
    <n v="0"/>
    <n v="0"/>
    <n v="0"/>
  </r>
  <r>
    <s v="455a78b7-ba15-4ce3-bbdd-b9bd1349b111"/>
    <s v="691e8004-988f-492d-91bd-481318d862ea"/>
    <d v="2025-07-22T00:00:00"/>
    <d v="1899-12-30T20:43:14"/>
    <n v="20"/>
    <n v="58"/>
    <s v="Unknown"/>
    <s v="Miami"/>
    <s v="BOUTIQUE-SHANGHAI"/>
    <s v="COSMIC-HIGHLIGHT-06"/>
    <s v="Concealer"/>
    <n v="165.11"/>
    <x v="1"/>
    <n v="0"/>
    <s v="Laptop"/>
    <s v="243.153.117.43"/>
    <x v="0"/>
    <n v="196"/>
    <n v="-0.13157686756148515"/>
    <n v="0"/>
    <n v="0"/>
    <n v="1"/>
    <n v="1"/>
    <n v="0"/>
  </r>
  <r>
    <s v="4530cd38-4874-4641-8b4c-0f9020ec9530"/>
    <s v="7f9762e3-5774-4e7a-8856-63ffbb480bb7"/>
    <d v="2025-07-05T00:00:00"/>
    <d v="1899-12-30T17:57:15"/>
    <n v="17"/>
    <n v="61"/>
    <s v="Gold"/>
    <s v="Cannes"/>
    <s v="FLAGSHIP-ROME"/>
    <s v="ECLIPSE-EYE-10"/>
    <s v="Concealer"/>
    <n v="165.08"/>
    <x v="1"/>
    <n v="0"/>
    <s v="Tablet"/>
    <s v="162.218.47.20"/>
    <x v="0"/>
    <n v="495"/>
    <n v="-0.13199219534576792"/>
    <n v="0"/>
    <n v="0"/>
    <n v="0"/>
    <n v="0"/>
    <n v="0"/>
  </r>
  <r>
    <s v="241121f6-8d22-4588-ab01-902829517a11"/>
    <s v="a662ce87-86a1-4dc6-acc1-c81900f99981"/>
    <d v="2025-03-25T00:00:00"/>
    <d v="1899-12-30T13:32:49"/>
    <n v="13"/>
    <n v="31"/>
    <s v="Bronze"/>
    <s v="Miami"/>
    <s v="BOUTIQUE-NYC"/>
    <s v="GALAXIA-SET-08"/>
    <s v="Serum"/>
    <n v="164.96"/>
    <x v="1"/>
    <n v="0"/>
    <s v="Tablet"/>
    <s v="38.110.232.91"/>
    <x v="0"/>
    <n v="145"/>
    <n v="-0.13365350648289909"/>
    <n v="0"/>
    <n v="0"/>
    <n v="1"/>
    <n v="1"/>
    <n v="0"/>
  </r>
  <r>
    <s v="b230f530-9d3e-43af-8bd7-b0b3fbfeed5f"/>
    <s v="001d3772-360f-455a-b16d-0faf018d9470"/>
    <d v="2025-05-27T00:00:00"/>
    <d v="1899-12-30T11:44:15"/>
    <n v="11"/>
    <n v="40"/>
    <s v="Silver"/>
    <s v="Monte Carlo"/>
    <s v="POPUP-TOKYO"/>
    <s v="AURORA-LIP-01"/>
    <s v="Serum"/>
    <n v="164.7"/>
    <x v="0"/>
    <n v="0"/>
    <s v="Mobile"/>
    <s v="239.192.45.3"/>
    <x v="0"/>
    <n v="232"/>
    <n v="-0.13725301394668338"/>
    <n v="0"/>
    <n v="0"/>
    <n v="1"/>
    <n v="1"/>
    <n v="0"/>
  </r>
  <r>
    <s v="1baa2f95-c428-44cd-b35e-564ca93919e4"/>
    <s v="3ea4384a-ea93-48de-925d-54017ed61f2e"/>
    <d v="2025-07-24T00:00:00"/>
    <d v="1899-12-30T14:24:25"/>
    <n v="14"/>
    <n v="31"/>
    <s v="Bronze"/>
    <s v="Miami"/>
    <s v="POPUP-MILAN"/>
    <s v="ORION-CONCEAL-09"/>
    <s v="Concealer"/>
    <n v="164.67"/>
    <x v="3"/>
    <n v="0"/>
    <s v="Tablet"/>
    <s v="65.70.179.145"/>
    <x v="0"/>
    <n v="460"/>
    <n v="-0.13766834173096618"/>
    <n v="0"/>
    <n v="0"/>
    <n v="0"/>
    <n v="0"/>
    <n v="0"/>
  </r>
  <r>
    <s v="1a2852aa-6a47-4753-af88-7d0783628c00"/>
    <s v="8325bd32-a595-410f-8b18-4994e252a96e"/>
    <d v="2025-02-23T00:00:00"/>
    <d v="1899-12-30T03:23:45"/>
    <n v="3"/>
    <n v="36"/>
    <s v="Silver"/>
    <s v="Las Vegas"/>
    <s v="BOUTIQUE-DUBAI"/>
    <s v="GALAXIA-SET-08"/>
    <s v="Setting Spray"/>
    <n v="164.65"/>
    <x v="3"/>
    <n v="0"/>
    <s v="Mobile"/>
    <s v="63.107.114.28"/>
    <x v="0"/>
    <n v="360"/>
    <n v="-0.13794522692048777"/>
    <n v="0"/>
    <n v="1"/>
    <n v="0"/>
    <n v="2"/>
    <n v="0"/>
  </r>
  <r>
    <s v="f9821249-fdbb-4b48-afe0-8fdcd2674b3a"/>
    <s v="0db7f86d-47cc-4b90-b033-01fae77a4558"/>
    <d v="2025-07-30T00:00:00"/>
    <d v="1899-12-30T10:32:56"/>
    <n v="10"/>
    <n v="63"/>
    <s v="Gold"/>
    <s v="Cannes"/>
    <s v="BOUTIQUE-SHANGHAI"/>
    <s v="LUNAR-MASC-02"/>
    <s v="Blush"/>
    <n v="164.59"/>
    <x v="1"/>
    <n v="0"/>
    <s v="Mobile"/>
    <s v="255.177.247.2"/>
    <x v="0"/>
    <n v="95"/>
    <n v="-0.13877588248905334"/>
    <n v="0"/>
    <n v="0"/>
    <n v="1"/>
    <n v="1"/>
    <n v="0"/>
  </r>
  <r>
    <s v="f57febd5-7213-4de5-9564-3a1bd280161f"/>
    <s v="2c192ffa-ab3c-4101-8f71-051919ab06c2"/>
    <d v="2025-07-26T00:00:00"/>
    <d v="1899-12-30T12:06:06"/>
    <n v="12"/>
    <n v="20"/>
    <s v="VIP"/>
    <s v="Sydney"/>
    <s v="CONCESSION-SINGAPORE"/>
    <s v="ECLIPSE-EYE-10"/>
    <s v="Concealer"/>
    <n v="164.52"/>
    <x v="4"/>
    <n v="0"/>
    <s v="Mobile"/>
    <s v="187.217.109.97"/>
    <x v="0"/>
    <n v="439"/>
    <n v="-0.13974498065237972"/>
    <n v="0"/>
    <n v="0"/>
    <n v="0"/>
    <n v="0"/>
    <n v="0"/>
  </r>
  <r>
    <s v="42965310-788e-4055-ad8e-abc6a82c8a29"/>
    <s v="2d374b22-7a09-4049-ba2f-a223bce307d1"/>
    <d v="2025-08-11T00:00:00"/>
    <d v="1899-12-30T10:24:40"/>
    <n v="10"/>
    <n v="64"/>
    <s v="Platinum"/>
    <s v="Zurich"/>
    <s v="CONCESSION-LONDON"/>
    <s v="CELESTE-EYE-05"/>
    <s v="Lipstick"/>
    <n v="164.46"/>
    <x v="4"/>
    <n v="0"/>
    <s v="Desktop"/>
    <s v="49.45.157.88"/>
    <x v="0"/>
    <n v="235"/>
    <n v="-0.14057563622094532"/>
    <n v="0"/>
    <n v="0"/>
    <n v="1"/>
    <n v="1"/>
    <n v="0"/>
  </r>
  <r>
    <s v="607f4338-20ec-4adc-9662-79f4c3ee7f3a"/>
    <s v="442b797d-c503-4acf-96e1-a8f6596dc2cb"/>
    <d v="2025-05-16T00:00:00"/>
    <d v="1899-12-30T17:02:22"/>
    <n v="17"/>
    <n v="50"/>
    <s v="Bronze"/>
    <s v="Monte Carlo"/>
    <s v="BOUTIQUE-NYC"/>
    <s v="COSMIC-HIGHLIGHT-06"/>
    <s v="Mascara"/>
    <n v="163.98"/>
    <x v="3"/>
    <n v="0"/>
    <s v="Tablet"/>
    <s v="165.2.236.145"/>
    <x v="0"/>
    <n v="257"/>
    <n v="-0.14722088076946993"/>
    <n v="0"/>
    <n v="0"/>
    <n v="1"/>
    <n v="1"/>
    <n v="0"/>
  </r>
  <r>
    <s v="ebe7a2e6-462f-451f-933b-a49b8fbba537"/>
    <s v="dfeb43c5-431e-4dc3-8048-d5adab356939"/>
    <d v="2025-05-11T00:00:00"/>
    <d v="1899-12-30T21:20:35"/>
    <n v="21"/>
    <n v="57"/>
    <s v="Platinum"/>
    <s v="Zurich"/>
    <s v="BOUTIQUE-DUBAI"/>
    <s v="LUNAR-MASC-02"/>
    <s v="Eyeliner"/>
    <n v="163.72999999999999"/>
    <x v="3"/>
    <n v="0"/>
    <s v="Tablet"/>
    <s v="75.218.206.222"/>
    <x v="0"/>
    <n v="330"/>
    <n v="-0.15068194563849305"/>
    <n v="0"/>
    <n v="0"/>
    <n v="0"/>
    <n v="0"/>
    <n v="0"/>
  </r>
  <r>
    <s v="ba0a7ba4-e39a-4e71-9ce9-1ac0f3e623c3"/>
    <s v="a7fe9d7a-cbf1-4ab8-b5b3-c5c9e4e7f4d7"/>
    <d v="2025-04-08T00:00:00"/>
    <d v="1899-12-30T13:14:51"/>
    <n v="13"/>
    <n v="19"/>
    <s v="Bronze"/>
    <s v="Singapore"/>
    <s v="CONCESSION-SINGAPORE"/>
    <s v="NEBULA-SERUM-07"/>
    <s v="Highlighter"/>
    <n v="163.6"/>
    <x v="1"/>
    <n v="0"/>
    <s v="Tablet"/>
    <s v="10.183.245.111"/>
    <x v="0"/>
    <n v="387"/>
    <n v="-0.152481699370385"/>
    <n v="0"/>
    <n v="0"/>
    <n v="0"/>
    <n v="0"/>
    <n v="0"/>
  </r>
  <r>
    <s v="fd4498dd-4a35-4ed1-bdfe-f4dd24b3dd79"/>
    <s v="a57dce5d-dfd9-4ae7-8d5f-70d0af0b7cdd"/>
    <d v="2025-08-01T00:00:00"/>
    <d v="1899-12-30T15:58:30"/>
    <n v="15"/>
    <n v="23"/>
    <s v="Platinum"/>
    <s v="Monaco"/>
    <s v="BOUTIQUE-DUBAI"/>
    <s v="GALAXIA-SET-08"/>
    <s v="Setting Spray"/>
    <n v="163.47999999999999"/>
    <x v="4"/>
    <n v="0"/>
    <s v="Tablet"/>
    <s v="128.98.79.172"/>
    <x v="0"/>
    <n v="485"/>
    <n v="-0.15414301050751616"/>
    <n v="0"/>
    <n v="0"/>
    <n v="0"/>
    <n v="0"/>
    <n v="0"/>
  </r>
  <r>
    <s v="65b394e9-4039-4c18-8484-b2d823768ad2"/>
    <s v="49ebd494-e533-438e-aacb-68e927960aa3"/>
    <d v="2025-06-28T00:00:00"/>
    <d v="1899-12-30T22:31:12"/>
    <n v="22"/>
    <n v="53"/>
    <s v="Gold"/>
    <s v="Zurich"/>
    <s v="POPUP-MILAN"/>
    <s v="ORION-CONCEAL-09"/>
    <s v="Foundation"/>
    <n v="163.29"/>
    <x v="0"/>
    <n v="0"/>
    <s v="Laptop"/>
    <s v="87.154.216.205"/>
    <x v="0"/>
    <n v="162"/>
    <n v="-0.15677341980797371"/>
    <n v="0"/>
    <n v="0"/>
    <n v="1"/>
    <n v="1"/>
    <n v="0"/>
  </r>
  <r>
    <s v="663d14d1-1805-4d4b-86ce-d11818a4efd3"/>
    <s v="62a5949a-5b04-4b83-95c7-4402d0c1df96"/>
    <d v="2025-06-05T00:00:00"/>
    <d v="1899-12-30T08:57:02"/>
    <n v="8"/>
    <n v="56"/>
    <s v="Silver"/>
    <s v="Rome"/>
    <s v="CONCESSION-LONDON"/>
    <s v="STELLAR-FOUND-03"/>
    <s v="Mascara"/>
    <n v="163.05000000000001"/>
    <x v="0"/>
    <n v="0"/>
    <s v="Laptop"/>
    <s v="177.124.234.20"/>
    <x v="0"/>
    <n v="149"/>
    <n v="-0.16009604208223563"/>
    <n v="0"/>
    <n v="0"/>
    <n v="1"/>
    <n v="1"/>
    <n v="0"/>
  </r>
  <r>
    <s v="88ba124d-edd5-4786-8896-8e19b828ec10"/>
    <s v="4cb7505a-6e87-4e88-a5c4-212dfab507ca"/>
    <d v="2025-03-09T00:00:00"/>
    <d v="1899-12-30T04:42:41"/>
    <n v="4"/>
    <n v="53"/>
    <s v="Bronze"/>
    <s v="Miami"/>
    <s v="POPUP-TOKYO"/>
    <s v="GALAXIA-SET-08"/>
    <s v="Eyeshadow Palette"/>
    <n v="163.01"/>
    <x v="3"/>
    <n v="0"/>
    <s v="Laptop"/>
    <s v="240.151.82.34"/>
    <x v="0"/>
    <n v="340"/>
    <n v="-0.1606498124612796"/>
    <n v="0"/>
    <n v="1"/>
    <n v="0"/>
    <n v="2"/>
    <n v="0"/>
  </r>
  <r>
    <s v="97a1f806-83e5-4f9e-8c2d-59afcdec0abf"/>
    <s v="1db2e1a5-02ab-4410-b647-2e35f327a23f"/>
    <d v="2025-04-15T00:00:00"/>
    <d v="1899-12-30T14:01:11"/>
    <n v="14"/>
    <n v="40"/>
    <s v="Bronze"/>
    <s v="London"/>
    <s v="FLAGSHIP-PARIS"/>
    <s v="ORION-CONCEAL-09"/>
    <s v="Highlighter"/>
    <n v="162.93"/>
    <x v="3"/>
    <n v="0"/>
    <s v="Desktop"/>
    <s v="98.130.57.238"/>
    <x v="0"/>
    <n v="349"/>
    <n v="-0.1617573532193668"/>
    <n v="0"/>
    <n v="0"/>
    <n v="0"/>
    <n v="0"/>
    <n v="0"/>
  </r>
  <r>
    <s v="1db8ead2-3f61-4c25-ad6e-3129f2360e0f"/>
    <s v="a6041cca-0840-447f-95c4-e180bb6d0bb3"/>
    <d v="2025-06-19T00:00:00"/>
    <d v="1899-12-30T12:22:42"/>
    <n v="12"/>
    <n v="40"/>
    <s v="Bronze"/>
    <s v="Hong Kong"/>
    <s v="POPUP-MILAN"/>
    <s v="AURORA-LIP-01"/>
    <s v="Eyeshadow Palette"/>
    <n v="162.61000000000001"/>
    <x v="3"/>
    <n v="0"/>
    <s v="Tablet"/>
    <s v="73.84.60.147"/>
    <x v="0"/>
    <n v="280"/>
    <n v="-0.16618751625171627"/>
    <n v="0"/>
    <n v="0"/>
    <n v="0"/>
    <n v="0"/>
    <n v="0"/>
  </r>
  <r>
    <s v="cf9be925-7c91-4297-9d68-6976ddf30acf"/>
    <s v="a8e3d074-712b-4211-85e9-f95c30d9ba5b"/>
    <d v="2025-08-05T00:00:00"/>
    <d v="1899-12-30T08:25:21"/>
    <n v="8"/>
    <n v="18"/>
    <s v="Unknown"/>
    <s v="Tokyo"/>
    <s v="BOUTIQUE-SHANGHAI"/>
    <s v="GALAXIA-SET-08"/>
    <s v="Foundation"/>
    <n v="162.51"/>
    <x v="3"/>
    <n v="0"/>
    <s v="Mobile"/>
    <s v="56.186.58.111"/>
    <x v="0"/>
    <n v="133"/>
    <n v="-0.16757194219932584"/>
    <n v="0"/>
    <n v="0"/>
    <n v="1"/>
    <n v="1"/>
    <n v="0"/>
  </r>
  <r>
    <s v="06cac211-71bd-4e6a-bbfe-49717e288d79"/>
    <s v="63598a91-6a41-4402-a7bb-ba9a32cb79f7"/>
    <d v="2025-02-20T00:00:00"/>
    <d v="1899-12-30T07:57:49"/>
    <n v="7"/>
    <n v="39"/>
    <s v="Silver"/>
    <s v="New York"/>
    <s v="POPUP-MILAN"/>
    <s v="COSMIC-HIGHLIGHT-06"/>
    <s v="Mascara"/>
    <n v="162.4"/>
    <x v="0"/>
    <n v="0"/>
    <s v="Desktop"/>
    <s v="252.121.53.89"/>
    <x v="0"/>
    <n v="433"/>
    <n v="-0.1690948107416958"/>
    <n v="0"/>
    <n v="0"/>
    <n v="0"/>
    <n v="0"/>
    <n v="0"/>
  </r>
  <r>
    <s v="bf1fe9b2-144a-406c-9b72-533a712e6985"/>
    <s v="89c8e82e-a0c2-4312-b7d8-cfde5fd400b0"/>
    <d v="2025-08-03T00:00:00"/>
    <d v="1899-12-30T04:24:49"/>
    <n v="4"/>
    <n v="34"/>
    <s v="Bronze"/>
    <s v="Monaco"/>
    <s v="FLAGSHIP-ROME"/>
    <s v="ECLIPSE-EYE-10"/>
    <s v="Foundation"/>
    <n v="162.34"/>
    <x v="1"/>
    <n v="0"/>
    <s v="Laptop"/>
    <s v="226.51.173.13"/>
    <x v="0"/>
    <n v="363"/>
    <n v="-0.16992546631026137"/>
    <n v="0"/>
    <n v="1"/>
    <n v="0"/>
    <n v="2"/>
    <n v="0"/>
  </r>
  <r>
    <s v="3c780fb7-44c2-4a4c-8e46-4cc1e7f9feb6"/>
    <s v="0988686a-eeac-448c-963c-91a8e3723cf1"/>
    <d v="2025-02-14T00:00:00"/>
    <d v="1899-12-30T16:26:06"/>
    <n v="16"/>
    <n v="23"/>
    <s v="Bronze"/>
    <s v="New York"/>
    <s v="POPUP-MILAN"/>
    <s v="SOLAR-BLUSH-04"/>
    <s v="Highlighter"/>
    <n v="162.32"/>
    <x v="0"/>
    <n v="0"/>
    <s v="Laptop"/>
    <s v="200.206.145.78"/>
    <x v="0"/>
    <n v="493"/>
    <n v="-0.17020235149978338"/>
    <n v="0"/>
    <n v="0"/>
    <n v="0"/>
    <n v="0"/>
    <n v="0"/>
  </r>
  <r>
    <s v="8f416cfc-86c7-416e-aedf-bf4d5a42d68c"/>
    <s v="a92c4bc1-9a76-4dee-bace-479e2ac760d0"/>
    <d v="2025-06-02T00:00:00"/>
    <d v="1899-12-30T06:35:20"/>
    <n v="6"/>
    <n v="41"/>
    <s v="Gold"/>
    <s v="Dubai"/>
    <s v="POPUP-TOKYO"/>
    <s v="COSMIC-HIGHLIGHT-06"/>
    <s v="Mascara"/>
    <n v="162.31"/>
    <x v="4"/>
    <n v="0"/>
    <s v="Tablet"/>
    <s v="178.30.143.69"/>
    <x v="0"/>
    <n v="131"/>
    <n v="-0.17034079409454417"/>
    <n v="0"/>
    <n v="0"/>
    <n v="1"/>
    <n v="1"/>
    <n v="0"/>
  </r>
  <r>
    <s v="9b0dfbc2-7d6a-4ff5-89ab-e49ba71dee94"/>
    <s v="3804e1b3-9de0-4490-9df0-20bb2f1c7bab"/>
    <d v="2025-07-29T00:00:00"/>
    <d v="1899-12-30T22:57:41"/>
    <n v="22"/>
    <n v="62"/>
    <s v="Gold"/>
    <s v="Hong Kong"/>
    <s v="CONCESSION-SINGAPORE"/>
    <s v="GALAXIA-SET-08"/>
    <s v="Eyeliner"/>
    <n v="162.24"/>
    <x v="3"/>
    <n v="0"/>
    <s v="Laptop"/>
    <s v="154.140.66.148"/>
    <x v="0"/>
    <n v="444"/>
    <n v="-0.17130989225787055"/>
    <n v="0"/>
    <n v="0"/>
    <n v="0"/>
    <n v="0"/>
    <n v="0"/>
  </r>
  <r>
    <s v="ebd58bfe-b331-48ef-96a2-3b49ff4e1652"/>
    <s v="a491acd6-7c20-4414-86a0-ea9c72f135b7"/>
    <d v="2025-03-26T00:00:00"/>
    <d v="1899-12-30T03:43:01"/>
    <n v="3"/>
    <n v="23"/>
    <s v="Silver"/>
    <s v="Dubai"/>
    <s v="BOUTIQUE-SHANGHAI"/>
    <s v="ECLIPSE-EYE-10"/>
    <s v="Mascara"/>
    <n v="162.15"/>
    <x v="0"/>
    <n v="0"/>
    <s v="Tablet"/>
    <s v="112.245.148.144"/>
    <x v="0"/>
    <n v="365"/>
    <n v="-0.17255587561071892"/>
    <n v="0"/>
    <n v="1"/>
    <n v="0"/>
    <n v="2"/>
    <n v="0"/>
  </r>
  <r>
    <s v="4a8283ca-3a2d-48ae-8bea-05f5a3ae796c"/>
    <s v="6e647481-d39a-4877-a359-25ec6094fc11"/>
    <d v="2025-05-11T00:00:00"/>
    <d v="1899-12-30T11:08:42"/>
    <n v="11"/>
    <n v="40"/>
    <s v="Silver"/>
    <s v="Paris"/>
    <s v="CONCESSION-SINGAPORE"/>
    <s v="GALAXIA-SET-08"/>
    <s v="Eyeshadow Palette"/>
    <n v="161.88"/>
    <x v="3"/>
    <n v="0"/>
    <s v="Tablet"/>
    <s v="35.114.79.154"/>
    <x v="0"/>
    <n v="67"/>
    <n v="-0.17629382566926402"/>
    <n v="0"/>
    <n v="0"/>
    <n v="1"/>
    <n v="1"/>
    <n v="0"/>
  </r>
  <r>
    <s v="f2ab2d98-659d-4fd6-b845-9d8d73669818"/>
    <s v="96c8c3b9-2315-4666-b5f8-881bec76c280"/>
    <d v="2025-06-30T00:00:00"/>
    <d v="1899-12-30T07:26:58"/>
    <n v="7"/>
    <n v="49"/>
    <s v="Gold"/>
    <s v="Paris"/>
    <s v="BOUTIQUE-NYC"/>
    <s v="STELLAR-FOUND-03"/>
    <s v="Eyeliner"/>
    <n v="161.75"/>
    <x v="4"/>
    <n v="0"/>
    <s v="Tablet"/>
    <s v="53.119.149.35"/>
    <x v="0"/>
    <n v="79"/>
    <n v="-0.17809357940115597"/>
    <n v="0"/>
    <n v="0"/>
    <n v="1"/>
    <n v="1"/>
    <n v="0"/>
  </r>
  <r>
    <s v="00c7d1ac-8184-42e6-af49-d2c03c93d1e1"/>
    <s v="a5a857bd-24d7-402c-92a1-baaa459105c0"/>
    <d v="2025-08-06T00:00:00"/>
    <d v="1899-12-30T02:50:45"/>
    <n v="2"/>
    <n v="35"/>
    <s v="Bronze"/>
    <s v="Cannes"/>
    <s v="BOUTIQUE-SHANGHAI"/>
    <s v="LUNAR-MASC-02"/>
    <s v="Highlighter"/>
    <n v="161.72999999999999"/>
    <x v="1"/>
    <n v="0"/>
    <s v="Desktop"/>
    <s v="119.54.56.123"/>
    <x v="0"/>
    <n v="198"/>
    <n v="-0.17837046459067796"/>
    <n v="0"/>
    <n v="1"/>
    <n v="1"/>
    <n v="3"/>
    <n v="0"/>
  </r>
  <r>
    <s v="0c19210c-85e2-4aff-a8aa-642f09490f9f"/>
    <s v="15dfd1d9-77e3-41b0-b43f-8912a0644b4c"/>
    <d v="2025-04-05T00:00:00"/>
    <d v="1899-12-30T05:55:02"/>
    <n v="5"/>
    <n v="47"/>
    <s v="Bronze"/>
    <s v="Hong Kong"/>
    <s v="BOUTIQUE-DUBAI"/>
    <s v="STELLAR-FOUND-03"/>
    <s v="Highlighter"/>
    <n v="161.65"/>
    <x v="4"/>
    <n v="0"/>
    <s v="Tablet"/>
    <s v="193.145.251.120"/>
    <x v="0"/>
    <n v="199"/>
    <n v="-0.17947800534876515"/>
    <n v="0"/>
    <n v="1"/>
    <n v="1"/>
    <n v="3"/>
    <n v="0"/>
  </r>
  <r>
    <s v="f79a5378-eacf-4434-82b1-88c6d02334a9"/>
    <s v="c33dd876-49fe-4c0e-a716-24122e0ef510"/>
    <d v="2025-08-01T00:00:00"/>
    <d v="1899-12-30T11:22:12"/>
    <n v="11"/>
    <n v="34"/>
    <s v="Bronze"/>
    <s v="Hong Kong"/>
    <s v="BOUTIQUE-SHANGHAI"/>
    <s v="NEBULA-SERUM-07"/>
    <s v="Setting Spray"/>
    <n v="161.62"/>
    <x v="1"/>
    <n v="0"/>
    <s v="Laptop"/>
    <s v="110.195.166.102"/>
    <x v="0"/>
    <n v="352"/>
    <n v="-0.17989333313304792"/>
    <n v="0"/>
    <n v="0"/>
    <n v="0"/>
    <n v="0"/>
    <n v="0"/>
  </r>
  <r>
    <s v="a8c2ce2a-5b69-4587-8715-6b724df80e7b"/>
    <s v="bb65bb2a-f7ad-42b5-b96a-50eba845c445"/>
    <d v="2025-07-14T00:00:00"/>
    <d v="1899-12-30T00:32:42"/>
    <n v="0"/>
    <n v="47"/>
    <s v="Bronze"/>
    <s v="Cannes"/>
    <s v="BOUTIQUE-NYC"/>
    <s v="ECLIPSE-EYE-10"/>
    <s v="Setting Spray"/>
    <n v="161.57"/>
    <x v="1"/>
    <n v="0"/>
    <s v="Desktop"/>
    <s v="11.97.98.228"/>
    <x v="0"/>
    <n v="397"/>
    <n v="-0.18058554610685271"/>
    <n v="0"/>
    <n v="1"/>
    <n v="0"/>
    <n v="2"/>
    <n v="0"/>
  </r>
  <r>
    <s v="22043902-1254-4316-b359-6ffd8c2a4828"/>
    <s v="a7613b3e-ded7-4d55-a976-aba846ee63a9"/>
    <d v="2025-03-27T00:00:00"/>
    <d v="1899-12-30T11:03:03"/>
    <n v="11"/>
    <n v="62"/>
    <s v="Gold"/>
    <s v="New York"/>
    <s v="FLAGSHIP-PARIS"/>
    <s v="ECLIPSE-EYE-10"/>
    <s v="Eyeliner"/>
    <n v="161.36000000000001"/>
    <x v="4"/>
    <n v="0"/>
    <s v="Desktop"/>
    <s v="77.199.54.183"/>
    <x v="0"/>
    <n v="376"/>
    <n v="-0.18349284059683185"/>
    <n v="0"/>
    <n v="0"/>
    <n v="0"/>
    <n v="0"/>
    <n v="0"/>
  </r>
  <r>
    <s v="d920477d-d220-454e-9c1e-fca369b762ce"/>
    <s v="09540976-42ca-4909-8f86-0f0fb0feecd7"/>
    <d v="2025-07-24T00:00:00"/>
    <d v="1899-12-30T07:02:29"/>
    <n v="7"/>
    <n v="54"/>
    <s v="Bronze"/>
    <s v="Paris"/>
    <s v="POPUP-MILAN"/>
    <s v="GALAXIA-SET-08"/>
    <s v="Mascara"/>
    <n v="161.28"/>
    <x v="1"/>
    <n v="0"/>
    <s v="Tablet"/>
    <s v="205.65.166.204"/>
    <x v="0"/>
    <n v="314"/>
    <n v="-0.18460038135491941"/>
    <n v="0"/>
    <n v="0"/>
    <n v="0"/>
    <n v="0"/>
    <n v="0"/>
  </r>
  <r>
    <s v="f428179d-30dc-4edf-8bb6-efb142e9062c"/>
    <s v="bdc95c82-5614-4116-a932-4c55e1f13425"/>
    <d v="2025-07-14T00:00:00"/>
    <d v="1899-12-30T13:35:50"/>
    <n v="13"/>
    <n v="36"/>
    <s v="Bronze"/>
    <s v="Rome"/>
    <s v="POPUP-TOKYO"/>
    <s v="LUNAR-MASC-02"/>
    <s v="Concealer"/>
    <n v="161.02000000000001"/>
    <x v="1"/>
    <n v="0"/>
    <s v="Desktop"/>
    <s v="97.16.76.195"/>
    <x v="0"/>
    <n v="198"/>
    <n v="-0.18819988881870334"/>
    <n v="0"/>
    <n v="0"/>
    <n v="1"/>
    <n v="1"/>
    <n v="0"/>
  </r>
  <r>
    <s v="22049a85-f781-4cc0-a407-d1b11ec48d46"/>
    <s v="ca798491-9b51-4593-bfaf-bd42a218a31c"/>
    <d v="2025-04-20T00:00:00"/>
    <d v="1899-12-30T02:43:42"/>
    <n v="2"/>
    <n v="35"/>
    <s v="Gold"/>
    <s v="New York"/>
    <s v="POPUP-TOKYO"/>
    <s v="NEBULA-SERUM-07"/>
    <s v="Setting Spray"/>
    <n v="160.94999999999999"/>
    <x v="1"/>
    <n v="0"/>
    <s v="Desktop"/>
    <s v="244.10.194.46"/>
    <x v="0"/>
    <n v="289"/>
    <n v="-0.18916898698203011"/>
    <n v="0"/>
    <n v="1"/>
    <n v="0"/>
    <n v="2"/>
    <n v="0"/>
  </r>
  <r>
    <s v="4e7ac637-aba2-4358-8939-9994649fb008"/>
    <s v="89f45b52-3809-40f6-b5fc-0443cae10477"/>
    <d v="2025-06-27T00:00:00"/>
    <d v="1899-12-30T21:56:19"/>
    <n v="21"/>
    <n v="18"/>
    <s v="Gold"/>
    <s v="Los Angeles"/>
    <s v="BOUTIQUE-SHANGHAI"/>
    <s v="AURORA-LIP-01"/>
    <s v="Foundation"/>
    <n v="160.93"/>
    <x v="3"/>
    <n v="0"/>
    <s v="Mobile"/>
    <s v="189.169.192.105"/>
    <x v="0"/>
    <n v="178"/>
    <n v="-0.1894458721715517"/>
    <n v="0"/>
    <n v="0"/>
    <n v="1"/>
    <n v="1"/>
    <n v="0"/>
  </r>
  <r>
    <s v="eba8621f-760a-4ab1-a0a3-f4d9dbfb26ec"/>
    <s v="3521693a-adf4-4bac-93e9-810ce621de02"/>
    <d v="2025-07-22T00:00:00"/>
    <d v="1899-12-30T17:41:03"/>
    <n v="17"/>
    <n v="52"/>
    <s v="Silver"/>
    <s v="Zurich"/>
    <s v="FLAGSHIP-LA"/>
    <s v="ORION-CONCEAL-09"/>
    <s v="Highlighter"/>
    <n v="160.63"/>
    <x v="3"/>
    <n v="0"/>
    <s v="Laptop"/>
    <s v="93.243.188.157"/>
    <x v="0"/>
    <n v="224"/>
    <n v="-0.19359915001437958"/>
    <n v="0"/>
    <n v="0"/>
    <n v="1"/>
    <n v="1"/>
    <n v="0"/>
  </r>
  <r>
    <s v="296a756a-c7e1-45a1-80f7-dee37657beec"/>
    <s v="1f73ec71-c71d-4263-ae8d-cff498a91200"/>
    <d v="2025-03-02T00:00:00"/>
    <d v="1899-12-30T21:18:39"/>
    <n v="21"/>
    <n v="49"/>
    <s v="Platinum"/>
    <s v="Las Vegas"/>
    <s v="BOUTIQUE-SHANGHAI"/>
    <s v="LUNAR-MASC-02"/>
    <s v="Eyeliner"/>
    <n v="160.58000000000001"/>
    <x v="0"/>
    <n v="0"/>
    <s v="Laptop"/>
    <s v="113.110.74.6"/>
    <x v="0"/>
    <n v="444"/>
    <n v="-0.19429136298818397"/>
    <n v="0"/>
    <n v="0"/>
    <n v="0"/>
    <n v="0"/>
    <n v="0"/>
  </r>
  <r>
    <s v="ef2d2d2d-3bf0-4b3d-8ee5-504cc41965db"/>
    <s v="cb87946c-5452-454d-a48c-a3fcba4c803d"/>
    <d v="2025-03-19T00:00:00"/>
    <d v="1899-12-30T08:54:34"/>
    <n v="8"/>
    <n v="41"/>
    <s v="Gold"/>
    <s v="Shanghai"/>
    <s v="FLAGSHIP-PARIS"/>
    <s v="GALAXIA-SET-08"/>
    <s v="Concealer"/>
    <n v="160.49"/>
    <x v="1"/>
    <n v="0"/>
    <s v="Laptop"/>
    <s v="242.150.15.82"/>
    <x v="0"/>
    <n v="370"/>
    <n v="-0.19553734634103234"/>
    <n v="0"/>
    <n v="0"/>
    <n v="0"/>
    <n v="0"/>
    <n v="0"/>
  </r>
  <r>
    <s v="c58ffd86-5f47-4db6-83d2-c674a30795d4"/>
    <s v="801ebaf5-6857-4e89-bee0-021acbe51233"/>
    <d v="2025-04-15T00:00:00"/>
    <d v="1899-12-30T16:56:00"/>
    <n v="16"/>
    <n v="23"/>
    <s v="Gold"/>
    <s v="Singapore"/>
    <s v="FLAGSHIP-ROME"/>
    <s v="STELLAR-FOUND-03"/>
    <s v="Mascara"/>
    <n v="160.46"/>
    <x v="1"/>
    <n v="0"/>
    <s v="Desktop"/>
    <s v="46.100.11.90"/>
    <x v="1"/>
    <n v="223"/>
    <n v="-0.19595267412531514"/>
    <n v="0"/>
    <n v="0"/>
    <n v="1"/>
    <n v="1"/>
    <n v="0"/>
  </r>
  <r>
    <s v="ebecf66f-734f-43a5-be87-297ee32ad131"/>
    <s v="d238f3de-35f2-4a6e-8d22-a656d637cc58"/>
    <d v="2025-06-04T00:00:00"/>
    <d v="1899-12-30T17:27:25"/>
    <n v="17"/>
    <n v="59"/>
    <s v="VIP"/>
    <s v="Monaco"/>
    <s v="CONCESSION-LONDON"/>
    <s v="GALAXIA-SET-08"/>
    <s v="Eyeshadow Palette"/>
    <n v="160.31"/>
    <x v="0"/>
    <n v="0"/>
    <s v="Mobile"/>
    <s v="40.107.222.177"/>
    <x v="0"/>
    <n v="485"/>
    <n v="-0.19802931304672908"/>
    <n v="0"/>
    <n v="0"/>
    <n v="0"/>
    <n v="0"/>
    <n v="0"/>
  </r>
  <r>
    <s v="a619e5f1-7aab-4afb-920d-e3cad934c030"/>
    <s v="d762a4c5-1f92-4080-8a1b-b017d79144e5"/>
    <d v="2025-02-25T00:00:00"/>
    <d v="1899-12-30T02:11:08"/>
    <n v="2"/>
    <n v="55"/>
    <s v="Gold"/>
    <s v="Paris"/>
    <s v="FLAGSHIP-PARIS"/>
    <s v="SOLAR-BLUSH-04"/>
    <s v="Highlighter"/>
    <n v="160.13"/>
    <x v="4"/>
    <n v="0"/>
    <s v="Tablet"/>
    <s v="79.83.239.95"/>
    <x v="0"/>
    <n v="193"/>
    <n v="-0.20052127975242581"/>
    <n v="0"/>
    <n v="1"/>
    <n v="1"/>
    <n v="3"/>
    <n v="0"/>
  </r>
  <r>
    <s v="19f5e6d4-a68b-4582-87ec-a754253144eb"/>
    <s v="109200b9-807f-4f55-95c0-a2e52f252983"/>
    <d v="2025-03-18T00:00:00"/>
    <d v="1899-12-30T06:29:59"/>
    <n v="6"/>
    <n v="26"/>
    <s v="Silver"/>
    <s v="New York"/>
    <s v="POPUP-MILAN"/>
    <s v="CELESTE-EYE-05"/>
    <s v="Serum"/>
    <n v="160"/>
    <x v="3"/>
    <n v="0"/>
    <s v="Mobile"/>
    <s v="213.232.151.56"/>
    <x v="0"/>
    <n v="235"/>
    <n v="-0.20232103348431776"/>
    <n v="0"/>
    <n v="0"/>
    <n v="1"/>
    <n v="1"/>
    <n v="0"/>
  </r>
  <r>
    <s v="339c6787-93c1-425f-8858-04c81a821c20"/>
    <s v="e9368368-00aa-405c-b102-31667b4cb994"/>
    <d v="2025-05-06T00:00:00"/>
    <d v="1899-12-30T18:26:23"/>
    <n v="18"/>
    <n v="61"/>
    <s v="Gold"/>
    <s v="Tokyo"/>
    <s v="BOUTIQUE-SHANGHAI"/>
    <s v="STELLAR-FOUND-03"/>
    <s v="Eyeliner"/>
    <n v="159.99"/>
    <x v="1"/>
    <n v="0"/>
    <s v="Tablet"/>
    <s v="87.107.156.233"/>
    <x v="0"/>
    <n v="253"/>
    <n v="-0.20245947607907858"/>
    <n v="0"/>
    <n v="0"/>
    <n v="1"/>
    <n v="1"/>
    <n v="0"/>
  </r>
  <r>
    <s v="30da3582-0af1-4441-8093-4795383a5dc2"/>
    <s v="d311c1af-45b6-4a88-9271-2aaba2a5e3ae"/>
    <d v="2025-02-17T00:00:00"/>
    <d v="1899-12-30T02:43:27"/>
    <n v="2"/>
    <n v="41"/>
    <s v="Bronze"/>
    <s v="Tokyo"/>
    <s v="FLAGSHIP-PARIS"/>
    <s v="ORION-CONCEAL-09"/>
    <s v="Setting Spray"/>
    <n v="159.47999999999999"/>
    <x v="3"/>
    <n v="0"/>
    <s v="Mobile"/>
    <s v="251.113.193.53"/>
    <x v="0"/>
    <n v="271"/>
    <n v="-0.20952004841188598"/>
    <n v="0"/>
    <n v="1"/>
    <n v="1"/>
    <n v="3"/>
    <n v="0"/>
  </r>
  <r>
    <s v="3a968b27-1a92-4d35-a932-8bd05700b966"/>
    <s v="f405943a-0adf-47c9-84e3-17e89ee4c37d"/>
    <d v="2025-06-30T00:00:00"/>
    <d v="1899-12-30T00:07:49"/>
    <n v="0"/>
    <n v="51"/>
    <s v="Bronze"/>
    <s v="London"/>
    <s v="POPUP-MILAN"/>
    <s v="ECLIPSE-EYE-10"/>
    <s v="Lipstick"/>
    <n v="159.4"/>
    <x v="2"/>
    <n v="1"/>
    <s v="Desktop"/>
    <s v="33.162.68.204"/>
    <x v="0"/>
    <n v="396"/>
    <n v="-0.21062758916997315"/>
    <n v="0"/>
    <n v="1"/>
    <n v="0"/>
    <n v="4"/>
    <n v="0"/>
  </r>
  <r>
    <s v="94aa1edd-b517-4372-8da6-b29c04a260bb"/>
    <s v="10e6798e-6d52-496f-8b9a-c2a0efbbd10a"/>
    <d v="2025-08-09T00:00:00"/>
    <d v="1899-12-30T10:07:02"/>
    <n v="10"/>
    <n v="27"/>
    <s v="Bronze"/>
    <s v="Monte Carlo"/>
    <s v="FLAGSHIP-PARIS"/>
    <s v="NEBULA-SERUM-07"/>
    <s v="Blush"/>
    <n v="159.37"/>
    <x v="0"/>
    <n v="0"/>
    <s v="Mobile"/>
    <s v="45.104.120.40"/>
    <x v="0"/>
    <n v="488"/>
    <n v="-0.21104291695425595"/>
    <n v="0"/>
    <n v="0"/>
    <n v="0"/>
    <n v="0"/>
    <n v="0"/>
  </r>
  <r>
    <s v="8d408e4c-ee18-4921-b76c-08306d10ec4e"/>
    <s v="f6bc1cc1-f929-4a00-a850-71b8d0ce25f4"/>
    <d v="2025-07-26T00:00:00"/>
    <d v="1899-12-30T01:46:04"/>
    <n v="1"/>
    <n v="21"/>
    <s v="Platinum"/>
    <s v="Tokyo"/>
    <s v="FLAGSHIP-LA"/>
    <s v="COSMIC-HIGHLIGHT-06"/>
    <s v="Setting Spray"/>
    <n v="159.35"/>
    <x v="3"/>
    <n v="0"/>
    <s v="Mobile"/>
    <s v="176.46.189.11"/>
    <x v="0"/>
    <n v="442"/>
    <n v="-0.21131980214377794"/>
    <n v="0"/>
    <n v="1"/>
    <n v="0"/>
    <n v="2"/>
    <n v="0"/>
  </r>
  <r>
    <s v="ee4ff44a-4fa7-44d4-8955-041445e787bd"/>
    <s v="a42100a7-0601-4b53-b8b5-09f95eff7645"/>
    <d v="2025-04-15T00:00:00"/>
    <d v="1899-12-30T18:03:35"/>
    <n v="18"/>
    <n v="46"/>
    <s v="Gold"/>
    <s v="Tokyo"/>
    <s v="POPUP-TOKYO"/>
    <s v="STELLAR-FOUND-03"/>
    <s v="Setting Spray"/>
    <n v="159.28"/>
    <x v="1"/>
    <n v="0"/>
    <s v="Desktop"/>
    <s v="80.185.71.226"/>
    <x v="0"/>
    <n v="301"/>
    <n v="-0.21228890030710432"/>
    <n v="0"/>
    <n v="0"/>
    <n v="0"/>
    <n v="0"/>
    <n v="0"/>
  </r>
  <r>
    <s v="55107cae-c649-4caa-99c6-2e7db69329b1"/>
    <s v="1608f3ca-0ead-43f3-8e89-443b38ce0fc9"/>
    <d v="2025-04-27T00:00:00"/>
    <d v="1899-12-30T18:05:07"/>
    <n v="18"/>
    <n v="63"/>
    <s v="Gold"/>
    <s v="Dubai"/>
    <s v="FLAGSHIP-ROME"/>
    <s v="COSMIC-HIGHLIGHT-06"/>
    <s v="Blush"/>
    <n v="159.19"/>
    <x v="3"/>
    <n v="0"/>
    <s v="Tablet"/>
    <s v="5.103.106.131"/>
    <x v="0"/>
    <n v="163"/>
    <n v="-0.21353488365995268"/>
    <n v="0"/>
    <n v="0"/>
    <n v="1"/>
    <n v="1"/>
    <n v="0"/>
  </r>
  <r>
    <s v="0b392946-72e7-4c8f-817a-3d405884af44"/>
    <s v="cdfa7282-83c1-434d-82ed-1bac24f1a801"/>
    <d v="2025-03-07T00:00:00"/>
    <d v="1899-12-30T15:09:21"/>
    <n v="15"/>
    <n v="60"/>
    <s v="Bronze"/>
    <s v="Cannes"/>
    <s v="POPUP-TOKYO"/>
    <s v="ECLIPSE-EYE-10"/>
    <s v="Eyeshadow Palette"/>
    <n v="159.07"/>
    <x v="0"/>
    <n v="0"/>
    <s v="Tablet"/>
    <s v="171.69.251.46"/>
    <x v="0"/>
    <n v="236"/>
    <n v="-0.21519619479708385"/>
    <n v="0"/>
    <n v="0"/>
    <n v="1"/>
    <n v="1"/>
    <n v="0"/>
  </r>
  <r>
    <s v="c6112e86-dbb6-4768-965b-195bd793cfdf"/>
    <s v="5031c954-2ac2-4720-9996-7edae4c6159e"/>
    <d v="2025-07-09T00:00:00"/>
    <d v="1899-12-30T05:04:19"/>
    <n v="5"/>
    <n v="54"/>
    <s v="Bronze"/>
    <s v="Singapore"/>
    <s v="CONCESSION-LONDON"/>
    <s v="AURORA-LIP-01"/>
    <s v="Highlighter"/>
    <n v="159.06"/>
    <x v="4"/>
    <n v="0"/>
    <s v="Laptop"/>
    <s v="36.181.222.2"/>
    <x v="0"/>
    <n v="212"/>
    <n v="-0.21533463739184464"/>
    <n v="0"/>
    <n v="1"/>
    <n v="1"/>
    <n v="3"/>
    <n v="0"/>
  </r>
  <r>
    <s v="f5caa14a-460f-49eb-bd97-0e25421b4fd3"/>
    <s v="2fbc734f-7c1f-4d12-9e7c-854f001f9fff"/>
    <d v="2025-03-26T00:00:00"/>
    <d v="1899-12-30T02:04:19"/>
    <n v="2"/>
    <n v="33"/>
    <s v="Bronze"/>
    <s v="Paris"/>
    <s v="CONCESSION-SINGAPORE"/>
    <s v="STELLAR-FOUND-03"/>
    <s v="Lipstick"/>
    <n v="159.01"/>
    <x v="3"/>
    <n v="0"/>
    <s v="Mobile"/>
    <s v="232.175.5.240"/>
    <x v="0"/>
    <n v="292"/>
    <n v="-0.21602685036564942"/>
    <n v="0"/>
    <n v="1"/>
    <n v="0"/>
    <n v="2"/>
    <n v="0"/>
  </r>
  <r>
    <s v="41ec950c-2978-45f2-931c-c822420cdeca"/>
    <s v="42f9051b-afa5-4910-b568-3b551d01e6fe"/>
    <d v="2025-05-16T00:00:00"/>
    <d v="1899-12-30T10:11:25"/>
    <n v="10"/>
    <n v="54"/>
    <s v="Silver"/>
    <s v="Geneva"/>
    <s v="FLAGSHIP-PARIS"/>
    <s v="CELESTE-EYE-05"/>
    <s v="Blush"/>
    <n v="158.96"/>
    <x v="4"/>
    <n v="0"/>
    <s v="Laptop"/>
    <s v="159.184.202.154"/>
    <x v="0"/>
    <n v="89"/>
    <n v="-0.21671906333945382"/>
    <n v="0"/>
    <n v="0"/>
    <n v="1"/>
    <n v="1"/>
    <n v="0"/>
  </r>
  <r>
    <s v="e2d99cea-7f08-44fc-bc8d-8da6457c9eb8"/>
    <s v="dff7b648-f5c8-44c7-af94-f89430303cc8"/>
    <d v="2025-04-15T00:00:00"/>
    <d v="1899-12-30T05:16:59"/>
    <n v="5"/>
    <n v="53"/>
    <s v="Silver"/>
    <s v="Dubai"/>
    <s v="FLAGSHIP-LA"/>
    <s v="STELLAR-FOUND-03"/>
    <s v="Lipstick"/>
    <n v="158.66999999999999"/>
    <x v="0"/>
    <n v="0"/>
    <s v="Desktop"/>
    <s v="241.105.253.182"/>
    <x v="0"/>
    <n v="399"/>
    <n v="-0.2207338985875209"/>
    <n v="0"/>
    <n v="1"/>
    <n v="0"/>
    <n v="2"/>
    <n v="0"/>
  </r>
  <r>
    <s v="eb7ac748-1332-4d37-8125-ffa3668d01f8"/>
    <s v="5d2474ea-7f55-43df-a593-c2dd98cab45b"/>
    <d v="2025-03-16T00:00:00"/>
    <d v="1899-12-30T01:47:30"/>
    <n v="1"/>
    <n v="58"/>
    <s v="Bronze"/>
    <s v="Shanghai"/>
    <s v="POPUP-MILAN"/>
    <s v="LUNAR-MASC-02"/>
    <s v="Highlighter"/>
    <n v="158.55000000000001"/>
    <x v="1"/>
    <n v="0"/>
    <s v="Laptop"/>
    <s v="249.57.173.127"/>
    <x v="0"/>
    <n v="358"/>
    <n v="-0.22239520972465168"/>
    <n v="0"/>
    <n v="1"/>
    <n v="0"/>
    <n v="2"/>
    <n v="0"/>
  </r>
  <r>
    <s v="d3fc682c-8582-46b9-9e09-52f001ef6b65"/>
    <s v="accdbae0-3aff-47bf-afb3-d7524fd30b3f"/>
    <d v="2025-05-02T00:00:00"/>
    <d v="1899-12-30T01:41:20"/>
    <n v="1"/>
    <n v="51"/>
    <s v="Gold"/>
    <s v="Zurich"/>
    <s v="BOUTIQUE-NYC"/>
    <s v="LUNAR-MASC-02"/>
    <s v="Highlighter"/>
    <n v="158.52000000000001"/>
    <x v="1"/>
    <n v="0"/>
    <s v="Desktop"/>
    <s v="6.114.148.128"/>
    <x v="0"/>
    <n v="142"/>
    <n v="-0.22281053750893445"/>
    <n v="0"/>
    <n v="1"/>
    <n v="1"/>
    <n v="3"/>
    <n v="0"/>
  </r>
  <r>
    <s v="a2892269-ff90-4fd5-a88f-b8e9927050de"/>
    <s v="36e035af-9427-4443-a61c-8083e59cf572"/>
    <d v="2025-06-11T00:00:00"/>
    <d v="1899-12-30T03:16:14"/>
    <n v="3"/>
    <n v="64"/>
    <s v="Unknown"/>
    <s v="Milan"/>
    <s v="FLAGSHIP-LA"/>
    <s v="AURORA-LIP-01"/>
    <s v="Setting Spray"/>
    <n v="158.4"/>
    <x v="3"/>
    <n v="0"/>
    <s v="Tablet"/>
    <s v="45.16.32.172"/>
    <x v="0"/>
    <n v="412"/>
    <n v="-0.22447184864606562"/>
    <n v="0"/>
    <n v="1"/>
    <n v="0"/>
    <n v="2"/>
    <n v="0"/>
  </r>
  <r>
    <s v="c4aa0cac-878d-4dd5-b483-3260dd8eb792"/>
    <s v="d38ef78f-da97-487c-b0d7-8347779f1591"/>
    <d v="2025-04-09T00:00:00"/>
    <d v="1899-12-30T07:09:00"/>
    <n v="7"/>
    <n v="44"/>
    <s v="Silver"/>
    <s v="Hong Kong"/>
    <s v="BOUTIQUE-NYC"/>
    <s v="LUNAR-MASC-02"/>
    <s v="Mascara"/>
    <n v="158.38999999999999"/>
    <x v="0"/>
    <n v="0"/>
    <s v="Tablet"/>
    <s v="71.149.34.111"/>
    <x v="0"/>
    <n v="241"/>
    <n v="-0.22461029124082682"/>
    <n v="0"/>
    <n v="0"/>
    <n v="1"/>
    <n v="1"/>
    <n v="0"/>
  </r>
  <r>
    <s v="f9ddc5f0-4e88-43af-82f1-7f32f0459319"/>
    <s v="79ef6260-729b-4a5a-a85c-484323cd16f5"/>
    <d v="2025-04-16T00:00:00"/>
    <d v="1899-12-30T00:34:35"/>
    <n v="0"/>
    <n v="46"/>
    <s v="Bronze"/>
    <s v="Miami"/>
    <s v="FLAGSHIP-ROME"/>
    <s v="ORION-CONCEAL-09"/>
    <s v="Foundation"/>
    <n v="158.31"/>
    <x v="3"/>
    <n v="0"/>
    <s v="Mobile"/>
    <s v="155.167.232.14"/>
    <x v="0"/>
    <n v="120"/>
    <n v="-0.22571783199891399"/>
    <n v="0"/>
    <n v="1"/>
    <n v="1"/>
    <n v="3"/>
    <n v="0"/>
  </r>
  <r>
    <s v="702bdd9b-9c93-41e3-9dbb-a849b2422080"/>
    <s v="119dca0b-8554-4b2d-9bec-e964eaf6af97"/>
    <d v="2025-07-27T00:00:00"/>
    <d v="1899-12-30T04:04:15"/>
    <n v="4"/>
    <n v="56"/>
    <s v="Silver"/>
    <s v="San Francisco"/>
    <s v="FLAGSHIP-LA"/>
    <s v="NEBULA-SERUM-07"/>
    <s v="Concealer"/>
    <n v="158.24"/>
    <x v="0"/>
    <n v="0"/>
    <s v="Desktop"/>
    <s v="239.249.58.237"/>
    <x v="0"/>
    <n v="333"/>
    <n v="-0.22668693016224037"/>
    <n v="0"/>
    <n v="1"/>
    <n v="0"/>
    <n v="2"/>
    <n v="0"/>
  </r>
  <r>
    <s v="b8c63999-5acf-46bb-9703-3ac7c51c1e25"/>
    <s v="2ea983bf-45f3-474f-8444-8b568d66848e"/>
    <d v="2025-02-16T00:00:00"/>
    <d v="1899-12-30T04:17:19"/>
    <n v="4"/>
    <n v="21"/>
    <s v="Silver"/>
    <s v="Monte Carlo"/>
    <s v="BOUTIQUE-SHANGHAI"/>
    <s v="STELLAR-FOUND-03"/>
    <s v="Eyeshadow Palette"/>
    <n v="158.11000000000001"/>
    <x v="4"/>
    <n v="0"/>
    <s v="Tablet"/>
    <s v="75.239.223.40"/>
    <x v="0"/>
    <n v="497"/>
    <n v="-0.22848668389413232"/>
    <n v="0"/>
    <n v="1"/>
    <n v="0"/>
    <n v="2"/>
    <n v="0"/>
  </r>
  <r>
    <s v="7e35a8b9-a16e-4fbe-833a-f5d301adbb10"/>
    <s v="0a1419a5-f2fe-4871-85b0-bbdc2e179470"/>
    <d v="2025-02-18T00:00:00"/>
    <d v="1899-12-30T10:21:25"/>
    <n v="10"/>
    <n v="56"/>
    <s v="Unknown"/>
    <s v="Milan"/>
    <s v="CONCESSION-LONDON"/>
    <s v="ORION-CONCEAL-09"/>
    <s v="Eyeliner"/>
    <n v="158.02000000000001"/>
    <x v="3"/>
    <n v="0"/>
    <s v="Laptop"/>
    <s v="154.191.90.225"/>
    <x v="0"/>
    <n v="124"/>
    <n v="-0.22973266724698069"/>
    <n v="0"/>
    <n v="0"/>
    <n v="1"/>
    <n v="1"/>
    <n v="0"/>
  </r>
  <r>
    <s v="22c392e0-bcc3-42db-a292-0cf7ab906f24"/>
    <s v="fb0e170c-de3b-4492-9e5b-8c6e2c15fa4a"/>
    <d v="2025-06-17T00:00:00"/>
    <d v="1899-12-30T01:38:47"/>
    <n v="1"/>
    <n v="48"/>
    <s v="Unknown"/>
    <s v="Rome"/>
    <s v="FLAGSHIP-ROME"/>
    <s v="LUNAR-MASC-02"/>
    <s v="Concealer"/>
    <n v="157.91999999999999"/>
    <x v="1"/>
    <n v="0"/>
    <s v="Laptop"/>
    <s v="79.231.223.42"/>
    <x v="0"/>
    <n v="268"/>
    <n v="-0.23111709319459026"/>
    <n v="0"/>
    <n v="1"/>
    <n v="1"/>
    <n v="3"/>
    <n v="0"/>
  </r>
  <r>
    <s v="4ad3a5ac-d5d4-4f45-b142-ea817eef6610"/>
    <s v="999bc10a-dd16-4b55-bd31-fa1c60136b4f"/>
    <d v="2025-06-04T00:00:00"/>
    <d v="1899-12-30T04:03:17"/>
    <n v="4"/>
    <n v="49"/>
    <s v="Bronze"/>
    <s v="London"/>
    <s v="FLAGSHIP-ROME"/>
    <s v="AURORA-LIP-01"/>
    <s v="Mascara"/>
    <n v="157.81"/>
    <x v="4"/>
    <n v="0"/>
    <s v="Mobile"/>
    <s v="2.244.81.176"/>
    <x v="0"/>
    <n v="252"/>
    <n v="-0.23263996173696022"/>
    <n v="0"/>
    <n v="1"/>
    <n v="1"/>
    <n v="3"/>
    <n v="0"/>
  </r>
  <r>
    <s v="eaa1456d-2a95-4f7c-a70c-ea96f44eeeb8"/>
    <s v="47035e07-460a-4d35-ba17-603c8aa8e616"/>
    <d v="2025-03-09T00:00:00"/>
    <d v="1899-12-30T15:11:48"/>
    <n v="15"/>
    <n v="41"/>
    <s v="Gold"/>
    <s v="Sydney"/>
    <s v="BOUTIQUE-SHANGHAI"/>
    <s v="LUNAR-MASC-02"/>
    <s v="Setting Spray"/>
    <n v="157.77000000000001"/>
    <x v="4"/>
    <n v="0"/>
    <s v="Tablet"/>
    <s v="56.127.6.18"/>
    <x v="0"/>
    <n v="368"/>
    <n v="-0.2331937321160038"/>
    <n v="0"/>
    <n v="0"/>
    <n v="0"/>
    <n v="0"/>
    <n v="0"/>
  </r>
  <r>
    <s v="86e0b2f8-cf4a-4c45-977a-3f928f6c1c92"/>
    <s v="69e25c5f-401b-429f-8260-b8db96b7f610"/>
    <d v="2025-02-18T00:00:00"/>
    <d v="1899-12-30T12:32:45"/>
    <n v="12"/>
    <n v="25"/>
    <s v="Gold"/>
    <s v="New York"/>
    <s v="CONCESSION-LONDON"/>
    <s v="NEBULA-SERUM-07"/>
    <s v="Serum"/>
    <n v="157.72999999999999"/>
    <x v="1"/>
    <n v="0"/>
    <s v="Tablet"/>
    <s v="198.181.78.96"/>
    <x v="0"/>
    <n v="55"/>
    <n v="-0.23374750249504778"/>
    <n v="0"/>
    <n v="0"/>
    <n v="1"/>
    <n v="1"/>
    <n v="0"/>
  </r>
  <r>
    <s v="d81a21f1-f9f4-4845-b8e4-2210495559d8"/>
    <s v="03b1cf16-dcc0-4834-adc4-b28b7cbf31e1"/>
    <d v="2025-05-15T00:00:00"/>
    <d v="1899-12-30T01:53:33"/>
    <n v="1"/>
    <n v="22"/>
    <s v="Bronze"/>
    <s v="Cannes"/>
    <s v="CONCESSION-SINGAPORE"/>
    <s v="CELESTE-EYE-05"/>
    <s v="Lipstick"/>
    <n v="157.69999999999999"/>
    <x v="1"/>
    <n v="0"/>
    <s v="Tablet"/>
    <s v="234.201.102.144"/>
    <x v="0"/>
    <n v="231"/>
    <n v="-0.23416283027933057"/>
    <n v="0"/>
    <n v="1"/>
    <n v="1"/>
    <n v="3"/>
    <n v="0"/>
  </r>
  <r>
    <s v="61137bf8-071c-4111-a855-0520e3f799e0"/>
    <s v="914f6566-19a8-4f3d-b4da-8d6adcc20809"/>
    <d v="2025-07-17T00:00:00"/>
    <d v="1899-12-30T23:55:19"/>
    <n v="23"/>
    <n v="27"/>
    <s v="Bronze"/>
    <s v="Rome"/>
    <s v="FLAGSHIP-ROME"/>
    <s v="GALAXIA-SET-08"/>
    <s v="Eyeliner"/>
    <n v="157.69"/>
    <x v="1"/>
    <n v="0"/>
    <s v="Desktop"/>
    <s v="47.235.94.90"/>
    <x v="0"/>
    <n v="488"/>
    <n v="-0.23430127287409136"/>
    <n v="0"/>
    <n v="0"/>
    <n v="0"/>
    <n v="0"/>
    <n v="0"/>
  </r>
  <r>
    <s v="1ea8ac18-2f09-494f-8a71-72c546c502b7"/>
    <s v="87dd98c8-9ef4-4860-b0c1-6d8c76a58764"/>
    <d v="2025-06-10T00:00:00"/>
    <d v="1899-12-30T12:58:14"/>
    <n v="12"/>
    <n v="39"/>
    <s v="Bronze"/>
    <s v="Milan"/>
    <s v="FLAGSHIP-LA"/>
    <s v="AURORA-LIP-01"/>
    <s v="Lipstick"/>
    <n v="157.55000000000001"/>
    <x v="1"/>
    <n v="0"/>
    <s v="Tablet"/>
    <s v="141.168.31.120"/>
    <x v="0"/>
    <n v="435"/>
    <n v="-0.23623946920074412"/>
    <n v="0"/>
    <n v="0"/>
    <n v="0"/>
    <n v="0"/>
    <n v="0"/>
  </r>
  <r>
    <s v="6a62fba2-5ed1-4211-9431-4d0dcb78d2cf"/>
    <s v="7433546e-9068-4a7a-b585-57cc154a4c37"/>
    <d v="2025-05-08T00:00:00"/>
    <d v="1899-12-30T08:09:53"/>
    <n v="8"/>
    <n v="41"/>
    <s v="Gold"/>
    <s v="Tokyo"/>
    <s v="FLAGSHIP-PARIS"/>
    <s v="COSMIC-HIGHLIGHT-06"/>
    <s v="Highlighter"/>
    <n v="157.33000000000001"/>
    <x v="2"/>
    <n v="1"/>
    <s v="Laptop"/>
    <s v="31.63.231.87"/>
    <x v="0"/>
    <n v="362"/>
    <n v="-0.23928520628548444"/>
    <n v="0"/>
    <n v="0"/>
    <n v="0"/>
    <n v="2"/>
    <n v="0"/>
  </r>
  <r>
    <s v="b510b634-82de-42fd-9e20-161812a402b5"/>
    <s v="1adb57f3-549c-4e06-986a-162121eede1d"/>
    <d v="2025-05-31T00:00:00"/>
    <d v="1899-12-30T06:47:47"/>
    <n v="6"/>
    <n v="36"/>
    <s v="VIP"/>
    <s v="Monaco"/>
    <s v="CONCESSION-LONDON"/>
    <s v="LUNAR-MASC-02"/>
    <s v="Eyeshadow Palette"/>
    <n v="157.33000000000001"/>
    <x v="3"/>
    <n v="0"/>
    <s v="Desktop"/>
    <s v="135.226.160.183"/>
    <x v="0"/>
    <n v="459"/>
    <n v="-0.23928520628548444"/>
    <n v="0"/>
    <n v="0"/>
    <n v="0"/>
    <n v="0"/>
    <n v="0"/>
  </r>
  <r>
    <s v="d288d622-f90e-4a1f-a4ac-3ada84b91772"/>
    <s v="bbe4d765-726c-4a43-be18-c135ba4b06bf"/>
    <d v="2025-07-07T00:00:00"/>
    <d v="1899-12-30T00:43:13"/>
    <n v="0"/>
    <n v="52"/>
    <s v="Bronze"/>
    <s v="Tokyo"/>
    <s v="FLAGSHIP-PARIS"/>
    <s v="COSMIC-HIGHLIGHT-06"/>
    <s v="Setting Spray"/>
    <n v="157.27000000000001"/>
    <x v="3"/>
    <n v="0"/>
    <s v="Tablet"/>
    <s v="132.11.154.140"/>
    <x v="0"/>
    <n v="102"/>
    <n v="-0.24011586185405004"/>
    <n v="0"/>
    <n v="1"/>
    <n v="1"/>
    <n v="3"/>
    <n v="0"/>
  </r>
  <r>
    <s v="168eb5f5-64ea-4c5a-9986-2ebfc6e79901"/>
    <s v="49569f57-ae4e-4fb2-8514-95aebc9016d6"/>
    <d v="2025-06-30T00:00:00"/>
    <d v="1899-12-30T15:03:05"/>
    <n v="15"/>
    <n v="57"/>
    <s v="Bronze"/>
    <s v="Los Angeles"/>
    <s v="POPUP-MILAN"/>
    <s v="CELESTE-EYE-05"/>
    <s v="Serum"/>
    <n v="156.86000000000001"/>
    <x v="2"/>
    <n v="1"/>
    <s v="Mobile"/>
    <s v="97.246.36.170"/>
    <x v="0"/>
    <n v="271"/>
    <n v="-0.24579200823924788"/>
    <n v="0"/>
    <n v="0"/>
    <n v="1"/>
    <n v="3"/>
    <n v="0"/>
  </r>
  <r>
    <s v="ba9bb24a-a44f-42e8-a710-4b2c4f89d201"/>
    <s v="95598a69-50b0-4bb3-81f0-76541fec08e9"/>
    <d v="2025-05-19T00:00:00"/>
    <d v="1899-12-30T16:15:40"/>
    <n v="16"/>
    <n v="45"/>
    <s v="Unknown"/>
    <s v="Dubai"/>
    <s v="BOUTIQUE-DUBAI"/>
    <s v="LUNAR-MASC-02"/>
    <s v="Eyeshadow Palette"/>
    <n v="156.79"/>
    <x v="1"/>
    <n v="0"/>
    <s v="Laptop"/>
    <s v="221.191.251.207"/>
    <x v="0"/>
    <n v="447"/>
    <n v="-0.24676110640257465"/>
    <n v="0"/>
    <n v="0"/>
    <n v="0"/>
    <n v="0"/>
    <n v="0"/>
  </r>
  <r>
    <s v="ba2f5ab3-45af-48e6-a404-c3259013112c"/>
    <s v="d9d9b177-7b6c-4e91-aaef-4cd2f3522756"/>
    <d v="2025-05-17T00:00:00"/>
    <d v="1899-12-30T05:33:25"/>
    <n v="5"/>
    <n v="43"/>
    <s v="Bronze"/>
    <s v="Rome"/>
    <s v="BOUTIQUE-SHANGHAI"/>
    <s v="CELESTE-EYE-05"/>
    <s v="Concealer"/>
    <n v="156.61000000000001"/>
    <x v="1"/>
    <n v="0"/>
    <s v="Tablet"/>
    <s v="230.112.227.154"/>
    <x v="0"/>
    <n v="56"/>
    <n v="-0.24925307310827099"/>
    <n v="0"/>
    <n v="1"/>
    <n v="1"/>
    <n v="3"/>
    <n v="0"/>
  </r>
  <r>
    <s v="a80cd667-e5d4-49bf-94ea-1ba7ab497210"/>
    <s v="9869282c-a06c-42f8-83ab-1bd822927215"/>
    <d v="2025-05-03T00:00:00"/>
    <d v="1899-12-30T15:18:16"/>
    <n v="15"/>
    <n v="37"/>
    <s v="Bronze"/>
    <s v="Shanghai"/>
    <s v="POPUP-TOKYO"/>
    <s v="ECLIPSE-EYE-10"/>
    <s v="Eyeshadow Palette"/>
    <n v="156.56"/>
    <x v="4"/>
    <n v="0"/>
    <s v="Desktop"/>
    <s v="219.112.151.137"/>
    <x v="0"/>
    <n v="486"/>
    <n v="-0.24994528608207578"/>
    <n v="0"/>
    <n v="0"/>
    <n v="0"/>
    <n v="0"/>
    <n v="0"/>
  </r>
  <r>
    <s v="1ca6d410-2328-4f10-a71b-a09ec81463e9"/>
    <s v="f90ba2d8-3a5f-47ca-9cd4-ecc2b820ed00"/>
    <d v="2025-04-05T00:00:00"/>
    <d v="1899-12-30T09:57:19"/>
    <n v="9"/>
    <n v="19"/>
    <s v="Silver"/>
    <s v="Sydney"/>
    <s v="FLAGSHIP-LA"/>
    <s v="AURORA-LIP-01"/>
    <s v="Mascara"/>
    <n v="156.16"/>
    <x v="0"/>
    <n v="0"/>
    <s v="Desktop"/>
    <s v="229.217.92.232"/>
    <x v="0"/>
    <n v="290"/>
    <n v="-0.25548298987251283"/>
    <n v="0"/>
    <n v="0"/>
    <n v="0"/>
    <n v="0"/>
    <n v="0"/>
  </r>
  <r>
    <s v="9802d3ed-cf08-4870-828a-43f648da3dd1"/>
    <s v="e63dc591-2a69-4a9c-bd75-8063f75aeb02"/>
    <d v="2025-06-20T00:00:00"/>
    <d v="1899-12-30T22:04:00"/>
    <n v="22"/>
    <n v="47"/>
    <s v="Gold"/>
    <s v="Las Vegas"/>
    <s v="FLAGSHIP-LA"/>
    <s v="SOLAR-BLUSH-04"/>
    <s v="Concealer"/>
    <n v="156.16"/>
    <x v="4"/>
    <n v="0"/>
    <s v="Desktop"/>
    <s v="127.237.146.230"/>
    <x v="0"/>
    <n v="487"/>
    <n v="-0.25548298987251283"/>
    <n v="0"/>
    <n v="0"/>
    <n v="0"/>
    <n v="0"/>
    <n v="0"/>
  </r>
  <r>
    <s v="5cd1e67a-71a5-4ad9-ae41-80424b7c6ade"/>
    <s v="6f06dc2d-4766-4285-a67b-4d3dcba0e83f"/>
    <d v="2025-07-05T00:00:00"/>
    <d v="1899-12-30T15:37:35"/>
    <n v="15"/>
    <n v="47"/>
    <s v="VIP"/>
    <s v="Dubai"/>
    <s v="BOUTIQUE-NYC"/>
    <s v="ECLIPSE-EYE-10"/>
    <s v="Highlighter"/>
    <n v="156.13999999999999"/>
    <x v="0"/>
    <n v="0"/>
    <s v="Desktop"/>
    <s v="72.58.134.126"/>
    <x v="0"/>
    <n v="391"/>
    <n v="-0.25575987506203485"/>
    <n v="0"/>
    <n v="0"/>
    <n v="0"/>
    <n v="0"/>
    <n v="0"/>
  </r>
  <r>
    <s v="caf34f3d-f321-469b-b04b-c936aed03030"/>
    <s v="bb2f0650-8199-4bc4-b5f0-f7c751b2ad13"/>
    <d v="2025-02-18T00:00:00"/>
    <d v="1899-12-30T17:33:07"/>
    <n v="17"/>
    <n v="57"/>
    <s v="Gold"/>
    <s v="Zurich"/>
    <s v="BOUTIQUE-SHANGHAI"/>
    <s v="LUNAR-MASC-02"/>
    <s v="Foundation"/>
    <n v="156.13999999999999"/>
    <x v="3"/>
    <n v="0"/>
    <s v="Tablet"/>
    <s v="73.159.198.246"/>
    <x v="0"/>
    <n v="107"/>
    <n v="-0.25575987506203485"/>
    <n v="0"/>
    <n v="0"/>
    <n v="1"/>
    <n v="1"/>
    <n v="0"/>
  </r>
  <r>
    <s v="940eda46-3849-4296-b459-d7b5999c4306"/>
    <s v="76a50cae-9105-45f4-8e36-4407c6f9ad20"/>
    <d v="2025-06-25T00:00:00"/>
    <d v="1899-12-30T12:52:04"/>
    <n v="12"/>
    <n v="51"/>
    <s v="Gold"/>
    <s v="London"/>
    <s v="BOUTIQUE-SHANGHAI"/>
    <s v="ECLIPSE-EYE-10"/>
    <s v="Eyeliner"/>
    <n v="156.09"/>
    <x v="2"/>
    <n v="1"/>
    <s v="Laptop"/>
    <s v="83.126.65.49"/>
    <x v="0"/>
    <n v="65"/>
    <n v="-0.25645208803583924"/>
    <n v="0"/>
    <n v="0"/>
    <n v="1"/>
    <n v="3"/>
    <n v="0"/>
  </r>
  <r>
    <s v="e388e258-2dbd-483d-b7b5-5decb0a0f176"/>
    <s v="24745116-219d-4817-933b-2f4043a9bb65"/>
    <d v="2025-05-01T00:00:00"/>
    <d v="1899-12-30T23:16:10"/>
    <n v="23"/>
    <n v="38"/>
    <s v="Bronze"/>
    <s v="Hong Kong"/>
    <s v="BOUTIQUE-DUBAI"/>
    <s v="COSMIC-HIGHLIGHT-06"/>
    <s v="Mascara"/>
    <n v="155.86000000000001"/>
    <x v="2"/>
    <n v="1"/>
    <s v="Desktop"/>
    <s v="173.168.128.154"/>
    <x v="0"/>
    <n v="412"/>
    <n v="-0.25963626771534032"/>
    <n v="0"/>
    <n v="0"/>
    <n v="0"/>
    <n v="2"/>
    <n v="0"/>
  </r>
  <r>
    <s v="6420ccdd-eeb0-4292-8336-79e661791008"/>
    <s v="cacb18fc-ea3a-48b9-accf-3a4ad669d852"/>
    <d v="2025-05-10T00:00:00"/>
    <d v="1899-12-30T16:09:28"/>
    <n v="16"/>
    <n v="56"/>
    <s v="Bronze"/>
    <s v="Cannes"/>
    <s v="CONCESSION-SINGAPORE"/>
    <s v="NEBULA-SERUM-07"/>
    <s v="Setting Spray"/>
    <n v="155.83000000000001"/>
    <x v="3"/>
    <n v="0"/>
    <s v="Tablet"/>
    <s v="71.23.204.92"/>
    <x v="0"/>
    <n v="408"/>
    <n v="-0.26005159549962314"/>
    <n v="0"/>
    <n v="0"/>
    <n v="0"/>
    <n v="0"/>
    <n v="0"/>
  </r>
  <r>
    <s v="2e10b866-eb29-40bd-b760-88416b389c25"/>
    <s v="1316d663-4ddf-4c2b-a638-07b110d5e370"/>
    <d v="2025-05-20T00:00:00"/>
    <d v="1899-12-30T18:13:58"/>
    <n v="18"/>
    <n v="19"/>
    <s v="VIP"/>
    <s v="Los Angeles"/>
    <s v="FLAGSHIP-LA"/>
    <s v="ECLIPSE-EYE-10"/>
    <s v="Mascara"/>
    <n v="155.76"/>
    <x v="4"/>
    <n v="0"/>
    <s v="Desktop"/>
    <s v="97.241.92.132"/>
    <x v="0"/>
    <n v="140"/>
    <n v="-0.26102069366294989"/>
    <n v="0"/>
    <n v="0"/>
    <n v="1"/>
    <n v="1"/>
    <n v="0"/>
  </r>
  <r>
    <s v="78782c7c-c3b2-4273-817a-9e8be02070b1"/>
    <s v="449eebf3-2299-4a70-bfe9-601a38eec383"/>
    <d v="2025-03-25T00:00:00"/>
    <d v="1899-12-30T21:22:22"/>
    <n v="21"/>
    <n v="28"/>
    <s v="Bronze"/>
    <s v="Hong Kong"/>
    <s v="POPUP-MILAN"/>
    <s v="ORION-CONCEAL-09"/>
    <s v="Mascara"/>
    <n v="155.72"/>
    <x v="3"/>
    <n v="0"/>
    <s v="Laptop"/>
    <s v="13.228.224.204"/>
    <x v="0"/>
    <n v="380"/>
    <n v="-0.26157446404199347"/>
    <n v="0"/>
    <n v="0"/>
    <n v="0"/>
    <n v="0"/>
    <n v="0"/>
  </r>
  <r>
    <s v="5f88396f-39cc-4621-85e6-012c9abe5fb9"/>
    <s v="82ad3e5d-7588-4570-8d09-798d3c212590"/>
    <d v="2025-04-11T00:00:00"/>
    <d v="1899-12-30T02:58:36"/>
    <n v="2"/>
    <n v="22"/>
    <s v="Bronze"/>
    <s v="San Francisco"/>
    <s v="POPUP-TOKYO"/>
    <s v="AURORA-LIP-01"/>
    <s v="Blush"/>
    <n v="155.66999999999999"/>
    <x v="0"/>
    <n v="0"/>
    <s v="Desktop"/>
    <s v="75.149.39.99"/>
    <x v="0"/>
    <n v="81"/>
    <n v="-0.26226667701579826"/>
    <n v="0"/>
    <n v="1"/>
    <n v="1"/>
    <n v="3"/>
    <n v="0"/>
  </r>
  <r>
    <s v="2efc5a7d-52f4-459f-b6d4-960230d2d916"/>
    <s v="72634f90-20a5-40f4-b040-9d2a659e1ed5"/>
    <d v="2025-06-29T00:00:00"/>
    <d v="1899-12-30T04:41:43"/>
    <n v="4"/>
    <n v="55"/>
    <s v="Gold"/>
    <s v="Zurich"/>
    <s v="BOUTIQUE-NYC"/>
    <s v="AURORA-LIP-01"/>
    <s v="Eyeliner"/>
    <n v="155.57"/>
    <x v="1"/>
    <n v="0"/>
    <s v="Tablet"/>
    <s v="117.168.98.55"/>
    <x v="0"/>
    <n v="112"/>
    <n v="-0.26365110296340744"/>
    <n v="0"/>
    <n v="1"/>
    <n v="1"/>
    <n v="3"/>
    <n v="0"/>
  </r>
  <r>
    <s v="8f632826-2f57-4290-9eed-651ee014dda3"/>
    <s v="97d333c6-0d21-401c-9f08-35f288b4e5e8"/>
    <d v="2025-05-05T00:00:00"/>
    <d v="1899-12-30T11:09:49"/>
    <n v="11"/>
    <n v="42"/>
    <s v="Silver"/>
    <s v="Monaco"/>
    <s v="BOUTIQUE-NYC"/>
    <s v="COSMIC-HIGHLIGHT-06"/>
    <s v="Blush"/>
    <n v="155.54"/>
    <x v="3"/>
    <n v="0"/>
    <s v="Desktop"/>
    <s v="147.85.105.56"/>
    <x v="0"/>
    <n v="371"/>
    <n v="-0.26406643074769021"/>
    <n v="0"/>
    <n v="0"/>
    <n v="0"/>
    <n v="0"/>
    <n v="0"/>
  </r>
  <r>
    <s v="f90d8f12-a560-406f-be24-4d029f0766d5"/>
    <s v="59e499ff-8dc8-4ca5-8713-482e6aff7b87"/>
    <d v="2025-03-31T00:00:00"/>
    <d v="1899-12-30T14:14:51"/>
    <n v="14"/>
    <n v="49"/>
    <s v="Bronze"/>
    <s v="Tokyo"/>
    <s v="BOUTIQUE-NYC"/>
    <s v="SOLAR-BLUSH-04"/>
    <s v="Serum"/>
    <n v="155.21"/>
    <x v="3"/>
    <n v="0"/>
    <s v="Desktop"/>
    <s v="251.151.214.205"/>
    <x v="0"/>
    <n v="485"/>
    <n v="-0.26863503637480052"/>
    <n v="0"/>
    <n v="0"/>
    <n v="0"/>
    <n v="0"/>
    <n v="0"/>
  </r>
  <r>
    <s v="c6c2a770-b6a4-4789-9b58-0fb34e55ef23"/>
    <s v="25249d17-310e-476c-a154-8f474a732434"/>
    <d v="2025-03-07T00:00:00"/>
    <d v="1899-12-30T14:52:56"/>
    <n v="14"/>
    <n v="37"/>
    <s v="Silver"/>
    <s v="Cannes"/>
    <s v="BOUTIQUE-NYC"/>
    <s v="SOLAR-BLUSH-04"/>
    <s v="Highlighter"/>
    <n v="155.15"/>
    <x v="4"/>
    <n v="0"/>
    <s v="Laptop"/>
    <s v="220.103.142.25"/>
    <x v="0"/>
    <n v="245"/>
    <n v="-0.26946569194336611"/>
    <n v="0"/>
    <n v="0"/>
    <n v="1"/>
    <n v="1"/>
    <n v="0"/>
  </r>
  <r>
    <s v="861c8b0d-fe84-483f-9059-d4db6609464c"/>
    <s v="faa0703d-8e0f-4ab8-bd21-9b52b334f6d4"/>
    <d v="2025-06-28T00:00:00"/>
    <d v="1899-12-30T15:33:46"/>
    <n v="15"/>
    <n v="41"/>
    <s v="Silver"/>
    <s v="San Francisco"/>
    <s v="FLAGSHIP-PARIS"/>
    <s v="NEBULA-SERUM-07"/>
    <s v="Eyeshadow Palette"/>
    <n v="154.94"/>
    <x v="0"/>
    <n v="0"/>
    <s v="Tablet"/>
    <s v="64.91.92.15"/>
    <x v="0"/>
    <n v="176"/>
    <n v="-0.27237298643334562"/>
    <n v="0"/>
    <n v="0"/>
    <n v="1"/>
    <n v="1"/>
    <n v="0"/>
  </r>
  <r>
    <s v="a5b590bb-5c4d-41ae-a3ab-6acf00a70c3c"/>
    <s v="4c66c3a7-11b2-4a50-8c2a-162f24bc7d4a"/>
    <d v="2025-07-19T00:00:00"/>
    <d v="1899-12-30T03:11:08"/>
    <n v="3"/>
    <n v="19"/>
    <s v="Bronze"/>
    <s v="Zurich"/>
    <s v="CONCESSION-LONDON"/>
    <s v="STELLAR-FOUND-03"/>
    <s v="Setting Spray"/>
    <n v="154.88"/>
    <x v="3"/>
    <n v="0"/>
    <s v="Laptop"/>
    <s v="38.218.189.197"/>
    <x v="0"/>
    <n v="320"/>
    <n v="-0.27320364200191122"/>
    <n v="0"/>
    <n v="1"/>
    <n v="0"/>
    <n v="2"/>
    <n v="0"/>
  </r>
  <r>
    <s v="703aa1e5-63a0-422a-a6e6-4c5edf581115"/>
    <s v="ef70f0d5-d44a-4882-93f2-e2876c6e425c"/>
    <d v="2025-08-11T00:00:00"/>
    <d v="1899-12-30T05:28:29"/>
    <n v="5"/>
    <n v="42"/>
    <s v="Bronze"/>
    <s v="Paris"/>
    <s v="POPUP-TOKYO"/>
    <s v="STELLAR-FOUND-03"/>
    <s v="Highlighter"/>
    <n v="154.5"/>
    <x v="0"/>
    <n v="0"/>
    <s v="Desktop"/>
    <s v="1.218.26.165"/>
    <x v="0"/>
    <n v="177"/>
    <n v="-0.27846446060282626"/>
    <n v="0"/>
    <n v="1"/>
    <n v="1"/>
    <n v="3"/>
    <n v="0"/>
  </r>
  <r>
    <s v="2ff6ad65-d759-4b8d-94fe-3a3d6450c6f5"/>
    <s v="6f052737-25c5-4a72-8e84-24738172534b"/>
    <d v="2025-05-31T00:00:00"/>
    <d v="1899-12-30T22:59:31"/>
    <n v="22"/>
    <n v="46"/>
    <s v="Gold"/>
    <s v="London"/>
    <s v="BOUTIQUE-SHANGHAI"/>
    <s v="ECLIPSE-EYE-10"/>
    <s v="Mascara"/>
    <n v="154.47999999999999"/>
    <x v="3"/>
    <n v="0"/>
    <s v="Tablet"/>
    <s v="72.71.161.211"/>
    <x v="0"/>
    <n v="178"/>
    <n v="-0.27874134579234827"/>
    <n v="0"/>
    <n v="0"/>
    <n v="1"/>
    <n v="1"/>
    <n v="0"/>
  </r>
  <r>
    <s v="6033690f-f562-4dd3-8970-83b40ebdb281"/>
    <s v="affcc764-d79e-45da-9c69-59453ff3efcc"/>
    <d v="2025-06-19T00:00:00"/>
    <d v="1899-12-30T16:12:01"/>
    <n v="16"/>
    <n v="51"/>
    <s v="Silver"/>
    <s v="Sydney"/>
    <s v="POPUP-TOKYO"/>
    <s v="ECLIPSE-EYE-10"/>
    <s v="Mascara"/>
    <n v="154.44999999999999"/>
    <x v="4"/>
    <n v="0"/>
    <s v="Tablet"/>
    <s v="160.146.178.53"/>
    <x v="0"/>
    <n v="73"/>
    <n v="-0.27915667357663104"/>
    <n v="0"/>
    <n v="0"/>
    <n v="1"/>
    <n v="1"/>
    <n v="0"/>
  </r>
  <r>
    <s v="b0b41b6f-8511-43dc-99f5-1db7fb399710"/>
    <s v="52071610-86ac-428b-8c8f-b6d80cf50456"/>
    <d v="2025-05-15T00:00:00"/>
    <d v="1899-12-30T10:29:31"/>
    <n v="10"/>
    <n v="33"/>
    <s v="Silver"/>
    <s v="San Francisco"/>
    <s v="BOUTIQUE-NYC"/>
    <s v="SOLAR-BLUSH-04"/>
    <s v="Highlighter"/>
    <n v="154.43"/>
    <x v="1"/>
    <n v="0"/>
    <s v="Tablet"/>
    <s v="7.105.197.88"/>
    <x v="0"/>
    <n v="491"/>
    <n v="-0.27943355876615267"/>
    <n v="0"/>
    <n v="0"/>
    <n v="0"/>
    <n v="0"/>
    <n v="0"/>
  </r>
  <r>
    <s v="d66f3d29-18b8-47e2-b78a-c086b9301272"/>
    <s v="da56e2be-6f7d-4d85-a166-311bf1104285"/>
    <d v="2025-05-28T00:00:00"/>
    <d v="1899-12-30T17:11:18"/>
    <n v="17"/>
    <n v="28"/>
    <s v="VIP"/>
    <s v="Dubai"/>
    <s v="FLAGSHIP-ROME"/>
    <s v="CELESTE-EYE-05"/>
    <s v="Mascara"/>
    <n v="154.37"/>
    <x v="0"/>
    <n v="0"/>
    <s v="Desktop"/>
    <s v="188.143.90.131"/>
    <x v="0"/>
    <n v="401"/>
    <n v="-0.28026421433471821"/>
    <n v="0"/>
    <n v="0"/>
    <n v="0"/>
    <n v="0"/>
    <n v="0"/>
  </r>
  <r>
    <s v="1bd1581c-dd35-4e35-b54e-b28406bc0b13"/>
    <s v="bbe47637-4ed8-47c0-b65b-f090c0654bfe"/>
    <d v="2025-05-01T00:00:00"/>
    <d v="1899-12-30T07:03:06"/>
    <n v="7"/>
    <n v="62"/>
    <s v="Gold"/>
    <s v="Zurich"/>
    <s v="BOUTIQUE-NYC"/>
    <s v="CELESTE-EYE-05"/>
    <s v="Highlighter"/>
    <n v="154.34"/>
    <x v="3"/>
    <n v="0"/>
    <s v="Laptop"/>
    <s v="89.231.248.62"/>
    <x v="0"/>
    <n v="391"/>
    <n v="-0.28067954211900104"/>
    <n v="0"/>
    <n v="0"/>
    <n v="0"/>
    <n v="0"/>
    <n v="0"/>
  </r>
  <r>
    <s v="6e74bdf7-0b71-49cf-ac8c-569dd795ee60"/>
    <s v="b98b3b7f-574f-423e-b23d-a28487069784"/>
    <d v="2025-07-30T00:00:00"/>
    <d v="1899-12-30T18:03:27"/>
    <n v="18"/>
    <n v="19"/>
    <s v="Bronze"/>
    <s v="Miami"/>
    <s v="FLAGSHIP-LA"/>
    <s v="GALAXIA-SET-08"/>
    <s v="Blush"/>
    <n v="154.21"/>
    <x v="4"/>
    <n v="0"/>
    <s v="Tablet"/>
    <s v="179.24.52.199"/>
    <x v="0"/>
    <n v="141"/>
    <n v="-0.28247929585089299"/>
    <n v="0"/>
    <n v="0"/>
    <n v="1"/>
    <n v="1"/>
    <n v="0"/>
  </r>
  <r>
    <s v="11edb59e-b51a-4fa1-8dd5-5b30f0a81444"/>
    <s v="ff822472-f07a-49db-ab5a-3b7c1d5ef439"/>
    <d v="2025-04-16T00:00:00"/>
    <d v="1899-12-30T23:12:18"/>
    <n v="23"/>
    <n v="49"/>
    <s v="Silver"/>
    <s v="Singapore"/>
    <s v="CONCESSION-SINGAPORE"/>
    <s v="AURORA-LIP-01"/>
    <s v="Blush"/>
    <n v="154.01"/>
    <x v="0"/>
    <n v="0"/>
    <s v="Laptop"/>
    <s v="164.228.62.123"/>
    <x v="0"/>
    <n v="438"/>
    <n v="-0.28524814774611168"/>
    <n v="0"/>
    <n v="0"/>
    <n v="0"/>
    <n v="0"/>
    <n v="0"/>
  </r>
  <r>
    <s v="929c6c74-e70c-44e0-9534-a25f3f0a4092"/>
    <s v="813fffc4-feb6-4e0f-9dff-d97dbac0b385"/>
    <d v="2025-03-28T00:00:00"/>
    <d v="1899-12-30T14:30:14"/>
    <n v="14"/>
    <n v="40"/>
    <s v="Unknown"/>
    <s v="Monte Carlo"/>
    <s v="BOUTIQUE-DUBAI"/>
    <s v="ORION-CONCEAL-09"/>
    <s v="Eyeliner"/>
    <n v="153.79"/>
    <x v="0"/>
    <n v="0"/>
    <s v="Desktop"/>
    <s v="231.237.209.191"/>
    <x v="0"/>
    <n v="462"/>
    <n v="-0.288293884830852"/>
    <n v="0"/>
    <n v="0"/>
    <n v="0"/>
    <n v="0"/>
    <n v="0"/>
  </r>
  <r>
    <s v="d51251c1-76ef-49e9-9a7b-efde5132fc6c"/>
    <s v="5b64be6e-dc39-4e89-9dd2-1107d674176d"/>
    <d v="2025-06-22T00:00:00"/>
    <d v="1899-12-30T08:14:23"/>
    <n v="8"/>
    <n v="25"/>
    <s v="Bronze"/>
    <s v="Geneva"/>
    <s v="CONCESSION-SINGAPORE"/>
    <s v="STELLAR-FOUND-03"/>
    <s v="Lipstick"/>
    <n v="153.69"/>
    <x v="3"/>
    <n v="0"/>
    <s v="Tablet"/>
    <s v="177.85.37.67"/>
    <x v="0"/>
    <n v="357"/>
    <n v="-0.28967831077846118"/>
    <n v="0"/>
    <n v="0"/>
    <n v="0"/>
    <n v="0"/>
    <n v="0"/>
  </r>
  <r>
    <s v="6e3fcd93-da0b-4769-9f04-a638f5f4e35c"/>
    <s v="ffbea0c8-58db-44a0-b8e2-d96139e4fc8f"/>
    <d v="2025-05-13T00:00:00"/>
    <d v="1899-12-30T05:10:20"/>
    <n v="5"/>
    <n v="31"/>
    <s v="Silver"/>
    <s v="Shanghai"/>
    <s v="POPUP-MILAN"/>
    <s v="CELESTE-EYE-05"/>
    <s v="Eyeliner"/>
    <n v="153.66999999999999"/>
    <x v="3"/>
    <n v="0"/>
    <s v="Tablet"/>
    <s v="248.74.78.253"/>
    <x v="0"/>
    <n v="67"/>
    <n v="-0.28995519596798319"/>
    <n v="0"/>
    <n v="1"/>
    <n v="1"/>
    <n v="3"/>
    <n v="0"/>
  </r>
  <r>
    <s v="b2fd37f1-bdca-4463-9098-00557771259c"/>
    <s v="05bc9a1e-baff-40b2-91e0-4e0296211d91"/>
    <d v="2025-07-28T00:00:00"/>
    <d v="1899-12-30T14:46:44"/>
    <n v="14"/>
    <n v="54"/>
    <s v="Silver"/>
    <s v="Cannes"/>
    <s v="FLAGSHIP-ROME"/>
    <s v="ORION-CONCEAL-09"/>
    <s v="Blush"/>
    <n v="153.61000000000001"/>
    <x v="4"/>
    <n v="0"/>
    <s v="Tablet"/>
    <s v="130.87.43.136"/>
    <x v="0"/>
    <n v="84"/>
    <n v="-0.29078585153654835"/>
    <n v="0"/>
    <n v="0"/>
    <n v="1"/>
    <n v="1"/>
    <n v="0"/>
  </r>
  <r>
    <s v="73f38d53-0381-44f0-9c93-411b3d11df7f"/>
    <s v="819e23d0-2360-4bf5-a008-8893540e5f06"/>
    <d v="2025-03-01T00:00:00"/>
    <d v="1899-12-30T04:10:20"/>
    <n v="4"/>
    <n v="28"/>
    <s v="Silver"/>
    <s v="Miami"/>
    <s v="POPUP-MILAN"/>
    <s v="LUNAR-MASC-02"/>
    <s v="Lipstick"/>
    <n v="153.37"/>
    <x v="1"/>
    <n v="0"/>
    <s v="Desktop"/>
    <s v="211.73.6.70"/>
    <x v="0"/>
    <n v="52"/>
    <n v="-0.29410847381081068"/>
    <n v="0"/>
    <n v="1"/>
    <n v="1"/>
    <n v="3"/>
    <n v="0"/>
  </r>
  <r>
    <s v="49155fc6-bb53-48f0-9728-e36adb63af99"/>
    <s v="7a082cf4-b7dc-4878-b644-ca0a8cb01e53"/>
    <d v="2025-08-04T00:00:00"/>
    <d v="1899-12-30T08:11:35"/>
    <n v="8"/>
    <n v="46"/>
    <s v="Gold"/>
    <s v="Zurich"/>
    <s v="FLAGSHIP-ROME"/>
    <s v="SOLAR-BLUSH-04"/>
    <s v="Serum"/>
    <n v="152.94999999999999"/>
    <x v="4"/>
    <n v="0"/>
    <s v="Laptop"/>
    <s v="110.47.113.208"/>
    <x v="0"/>
    <n v="116"/>
    <n v="-0.29992306279076975"/>
    <n v="0"/>
    <n v="0"/>
    <n v="1"/>
    <n v="1"/>
    <n v="0"/>
  </r>
  <r>
    <s v="515f3981-6bd6-473d-b284-5f3534ad2bdc"/>
    <s v="11b67c0e-60d4-4498-97c6-9bd3c95dc2a0"/>
    <d v="2025-05-29T00:00:00"/>
    <d v="1899-12-30T21:31:26"/>
    <n v="21"/>
    <n v="25"/>
    <s v="Bronze"/>
    <s v="Cannes"/>
    <s v="FLAGSHIP-LA"/>
    <s v="AURORA-LIP-01"/>
    <s v="Lipstick"/>
    <n v="152.88999999999999"/>
    <x v="0"/>
    <n v="0"/>
    <s v="Laptop"/>
    <s v="231.172.193.243"/>
    <x v="0"/>
    <n v="436"/>
    <n v="-0.30075371835933529"/>
    <n v="0"/>
    <n v="0"/>
    <n v="0"/>
    <n v="0"/>
    <n v="0"/>
  </r>
  <r>
    <s v="b9993b3e-4f5f-4180-8026-6177ff50311a"/>
    <s v="30ed989d-b278-4974-b622-780b6f145cea"/>
    <d v="2025-06-07T00:00:00"/>
    <d v="1899-12-30T02:46:57"/>
    <n v="2"/>
    <n v="61"/>
    <s v="Gold"/>
    <s v="Las Vegas"/>
    <s v="BOUTIQUE-SHANGHAI"/>
    <s v="SOLAR-BLUSH-04"/>
    <s v="Lipstick"/>
    <n v="152.81"/>
    <x v="4"/>
    <n v="0"/>
    <s v="Laptop"/>
    <s v="208.188.95.222"/>
    <x v="0"/>
    <n v="353"/>
    <n v="-0.30186125911742251"/>
    <n v="0"/>
    <n v="1"/>
    <n v="0"/>
    <n v="2"/>
    <n v="0"/>
  </r>
  <r>
    <s v="3567b6bb-114a-44e7-8024-a80693d3fd24"/>
    <s v="8add76f5-e944-4d62-ba27-1d7e5d6e055f"/>
    <d v="2025-06-25T00:00:00"/>
    <d v="1899-12-30T18:26:15"/>
    <n v="18"/>
    <n v="39"/>
    <s v="Bronze"/>
    <s v="New York"/>
    <s v="BOUTIQUE-NYC"/>
    <s v="SOLAR-BLUSH-04"/>
    <s v="Blush"/>
    <n v="152.79"/>
    <x v="0"/>
    <n v="0"/>
    <s v="Laptop"/>
    <s v="26.81.77.83"/>
    <x v="0"/>
    <n v="304"/>
    <n v="-0.30213814430694447"/>
    <n v="0"/>
    <n v="0"/>
    <n v="0"/>
    <n v="0"/>
    <n v="0"/>
  </r>
  <r>
    <s v="2088c7fd-fd64-4a96-8f9e-692a33a9e613"/>
    <s v="18dd3fc6-7157-414e-911f-ce21bf1a5a10"/>
    <d v="2025-02-16T00:00:00"/>
    <d v="1899-12-30T11:17:50"/>
    <n v="11"/>
    <n v="35"/>
    <s v="Bronze"/>
    <s v="Las Vegas"/>
    <s v="CONCESSION-LONDON"/>
    <s v="NEBULA-SERUM-07"/>
    <s v="Mascara"/>
    <n v="152.69999999999999"/>
    <x v="1"/>
    <n v="0"/>
    <s v="Desktop"/>
    <s v="243.11.117.45"/>
    <x v="0"/>
    <n v="50"/>
    <n v="-0.30338412765979283"/>
    <n v="0"/>
    <n v="0"/>
    <n v="1"/>
    <n v="1"/>
    <n v="0"/>
  </r>
  <r>
    <s v="5817e271-a66a-4874-897d-1b48974f039c"/>
    <s v="2a57207b-4b0e-48ee-a591-fd025560eb30"/>
    <d v="2025-08-06T00:00:00"/>
    <d v="1899-12-30T00:15:02"/>
    <n v="0"/>
    <n v="20"/>
    <s v="Bronze"/>
    <s v="Monte Carlo"/>
    <s v="FLAGSHIP-ROME"/>
    <s v="ORION-CONCEAL-09"/>
    <s v="Mascara"/>
    <n v="152.63"/>
    <x v="0"/>
    <n v="0"/>
    <s v="Laptop"/>
    <s v="53.200.32.197"/>
    <x v="0"/>
    <n v="483"/>
    <n v="-0.30435322582311924"/>
    <n v="0"/>
    <n v="1"/>
    <n v="0"/>
    <n v="2"/>
    <n v="0"/>
  </r>
  <r>
    <s v="d9a3b2ba-2511-4b64-bda9-bf8017d73fe6"/>
    <s v="fd17ac08-99b0-4521-b34f-80133cea1a63"/>
    <d v="2025-07-05T00:00:00"/>
    <d v="1899-12-30T02:35:57"/>
    <n v="2"/>
    <n v="35"/>
    <s v="Silver"/>
    <s v="Geneva"/>
    <s v="POPUP-TOKYO"/>
    <s v="STELLAR-FOUND-03"/>
    <s v="Blush"/>
    <n v="152.54"/>
    <x v="2"/>
    <n v="1"/>
    <s v="Tablet"/>
    <s v="136.144.144.99"/>
    <x v="0"/>
    <n v="79"/>
    <n v="-0.30559920917596761"/>
    <n v="0"/>
    <n v="1"/>
    <n v="1"/>
    <n v="5"/>
    <n v="1"/>
  </r>
  <r>
    <s v="da87b37a-46cb-46ba-8062-39aef9aff9ff"/>
    <s v="e65a5d8a-51ac-4ca9-8415-4474f46646b4"/>
    <d v="2025-07-13T00:00:00"/>
    <d v="1899-12-30T03:29:39"/>
    <n v="3"/>
    <n v="50"/>
    <s v="Platinum"/>
    <s v="Tokyo"/>
    <s v="FLAGSHIP-PARIS"/>
    <s v="ORION-CONCEAL-09"/>
    <s v="Highlighter"/>
    <n v="152.47"/>
    <x v="0"/>
    <n v="0"/>
    <s v="Tablet"/>
    <s v="120.221.209.188"/>
    <x v="0"/>
    <n v="406"/>
    <n v="-0.30656830733929397"/>
    <n v="0"/>
    <n v="1"/>
    <n v="0"/>
    <n v="2"/>
    <n v="0"/>
  </r>
  <r>
    <s v="b8cc2743-4b1e-4c7e-9621-86033f3e12dc"/>
    <s v="26a58ff1-9f93-4a32-96da-baeb5aea0890"/>
    <d v="2025-06-08T00:00:00"/>
    <d v="1899-12-30T23:59:52"/>
    <n v="23"/>
    <n v="30"/>
    <s v="Bronze"/>
    <s v="Hong Kong"/>
    <s v="BOUTIQUE-SHANGHAI"/>
    <s v="LUNAR-MASC-02"/>
    <s v="Eyeshadow Palette"/>
    <n v="152.19999999999999"/>
    <x v="0"/>
    <n v="0"/>
    <s v="Desktop"/>
    <s v="220.0.159.243"/>
    <x v="0"/>
    <n v="178"/>
    <n v="-0.31030625739783907"/>
    <n v="0"/>
    <n v="0"/>
    <n v="1"/>
    <n v="1"/>
    <n v="0"/>
  </r>
  <r>
    <s v="c4d99d2c-325a-4a06-8793-0927a9b60e12"/>
    <s v="57378b78-10f6-4a0e-9a62-8d5129493ea5"/>
    <d v="2025-07-31T00:00:00"/>
    <d v="1899-12-30T05:59:54"/>
    <n v="5"/>
    <n v="60"/>
    <s v="Gold"/>
    <s v="San Francisco"/>
    <s v="BOUTIQUE-DUBAI"/>
    <s v="CELESTE-EYE-05"/>
    <s v="Highlighter"/>
    <n v="152"/>
    <x v="4"/>
    <n v="0"/>
    <s v="Tablet"/>
    <s v="172.189.67.21"/>
    <x v="0"/>
    <n v="280"/>
    <n v="-0.31307510929305743"/>
    <n v="0"/>
    <n v="1"/>
    <n v="0"/>
    <n v="2"/>
    <n v="0"/>
  </r>
  <r>
    <s v="98a59d3d-3097-42ee-a19d-2310ab2f4d77"/>
    <s v="f0c0ee44-0bba-4db2-9c04-eeb871860c26"/>
    <d v="2025-04-05T00:00:00"/>
    <d v="1899-12-30T04:32:24"/>
    <n v="4"/>
    <n v="57"/>
    <s v="Gold"/>
    <s v="Geneva"/>
    <s v="CONCESSION-SINGAPORE"/>
    <s v="STELLAR-FOUND-03"/>
    <s v="Eyeliner"/>
    <n v="151.94"/>
    <x v="1"/>
    <n v="0"/>
    <s v="Laptop"/>
    <s v="188.213.83.73"/>
    <x v="0"/>
    <n v="70"/>
    <n v="-0.31390576486162297"/>
    <n v="0"/>
    <n v="1"/>
    <n v="1"/>
    <n v="3"/>
    <n v="0"/>
  </r>
  <r>
    <s v="954d2839-fd9c-4fb0-b19f-7a942c7ee6ba"/>
    <s v="801e8ebd-6189-44aa-8020-3c8fc5b2a992"/>
    <d v="2025-07-22T00:00:00"/>
    <d v="1899-12-30T00:41:46"/>
    <n v="0"/>
    <n v="31"/>
    <s v="Unknown"/>
    <s v="Miami"/>
    <s v="BOUTIQUE-NYC"/>
    <s v="AURORA-LIP-01"/>
    <s v="Setting Spray"/>
    <n v="151.84"/>
    <x v="3"/>
    <n v="0"/>
    <s v="Desktop"/>
    <s v="111.232.177.147"/>
    <x v="0"/>
    <n v="192"/>
    <n v="-0.31529019080923215"/>
    <n v="0"/>
    <n v="1"/>
    <n v="1"/>
    <n v="3"/>
    <n v="0"/>
  </r>
  <r>
    <s v="0f16a95c-ae50-4719-a1c3-681a0771a86f"/>
    <s v="1a950e6d-51a7-4dd1-b3dc-a4dda823fd95"/>
    <d v="2025-03-09T00:00:00"/>
    <d v="1899-12-30T02:14:24"/>
    <n v="2"/>
    <n v="39"/>
    <s v="Bronze"/>
    <s v="Monaco"/>
    <s v="CONCESSION-LONDON"/>
    <s v="ECLIPSE-EYE-10"/>
    <s v="Concealer"/>
    <n v="151.83000000000001"/>
    <x v="3"/>
    <n v="0"/>
    <s v="Laptop"/>
    <s v="12.114.105.194"/>
    <x v="0"/>
    <n v="330"/>
    <n v="-0.31542863340399296"/>
    <n v="0"/>
    <n v="1"/>
    <n v="0"/>
    <n v="2"/>
    <n v="0"/>
  </r>
  <r>
    <s v="c393b025-82ea-4409-a7a2-c7dd97c40b36"/>
    <s v="e7c1fcfe-9307-40ac-b967-0bbb2b50b86c"/>
    <d v="2025-04-26T00:00:00"/>
    <d v="1899-12-30T12:27:30"/>
    <n v="12"/>
    <n v="41"/>
    <s v="Bronze"/>
    <s v="San Francisco"/>
    <s v="POPUP-TOKYO"/>
    <s v="SOLAR-BLUSH-04"/>
    <s v="Eyeshadow Palette"/>
    <n v="151.79"/>
    <x v="0"/>
    <n v="0"/>
    <s v="Tablet"/>
    <s v="245.144.182.39"/>
    <x v="0"/>
    <n v="452"/>
    <n v="-0.31598240378303694"/>
    <n v="0"/>
    <n v="0"/>
    <n v="0"/>
    <n v="0"/>
    <n v="0"/>
  </r>
  <r>
    <s v="e1634acf-7942-4e43-99c2-d7506a7215f5"/>
    <s v="4cb1f90c-7bca-436f-96a5-f5d091721ce9"/>
    <d v="2025-02-27T00:00:00"/>
    <d v="1899-12-30T11:54:25"/>
    <n v="11"/>
    <n v="27"/>
    <s v="Bronze"/>
    <s v="Paris"/>
    <s v="BOUTIQUE-SHANGHAI"/>
    <s v="GALAXIA-SET-08"/>
    <s v="Foundation"/>
    <n v="151.47"/>
    <x v="1"/>
    <n v="0"/>
    <s v="Tablet"/>
    <s v="115.189.244.55"/>
    <x v="0"/>
    <n v="231"/>
    <n v="-0.32041256681538643"/>
    <n v="0"/>
    <n v="0"/>
    <n v="1"/>
    <n v="1"/>
    <n v="0"/>
  </r>
  <r>
    <s v="ac214fab-5e76-4a55-8259-9a2b421fc795"/>
    <s v="cfa4a785-8ffa-45c8-831c-88f15af01f28"/>
    <d v="2025-06-30T00:00:00"/>
    <d v="1899-12-30T10:10:46"/>
    <n v="10"/>
    <n v="61"/>
    <s v="Gold"/>
    <s v="Hong Kong"/>
    <s v="BOUTIQUE-NYC"/>
    <s v="SOLAR-BLUSH-04"/>
    <s v="Serum"/>
    <n v="151.29"/>
    <x v="4"/>
    <n v="0"/>
    <s v="Desktop"/>
    <s v="122.148.75.226"/>
    <x v="0"/>
    <n v="134"/>
    <n v="-0.32290453352108317"/>
    <n v="0"/>
    <n v="0"/>
    <n v="1"/>
    <n v="1"/>
    <n v="0"/>
  </r>
  <r>
    <s v="a9feeb9e-884e-44c4-9fda-3076b9e1c502"/>
    <s v="eebb2e80-8950-4cc3-8e4d-c68573ea52be"/>
    <d v="2025-08-07T00:00:00"/>
    <d v="1899-12-30T22:40:31"/>
    <n v="22"/>
    <n v="40"/>
    <s v="Unknown"/>
    <s v="Sydney"/>
    <s v="FLAGSHIP-PARIS"/>
    <s v="NEBULA-SERUM-07"/>
    <s v="Mascara"/>
    <n v="151.29"/>
    <x v="4"/>
    <n v="0"/>
    <s v="Tablet"/>
    <s v="49.57.8.96"/>
    <x v="0"/>
    <n v="378"/>
    <n v="-0.32290453352108317"/>
    <n v="0"/>
    <n v="0"/>
    <n v="0"/>
    <n v="0"/>
    <n v="0"/>
  </r>
  <r>
    <s v="b75cbc0e-8a57-45c1-befa-eb9f2b6a0e58"/>
    <s v="e227f188-7b42-4d41-84d3-7de9ef400cfc"/>
    <d v="2025-05-03T00:00:00"/>
    <d v="1899-12-30T20:38:08"/>
    <n v="20"/>
    <n v="36"/>
    <s v="Silver"/>
    <s v="Los Angeles"/>
    <s v="FLAGSHIP-PARIS"/>
    <s v="COSMIC-HIGHLIGHT-06"/>
    <s v="Eyeliner"/>
    <n v="151.28"/>
    <x v="4"/>
    <n v="0"/>
    <s v="Tablet"/>
    <s v="137.9.2.202"/>
    <x v="0"/>
    <n v="322"/>
    <n v="-0.32304297611584398"/>
    <n v="0"/>
    <n v="0"/>
    <n v="0"/>
    <n v="0"/>
    <n v="0"/>
  </r>
  <r>
    <s v="c9b85f53-0bb7-451f-a8e3-3ae64eeae045"/>
    <s v="1177a7f2-24e6-4f35-bb25-0e5be989d8a4"/>
    <d v="2025-03-07T00:00:00"/>
    <d v="1899-12-30T08:35:28"/>
    <n v="8"/>
    <n v="49"/>
    <s v="Gold"/>
    <s v="San Francisco"/>
    <s v="BOUTIQUE-DUBAI"/>
    <s v="ECLIPSE-EYE-10"/>
    <s v="Lipstick"/>
    <n v="151.09"/>
    <x v="1"/>
    <n v="0"/>
    <s v="Desktop"/>
    <s v="86.162.86.187"/>
    <x v="0"/>
    <n v="293"/>
    <n v="-0.32567338541630148"/>
    <n v="0"/>
    <n v="0"/>
    <n v="0"/>
    <n v="0"/>
    <n v="0"/>
  </r>
  <r>
    <s v="4bf290ac-dd78-4c88-8eb0-133262f7ddd0"/>
    <s v="7926670c-88c2-4f20-8081-f4f7d3ceccc2"/>
    <d v="2025-06-28T00:00:00"/>
    <d v="1899-12-30T22:39:17"/>
    <n v="22"/>
    <n v="39"/>
    <s v="Bronze"/>
    <s v="Miami"/>
    <s v="CONCESSION-LONDON"/>
    <s v="COSMIC-HIGHLIGHT-06"/>
    <s v="Mascara"/>
    <n v="151.05000000000001"/>
    <x v="2"/>
    <n v="1"/>
    <s v="Laptop"/>
    <s v="120.231.77.169"/>
    <x v="0"/>
    <n v="294"/>
    <n v="-0.32622715579534506"/>
    <n v="0"/>
    <n v="0"/>
    <n v="0"/>
    <n v="2"/>
    <n v="0"/>
  </r>
  <r>
    <s v="9127a9af-88bd-474c-8232-33b72a217368"/>
    <s v="f9dcf16a-bdb9-4367-b64e-1361fd4dafeb"/>
    <d v="2025-05-12T00:00:00"/>
    <d v="1899-12-30T17:25:35"/>
    <n v="17"/>
    <n v="52"/>
    <s v="Bronze"/>
    <s v="Geneva"/>
    <s v="BOUTIQUE-SHANGHAI"/>
    <s v="ECLIPSE-EYE-10"/>
    <s v="Foundation"/>
    <n v="151.02000000000001"/>
    <x v="3"/>
    <n v="0"/>
    <s v="Desktop"/>
    <s v="207.206.244.65"/>
    <x v="0"/>
    <n v="109"/>
    <n v="-0.32664248357962788"/>
    <n v="0"/>
    <n v="0"/>
    <n v="1"/>
    <n v="1"/>
    <n v="0"/>
  </r>
  <r>
    <s v="02fc75c8-08c4-403a-bc43-6393d631fa15"/>
    <s v="a0b83a15-2a43-4dbe-8816-1173041d94e3"/>
    <d v="2025-04-30T00:00:00"/>
    <d v="1899-12-30T18:40:53"/>
    <n v="18"/>
    <n v="59"/>
    <s v="Silver"/>
    <s v="Dubai"/>
    <s v="POPUP-TOKYO"/>
    <s v="ECLIPSE-EYE-10"/>
    <s v="Serum"/>
    <n v="150.91999999999999"/>
    <x v="1"/>
    <n v="0"/>
    <s v="Tablet"/>
    <s v="117.184.114.73"/>
    <x v="0"/>
    <n v="481"/>
    <n v="-0.32802690952723745"/>
    <n v="0"/>
    <n v="0"/>
    <n v="0"/>
    <n v="0"/>
    <n v="0"/>
  </r>
  <r>
    <s v="1c0254e8-6341-45c4-824c-f76c8170fde0"/>
    <s v="919311e3-e1c4-492e-b80a-99fea50e8035"/>
    <d v="2025-07-16T00:00:00"/>
    <d v="1899-12-30T14:55:34"/>
    <n v="14"/>
    <n v="20"/>
    <s v="Gold"/>
    <s v="Geneva"/>
    <s v="BOUTIQUE-NYC"/>
    <s v="GALAXIA-SET-08"/>
    <s v="Lipstick"/>
    <n v="150.9"/>
    <x v="4"/>
    <n v="0"/>
    <s v="Laptop"/>
    <s v="220.142.99.8"/>
    <x v="0"/>
    <n v="352"/>
    <n v="-0.32830379471675902"/>
    <n v="0"/>
    <n v="0"/>
    <n v="0"/>
    <n v="0"/>
    <n v="0"/>
  </r>
  <r>
    <s v="d0510aad-56ab-432c-b5a0-4b5b4cb75e11"/>
    <s v="06501fb1-0448-4c74-8a8d-9166b9166279"/>
    <d v="2025-07-01T00:00:00"/>
    <d v="1899-12-30T03:49:57"/>
    <n v="3"/>
    <n v="28"/>
    <s v="Bronze"/>
    <s v="Sydney"/>
    <s v="FLAGSHIP-PARIS"/>
    <s v="COSMIC-HIGHLIGHT-06"/>
    <s v="Mascara"/>
    <n v="150.82"/>
    <x v="4"/>
    <n v="0"/>
    <s v="Tablet"/>
    <s v="73.177.206.207"/>
    <x v="0"/>
    <n v="305"/>
    <n v="-0.32941133547484658"/>
    <n v="0"/>
    <n v="1"/>
    <n v="0"/>
    <n v="2"/>
    <n v="0"/>
  </r>
  <r>
    <s v="2f8f36ba-a135-4c94-aab8-66a5e390affe"/>
    <s v="a7196dab-90ca-4899-b434-054b2d5609ad"/>
    <d v="2025-06-07T00:00:00"/>
    <d v="1899-12-30T06:49:16"/>
    <n v="6"/>
    <n v="34"/>
    <s v="Bronze"/>
    <s v="Rome"/>
    <s v="FLAGSHIP-PARIS"/>
    <s v="AURORA-LIP-01"/>
    <s v="Lipstick"/>
    <n v="150.81"/>
    <x v="3"/>
    <n v="0"/>
    <s v="Laptop"/>
    <s v="93.171.14.122"/>
    <x v="0"/>
    <n v="122"/>
    <n v="-0.32954977806960739"/>
    <n v="0"/>
    <n v="0"/>
    <n v="1"/>
    <n v="1"/>
    <n v="0"/>
  </r>
  <r>
    <s v="174b2694-22c1-4ea6-befd-ad26b9d9f154"/>
    <s v="d0046ae1-bf76-41ed-a7f8-ebd71baf41f0"/>
    <d v="2025-07-31T00:00:00"/>
    <d v="1899-12-30T02:21:29"/>
    <n v="2"/>
    <n v="29"/>
    <s v="Unknown"/>
    <s v="Sydney"/>
    <s v="CONCESSION-LONDON"/>
    <s v="AURORA-LIP-01"/>
    <s v="Blush"/>
    <n v="150.81"/>
    <x v="4"/>
    <n v="0"/>
    <s v="Mobile"/>
    <s v="123.55.57.117"/>
    <x v="0"/>
    <n v="270"/>
    <n v="-0.32954977806960739"/>
    <n v="0"/>
    <n v="1"/>
    <n v="1"/>
    <n v="3"/>
    <n v="0"/>
  </r>
  <r>
    <s v="64b65098-fa66-45e1-8f5b-6e8c901cc9df"/>
    <s v="227ed5ec-c1c2-4d7f-8829-59b74ebf72a4"/>
    <d v="2025-05-14T00:00:00"/>
    <d v="1899-12-30T06:33:43"/>
    <n v="6"/>
    <n v="51"/>
    <s v="Unknown"/>
    <s v="Miami"/>
    <s v="FLAGSHIP-LA"/>
    <s v="COSMIC-HIGHLIGHT-06"/>
    <s v="Lipstick"/>
    <n v="150.76"/>
    <x v="4"/>
    <n v="0"/>
    <s v="Laptop"/>
    <s v="119.255.107.87"/>
    <x v="0"/>
    <n v="75"/>
    <n v="-0.33024199104341218"/>
    <n v="0"/>
    <n v="0"/>
    <n v="1"/>
    <n v="1"/>
    <n v="0"/>
  </r>
  <r>
    <s v="c23aa642-8b23-427e-99b0-f05edd98ca35"/>
    <s v="69cc2168-df9e-45a4-b69e-a884868522c9"/>
    <d v="2025-06-08T00:00:00"/>
    <d v="1899-12-30T19:44:43"/>
    <n v="19"/>
    <n v="38"/>
    <s v="Gold"/>
    <s v="Shanghai"/>
    <s v="BOUTIQUE-DUBAI"/>
    <s v="STELLAR-FOUND-03"/>
    <s v="Serum"/>
    <n v="150.5"/>
    <x v="2"/>
    <n v="1"/>
    <s v="Desktop"/>
    <s v="88.160.60.41"/>
    <x v="0"/>
    <n v="118"/>
    <n v="-0.33384149850719608"/>
    <n v="0"/>
    <n v="0"/>
    <n v="1"/>
    <n v="3"/>
    <n v="0"/>
  </r>
  <r>
    <s v="33e02788-d65d-4660-931b-a028e323453b"/>
    <s v="b554f5ea-f1f4-40b0-aeba-67838fc4ea8c"/>
    <d v="2025-04-07T00:00:00"/>
    <d v="1899-12-30T05:43:37"/>
    <n v="5"/>
    <n v="29"/>
    <s v="Platinum"/>
    <s v="Tokyo"/>
    <s v="CONCESSION-SINGAPORE"/>
    <s v="LUNAR-MASC-02"/>
    <s v="Foundation"/>
    <n v="150.41999999999999"/>
    <x v="4"/>
    <n v="0"/>
    <s v="Laptop"/>
    <s v="236.39.126.255"/>
    <x v="0"/>
    <n v="83"/>
    <n v="-0.33494903926528363"/>
    <n v="0"/>
    <n v="1"/>
    <n v="1"/>
    <n v="3"/>
    <n v="0"/>
  </r>
  <r>
    <s v="e129b8f8-2f1e-456d-8954-0be95d0516ec"/>
    <s v="de482fd5-fb99-4ba6-861c-dbbc562b4490"/>
    <d v="2025-02-24T00:00:00"/>
    <d v="1899-12-30T20:03:00"/>
    <n v="20"/>
    <n v="32"/>
    <s v="Bronze"/>
    <s v="Zurich"/>
    <s v="CONCESSION-LONDON"/>
    <s v="LUNAR-MASC-02"/>
    <s v="Eyeliner"/>
    <n v="150.41"/>
    <x v="3"/>
    <n v="0"/>
    <s v="Mobile"/>
    <s v="27.212.72.0"/>
    <x v="0"/>
    <n v="479"/>
    <n v="-0.33508748186004444"/>
    <n v="0"/>
    <n v="0"/>
    <n v="0"/>
    <n v="0"/>
    <n v="0"/>
  </r>
  <r>
    <s v="57e2875b-b557-4405-bc02-12aca73a4909"/>
    <s v="6a7903ba-3c8e-47e7-b90d-e5828f66be1c"/>
    <d v="2025-07-14T00:00:00"/>
    <d v="1899-12-30T10:44:00"/>
    <n v="10"/>
    <n v="49"/>
    <s v="Bronze"/>
    <s v="Sydney"/>
    <s v="POPUP-MILAN"/>
    <s v="CELESTE-EYE-05"/>
    <s v="Highlighter"/>
    <n v="150.38"/>
    <x v="1"/>
    <n v="0"/>
    <s v="Laptop"/>
    <s v="50.159.165.217"/>
    <x v="0"/>
    <n v="434"/>
    <n v="-0.33550280964432727"/>
    <n v="0"/>
    <n v="0"/>
    <n v="0"/>
    <n v="0"/>
    <n v="0"/>
  </r>
  <r>
    <s v="5451a209-0254-4945-b5f6-4942aba04fe4"/>
    <s v="f304cbe3-ef35-4728-ab73-3a475a075c6c"/>
    <d v="2025-08-02T00:00:00"/>
    <d v="1899-12-30T13:16:09"/>
    <n v="13"/>
    <n v="51"/>
    <s v="Gold"/>
    <s v="San Francisco"/>
    <s v="BOUTIQUE-NYC"/>
    <s v="STELLAR-FOUND-03"/>
    <s v="Mascara"/>
    <n v="150.35"/>
    <x v="0"/>
    <n v="0"/>
    <s v="Mobile"/>
    <s v="48.162.10.86"/>
    <x v="0"/>
    <n v="214"/>
    <n v="-0.33591813742861004"/>
    <n v="0"/>
    <n v="0"/>
    <n v="1"/>
    <n v="1"/>
    <n v="0"/>
  </r>
  <r>
    <s v="7c99e721-c352-480a-9539-c3117171dbe4"/>
    <s v="e9dfa3d4-022d-4a75-8b88-4f7a647ce956"/>
    <d v="2025-03-07T00:00:00"/>
    <d v="1899-12-30T16:17:25"/>
    <n v="16"/>
    <n v="52"/>
    <s v="Platinum"/>
    <s v="New York"/>
    <s v="CONCESSION-SINGAPORE"/>
    <s v="COSMIC-HIGHLIGHT-06"/>
    <s v="Concealer"/>
    <n v="150.33000000000001"/>
    <x v="3"/>
    <n v="0"/>
    <s v="Desktop"/>
    <s v="217.10.52.203"/>
    <x v="0"/>
    <n v="238"/>
    <n v="-0.33619502261813161"/>
    <n v="0"/>
    <n v="0"/>
    <n v="1"/>
    <n v="1"/>
    <n v="0"/>
  </r>
  <r>
    <s v="c46d3d36-a229-4c11-b917-cd9e4bb56d94"/>
    <s v="7732d8d7-323f-4b26-bd96-96a6a03ffcb4"/>
    <d v="2025-02-25T00:00:00"/>
    <d v="1899-12-30T13:59:47"/>
    <n v="13"/>
    <n v="54"/>
    <s v="Silver"/>
    <s v="Cannes"/>
    <s v="CONCESSION-LONDON"/>
    <s v="CELESTE-EYE-05"/>
    <s v="Lipstick"/>
    <n v="150.22999999999999"/>
    <x v="3"/>
    <n v="0"/>
    <s v="Laptop"/>
    <s v="208.50.46.164"/>
    <x v="0"/>
    <n v="258"/>
    <n v="-0.33757944856574118"/>
    <n v="0"/>
    <n v="0"/>
    <n v="1"/>
    <n v="1"/>
    <n v="0"/>
  </r>
  <r>
    <s v="3ef45e14-6c22-4b8f-8b94-3592ebdadbc0"/>
    <s v="88e2f1ed-0f8a-497d-8943-99e6ba9c7d35"/>
    <d v="2025-06-02T00:00:00"/>
    <d v="1899-12-30T14:26:28"/>
    <n v="14"/>
    <n v="29"/>
    <s v="Silver"/>
    <s v="Milan"/>
    <s v="CONCESSION-LONDON"/>
    <s v="ECLIPSE-EYE-10"/>
    <s v="Eyeshadow Palette"/>
    <n v="150.19"/>
    <x v="1"/>
    <n v="0"/>
    <s v="Mobile"/>
    <s v="207.224.185.81"/>
    <x v="0"/>
    <n v="291"/>
    <n v="-0.33813321894478476"/>
    <n v="0"/>
    <n v="0"/>
    <n v="0"/>
    <n v="0"/>
    <n v="0"/>
  </r>
  <r>
    <s v="603f7cff-6c17-4540-a453-16187a202cba"/>
    <s v="69c9bba8-1706-48e4-b27a-3a5872f6af04"/>
    <d v="2025-03-30T00:00:00"/>
    <d v="1899-12-30T01:48:46"/>
    <n v="1"/>
    <n v="53"/>
    <s v="Bronze"/>
    <s v="Los Angeles"/>
    <s v="BOUTIQUE-NYC"/>
    <s v="SOLAR-BLUSH-04"/>
    <s v="Blush"/>
    <n v="150.06"/>
    <x v="0"/>
    <n v="0"/>
    <s v="Desktop"/>
    <s v="103.23.251.11"/>
    <x v="0"/>
    <n v="89"/>
    <n v="-0.33993297267667671"/>
    <n v="0"/>
    <n v="1"/>
    <n v="1"/>
    <n v="3"/>
    <n v="0"/>
  </r>
  <r>
    <s v="bd27b580-cd2a-406e-82c1-39024e2b1fad"/>
    <s v="fdaee1ee-5329-4375-a7ec-9e942908093e"/>
    <d v="2025-02-21T00:00:00"/>
    <d v="1899-12-30T03:21:19"/>
    <n v="3"/>
    <n v="59"/>
    <s v="Silver"/>
    <s v="Las Vegas"/>
    <s v="FLAGSHIP-ROME"/>
    <s v="GALAXIA-SET-08"/>
    <s v="Lipstick"/>
    <n v="149.96"/>
    <x v="1"/>
    <n v="0"/>
    <s v="Mobile"/>
    <s v="207.51.1.233"/>
    <x v="0"/>
    <n v="56"/>
    <n v="-0.34131739862428589"/>
    <n v="0"/>
    <n v="1"/>
    <n v="1"/>
    <n v="3"/>
    <n v="0"/>
  </r>
  <r>
    <s v="c16616e9-9361-497b-834e-3aa58b51952c"/>
    <s v="dc1820ea-34dd-43e0-82a6-843706a0375d"/>
    <d v="2025-05-11T00:00:00"/>
    <d v="1899-12-30T16:43:39"/>
    <n v="16"/>
    <n v="41"/>
    <s v="Silver"/>
    <s v="Sydney"/>
    <s v="POPUP-MILAN"/>
    <s v="SOLAR-BLUSH-04"/>
    <s v="Lipstick"/>
    <n v="149.85"/>
    <x v="3"/>
    <n v="0"/>
    <s v="Tablet"/>
    <s v="243.158.33.222"/>
    <x v="0"/>
    <n v="404"/>
    <n v="-0.34284026716665628"/>
    <n v="0"/>
    <n v="0"/>
    <n v="0"/>
    <n v="0"/>
    <n v="0"/>
  </r>
  <r>
    <s v="6ba2b480-00ff-42aa-978e-8b950fb3ecd3"/>
    <s v="add9e507-631f-4e3c-853c-79033443738a"/>
    <d v="2025-03-25T00:00:00"/>
    <d v="1899-12-30T15:00:33"/>
    <n v="15"/>
    <n v="39"/>
    <s v="Gold"/>
    <s v="London"/>
    <s v="POPUP-MILAN"/>
    <s v="NEBULA-SERUM-07"/>
    <s v="Foundation"/>
    <n v="149.6"/>
    <x v="3"/>
    <n v="0"/>
    <s v="Desktop"/>
    <s v="37.144.134.92"/>
    <x v="0"/>
    <n v="310"/>
    <n v="-0.34630133203567937"/>
    <n v="0"/>
    <n v="0"/>
    <n v="0"/>
    <n v="0"/>
    <n v="0"/>
  </r>
  <r>
    <s v="8350af93-a351-419c-b435-392382458bdd"/>
    <s v="4c1760eb-428b-477e-bab1-04a311d516b1"/>
    <d v="2025-07-18T00:00:00"/>
    <d v="1899-12-30T08:50:28"/>
    <n v="8"/>
    <n v="63"/>
    <s v="Gold"/>
    <s v="Shanghai"/>
    <s v="POPUP-MILAN"/>
    <s v="ECLIPSE-EYE-10"/>
    <s v="Highlighter"/>
    <n v="149.55000000000001"/>
    <x v="4"/>
    <n v="0"/>
    <s v="Mobile"/>
    <s v="24.104.145.92"/>
    <x v="0"/>
    <n v="351"/>
    <n v="-0.34699354500948376"/>
    <n v="0"/>
    <n v="0"/>
    <n v="0"/>
    <n v="0"/>
    <n v="0"/>
  </r>
  <r>
    <s v="11bd47c6-ceef-4cd7-812a-bcea15b1638d"/>
    <s v="69a4b762-b8c0-4f15-a6a9-43377f4392c3"/>
    <d v="2025-07-06T00:00:00"/>
    <d v="1899-12-30T12:23:02"/>
    <n v="12"/>
    <n v="42"/>
    <s v="Gold"/>
    <s v="Paris"/>
    <s v="FLAGSHIP-LA"/>
    <s v="STELLAR-FOUND-03"/>
    <s v="Highlighter"/>
    <n v="149.54"/>
    <x v="0"/>
    <n v="0"/>
    <s v="Desktop"/>
    <s v="15.172.21.207"/>
    <x v="0"/>
    <n v="475"/>
    <n v="-0.34713198760424496"/>
    <n v="0"/>
    <n v="0"/>
    <n v="0"/>
    <n v="0"/>
    <n v="0"/>
  </r>
  <r>
    <s v="cf2da08e-de39-4957-8dd6-5f10b76c0de8"/>
    <s v="c27e4264-c66b-442d-83a4-3cfeabfbe26b"/>
    <d v="2025-02-14T00:00:00"/>
    <d v="1899-12-30T07:34:47"/>
    <n v="7"/>
    <n v="42"/>
    <s v="Silver"/>
    <s v="Sydney"/>
    <s v="FLAGSHIP-LA"/>
    <s v="SOLAR-BLUSH-04"/>
    <s v="Eyeliner"/>
    <n v="149.30000000000001"/>
    <x v="3"/>
    <n v="0"/>
    <s v="Tablet"/>
    <s v="214.171.210.175"/>
    <x v="0"/>
    <n v="214"/>
    <n v="-0.35045460987850685"/>
    <n v="0"/>
    <n v="0"/>
    <n v="1"/>
    <n v="1"/>
    <n v="0"/>
  </r>
  <r>
    <s v="14504d17-a2b5-4e02-90d3-c12a7f606fcc"/>
    <s v="6effe1c9-e983-4646-af1b-1428a0be60e0"/>
    <d v="2025-02-28T00:00:00"/>
    <d v="1899-12-30T00:19:36"/>
    <n v="0"/>
    <n v="23"/>
    <s v="VIP"/>
    <s v="Paris"/>
    <s v="FLAGSHIP-LA"/>
    <s v="CELESTE-EYE-05"/>
    <s v="Highlighter"/>
    <n v="149.22999999999999"/>
    <x v="4"/>
    <n v="0"/>
    <s v="Mobile"/>
    <s v="148.64.225.133"/>
    <x v="0"/>
    <n v="296"/>
    <n v="-0.35142370804183365"/>
    <n v="0"/>
    <n v="1"/>
    <n v="0"/>
    <n v="2"/>
    <n v="0"/>
  </r>
  <r>
    <s v="51840519-68fa-4380-9149-1f10a66edb40"/>
    <s v="43320e28-9b0f-42de-9dbb-19c00f0bf6b8"/>
    <d v="2025-04-03T00:00:00"/>
    <d v="1899-12-30T19:38:44"/>
    <n v="19"/>
    <n v="55"/>
    <s v="VIP"/>
    <s v="Dubai"/>
    <s v="BOUTIQUE-DUBAI"/>
    <s v="CELESTE-EYE-05"/>
    <s v="Lipstick"/>
    <n v="149.22999999999999"/>
    <x v="4"/>
    <n v="0"/>
    <s v="Tablet"/>
    <s v="134.193.64.108"/>
    <x v="0"/>
    <n v="223"/>
    <n v="-0.35142370804183365"/>
    <n v="0"/>
    <n v="0"/>
    <n v="1"/>
    <n v="1"/>
    <n v="0"/>
  </r>
  <r>
    <s v="e5b23c48-a9b9-4313-b58d-11c4b4703aca"/>
    <s v="87ce1d99-fdfb-41d5-a2ff-797e8f2566b3"/>
    <d v="2025-08-07T00:00:00"/>
    <d v="1899-12-30T19:12:49"/>
    <n v="19"/>
    <n v="18"/>
    <s v="Silver"/>
    <s v="Milan"/>
    <s v="BOUTIQUE-NYC"/>
    <s v="ECLIPSE-EYE-10"/>
    <s v="Foundation"/>
    <n v="149.19999999999999"/>
    <x v="2"/>
    <n v="1"/>
    <s v="Laptop"/>
    <s v="33.163.75.211"/>
    <x v="0"/>
    <n v="268"/>
    <n v="-0.35183903582611642"/>
    <n v="0"/>
    <n v="0"/>
    <n v="1"/>
    <n v="3"/>
    <n v="0"/>
  </r>
  <r>
    <s v="06633257-1e54-4881-a5f0-4646c4bd5e84"/>
    <s v="1ed0f60c-6d61-4008-bc4f-4eedc5e56aeb"/>
    <d v="2025-05-07T00:00:00"/>
    <d v="1899-12-30T22:44:28"/>
    <n v="22"/>
    <n v="37"/>
    <s v="Bronze"/>
    <s v="Las Vegas"/>
    <s v="FLAGSHIP-PARIS"/>
    <s v="STELLAR-FOUND-03"/>
    <s v="Concealer"/>
    <n v="149.06"/>
    <x v="3"/>
    <n v="0"/>
    <s v="Tablet"/>
    <s v="74.89.198.131"/>
    <x v="0"/>
    <n v="104"/>
    <n v="-0.35377723215276918"/>
    <n v="0"/>
    <n v="0"/>
    <n v="1"/>
    <n v="1"/>
    <n v="0"/>
  </r>
  <r>
    <s v="9ba1be16-f249-40db-bf62-0a45992ca726"/>
    <s v="d45cbb06-1fe8-486c-a760-baff2706b76d"/>
    <d v="2025-07-22T00:00:00"/>
    <d v="1899-12-30T08:40:26"/>
    <n v="8"/>
    <n v="42"/>
    <s v="Gold"/>
    <s v="Shanghai"/>
    <s v="BOUTIQUE-SHANGHAI"/>
    <s v="ORION-CONCEAL-09"/>
    <s v="Lipstick"/>
    <n v="148.81"/>
    <x v="0"/>
    <n v="0"/>
    <s v="Desktop"/>
    <s v="70.125.164.174"/>
    <x v="0"/>
    <n v="356"/>
    <n v="-0.35723829702179233"/>
    <n v="0"/>
    <n v="0"/>
    <n v="0"/>
    <n v="0"/>
    <n v="0"/>
  </r>
  <r>
    <s v="14458d68-4474-4278-974b-69c0ab64b6e9"/>
    <s v="21d23338-ac9e-4567-b674-8d1f4721f91f"/>
    <d v="2025-03-03T00:00:00"/>
    <d v="1899-12-30T05:31:40"/>
    <n v="5"/>
    <n v="61"/>
    <s v="Bronze"/>
    <s v="Monte Carlo"/>
    <s v="BOUTIQUE-DUBAI"/>
    <s v="AURORA-LIP-01"/>
    <s v="Lipstick"/>
    <n v="148.69999999999999"/>
    <x v="3"/>
    <n v="0"/>
    <s v="Desktop"/>
    <s v="122.16.80.189"/>
    <x v="0"/>
    <n v="332"/>
    <n v="-0.35876116556416265"/>
    <n v="0"/>
    <n v="1"/>
    <n v="0"/>
    <n v="2"/>
    <n v="0"/>
  </r>
  <r>
    <s v="b20cd7a1-17f8-49a2-aca9-64f8a28e533c"/>
    <s v="8c353583-633a-4e12-85f6-eae80d30aed8"/>
    <d v="2025-06-10T00:00:00"/>
    <d v="1899-12-30T23:53:12"/>
    <n v="23"/>
    <n v="52"/>
    <s v="Bronze"/>
    <s v="Tokyo"/>
    <s v="BOUTIQUE-DUBAI"/>
    <s v="AURORA-LIP-01"/>
    <s v="Concealer"/>
    <n v="148.49"/>
    <x v="2"/>
    <n v="1"/>
    <s v="Mobile"/>
    <s v="253.162.193.199"/>
    <x v="0"/>
    <n v="383"/>
    <n v="-0.36166846005414177"/>
    <n v="0"/>
    <n v="0"/>
    <n v="0"/>
    <n v="2"/>
    <n v="0"/>
  </r>
  <r>
    <s v="96c497e7-0c4d-4ccc-b13e-2e4b0e19d283"/>
    <s v="7617729d-8b6c-4ec9-8732-340326bc6b45"/>
    <d v="2025-06-04T00:00:00"/>
    <d v="1899-12-30T08:03:51"/>
    <n v="8"/>
    <n v="61"/>
    <s v="VIP"/>
    <s v="Miami"/>
    <s v="BOUTIQUE-DUBAI"/>
    <s v="CELESTE-EYE-05"/>
    <s v="Eyeliner"/>
    <n v="148.47"/>
    <x v="0"/>
    <n v="0"/>
    <s v="Desktop"/>
    <s v="179.75.133.233"/>
    <x v="0"/>
    <n v="389"/>
    <n v="-0.36194534524366379"/>
    <n v="0"/>
    <n v="0"/>
    <n v="0"/>
    <n v="0"/>
    <n v="0"/>
  </r>
  <r>
    <s v="a3d9ad34-14d7-4ba3-9caa-08bbd21b4e54"/>
    <s v="d07061fa-972b-4673-93fa-bb95326c1f66"/>
    <d v="2025-07-18T00:00:00"/>
    <d v="1899-12-30T06:04:11"/>
    <n v="6"/>
    <n v="23"/>
    <s v="Gold"/>
    <s v="Geneva"/>
    <s v="BOUTIQUE-SHANGHAI"/>
    <s v="ECLIPSE-EYE-10"/>
    <s v="Eyeliner"/>
    <n v="148.38999999999999"/>
    <x v="3"/>
    <n v="0"/>
    <s v="Desktop"/>
    <s v="170.49.175.134"/>
    <x v="0"/>
    <n v="196"/>
    <n v="-0.36305288600175134"/>
    <n v="0"/>
    <n v="0"/>
    <n v="1"/>
    <n v="1"/>
    <n v="0"/>
  </r>
  <r>
    <s v="912cffa2-d4f0-4ff0-be62-8caf40c27b1a"/>
    <s v="41c0d66c-3587-4d97-9c8f-d788caa678af"/>
    <d v="2025-06-22T00:00:00"/>
    <d v="1899-12-30T23:16:46"/>
    <n v="23"/>
    <n v="30"/>
    <s v="Silver"/>
    <s v="Tokyo"/>
    <s v="FLAGSHIP-ROME"/>
    <s v="ORION-CONCEAL-09"/>
    <s v="Lipstick"/>
    <n v="148.31"/>
    <x v="2"/>
    <n v="1"/>
    <s v="Mobile"/>
    <s v="243.131.105.226"/>
    <x v="0"/>
    <n v="189"/>
    <n v="-0.36416042675983851"/>
    <n v="0"/>
    <n v="0"/>
    <n v="1"/>
    <n v="3"/>
    <n v="0"/>
  </r>
  <r>
    <s v="67fe0506-77da-4237-86ba-30f016e993b9"/>
    <s v="83a3c15c-3e65-4c2b-84ed-a64e6bdebe09"/>
    <d v="2025-07-30T00:00:00"/>
    <d v="1899-12-30T14:19:10"/>
    <n v="14"/>
    <n v="49"/>
    <s v="Silver"/>
    <s v="Monte Carlo"/>
    <s v="CONCESSION-SINGAPORE"/>
    <s v="LUNAR-MASC-02"/>
    <s v="Highlighter"/>
    <n v="148.11000000000001"/>
    <x v="1"/>
    <n v="0"/>
    <s v="Mobile"/>
    <s v="143.236.70.102"/>
    <x v="0"/>
    <n v="182"/>
    <n v="-0.36692927865505687"/>
    <n v="0"/>
    <n v="0"/>
    <n v="1"/>
    <n v="1"/>
    <n v="0"/>
  </r>
  <r>
    <s v="95640ca5-3792-40bd-be3f-b47035a3f2e5"/>
    <s v="2a2f6a3e-730c-4a1f-a4db-4d6b6df8446f"/>
    <d v="2025-08-05T00:00:00"/>
    <d v="1899-12-30T09:26:03"/>
    <n v="9"/>
    <n v="37"/>
    <s v="Bronze"/>
    <s v="Rome"/>
    <s v="FLAGSHIP-PARIS"/>
    <s v="STELLAR-FOUND-03"/>
    <s v="Highlighter"/>
    <n v="148.11000000000001"/>
    <x v="0"/>
    <n v="0"/>
    <s v="Laptop"/>
    <s v="198.42.137.73"/>
    <x v="0"/>
    <n v="324"/>
    <n v="-0.36692927865505687"/>
    <n v="0"/>
    <n v="0"/>
    <n v="0"/>
    <n v="0"/>
    <n v="0"/>
  </r>
  <r>
    <s v="ee4c529a-9483-4277-a2bc-2daa35bb35d2"/>
    <s v="684727c9-57e1-449f-bb36-21d1d6dbc6a4"/>
    <d v="2025-06-29T00:00:00"/>
    <d v="1899-12-30T18:42:30"/>
    <n v="18"/>
    <n v="24"/>
    <s v="Silver"/>
    <s v="New York"/>
    <s v="BOUTIQUE-SHANGHAI"/>
    <s v="STELLAR-FOUND-03"/>
    <s v="Serum"/>
    <n v="148.1"/>
    <x v="1"/>
    <n v="0"/>
    <s v="Desktop"/>
    <s v="68.248.179.172"/>
    <x v="0"/>
    <n v="329"/>
    <n v="-0.36706772124981807"/>
    <n v="0"/>
    <n v="0"/>
    <n v="0"/>
    <n v="0"/>
    <n v="0"/>
  </r>
  <r>
    <s v="93746861-b4b9-4075-8220-236ec4ad095c"/>
    <s v="b1cee1ff-c4ef-4901-8155-78f1bef8e70a"/>
    <d v="2025-06-12T00:00:00"/>
    <d v="1899-12-30T06:41:31"/>
    <n v="6"/>
    <n v="54"/>
    <s v="Bronze"/>
    <s v="Miami"/>
    <s v="BOUTIQUE-NYC"/>
    <s v="SOLAR-BLUSH-04"/>
    <s v="Mascara"/>
    <n v="147.99"/>
    <x v="0"/>
    <n v="0"/>
    <s v="Tablet"/>
    <s v="41.90.204.147"/>
    <x v="0"/>
    <n v="307"/>
    <n v="-0.36859058979218801"/>
    <n v="0"/>
    <n v="0"/>
    <n v="0"/>
    <n v="0"/>
    <n v="0"/>
  </r>
  <r>
    <s v="29241b91-bb5f-47ce-aafa-17fe6eec84bc"/>
    <s v="bce62748-36d4-4654-9af0-d3a820f826e4"/>
    <d v="2025-06-20T00:00:00"/>
    <d v="1899-12-30T18:44:07"/>
    <n v="18"/>
    <n v="18"/>
    <s v="Unknown"/>
    <s v="Geneva"/>
    <s v="FLAGSHIP-PARIS"/>
    <s v="SOLAR-BLUSH-04"/>
    <s v="Eyeshadow Palette"/>
    <n v="147.96"/>
    <x v="3"/>
    <n v="0"/>
    <s v="Mobile"/>
    <s v="200.56.166.116"/>
    <x v="0"/>
    <n v="201"/>
    <n v="-0.36900591757647083"/>
    <n v="0"/>
    <n v="0"/>
    <n v="1"/>
    <n v="1"/>
    <n v="0"/>
  </r>
  <r>
    <s v="b8e2dd78-1199-45b6-b66e-a5d349a65593"/>
    <s v="0e433a52-4e91-470f-8a4b-b33705a2b3a2"/>
    <d v="2025-08-03T00:00:00"/>
    <d v="1899-12-30T20:31:26"/>
    <n v="20"/>
    <n v="43"/>
    <s v="Bronze"/>
    <s v="Cannes"/>
    <s v="FLAGSHIP-PARIS"/>
    <s v="LUNAR-MASC-02"/>
    <s v="Eyeliner"/>
    <n v="147.35"/>
    <x v="3"/>
    <n v="0"/>
    <s v="Mobile"/>
    <s v="107.246.158.231"/>
    <x v="1"/>
    <n v="294"/>
    <n v="-0.37745091585688739"/>
    <n v="0"/>
    <n v="0"/>
    <n v="0"/>
    <n v="0"/>
    <n v="0"/>
  </r>
  <r>
    <s v="8b977508-1d88-4912-a783-ebcbb05497f3"/>
    <s v="edd87d0d-c9db-4d4c-a401-d5f55ec460dc"/>
    <d v="2025-03-30T00:00:00"/>
    <d v="1899-12-30T18:43:21"/>
    <n v="18"/>
    <n v="53"/>
    <s v="Gold"/>
    <s v="Geneva"/>
    <s v="CONCESSION-LONDON"/>
    <s v="GALAXIA-SET-08"/>
    <s v="Mascara"/>
    <n v="147"/>
    <x v="3"/>
    <n v="0"/>
    <s v="Tablet"/>
    <s v="126.53.164.247"/>
    <x v="0"/>
    <n v="499"/>
    <n v="-0.38229640667351966"/>
    <n v="0"/>
    <n v="0"/>
    <n v="0"/>
    <n v="0"/>
    <n v="0"/>
  </r>
  <r>
    <s v="4a8cd0bf-e1fa-48e2-845b-4c2b0e012145"/>
    <s v="fddc195b-a6d0-4729-b1f9-2d74c684202f"/>
    <d v="2025-04-17T00:00:00"/>
    <d v="1899-12-30T05:49:08"/>
    <n v="5"/>
    <n v="41"/>
    <s v="Silver"/>
    <s v="Miami"/>
    <s v="BOUTIQUE-SHANGHAI"/>
    <s v="GALAXIA-SET-08"/>
    <s v="Lipstick"/>
    <n v="146.93"/>
    <x v="1"/>
    <n v="0"/>
    <s v="Tablet"/>
    <s v="201.63.105.102"/>
    <x v="0"/>
    <n v="129"/>
    <n v="-0.38326550483684607"/>
    <n v="0"/>
    <n v="1"/>
    <n v="1"/>
    <n v="3"/>
    <n v="0"/>
  </r>
  <r>
    <s v="0f6a6d14-97e8-4081-98d9-07e1a8ac389f"/>
    <s v="e02c679c-f80f-4af1-a274-a8ae524fc72c"/>
    <d v="2025-04-22T00:00:00"/>
    <d v="1899-12-30T15:29:28"/>
    <n v="15"/>
    <n v="34"/>
    <s v="Silver"/>
    <s v="Cannes"/>
    <s v="CONCESSION-LONDON"/>
    <s v="GALAXIA-SET-08"/>
    <s v="Eyeshadow Palette"/>
    <n v="146.03"/>
    <x v="0"/>
    <n v="0"/>
    <s v="Desktop"/>
    <s v="179.54.237.213"/>
    <x v="0"/>
    <n v="266"/>
    <n v="-0.39572533836532936"/>
    <n v="0"/>
    <n v="0"/>
    <n v="1"/>
    <n v="1"/>
    <n v="0"/>
  </r>
  <r>
    <s v="f681c261-e07e-470a-b3d7-eed245c50fc7"/>
    <s v="460a19d9-4a21-45b9-8152-2a60d1b8967e"/>
    <d v="2025-04-30T00:00:00"/>
    <d v="1899-12-30T17:00:40"/>
    <n v="17"/>
    <n v="46"/>
    <s v="Bronze"/>
    <s v="Singapore"/>
    <s v="BOUTIQUE-DUBAI"/>
    <s v="CELESTE-EYE-05"/>
    <s v="Serum"/>
    <n v="145.97999999999999"/>
    <x v="3"/>
    <n v="0"/>
    <s v="Tablet"/>
    <s v="150.0.250.126"/>
    <x v="0"/>
    <n v="50"/>
    <n v="-0.39641755133913414"/>
    <n v="0"/>
    <n v="0"/>
    <n v="1"/>
    <n v="1"/>
    <n v="0"/>
  </r>
  <r>
    <s v="6260a4fc-46b9-4dfb-b946-c6d8e79872b9"/>
    <s v="0a2f94a6-e503-4597-a35f-f5091e118e9e"/>
    <d v="2025-08-08T00:00:00"/>
    <d v="1899-12-30T11:04:09"/>
    <n v="11"/>
    <n v="62"/>
    <s v="Bronze"/>
    <s v="Los Angeles"/>
    <s v="CONCESSION-LONDON"/>
    <s v="ECLIPSE-EYE-10"/>
    <s v="Highlighter"/>
    <n v="145.9"/>
    <x v="0"/>
    <n v="0"/>
    <s v="Laptop"/>
    <s v="157.199.156.254"/>
    <x v="0"/>
    <n v="204"/>
    <n v="-0.39752509209722131"/>
    <n v="0"/>
    <n v="0"/>
    <n v="1"/>
    <n v="1"/>
    <n v="0"/>
  </r>
  <r>
    <s v="94409a46-5416-464b-880c-e64f2692cac4"/>
    <s v="051ac160-62c8-4198-b999-56f7e6fab171"/>
    <d v="2025-06-27T00:00:00"/>
    <d v="1899-12-30T23:28:49"/>
    <n v="23"/>
    <n v="51"/>
    <s v="Bronze"/>
    <s v="Rome"/>
    <s v="BOUTIQUE-NYC"/>
    <s v="CELESTE-EYE-05"/>
    <s v="Eyeshadow Palette"/>
    <n v="145.87"/>
    <x v="4"/>
    <n v="0"/>
    <s v="Tablet"/>
    <s v="2.179.95.205"/>
    <x v="0"/>
    <n v="424"/>
    <n v="-0.39794041988150408"/>
    <n v="0"/>
    <n v="0"/>
    <n v="0"/>
    <n v="0"/>
    <n v="0"/>
  </r>
  <r>
    <s v="71a7da05-0aaf-43a4-b603-25cce0ff94eb"/>
    <s v="33851f3f-7e2e-4335-883d-4a5b9c2f7fff"/>
    <d v="2025-03-11T00:00:00"/>
    <d v="1899-12-30T22:26:43"/>
    <n v="22"/>
    <n v="35"/>
    <s v="Gold"/>
    <s v="Monaco"/>
    <s v="FLAGSHIP-LA"/>
    <s v="ORION-CONCEAL-09"/>
    <s v="Eyeshadow Palette"/>
    <n v="145.72"/>
    <x v="4"/>
    <n v="0"/>
    <s v="Tablet"/>
    <s v="169.190.190.74"/>
    <x v="0"/>
    <n v="418"/>
    <n v="-0.40001705880291805"/>
    <n v="0"/>
    <n v="0"/>
    <n v="0"/>
    <n v="0"/>
    <n v="0"/>
  </r>
  <r>
    <s v="95ae6523-d5d9-4709-91cc-7cd7d3a1ac8d"/>
    <s v="44f91b01-3346-4dda-9631-9d7dc730dda2"/>
    <d v="2025-04-10T00:00:00"/>
    <d v="1899-12-30T03:05:10"/>
    <n v="3"/>
    <n v="41"/>
    <s v="Platinum"/>
    <s v="London"/>
    <s v="FLAGSHIP-ROME"/>
    <s v="GALAXIA-SET-08"/>
    <s v="Lipstick"/>
    <n v="145.65"/>
    <x v="1"/>
    <n v="0"/>
    <s v="Mobile"/>
    <s v="57.33.142.188"/>
    <x v="0"/>
    <n v="153"/>
    <n v="-0.4009861569662444"/>
    <n v="0"/>
    <n v="1"/>
    <n v="1"/>
    <n v="3"/>
    <n v="0"/>
  </r>
  <r>
    <s v="dc6d1b70-87c2-42fc-ad83-a80fe501836a"/>
    <s v="8b6a2c94-3730-4f43-ba5f-6ee88b99275e"/>
    <d v="2025-05-18T00:00:00"/>
    <d v="1899-12-30T17:29:25"/>
    <n v="17"/>
    <n v="64"/>
    <s v="Platinum"/>
    <s v="Dubai"/>
    <s v="FLAGSHIP-ROME"/>
    <s v="AURORA-LIP-01"/>
    <s v="Mascara"/>
    <n v="145.63"/>
    <x v="4"/>
    <n v="0"/>
    <s v="Desktop"/>
    <s v="181.89.148.155"/>
    <x v="0"/>
    <n v="353"/>
    <n v="-0.40126304215576641"/>
    <n v="0"/>
    <n v="0"/>
    <n v="0"/>
    <n v="0"/>
    <n v="0"/>
  </r>
  <r>
    <s v="bd566fa5-5850-4572-b29c-18fc6e08bfaf"/>
    <s v="989a1533-7196-42cc-bdd4-16dc660f6017"/>
    <d v="2025-07-23T00:00:00"/>
    <d v="1899-12-30T13:14:20"/>
    <n v="13"/>
    <n v="27"/>
    <s v="Silver"/>
    <s v="New York"/>
    <s v="BOUTIQUE-SHANGHAI"/>
    <s v="NEBULA-SERUM-07"/>
    <s v="Blush"/>
    <n v="145.58000000000001"/>
    <x v="0"/>
    <n v="0"/>
    <s v="Tablet"/>
    <s v="51.35.197.145"/>
    <x v="0"/>
    <n v="190"/>
    <n v="-0.40195525512957081"/>
    <n v="0"/>
    <n v="0"/>
    <n v="1"/>
    <n v="1"/>
    <n v="0"/>
  </r>
  <r>
    <s v="faa0d9b0-e41d-4da7-8a29-773368b09835"/>
    <s v="fcd83b6a-f870-4106-ba6f-219d8b1cea42"/>
    <d v="2025-03-13T00:00:00"/>
    <d v="1899-12-30T17:46:18"/>
    <n v="17"/>
    <n v="36"/>
    <s v="Bronze"/>
    <s v="Zurich"/>
    <s v="BOUTIQUE-NYC"/>
    <s v="LUNAR-MASC-02"/>
    <s v="Concealer"/>
    <n v="145.53"/>
    <x v="0"/>
    <n v="0"/>
    <s v="Desktop"/>
    <s v="164.147.147.1"/>
    <x v="0"/>
    <n v="52"/>
    <n v="-0.40264746810337559"/>
    <n v="0"/>
    <n v="0"/>
    <n v="1"/>
    <n v="1"/>
    <n v="0"/>
  </r>
  <r>
    <s v="39f5d173-89bb-474f-8c43-9160e70a067e"/>
    <s v="5c7b1a01-1642-45a1-8ae8-d1d176c59b03"/>
    <d v="2025-05-26T00:00:00"/>
    <d v="1899-12-30T19:20:10"/>
    <n v="19"/>
    <n v="58"/>
    <s v="Bronze"/>
    <s v="Las Vegas"/>
    <s v="FLAGSHIP-PARIS"/>
    <s v="NEBULA-SERUM-07"/>
    <s v="Foundation"/>
    <n v="145.5"/>
    <x v="3"/>
    <n v="0"/>
    <s v="Desktop"/>
    <s v="226.249.41.3"/>
    <x v="0"/>
    <n v="444"/>
    <n v="-0.40306279588765836"/>
    <n v="0"/>
    <n v="0"/>
    <n v="0"/>
    <n v="0"/>
    <n v="0"/>
  </r>
  <r>
    <s v="91a3c357-914d-4702-b7c7-5bec56cd5464"/>
    <s v="0b29e6ef-303e-4f20-8c6c-f369e94fa93b"/>
    <d v="2025-03-23T00:00:00"/>
    <d v="1899-12-30T12:46:50"/>
    <n v="12"/>
    <n v="46"/>
    <s v="Bronze"/>
    <s v="Hong Kong"/>
    <s v="CONCESSION-LONDON"/>
    <s v="GALAXIA-SET-08"/>
    <s v="Setting Spray"/>
    <n v="145.46"/>
    <x v="0"/>
    <n v="0"/>
    <s v="Tablet"/>
    <s v="144.192.195.21"/>
    <x v="0"/>
    <n v="139"/>
    <n v="-0.40361656626670195"/>
    <n v="0"/>
    <n v="0"/>
    <n v="1"/>
    <n v="1"/>
    <n v="0"/>
  </r>
  <r>
    <s v="b5c45a40-0b67-45e0-89fc-73918733a104"/>
    <s v="e68045e9-e765-45ef-b9a7-9b334b389af4"/>
    <d v="2025-08-10T00:00:00"/>
    <d v="1899-12-30T12:09:03"/>
    <n v="12"/>
    <n v="60"/>
    <s v="Silver"/>
    <s v="Sydney"/>
    <s v="FLAGSHIP-PARIS"/>
    <s v="NEBULA-SERUM-07"/>
    <s v="Serum"/>
    <n v="145.32"/>
    <x v="2"/>
    <n v="1"/>
    <s v="Mobile"/>
    <s v="27.142.38.215"/>
    <x v="0"/>
    <n v="330"/>
    <n v="-0.4055547625933551"/>
    <n v="0"/>
    <n v="0"/>
    <n v="0"/>
    <n v="2"/>
    <n v="0"/>
  </r>
  <r>
    <s v="02cdb780-45bb-442a-9ea3-8c36f10c60de"/>
    <s v="76139cce-dbcd-4b39-a5f1-4374119664aa"/>
    <d v="2025-05-10T00:00:00"/>
    <d v="1899-12-30T04:24:55"/>
    <n v="4"/>
    <n v="36"/>
    <s v="Silver"/>
    <s v="Rome"/>
    <s v="CONCESSION-SINGAPORE"/>
    <s v="CELESTE-EYE-05"/>
    <s v="Foundation"/>
    <n v="145.22"/>
    <x v="1"/>
    <n v="0"/>
    <s v="Tablet"/>
    <s v="213.70.194.56"/>
    <x v="0"/>
    <n v="258"/>
    <n v="-0.40693918854096428"/>
    <n v="0"/>
    <n v="1"/>
    <n v="1"/>
    <n v="3"/>
    <n v="0"/>
  </r>
  <r>
    <s v="ac9e27c8-cd67-4990-be3e-5075a01365ad"/>
    <s v="8d31ee76-13cb-422e-ba09-fe4d0af0e822"/>
    <d v="2025-06-04T00:00:00"/>
    <d v="1899-12-30T21:47:35"/>
    <n v="21"/>
    <n v="60"/>
    <s v="Bronze"/>
    <s v="Los Angeles"/>
    <s v="FLAGSHIP-PARIS"/>
    <s v="CELESTE-EYE-05"/>
    <s v="Mascara"/>
    <n v="145.16999999999999"/>
    <x v="4"/>
    <n v="0"/>
    <s v="Tablet"/>
    <s v="87.8.35.240"/>
    <x v="0"/>
    <n v="414"/>
    <n v="-0.40763140151476907"/>
    <n v="0"/>
    <n v="0"/>
    <n v="0"/>
    <n v="0"/>
    <n v="0"/>
  </r>
  <r>
    <s v="e932a4a7-b1a3-4789-b499-a69670a68f83"/>
    <s v="546287e2-7930-4016-9651-f27f0dad8546"/>
    <d v="2025-06-09T00:00:00"/>
    <d v="1899-12-30T13:38:41"/>
    <n v="13"/>
    <n v="25"/>
    <s v="Bronze"/>
    <s v="Las Vegas"/>
    <s v="BOUTIQUE-DUBAI"/>
    <s v="CELESTE-EYE-05"/>
    <s v="Lipstick"/>
    <n v="145.15"/>
    <x v="3"/>
    <n v="0"/>
    <s v="Desktop"/>
    <s v="126.101.43.78"/>
    <x v="0"/>
    <n v="297"/>
    <n v="-0.40790828670429063"/>
    <n v="0"/>
    <n v="0"/>
    <n v="0"/>
    <n v="0"/>
    <n v="0"/>
  </r>
  <r>
    <s v="728a6049-810e-4db0-b211-4645ec166340"/>
    <s v="a998c98b-0dba-4360-96fb-3b3fa326ef9e"/>
    <d v="2025-08-12T00:00:00"/>
    <d v="1899-12-30T08:10:03"/>
    <n v="8"/>
    <n v="55"/>
    <s v="Silver"/>
    <s v="Los Angeles"/>
    <s v="BOUTIQUE-SHANGHAI"/>
    <s v="STELLAR-FOUND-03"/>
    <s v="Highlighter"/>
    <n v="144.91999999999999"/>
    <x v="1"/>
    <n v="0"/>
    <s v="Desktop"/>
    <s v="205.44.239.97"/>
    <x v="0"/>
    <n v="491"/>
    <n v="-0.41109246638379215"/>
    <n v="0"/>
    <n v="0"/>
    <n v="0"/>
    <n v="0"/>
    <n v="0"/>
  </r>
  <r>
    <s v="8198352f-1810-4e94-97d7-ab0764482b9f"/>
    <s v="6f5ac781-b44a-41a1-a5b4-302dfbe53c57"/>
    <d v="2025-04-25T00:00:00"/>
    <d v="1899-12-30T12:36:00"/>
    <n v="12"/>
    <n v="41"/>
    <s v="Bronze"/>
    <s v="Las Vegas"/>
    <s v="BOUTIQUE-SHANGHAI"/>
    <s v="SOLAR-BLUSH-04"/>
    <s v="Mascara"/>
    <n v="144.82"/>
    <x v="1"/>
    <n v="0"/>
    <s v="Tablet"/>
    <s v="184.61.227.221"/>
    <x v="0"/>
    <n v="298"/>
    <n v="-0.41247689233140133"/>
    <n v="0"/>
    <n v="0"/>
    <n v="0"/>
    <n v="0"/>
    <n v="0"/>
  </r>
  <r>
    <s v="fff03982-4c4e-460d-a16c-ed5c4a461d0b"/>
    <s v="3e52d3b1-b1e7-486e-a976-448bd3fafca9"/>
    <d v="2025-07-18T00:00:00"/>
    <d v="1899-12-30T18:58:13"/>
    <n v="18"/>
    <n v="46"/>
    <s v="Silver"/>
    <s v="Singapore"/>
    <s v="POPUP-TOKYO"/>
    <s v="NEBULA-SERUM-07"/>
    <s v="Foundation"/>
    <n v="144.80000000000001"/>
    <x v="0"/>
    <n v="0"/>
    <s v="Mobile"/>
    <s v="118.6.116.103"/>
    <x v="0"/>
    <n v="349"/>
    <n v="-0.4127537775209229"/>
    <n v="0"/>
    <n v="0"/>
    <n v="0"/>
    <n v="0"/>
    <n v="0"/>
  </r>
  <r>
    <s v="9e54a52f-96f1-403e-8b4a-1646b9ff86be"/>
    <s v="5b324b9e-1295-4963-bf56-05efe9957ff0"/>
    <d v="2025-07-16T00:00:00"/>
    <d v="1899-12-30T21:49:55"/>
    <n v="21"/>
    <n v="32"/>
    <s v="Gold"/>
    <s v="Tokyo"/>
    <s v="FLAGSHIP-LA"/>
    <s v="AURORA-LIP-01"/>
    <s v="Mascara"/>
    <n v="144.71"/>
    <x v="1"/>
    <n v="0"/>
    <s v="Tablet"/>
    <s v="152.242.236.142"/>
    <x v="0"/>
    <n v="188"/>
    <n v="-0.41399976087377127"/>
    <n v="0"/>
    <n v="0"/>
    <n v="1"/>
    <n v="1"/>
    <n v="0"/>
  </r>
  <r>
    <s v="c985b46f-929b-452c-bc5a-be1ccaa8b0d4"/>
    <s v="df577d92-1555-473b-bb6b-cc4688fe16fd"/>
    <d v="2025-05-05T00:00:00"/>
    <d v="1899-12-30T09:08:11"/>
    <n v="9"/>
    <n v="48"/>
    <s v="Platinum"/>
    <s v="Milan"/>
    <s v="CONCESSION-LONDON"/>
    <s v="STELLAR-FOUND-03"/>
    <s v="Highlighter"/>
    <n v="144.71"/>
    <x v="1"/>
    <n v="0"/>
    <s v="Mobile"/>
    <s v="79.191.155.150"/>
    <x v="0"/>
    <n v="281"/>
    <n v="-0.41399976087377127"/>
    <n v="0"/>
    <n v="0"/>
    <n v="0"/>
    <n v="0"/>
    <n v="0"/>
  </r>
  <r>
    <s v="9e715d5e-e198-4d0e-9efa-a53641803baa"/>
    <s v="49c485bb-1dd4-43d7-98ed-c6c822a3d84e"/>
    <d v="2025-04-18T00:00:00"/>
    <d v="1899-12-30T00:23:21"/>
    <n v="0"/>
    <n v="51"/>
    <s v="Silver"/>
    <s v="Miami"/>
    <s v="CONCESSION-LONDON"/>
    <s v="GALAXIA-SET-08"/>
    <s v="Serum"/>
    <n v="144.55000000000001"/>
    <x v="0"/>
    <n v="0"/>
    <s v="Desktop"/>
    <s v="90.214.2.120"/>
    <x v="0"/>
    <n v="226"/>
    <n v="-0.41621484238994605"/>
    <n v="0"/>
    <n v="1"/>
    <n v="1"/>
    <n v="3"/>
    <n v="0"/>
  </r>
  <r>
    <s v="26445cfd-0d2d-440d-9125-0bcf9d92ba3f"/>
    <s v="28f123e2-e61d-4966-81b6-a11bf375acbc"/>
    <d v="2025-05-17T00:00:00"/>
    <d v="1899-12-30T03:32:46"/>
    <n v="3"/>
    <n v="40"/>
    <s v="VIP"/>
    <s v="Zurich"/>
    <s v="POPUP-TOKYO"/>
    <s v="GALAXIA-SET-08"/>
    <s v="Blush"/>
    <n v="144.54"/>
    <x v="4"/>
    <n v="0"/>
    <s v="Mobile"/>
    <s v="48.39.239.244"/>
    <x v="0"/>
    <n v="365"/>
    <n v="-0.41635328498470725"/>
    <n v="0"/>
    <n v="1"/>
    <n v="0"/>
    <n v="2"/>
    <n v="0"/>
  </r>
  <r>
    <s v="4ef8ee0d-7ffd-4bf2-923e-b62e5dd7bc11"/>
    <s v="b7980331-2b43-4057-8d3a-afa671973eb1"/>
    <d v="2025-03-23T00:00:00"/>
    <d v="1899-12-30T16:42:04"/>
    <n v="16"/>
    <n v="23"/>
    <s v="Gold"/>
    <s v="Las Vegas"/>
    <s v="CONCESSION-SINGAPORE"/>
    <s v="NEBULA-SERUM-07"/>
    <s v="Eyeshadow Palette"/>
    <n v="144.22"/>
    <x v="3"/>
    <n v="0"/>
    <s v="Laptop"/>
    <s v="8.79.85.180"/>
    <x v="0"/>
    <n v="385"/>
    <n v="-0.42078344801705669"/>
    <n v="0"/>
    <n v="0"/>
    <n v="0"/>
    <n v="0"/>
    <n v="0"/>
  </r>
  <r>
    <s v="3a3a5ae2-04cb-4a39-8404-921e6d9b9cab"/>
    <s v="5defea71-c270-42ce-a8de-a42aa8f5860c"/>
    <d v="2025-04-22T00:00:00"/>
    <d v="1899-12-30T13:00:01"/>
    <n v="13"/>
    <n v="63"/>
    <s v="Gold"/>
    <s v="Cannes"/>
    <s v="BOUTIQUE-DUBAI"/>
    <s v="AURORA-LIP-01"/>
    <s v="Eyeliner"/>
    <n v="144.21"/>
    <x v="0"/>
    <n v="0"/>
    <s v="Laptop"/>
    <s v="196.26.94.227"/>
    <x v="0"/>
    <n v="199"/>
    <n v="-0.42092189061181751"/>
    <n v="0"/>
    <n v="0"/>
    <n v="1"/>
    <n v="1"/>
    <n v="0"/>
  </r>
  <r>
    <s v="df470291-42a4-4809-a1c5-40c5a62e0c6f"/>
    <s v="73996905-a809-4294-9590-5c0999dae889"/>
    <d v="2025-04-01T00:00:00"/>
    <d v="1899-12-30T19:36:25"/>
    <n v="19"/>
    <n v="51"/>
    <s v="VIP"/>
    <s v="Los Angeles"/>
    <s v="BOUTIQUE-DUBAI"/>
    <s v="ORION-CONCEAL-09"/>
    <s v="Serum"/>
    <n v="144.18"/>
    <x v="1"/>
    <n v="0"/>
    <s v="Laptop"/>
    <s v="248.242.107.86"/>
    <x v="0"/>
    <n v="350"/>
    <n v="-0.42133721839610033"/>
    <n v="0"/>
    <n v="0"/>
    <n v="0"/>
    <n v="0"/>
    <n v="0"/>
  </r>
  <r>
    <s v="ad729e7d-3134-43b1-9583-52c88b65faa4"/>
    <s v="ed367de6-002e-401e-a95d-068b8e902d55"/>
    <d v="2025-04-29T00:00:00"/>
    <d v="1899-12-30T08:21:33"/>
    <n v="8"/>
    <n v="41"/>
    <s v="Silver"/>
    <s v="Tokyo"/>
    <s v="POPUP-MILAN"/>
    <s v="ECLIPSE-EYE-10"/>
    <s v="Concealer"/>
    <n v="143.9"/>
    <x v="3"/>
    <n v="0"/>
    <s v="Tablet"/>
    <s v="159.224.254.223"/>
    <x v="0"/>
    <n v="251"/>
    <n v="-0.42521361104940619"/>
    <n v="0"/>
    <n v="0"/>
    <n v="1"/>
    <n v="1"/>
    <n v="0"/>
  </r>
  <r>
    <s v="59b8a5fc-9861-4160-acab-85f3f0760274"/>
    <s v="143f3d05-d651-46b6-a4ad-d43c2ddc2f0d"/>
    <d v="2025-06-28T00:00:00"/>
    <d v="1899-12-30T07:09:21"/>
    <n v="7"/>
    <n v="25"/>
    <s v="Silver"/>
    <s v="London"/>
    <s v="CONCESSION-LONDON"/>
    <s v="STELLAR-FOUND-03"/>
    <s v="Foundation"/>
    <n v="143.76"/>
    <x v="0"/>
    <n v="0"/>
    <s v="Desktop"/>
    <s v="123.130.57.233"/>
    <x v="0"/>
    <n v="258"/>
    <n v="-0.42715180737605934"/>
    <n v="0"/>
    <n v="0"/>
    <n v="1"/>
    <n v="1"/>
    <n v="0"/>
  </r>
  <r>
    <s v="062d51b9-c4b8-461c-9117-747035338489"/>
    <s v="dd9acf29-8b82-4515-80cb-3b2cdaa99f58"/>
    <d v="2025-02-27T00:00:00"/>
    <d v="1899-12-30T02:25:32"/>
    <n v="2"/>
    <n v="52"/>
    <s v="Silver"/>
    <s v="Zurich"/>
    <s v="FLAGSHIP-PARIS"/>
    <s v="AURORA-LIP-01"/>
    <s v="Blush"/>
    <n v="143.69"/>
    <x v="3"/>
    <n v="0"/>
    <s v="Desktop"/>
    <s v="27.153.107.79"/>
    <x v="0"/>
    <n v="200"/>
    <n v="-0.42812090553938575"/>
    <n v="0"/>
    <n v="1"/>
    <n v="1"/>
    <n v="3"/>
    <n v="0"/>
  </r>
  <r>
    <s v="57539dba-f3a9-44a8-b7bf-0914774bd588"/>
    <s v="f443937d-02da-4bad-80f2-5edad68a68db"/>
    <d v="2025-05-09T00:00:00"/>
    <d v="1899-12-30T01:06:33"/>
    <n v="1"/>
    <n v="54"/>
    <s v="Bronze"/>
    <s v="San Francisco"/>
    <s v="POPUP-TOKYO"/>
    <s v="STELLAR-FOUND-03"/>
    <s v="Serum"/>
    <n v="143.52000000000001"/>
    <x v="0"/>
    <n v="0"/>
    <s v="Tablet"/>
    <s v="10.198.94.42"/>
    <x v="0"/>
    <n v="159"/>
    <n v="-0.43047442965032129"/>
    <n v="0"/>
    <n v="1"/>
    <n v="1"/>
    <n v="3"/>
    <n v="0"/>
  </r>
  <r>
    <s v="fa9f62a3-73dd-4e57-9944-3ca827dbfb4c"/>
    <s v="11a11711-1f2d-43d7-a9f3-189f6f67e514"/>
    <d v="2025-06-15T00:00:00"/>
    <d v="1899-12-30T10:31:57"/>
    <n v="10"/>
    <n v="59"/>
    <s v="Bronze"/>
    <s v="San Francisco"/>
    <s v="BOUTIQUE-DUBAI"/>
    <s v="SOLAR-BLUSH-04"/>
    <s v="Eyeliner"/>
    <n v="143.22"/>
    <x v="3"/>
    <n v="0"/>
    <s v="Tablet"/>
    <s v="221.117.148.82"/>
    <x v="0"/>
    <n v="216"/>
    <n v="-0.43462770749314916"/>
    <n v="0"/>
    <n v="0"/>
    <n v="1"/>
    <n v="1"/>
    <n v="0"/>
  </r>
  <r>
    <s v="66b314e3-9213-4c59-abe9-31b8a6c6bd25"/>
    <s v="28e3f67d-2e90-4d94-80a1-f97006fcdd2a"/>
    <d v="2025-07-23T00:00:00"/>
    <d v="1899-12-30T14:17:14"/>
    <n v="14"/>
    <n v="18"/>
    <s v="Gold"/>
    <s v="Tokyo"/>
    <s v="FLAGSHIP-ROME"/>
    <s v="STELLAR-FOUND-03"/>
    <s v="Mascara"/>
    <n v="143.08000000000001"/>
    <x v="3"/>
    <n v="0"/>
    <s v="Desktop"/>
    <s v="87.98.32.112"/>
    <x v="0"/>
    <n v="96"/>
    <n v="-0.43656590381980193"/>
    <n v="0"/>
    <n v="0"/>
    <n v="1"/>
    <n v="1"/>
    <n v="0"/>
  </r>
  <r>
    <s v="7c3b520a-391e-4784-88dd-757df6322b4f"/>
    <s v="1e4ec577-495c-4f1d-be1b-1d16751147b1"/>
    <d v="2025-07-16T00:00:00"/>
    <d v="1899-12-30T18:00:39"/>
    <n v="18"/>
    <n v="63"/>
    <s v="Bronze"/>
    <s v="Los Angeles"/>
    <s v="FLAGSHIP-PARIS"/>
    <s v="GALAXIA-SET-08"/>
    <s v="Serum"/>
    <n v="143.07"/>
    <x v="3"/>
    <n v="0"/>
    <s v="Desktop"/>
    <s v="232.64.131.181"/>
    <x v="1"/>
    <n v="65"/>
    <n v="-0.43670434641456313"/>
    <n v="0"/>
    <n v="0"/>
    <n v="1"/>
    <n v="1"/>
    <n v="0"/>
  </r>
  <r>
    <s v="4f31045b-c5ad-46db-bf06-9211a1e40983"/>
    <s v="64c02354-610e-4554-9c95-c200ac8e1a81"/>
    <d v="2025-06-10T00:00:00"/>
    <d v="1899-12-30T10:49:29"/>
    <n v="10"/>
    <n v="59"/>
    <s v="Bronze"/>
    <s v="Shanghai"/>
    <s v="POPUP-TOKYO"/>
    <s v="LUNAR-MASC-02"/>
    <s v="Concealer"/>
    <n v="142.51"/>
    <x v="1"/>
    <n v="0"/>
    <s v="Laptop"/>
    <s v="209.95.254.144"/>
    <x v="0"/>
    <n v="480"/>
    <n v="-0.4444571317211749"/>
    <n v="0"/>
    <n v="0"/>
    <n v="0"/>
    <n v="0"/>
    <n v="0"/>
  </r>
  <r>
    <s v="18985807-727f-4599-a6ca-2fb72c53e370"/>
    <s v="468376d0-498e-452b-8802-c196fd02fbbc"/>
    <d v="2025-04-12T00:00:00"/>
    <d v="1899-12-30T08:16:41"/>
    <n v="8"/>
    <n v="43"/>
    <s v="Gold"/>
    <s v="Tokyo"/>
    <s v="FLAGSHIP-LA"/>
    <s v="COSMIC-HIGHLIGHT-06"/>
    <s v="Eyeliner"/>
    <n v="142.47999999999999"/>
    <x v="0"/>
    <n v="0"/>
    <s v="Mobile"/>
    <s v="124.214.11.85"/>
    <x v="0"/>
    <n v="438"/>
    <n v="-0.44487245950545773"/>
    <n v="0"/>
    <n v="0"/>
    <n v="0"/>
    <n v="0"/>
    <n v="0"/>
  </r>
  <r>
    <s v="5f37f294-90f1-4064-aaff-2a2216a3651b"/>
    <s v="2064aafd-bc3c-4c14-bb61-7d4e4a2477b3"/>
    <d v="2025-05-11T00:00:00"/>
    <d v="1899-12-30T13:39:49"/>
    <n v="13"/>
    <n v="65"/>
    <s v="VIP"/>
    <s v="New York"/>
    <s v="FLAGSHIP-PARIS"/>
    <s v="GALAXIA-SET-08"/>
    <s v="Highlighter"/>
    <n v="142.22"/>
    <x v="3"/>
    <n v="0"/>
    <s v="Mobile"/>
    <s v="37.202.205.52"/>
    <x v="0"/>
    <n v="248"/>
    <n v="-0.44847196696924163"/>
    <n v="0"/>
    <n v="0"/>
    <n v="1"/>
    <n v="1"/>
    <n v="0"/>
  </r>
  <r>
    <s v="3f15b0af-20f3-49c2-bca9-d61e72a9b4ab"/>
    <s v="dfe35997-113a-4cbc-9246-1e6410af9058"/>
    <d v="2025-04-11T00:00:00"/>
    <d v="1899-12-30T15:29:32"/>
    <n v="15"/>
    <n v="37"/>
    <s v="Platinum"/>
    <s v="Hong Kong"/>
    <s v="CONCESSION-SINGAPORE"/>
    <s v="STELLAR-FOUND-03"/>
    <s v="Highlighter"/>
    <n v="142.07"/>
    <x v="1"/>
    <n v="0"/>
    <s v="Tablet"/>
    <s v="203.43.160.96"/>
    <x v="0"/>
    <n v="466"/>
    <n v="-0.4505486058906556"/>
    <n v="0"/>
    <n v="0"/>
    <n v="0"/>
    <n v="0"/>
    <n v="0"/>
  </r>
  <r>
    <s v="147a0f91-b67b-433e-bd79-adde7df6ca3c"/>
    <s v="be68a2ba-923c-4411-974b-8be9f44d06b2"/>
    <d v="2025-03-22T00:00:00"/>
    <d v="1899-12-30T04:07:44"/>
    <n v="4"/>
    <n v="56"/>
    <s v="Bronze"/>
    <s v="London"/>
    <s v="FLAGSHIP-ROME"/>
    <s v="COSMIC-HIGHLIGHT-06"/>
    <s v="Foundation"/>
    <n v="142.01"/>
    <x v="2"/>
    <n v="1"/>
    <s v="Tablet"/>
    <s v="120.137.27.235"/>
    <x v="0"/>
    <n v="252"/>
    <n v="-0.45137926145922114"/>
    <n v="0"/>
    <n v="1"/>
    <n v="1"/>
    <n v="5"/>
    <n v="1"/>
  </r>
  <r>
    <s v="1556af9c-270a-4727-930d-5a9620d6527a"/>
    <s v="c2405763-256f-45d3-8af5-21326fc7b34e"/>
    <d v="2025-03-19T00:00:00"/>
    <d v="1899-12-30T22:59:30"/>
    <n v="22"/>
    <n v="57"/>
    <s v="Gold"/>
    <s v="New York"/>
    <s v="BOUTIQUE-SHANGHAI"/>
    <s v="LUNAR-MASC-02"/>
    <s v="Serum"/>
    <n v="141.97999999999999"/>
    <x v="1"/>
    <n v="0"/>
    <s v="Laptop"/>
    <s v="12.24.161.47"/>
    <x v="0"/>
    <n v="217"/>
    <n v="-0.45179458924350396"/>
    <n v="0"/>
    <n v="0"/>
    <n v="1"/>
    <n v="1"/>
    <n v="0"/>
  </r>
  <r>
    <s v="21e12f93-b2b8-424b-bd73-c8c5fbcc4248"/>
    <s v="63d695eb-d9bd-47a5-85c8-070cca06fcb4"/>
    <d v="2025-07-14T00:00:00"/>
    <d v="1899-12-30T17:57:39"/>
    <n v="17"/>
    <n v="48"/>
    <s v="Bronze"/>
    <s v="Paris"/>
    <s v="FLAGSHIP-ROME"/>
    <s v="GALAXIA-SET-08"/>
    <s v="Eyeliner"/>
    <n v="141.58000000000001"/>
    <x v="1"/>
    <n v="0"/>
    <s v="Desktop"/>
    <s v="138.82.223.181"/>
    <x v="0"/>
    <n v="321"/>
    <n v="-0.45733229303394063"/>
    <n v="0"/>
    <n v="0"/>
    <n v="0"/>
    <n v="0"/>
    <n v="0"/>
  </r>
  <r>
    <s v="21af56b5-3d65-4838-b7e6-8b1d652bb999"/>
    <s v="47425a2f-1153-4301-b9c7-b773a9d7c881"/>
    <d v="2025-05-22T00:00:00"/>
    <d v="1899-12-30T02:23:45"/>
    <n v="2"/>
    <n v="32"/>
    <s v="Bronze"/>
    <s v="Geneva"/>
    <s v="POPUP-TOKYO"/>
    <s v="ORION-CONCEAL-09"/>
    <s v="Lipstick"/>
    <n v="141.5"/>
    <x v="3"/>
    <n v="0"/>
    <s v="Desktop"/>
    <s v="241.184.204.193"/>
    <x v="0"/>
    <n v="93"/>
    <n v="-0.45843983379202818"/>
    <n v="0"/>
    <n v="1"/>
    <n v="1"/>
    <n v="3"/>
    <n v="0"/>
  </r>
  <r>
    <s v="59b0eef6-8c44-47cb-9ff6-0a5d54e19b67"/>
    <s v="3c4b0f5a-6380-432c-add8-e418056030ae"/>
    <d v="2025-06-07T00:00:00"/>
    <d v="1899-12-30T04:42:33"/>
    <n v="4"/>
    <n v="20"/>
    <s v="Silver"/>
    <s v="Shanghai"/>
    <s v="FLAGSHIP-LA"/>
    <s v="ORION-CONCEAL-09"/>
    <s v="Concealer"/>
    <n v="141.44"/>
    <x v="3"/>
    <n v="0"/>
    <s v="Laptop"/>
    <s v="203.238.103.150"/>
    <x v="0"/>
    <n v="485"/>
    <n v="-0.45927048936059378"/>
    <n v="0"/>
    <n v="1"/>
    <n v="0"/>
    <n v="2"/>
    <n v="0"/>
  </r>
  <r>
    <s v="cbeffd28-39f8-4ad2-a6c6-343cec176173"/>
    <s v="dfc87348-a08c-401e-8196-dc99daa4af67"/>
    <d v="2025-05-26T00:00:00"/>
    <d v="1899-12-30T18:52:49"/>
    <n v="18"/>
    <n v="57"/>
    <s v="Silver"/>
    <s v="London"/>
    <s v="FLAGSHIP-ROME"/>
    <s v="SOLAR-BLUSH-04"/>
    <s v="Serum"/>
    <n v="141.25"/>
    <x v="1"/>
    <n v="0"/>
    <s v="Laptop"/>
    <s v="244.58.10.255"/>
    <x v="0"/>
    <n v="67"/>
    <n v="-0.46190089866105127"/>
    <n v="0"/>
    <n v="0"/>
    <n v="1"/>
    <n v="1"/>
    <n v="0"/>
  </r>
  <r>
    <s v="78ff8a89-dd6c-4bf0-badf-dda9a6fa9099"/>
    <s v="adfb246d-b9b5-404f-a8eb-aa9e90c30b56"/>
    <d v="2025-07-15T00:00:00"/>
    <d v="1899-12-30T03:32:43"/>
    <n v="3"/>
    <n v="55"/>
    <s v="Gold"/>
    <s v="Rome"/>
    <s v="POPUP-TOKYO"/>
    <s v="AURORA-LIP-01"/>
    <s v="Lipstick"/>
    <n v="141.13999999999999"/>
    <x v="3"/>
    <n v="0"/>
    <s v="Laptop"/>
    <s v="41.56.66.214"/>
    <x v="0"/>
    <n v="315"/>
    <n v="-0.46342376720342165"/>
    <n v="0"/>
    <n v="1"/>
    <n v="0"/>
    <n v="2"/>
    <n v="0"/>
  </r>
  <r>
    <s v="f68faefb-629e-4e02-b2b5-f4a45f38687a"/>
    <s v="f12771af-f220-45ad-925b-dc207ea9c6be"/>
    <d v="2025-06-04T00:00:00"/>
    <d v="1899-12-30T10:23:16"/>
    <n v="10"/>
    <n v="40"/>
    <s v="Silver"/>
    <s v="Las Vegas"/>
    <s v="CONCESSION-SINGAPORE"/>
    <s v="AURORA-LIP-01"/>
    <s v="Serum"/>
    <n v="141.07"/>
    <x v="0"/>
    <n v="0"/>
    <s v="Tablet"/>
    <s v="6.158.83.90"/>
    <x v="0"/>
    <n v="255"/>
    <n v="-0.46439286536674801"/>
    <n v="0"/>
    <n v="0"/>
    <n v="1"/>
    <n v="1"/>
    <n v="0"/>
  </r>
  <r>
    <s v="64e82d12-d38e-47dc-837a-5bacf49a6dad"/>
    <s v="0a51d202-5300-4751-8e13-9b8896526d62"/>
    <d v="2025-04-14T00:00:00"/>
    <d v="1899-12-30T12:02:27"/>
    <n v="12"/>
    <n v="36"/>
    <s v="Bronze"/>
    <s v="San Francisco"/>
    <s v="BOUTIQUE-SHANGHAI"/>
    <s v="GALAXIA-SET-08"/>
    <s v="Setting Spray"/>
    <n v="141.07"/>
    <x v="4"/>
    <n v="0"/>
    <s v="Desktop"/>
    <s v="143.124.105.39"/>
    <x v="0"/>
    <n v="400"/>
    <n v="-0.46439286536674801"/>
    <n v="0"/>
    <n v="0"/>
    <n v="0"/>
    <n v="0"/>
    <n v="0"/>
  </r>
  <r>
    <s v="5786faf6-4202-4182-be21-13c935936934"/>
    <s v="12ffcac3-3c52-48ba-990a-d34759ad2c68"/>
    <d v="2025-05-20T00:00:00"/>
    <d v="1899-12-30T12:43:32"/>
    <n v="12"/>
    <n v="50"/>
    <s v="VIP"/>
    <s v="Dubai"/>
    <s v="BOUTIQUE-DUBAI"/>
    <s v="ECLIPSE-EYE-10"/>
    <s v="Eyeliner"/>
    <n v="140.57"/>
    <x v="3"/>
    <n v="0"/>
    <s v="Tablet"/>
    <s v="48.195.148.251"/>
    <x v="0"/>
    <n v="79"/>
    <n v="-0.47131499510479424"/>
    <n v="0"/>
    <n v="0"/>
    <n v="1"/>
    <n v="1"/>
    <n v="0"/>
  </r>
  <r>
    <s v="545d353e-e2a3-453a-9603-662f81046202"/>
    <s v="9b179680-9789-4bdb-8686-2dbd3a94d52a"/>
    <d v="2025-02-17T00:00:00"/>
    <d v="1899-12-30T01:59:40"/>
    <n v="1"/>
    <n v="46"/>
    <s v="Gold"/>
    <s v="San Francisco"/>
    <s v="CONCESSION-LONDON"/>
    <s v="LUNAR-MASC-02"/>
    <s v="Foundation"/>
    <n v="140.56"/>
    <x v="0"/>
    <n v="0"/>
    <s v="Mobile"/>
    <s v="138.125.193.133"/>
    <x v="0"/>
    <n v="293"/>
    <n v="-0.47145343769955506"/>
    <n v="0"/>
    <n v="1"/>
    <n v="0"/>
    <n v="2"/>
    <n v="0"/>
  </r>
  <r>
    <s v="e4961ddb-566c-4bee-86b3-b37b11486342"/>
    <s v="830face5-3423-493a-be09-7aac50b48995"/>
    <d v="2025-02-27T00:00:00"/>
    <d v="1899-12-30T21:33:17"/>
    <n v="21"/>
    <n v="49"/>
    <s v="Bronze"/>
    <s v="Zurich"/>
    <s v="BOUTIQUE-SHANGHAI"/>
    <s v="GALAXIA-SET-08"/>
    <s v="Serum"/>
    <n v="140.36000000000001"/>
    <x v="0"/>
    <n v="0"/>
    <s v="Desktop"/>
    <s v="109.80.139.47"/>
    <x v="0"/>
    <n v="494"/>
    <n v="-0.47422228959477342"/>
    <n v="0"/>
    <n v="0"/>
    <n v="0"/>
    <n v="0"/>
    <n v="0"/>
  </r>
  <r>
    <s v="8ee5c6e2-7cc5-46d6-bb2e-34ed4f1c37d9"/>
    <s v="23b57572-370c-4074-845d-e32f6d5260b1"/>
    <d v="2025-08-08T00:00:00"/>
    <d v="1899-12-30T00:56:46"/>
    <n v="0"/>
    <n v="38"/>
    <s v="Bronze"/>
    <s v="San Francisco"/>
    <s v="FLAGSHIP-PARIS"/>
    <s v="CELESTE-EYE-05"/>
    <s v="Mascara"/>
    <n v="140.35"/>
    <x v="3"/>
    <n v="0"/>
    <s v="Laptop"/>
    <s v="135.136.163.53"/>
    <x v="0"/>
    <n v="390"/>
    <n v="-0.47436073218953456"/>
    <n v="0"/>
    <n v="1"/>
    <n v="0"/>
    <n v="2"/>
    <n v="0"/>
  </r>
  <r>
    <s v="a080bb9a-de87-40af-9f71-f01c238de231"/>
    <s v="7f9edde9-a91e-4346-a504-32f824677fc6"/>
    <d v="2025-06-19T00:00:00"/>
    <d v="1899-12-30T03:59:06"/>
    <n v="3"/>
    <n v="56"/>
    <s v="Gold"/>
    <s v="Milan"/>
    <s v="BOUTIQUE-DUBAI"/>
    <s v="STELLAR-FOUND-03"/>
    <s v="Setting Spray"/>
    <n v="140.22"/>
    <x v="3"/>
    <n v="0"/>
    <s v="Mobile"/>
    <s v="198.160.46.40"/>
    <x v="0"/>
    <n v="347"/>
    <n v="-0.47616048592142651"/>
    <n v="0"/>
    <n v="1"/>
    <n v="0"/>
    <n v="2"/>
    <n v="0"/>
  </r>
  <r>
    <s v="0bec7f24-ef91-4426-873a-55d3db9af3bf"/>
    <s v="c9ebe9d3-4528-42b1-846b-d4484c8d6ba3"/>
    <d v="2025-07-08T00:00:00"/>
    <d v="1899-12-30T20:14:04"/>
    <n v="20"/>
    <n v="46"/>
    <s v="Bronze"/>
    <s v="Zurich"/>
    <s v="BOUTIQUE-DUBAI"/>
    <s v="NEBULA-SERUM-07"/>
    <s v="Eyeliner"/>
    <n v="140.19"/>
    <x v="4"/>
    <n v="0"/>
    <s v="Laptop"/>
    <s v="78.46.120.152"/>
    <x v="0"/>
    <n v="76"/>
    <n v="-0.47657581370570934"/>
    <n v="0"/>
    <n v="0"/>
    <n v="1"/>
    <n v="1"/>
    <n v="0"/>
  </r>
  <r>
    <s v="c11eaa26-5fca-4c07-b985-bd21efc0b865"/>
    <s v="60fcd05c-faa6-42df-9a3e-a1f8f7430cb1"/>
    <d v="2025-05-19T00:00:00"/>
    <d v="1899-12-30T09:40:57"/>
    <n v="9"/>
    <n v="64"/>
    <s v="Gold"/>
    <s v="London"/>
    <s v="BOUTIQUE-NYC"/>
    <s v="LUNAR-MASC-02"/>
    <s v="Eyeliner"/>
    <n v="140.1"/>
    <x v="0"/>
    <n v="0"/>
    <s v="Laptop"/>
    <s v="114.21.96.107"/>
    <x v="0"/>
    <n v="107"/>
    <n v="-0.47782179705855771"/>
    <n v="0"/>
    <n v="0"/>
    <n v="1"/>
    <n v="1"/>
    <n v="0"/>
  </r>
  <r>
    <s v="bc823835-84f2-423e-ba79-ff032bdf0b2d"/>
    <s v="c1970537-483c-4ea6-9f4a-4cb5a0e69f60"/>
    <d v="2025-05-30T00:00:00"/>
    <d v="1899-12-30T11:13:57"/>
    <n v="11"/>
    <n v="43"/>
    <s v="Gold"/>
    <s v="Las Vegas"/>
    <s v="POPUP-MILAN"/>
    <s v="GALAXIA-SET-08"/>
    <s v="Foundation"/>
    <n v="140.03"/>
    <x v="0"/>
    <n v="0"/>
    <s v="Laptop"/>
    <s v="216.250.210.120"/>
    <x v="0"/>
    <n v="165"/>
    <n v="-0.47879089522188406"/>
    <n v="0"/>
    <n v="0"/>
    <n v="1"/>
    <n v="1"/>
    <n v="0"/>
  </r>
  <r>
    <s v="40407454-7275-43ab-a311-1c0f9f05574c"/>
    <s v="d91831db-96fe-4ce1-9436-5b328246ecf3"/>
    <d v="2025-07-05T00:00:00"/>
    <d v="1899-12-30T06:51:39"/>
    <n v="6"/>
    <n v="31"/>
    <s v="Bronze"/>
    <s v="Los Angeles"/>
    <s v="FLAGSHIP-PARIS"/>
    <s v="STELLAR-FOUND-03"/>
    <s v="Setting Spray"/>
    <n v="139.57"/>
    <x v="1"/>
    <n v="0"/>
    <s v="Mobile"/>
    <s v="48.133.205.102"/>
    <x v="0"/>
    <n v="441"/>
    <n v="-0.48515925458088671"/>
    <n v="0"/>
    <n v="0"/>
    <n v="0"/>
    <n v="0"/>
    <n v="0"/>
  </r>
  <r>
    <s v="0e8acfc1-e1cf-4b54-8edf-2fdeb0f290d3"/>
    <s v="030a717d-df68-4e73-9fa1-7193bc018c8f"/>
    <d v="2025-04-18T00:00:00"/>
    <d v="1899-12-30T17:38:38"/>
    <n v="17"/>
    <n v="25"/>
    <s v="Silver"/>
    <s v="New York"/>
    <s v="POPUP-TOKYO"/>
    <s v="CELESTE-EYE-05"/>
    <s v="Concealer"/>
    <n v="139.34"/>
    <x v="0"/>
    <n v="0"/>
    <s v="Tablet"/>
    <s v="117.21.253.112"/>
    <x v="0"/>
    <n v="468"/>
    <n v="-0.48834343426038784"/>
    <n v="0"/>
    <n v="0"/>
    <n v="0"/>
    <n v="0"/>
    <n v="0"/>
  </r>
  <r>
    <s v="e4352ca6-eb62-4a39-bda1-2266047c41de"/>
    <s v="d92ff19f-04a6-446e-9ca7-659f6439ea53"/>
    <d v="2025-05-14T00:00:00"/>
    <d v="1899-12-30T15:54:27"/>
    <n v="15"/>
    <n v="40"/>
    <s v="Silver"/>
    <s v="Los Angeles"/>
    <s v="CONCESSION-SINGAPORE"/>
    <s v="AURORA-LIP-01"/>
    <s v="Highlighter"/>
    <n v="139.1"/>
    <x v="2"/>
    <n v="1"/>
    <s v="Laptop"/>
    <s v="8.148.134.120"/>
    <x v="0"/>
    <n v="351"/>
    <n v="-0.49166605653465018"/>
    <n v="0"/>
    <n v="0"/>
    <n v="0"/>
    <n v="2"/>
    <n v="0"/>
  </r>
  <r>
    <s v="77b19bf9-bd76-4160-87b6-255fecf1dcb2"/>
    <s v="2ff2bbdb-5267-4723-b228-93ba27bf1943"/>
    <d v="2025-03-01T00:00:00"/>
    <d v="1899-12-30T04:49:54"/>
    <n v="4"/>
    <n v="43"/>
    <s v="Bronze"/>
    <s v="Milan"/>
    <s v="BOUTIQUE-DUBAI"/>
    <s v="COSMIC-HIGHLIGHT-06"/>
    <s v="Blush"/>
    <n v="139.06"/>
    <x v="4"/>
    <n v="0"/>
    <s v="Desktop"/>
    <s v="73.20.68.202"/>
    <x v="0"/>
    <n v="413"/>
    <n v="-0.49221982691369376"/>
    <n v="0"/>
    <n v="1"/>
    <n v="0"/>
    <n v="2"/>
    <n v="0"/>
  </r>
  <r>
    <s v="e90969f3-ce54-48a0-9c5f-29168996c52f"/>
    <s v="8c781785-91d8-450f-b734-4bea04bff299"/>
    <d v="2025-06-09T00:00:00"/>
    <d v="1899-12-30T03:38:41"/>
    <n v="3"/>
    <n v="31"/>
    <s v="Gold"/>
    <s v="Los Angeles"/>
    <s v="BOUTIQUE-DUBAI"/>
    <s v="AURORA-LIP-01"/>
    <s v="Blush"/>
    <n v="138.88999999999999"/>
    <x v="1"/>
    <n v="0"/>
    <s v="Tablet"/>
    <s v="205.93.125.116"/>
    <x v="0"/>
    <n v="302"/>
    <n v="-0.49457335102462968"/>
    <n v="0"/>
    <n v="1"/>
    <n v="0"/>
    <n v="2"/>
    <n v="0"/>
  </r>
  <r>
    <s v="d26eb5e2-7d65-4bcc-8879-788fbe2c08bb"/>
    <s v="7ee23bde-ac2e-4c24-8e4e-377ef92d9613"/>
    <d v="2025-07-05T00:00:00"/>
    <d v="1899-12-30T14:51:36"/>
    <n v="14"/>
    <n v="57"/>
    <s v="Bronze"/>
    <s v="Sydney"/>
    <s v="BOUTIQUE-DUBAI"/>
    <s v="LUNAR-MASC-02"/>
    <s v="Highlighter"/>
    <n v="138.86000000000001"/>
    <x v="3"/>
    <n v="0"/>
    <s v="Desktop"/>
    <s v="209.186.8.154"/>
    <x v="0"/>
    <n v="259"/>
    <n v="-0.49498867880891206"/>
    <n v="0"/>
    <n v="0"/>
    <n v="1"/>
    <n v="1"/>
    <n v="0"/>
  </r>
  <r>
    <s v="b79c5eba-4751-443a-aaab-c7b8f7042efe"/>
    <s v="f3d52db9-39c7-4cdd-acc2-2f611a8142f4"/>
    <d v="2025-03-15T00:00:00"/>
    <d v="1899-12-30T20:53:01"/>
    <n v="20"/>
    <n v="59"/>
    <s v="Gold"/>
    <s v="Las Vegas"/>
    <s v="POPUP-TOKYO"/>
    <s v="NEBULA-SERUM-07"/>
    <s v="Blush"/>
    <n v="138.82"/>
    <x v="1"/>
    <n v="0"/>
    <s v="Laptop"/>
    <s v="20.6.213.76"/>
    <x v="0"/>
    <n v="424"/>
    <n v="-0.49554244918795604"/>
    <n v="0"/>
    <n v="0"/>
    <n v="0"/>
    <n v="0"/>
    <n v="0"/>
  </r>
  <r>
    <s v="650515ee-fe7d-4faa-8dd9-8ff915d0e4cf"/>
    <s v="a16df095-7931-4fe3-989b-80252c46c95b"/>
    <d v="2025-06-12T00:00:00"/>
    <d v="1899-12-30T18:38:49"/>
    <n v="18"/>
    <n v="36"/>
    <s v="Silver"/>
    <s v="Shanghai"/>
    <s v="FLAGSHIP-PARIS"/>
    <s v="AURORA-LIP-01"/>
    <s v="Concealer"/>
    <n v="138.28"/>
    <x v="1"/>
    <n v="0"/>
    <s v="Mobile"/>
    <s v="174.13.91.195"/>
    <x v="0"/>
    <n v="187"/>
    <n v="-0.50301834930504585"/>
    <n v="0"/>
    <n v="0"/>
    <n v="1"/>
    <n v="1"/>
    <n v="0"/>
  </r>
  <r>
    <s v="c972ff19-1634-4f63-9b49-1281b4230996"/>
    <s v="2e357e45-03c1-4a8b-8292-35ae9e6343f5"/>
    <d v="2025-04-07T00:00:00"/>
    <d v="1899-12-30T13:46:54"/>
    <n v="13"/>
    <n v="30"/>
    <s v="Silver"/>
    <s v="Paris"/>
    <s v="CONCESSION-LONDON"/>
    <s v="SOLAR-BLUSH-04"/>
    <s v="Serum"/>
    <n v="138.26"/>
    <x v="1"/>
    <n v="0"/>
    <s v="Desktop"/>
    <s v="35.43.151.227"/>
    <x v="0"/>
    <n v="371"/>
    <n v="-0.50329523449456781"/>
    <n v="0"/>
    <n v="0"/>
    <n v="0"/>
    <n v="0"/>
    <n v="0"/>
  </r>
  <r>
    <s v="3d19fb82-6681-4b63-8037-b5bc71172d86"/>
    <s v="bc6d697b-23a5-44c3-a221-e822e456c51d"/>
    <d v="2025-03-19T00:00:00"/>
    <d v="1899-12-30T13:22:44"/>
    <n v="13"/>
    <n v="20"/>
    <s v="Bronze"/>
    <s v="Monaco"/>
    <s v="CONCESSION-LONDON"/>
    <s v="AURORA-LIP-01"/>
    <s v="Serum"/>
    <n v="138.22"/>
    <x v="1"/>
    <n v="0"/>
    <s v="Tablet"/>
    <s v="199.247.220.21"/>
    <x v="0"/>
    <n v="319"/>
    <n v="-0.50384900487361139"/>
    <n v="0"/>
    <n v="0"/>
    <n v="0"/>
    <n v="0"/>
    <n v="0"/>
  </r>
  <r>
    <s v="01affc75-75a9-47ac-86af-9c2009100f72"/>
    <s v="116557ab-1d6c-4abc-9141-8b4feebd1bf3"/>
    <d v="2025-05-04T00:00:00"/>
    <d v="1899-12-30T05:55:02"/>
    <n v="5"/>
    <n v="46"/>
    <s v="Bronze"/>
    <s v="Sydney"/>
    <s v="BOUTIQUE-NYC"/>
    <s v="STELLAR-FOUND-03"/>
    <s v="Mascara"/>
    <n v="138.21"/>
    <x v="0"/>
    <n v="0"/>
    <s v="Tablet"/>
    <s v="93.220.20.198"/>
    <x v="0"/>
    <n v="223"/>
    <n v="-0.50398744746837221"/>
    <n v="0"/>
    <n v="1"/>
    <n v="1"/>
    <n v="3"/>
    <n v="0"/>
  </r>
  <r>
    <s v="6508532a-0222-4daf-ac84-01a0e9fbfe17"/>
    <s v="22179a73-7890-473c-ba3c-35100006f1a7"/>
    <d v="2025-05-23T00:00:00"/>
    <d v="1899-12-30T15:33:40"/>
    <n v="15"/>
    <n v="41"/>
    <s v="Bronze"/>
    <s v="Dubai"/>
    <s v="FLAGSHIP-LA"/>
    <s v="STELLAR-FOUND-03"/>
    <s v="Blush"/>
    <n v="137.91"/>
    <x v="1"/>
    <n v="0"/>
    <s v="Desktop"/>
    <s v="147.2.232.173"/>
    <x v="0"/>
    <n v="240"/>
    <n v="-0.50814072531120014"/>
    <n v="0"/>
    <n v="0"/>
    <n v="1"/>
    <n v="1"/>
    <n v="0"/>
  </r>
  <r>
    <s v="5eaffb39-b28b-4e9a-adeb-b99d441201d9"/>
    <s v="0a3be951-ef5f-4b3d-b843-9b3b18702773"/>
    <d v="2025-03-15T00:00:00"/>
    <d v="1899-12-30T05:01:25"/>
    <n v="5"/>
    <n v="38"/>
    <s v="Platinum"/>
    <s v="Monte Carlo"/>
    <s v="FLAGSHIP-PARIS"/>
    <s v="ORION-CONCEAL-09"/>
    <s v="Lipstick"/>
    <n v="137.91"/>
    <x v="4"/>
    <n v="0"/>
    <s v="Desktop"/>
    <s v="6.63.158.121"/>
    <x v="0"/>
    <n v="351"/>
    <n v="-0.50814072531120014"/>
    <n v="0"/>
    <n v="1"/>
    <n v="0"/>
    <n v="2"/>
    <n v="0"/>
  </r>
  <r>
    <s v="3b0c1e23-77e1-426f-9ada-63a4ab090207"/>
    <s v="c77bc7c2-1abd-4968-be79-0c17c9f77c87"/>
    <d v="2025-05-08T00:00:00"/>
    <d v="1899-12-30T13:19:50"/>
    <n v="13"/>
    <n v="30"/>
    <s v="Bronze"/>
    <s v="Shanghai"/>
    <s v="POPUP-TOKYO"/>
    <s v="CELESTE-EYE-05"/>
    <s v="Highlighter"/>
    <n v="137.55000000000001"/>
    <x v="1"/>
    <n v="0"/>
    <s v="Tablet"/>
    <s v="169.75.102.88"/>
    <x v="0"/>
    <n v="372"/>
    <n v="-0.51312465872259316"/>
    <n v="0"/>
    <n v="0"/>
    <n v="0"/>
    <n v="0"/>
    <n v="0"/>
  </r>
  <r>
    <s v="bcb28fd7-75f7-4d55-9612-2fc0f23de967"/>
    <s v="fc69c321-4d93-498a-8eb5-e54c9906f3c3"/>
    <d v="2025-04-16T00:00:00"/>
    <d v="1899-12-30T09:16:29"/>
    <n v="9"/>
    <n v="32"/>
    <s v="Silver"/>
    <s v="New York"/>
    <s v="CONCESSION-SINGAPORE"/>
    <s v="STELLAR-FOUND-03"/>
    <s v="Highlighter"/>
    <n v="137.53"/>
    <x v="0"/>
    <n v="0"/>
    <s v="Tablet"/>
    <s v="207.72.82.174"/>
    <x v="0"/>
    <n v="361"/>
    <n v="-0.51340154391211523"/>
    <n v="0"/>
    <n v="0"/>
    <n v="0"/>
    <n v="0"/>
    <n v="0"/>
  </r>
  <r>
    <s v="93ff7219-2f88-4d7d-91eb-36784e57ce20"/>
    <s v="e7342379-eee5-43c1-82f6-39bf1de3d0ab"/>
    <d v="2025-04-20T00:00:00"/>
    <d v="1899-12-30T03:22:22"/>
    <n v="3"/>
    <n v="50"/>
    <s v="Bronze"/>
    <s v="Zurich"/>
    <s v="POPUP-MILAN"/>
    <s v="AURORA-LIP-01"/>
    <s v="Setting Spray"/>
    <n v="137.52000000000001"/>
    <x v="3"/>
    <n v="0"/>
    <s v="Laptop"/>
    <s v="134.126.53.167"/>
    <x v="0"/>
    <n v="463"/>
    <n v="-0.51353998650687604"/>
    <n v="0"/>
    <n v="1"/>
    <n v="0"/>
    <n v="2"/>
    <n v="0"/>
  </r>
  <r>
    <s v="95b650a1-f1bd-4229-ba8d-84170db14ae1"/>
    <s v="c64223ee-839f-46f8-8948-b6a42f13c920"/>
    <d v="2025-04-15T00:00:00"/>
    <d v="1899-12-30T12:48:13"/>
    <n v="12"/>
    <n v="29"/>
    <s v="Silver"/>
    <s v="Geneva"/>
    <s v="FLAGSHIP-ROME"/>
    <s v="AURORA-LIP-01"/>
    <s v="Eyeliner"/>
    <n v="137.51"/>
    <x v="0"/>
    <n v="0"/>
    <s v="Desktop"/>
    <s v="207.160.176.110"/>
    <x v="0"/>
    <n v="141"/>
    <n v="-0.51367842910163719"/>
    <n v="0"/>
    <n v="0"/>
    <n v="1"/>
    <n v="1"/>
    <n v="0"/>
  </r>
  <r>
    <s v="28fa8770-415e-497a-bd22-2007734f482b"/>
    <s v="a2da820b-3da3-476c-95c1-23e569019252"/>
    <d v="2025-02-27T00:00:00"/>
    <d v="1899-12-30T16:26:44"/>
    <n v="16"/>
    <n v="23"/>
    <s v="Gold"/>
    <s v="New York"/>
    <s v="FLAGSHIP-LA"/>
    <s v="CELESTE-EYE-05"/>
    <s v="Eyeshadow Palette"/>
    <n v="137.5"/>
    <x v="1"/>
    <n v="0"/>
    <s v="Desktop"/>
    <s v="215.9.51.90"/>
    <x v="0"/>
    <n v="496"/>
    <n v="-0.513816871696398"/>
    <n v="0"/>
    <n v="0"/>
    <n v="0"/>
    <n v="0"/>
    <n v="0"/>
  </r>
  <r>
    <s v="fbae5183-ba38-4f55-aa65-482ba8d50961"/>
    <s v="05eb4288-cdbb-4250-8004-7dd6be6909d9"/>
    <d v="2025-05-04T00:00:00"/>
    <d v="1899-12-30T05:01:48"/>
    <n v="5"/>
    <n v="43"/>
    <s v="Bronze"/>
    <s v="San Francisco"/>
    <s v="FLAGSHIP-PARIS"/>
    <s v="AURORA-LIP-01"/>
    <s v="Serum"/>
    <n v="137.5"/>
    <x v="3"/>
    <n v="0"/>
    <s v="Desktop"/>
    <s v="132.66.73.115"/>
    <x v="0"/>
    <n v="480"/>
    <n v="-0.513816871696398"/>
    <n v="0"/>
    <n v="1"/>
    <n v="0"/>
    <n v="2"/>
    <n v="0"/>
  </r>
  <r>
    <s v="a57b35a4-8a38-4032-b6c1-ff1b19c0c0c3"/>
    <s v="4ce4675c-36e5-4e5e-9d3c-3afe4b38ccee"/>
    <d v="2025-07-14T00:00:00"/>
    <d v="1899-12-30T13:47:31"/>
    <n v="13"/>
    <n v="36"/>
    <s v="Silver"/>
    <s v="Sydney"/>
    <s v="BOUTIQUE-SHANGHAI"/>
    <s v="GALAXIA-SET-08"/>
    <s v="Setting Spray"/>
    <n v="137.44"/>
    <x v="4"/>
    <n v="0"/>
    <s v="Tablet"/>
    <s v="102.191.153.186"/>
    <x v="0"/>
    <n v="243"/>
    <n v="-0.51464752726496354"/>
    <n v="0"/>
    <n v="0"/>
    <n v="1"/>
    <n v="1"/>
    <n v="0"/>
  </r>
  <r>
    <s v="f065df4b-1879-427d-a949-fc1a46a871a5"/>
    <s v="cf3ba059-d6aa-4409-8378-8e49e8daf3b9"/>
    <d v="2025-03-03T00:00:00"/>
    <d v="1899-12-30T00:53:11"/>
    <n v="0"/>
    <n v="37"/>
    <s v="Bronze"/>
    <s v="Dubai"/>
    <s v="POPUP-TOKYO"/>
    <s v="CELESTE-EYE-05"/>
    <s v="Highlighter"/>
    <n v="137.16999999999999"/>
    <x v="4"/>
    <n v="0"/>
    <s v="Mobile"/>
    <s v="8.19.61.159"/>
    <x v="0"/>
    <n v="116"/>
    <n v="-0.5183854773235087"/>
    <n v="0"/>
    <n v="1"/>
    <n v="1"/>
    <n v="3"/>
    <n v="0"/>
  </r>
  <r>
    <s v="b24d6fb7-0030-475f-acf3-24466090e152"/>
    <s v="01edcce3-ffc9-4d63-b33d-bb851711b463"/>
    <d v="2025-04-17T00:00:00"/>
    <d v="1899-12-30T19:14:01"/>
    <n v="19"/>
    <n v="41"/>
    <s v="Silver"/>
    <s v="London"/>
    <s v="FLAGSHIP-LA"/>
    <s v="NEBULA-SERUM-07"/>
    <s v="Highlighter"/>
    <n v="137.02000000000001"/>
    <x v="3"/>
    <n v="0"/>
    <s v="Mobile"/>
    <s v="223.85.40.150"/>
    <x v="0"/>
    <n v="468"/>
    <n v="-0.52046211624492222"/>
    <n v="0"/>
    <n v="0"/>
    <n v="0"/>
    <n v="0"/>
    <n v="0"/>
  </r>
  <r>
    <s v="f81ed80a-2c23-42bf-9c69-3370b1e5cdd1"/>
    <s v="8c886058-0b3c-4eb8-986e-ff34a494efe1"/>
    <d v="2025-06-29T00:00:00"/>
    <d v="1899-12-30T02:21:38"/>
    <n v="2"/>
    <n v="45"/>
    <s v="Gold"/>
    <s v="London"/>
    <s v="FLAGSHIP-PARIS"/>
    <s v="LUNAR-MASC-02"/>
    <s v="Mascara"/>
    <n v="136.91999999999999"/>
    <x v="0"/>
    <n v="0"/>
    <s v="Laptop"/>
    <s v="180.201.49.67"/>
    <x v="0"/>
    <n v="496"/>
    <n v="-0.52184654219253179"/>
    <n v="0"/>
    <n v="1"/>
    <n v="0"/>
    <n v="2"/>
    <n v="0"/>
  </r>
  <r>
    <s v="d908ab87-feae-433b-b3c1-4c9411786f56"/>
    <s v="e6396e37-6bc3-4354-8202-0480589992d3"/>
    <d v="2025-04-28T00:00:00"/>
    <d v="1899-12-30T12:01:14"/>
    <n v="12"/>
    <n v="52"/>
    <s v="Gold"/>
    <s v="Sydney"/>
    <s v="POPUP-TOKYO"/>
    <s v="STELLAR-FOUND-03"/>
    <s v="Eyeliner"/>
    <n v="136.91"/>
    <x v="0"/>
    <n v="0"/>
    <s v="Mobile"/>
    <s v="255.8.185.242"/>
    <x v="0"/>
    <n v="472"/>
    <n v="-0.52198498478729261"/>
    <n v="0"/>
    <n v="0"/>
    <n v="0"/>
    <n v="0"/>
    <n v="0"/>
  </r>
  <r>
    <s v="f1641205-84f7-4faf-bb97-78d1b29ba0bd"/>
    <s v="8ed30b6c-1a3c-4a19-ac5c-dcc81cc57fd5"/>
    <d v="2025-07-31T00:00:00"/>
    <d v="1899-12-30T12:42:31"/>
    <n v="12"/>
    <n v="49"/>
    <s v="Silver"/>
    <s v="London"/>
    <s v="CONCESSION-SINGAPORE"/>
    <s v="LUNAR-MASC-02"/>
    <s v="Serum"/>
    <n v="136.88999999999999"/>
    <x v="3"/>
    <n v="0"/>
    <s v="Mobile"/>
    <s v="222.81.205.209"/>
    <x v="0"/>
    <n v="125"/>
    <n v="-0.52226186997681456"/>
    <n v="0"/>
    <n v="0"/>
    <n v="1"/>
    <n v="1"/>
    <n v="0"/>
  </r>
  <r>
    <s v="03f21cae-ae8f-4566-916e-bafdb6999375"/>
    <s v="fe318e57-3f42-4147-9217-3960a6dad9ac"/>
    <d v="2025-07-15T00:00:00"/>
    <d v="1899-12-30T07:33:48"/>
    <n v="7"/>
    <n v="22"/>
    <s v="VIP"/>
    <s v="Las Vegas"/>
    <s v="BOUTIQUE-SHANGHAI"/>
    <s v="ORION-CONCEAL-09"/>
    <s v="Eyeshadow Palette"/>
    <n v="136.66"/>
    <x v="4"/>
    <n v="0"/>
    <s v="Tablet"/>
    <s v="36.239.165.190"/>
    <x v="0"/>
    <n v="352"/>
    <n v="-0.52544604965631569"/>
    <n v="0"/>
    <n v="0"/>
    <n v="0"/>
    <n v="0"/>
    <n v="0"/>
  </r>
  <r>
    <s v="cb97fac4-73b7-46d2-a052-3618e815ad39"/>
    <s v="7f685c1e-2114-44c8-8790-e1ca6087f764"/>
    <d v="2025-03-08T00:00:00"/>
    <d v="1899-12-30T16:30:00"/>
    <n v="16"/>
    <n v="35"/>
    <s v="Platinum"/>
    <s v="Geneva"/>
    <s v="POPUP-TOKYO"/>
    <s v="CELESTE-EYE-05"/>
    <s v="Lipstick"/>
    <n v="136.63"/>
    <x v="2"/>
    <n v="1"/>
    <s v="Desktop"/>
    <s v="22.193.63.141"/>
    <x v="0"/>
    <n v="327"/>
    <n v="-0.52586137744059847"/>
    <n v="0"/>
    <n v="0"/>
    <n v="0"/>
    <n v="2"/>
    <n v="0"/>
  </r>
  <r>
    <s v="c92c6e49-c5b4-40ba-a007-d4fc19d98261"/>
    <s v="1cc9acc3-8a00-4fce-9081-14ea6fd0c8c9"/>
    <d v="2025-02-24T00:00:00"/>
    <d v="1899-12-30T05:40:46"/>
    <n v="5"/>
    <n v="36"/>
    <s v="Gold"/>
    <s v="Milan"/>
    <s v="CONCESSION-SINGAPORE"/>
    <s v="CELESTE-EYE-05"/>
    <s v="Eyeshadow Palette"/>
    <n v="136.36000000000001"/>
    <x v="1"/>
    <n v="0"/>
    <s v="Desktop"/>
    <s v="112.47.173.196"/>
    <x v="0"/>
    <n v="258"/>
    <n v="-0.52959932749914318"/>
    <n v="0"/>
    <n v="1"/>
    <n v="1"/>
    <n v="3"/>
    <n v="0"/>
  </r>
  <r>
    <s v="8f6cda1b-600d-41b9-8f2d-6e546966031c"/>
    <s v="3d735ee6-69c5-4e08-a50f-8f5dc5079391"/>
    <d v="2025-04-09T00:00:00"/>
    <d v="1899-12-30T04:45:28"/>
    <n v="4"/>
    <n v="65"/>
    <s v="Silver"/>
    <s v="Hong Kong"/>
    <s v="CONCESSION-SINGAPORE"/>
    <s v="COSMIC-HIGHLIGHT-06"/>
    <s v="Eyeliner"/>
    <n v="136.32"/>
    <x v="1"/>
    <n v="0"/>
    <s v="Tablet"/>
    <s v="237.153.101.71"/>
    <x v="0"/>
    <n v="409"/>
    <n v="-0.53015309787818721"/>
    <n v="0"/>
    <n v="1"/>
    <n v="0"/>
    <n v="2"/>
    <n v="0"/>
  </r>
  <r>
    <s v="eeee8a31-a478-424c-a46f-ddcf7d4e7d69"/>
    <s v="18e32320-1f35-4b53-9b18-d2161916bf3f"/>
    <d v="2025-05-31T00:00:00"/>
    <d v="1899-12-30T18:14:42"/>
    <n v="18"/>
    <n v="46"/>
    <s v="Silver"/>
    <s v="Dubai"/>
    <s v="BOUTIQUE-SHANGHAI"/>
    <s v="STELLAR-FOUND-03"/>
    <s v="Lipstick"/>
    <n v="135.93"/>
    <x v="2"/>
    <n v="1"/>
    <s v="Mobile"/>
    <s v="70.129.90.42"/>
    <x v="0"/>
    <n v="231"/>
    <n v="-0.535552359073863"/>
    <n v="0"/>
    <n v="0"/>
    <n v="1"/>
    <n v="3"/>
    <n v="0"/>
  </r>
  <r>
    <s v="43a8a133-69a0-4d20-bf2a-d6d2b83e0d3d"/>
    <s v="f0b34554-3841-45b1-a27e-62c347855e7d"/>
    <d v="2025-04-12T00:00:00"/>
    <d v="1899-12-30T14:48:04"/>
    <n v="14"/>
    <n v="38"/>
    <s v="Gold"/>
    <s v="Sydney"/>
    <s v="POPUP-TOKYO"/>
    <s v="SOLAR-BLUSH-04"/>
    <s v="Eyeliner"/>
    <n v="135.91"/>
    <x v="0"/>
    <n v="0"/>
    <s v="Tablet"/>
    <s v="210.71.0.75"/>
    <x v="0"/>
    <n v="244"/>
    <n v="-0.53582924426338507"/>
    <n v="0"/>
    <n v="0"/>
    <n v="1"/>
    <n v="1"/>
    <n v="0"/>
  </r>
  <r>
    <s v="d90bf1e5-f7ed-4d19-9866-8ca7256d3287"/>
    <s v="5ff5e5aa-44c0-4dfc-a4fc-2c3addb0b8f5"/>
    <d v="2025-03-14T00:00:00"/>
    <d v="1899-12-30T13:44:13"/>
    <n v="13"/>
    <n v="64"/>
    <s v="VIP"/>
    <s v="Los Angeles"/>
    <s v="FLAGSHIP-ROME"/>
    <s v="ORION-CONCEAL-09"/>
    <s v="Blush"/>
    <n v="135.86000000000001"/>
    <x v="4"/>
    <n v="0"/>
    <s v="Desktop"/>
    <s v="150.248.27.223"/>
    <x v="0"/>
    <n v="492"/>
    <n v="-0.53652145723718947"/>
    <n v="0"/>
    <n v="0"/>
    <n v="0"/>
    <n v="0"/>
    <n v="0"/>
  </r>
  <r>
    <s v="c77c5bb5-36fc-4ce5-963a-b6f9a6c68b78"/>
    <s v="051dc24c-f8d1-4778-bbdc-d85fc6adfc36"/>
    <d v="2025-06-13T00:00:00"/>
    <d v="1899-12-30T18:09:36"/>
    <n v="18"/>
    <n v="28"/>
    <s v="Silver"/>
    <s v="Tokyo"/>
    <s v="POPUP-TOKYO"/>
    <s v="LUNAR-MASC-02"/>
    <s v="Concealer"/>
    <n v="135.84"/>
    <x v="1"/>
    <n v="0"/>
    <s v="Mobile"/>
    <s v="46.191.95.68"/>
    <x v="0"/>
    <n v="477"/>
    <n v="-0.53679834242671143"/>
    <n v="0"/>
    <n v="0"/>
    <n v="0"/>
    <n v="0"/>
    <n v="0"/>
  </r>
  <r>
    <s v="e08ea95a-047d-4db3-8f7d-d61c92fb5d54"/>
    <s v="1ff441be-9366-4df3-836b-bdb5da543247"/>
    <d v="2025-05-01T00:00:00"/>
    <d v="1899-12-30T18:15:36"/>
    <n v="18"/>
    <n v="43"/>
    <s v="Bronze"/>
    <s v="Singapore"/>
    <s v="FLAGSHIP-PARIS"/>
    <s v="COSMIC-HIGHLIGHT-06"/>
    <s v="Eyeshadow Palette"/>
    <n v="135.75"/>
    <x v="1"/>
    <n v="0"/>
    <s v="Tablet"/>
    <s v="12.65.255.143"/>
    <x v="0"/>
    <n v="239"/>
    <n v="-0.53804432577955974"/>
    <n v="0"/>
    <n v="0"/>
    <n v="1"/>
    <n v="1"/>
    <n v="0"/>
  </r>
  <r>
    <s v="05ba1558-7678-418d-84f6-bb44327a9ef1"/>
    <s v="ad1437ad-d8f0-4610-9d9e-baf7244fc6af"/>
    <d v="2025-04-15T00:00:00"/>
    <d v="1899-12-30T17:36:11"/>
    <n v="17"/>
    <n v="55"/>
    <s v="Silver"/>
    <s v="Shanghai"/>
    <s v="POPUP-TOKYO"/>
    <s v="CELESTE-EYE-05"/>
    <s v="Eyeliner"/>
    <n v="135.72"/>
    <x v="1"/>
    <n v="0"/>
    <s v="Mobile"/>
    <s v="140.56.241.134"/>
    <x v="0"/>
    <n v="193"/>
    <n v="-0.53845965356384262"/>
    <n v="0"/>
    <n v="0"/>
    <n v="1"/>
    <n v="1"/>
    <n v="0"/>
  </r>
  <r>
    <s v="904eda8f-38e9-4b96-8201-6d25ab22e2c8"/>
    <s v="41c9d799-52ec-4cdb-bb5c-1d272f29da87"/>
    <d v="2025-06-21T00:00:00"/>
    <d v="1899-12-30T19:35:32"/>
    <n v="19"/>
    <n v="26"/>
    <s v="Bronze"/>
    <s v="Hong Kong"/>
    <s v="BOUTIQUE-NYC"/>
    <s v="COSMIC-HIGHLIGHT-06"/>
    <s v="Serum"/>
    <n v="135.43"/>
    <x v="0"/>
    <n v="0"/>
    <s v="Mobile"/>
    <s v="7.225.35.125"/>
    <x v="0"/>
    <n v="409"/>
    <n v="-0.54247448881190929"/>
    <n v="0"/>
    <n v="0"/>
    <n v="0"/>
    <n v="0"/>
    <n v="0"/>
  </r>
  <r>
    <s v="8a380965-69b3-4582-a99b-d642ca1259ba"/>
    <s v="059edb76-3296-4aa4-924d-eb9dde723fdd"/>
    <d v="2025-03-21T00:00:00"/>
    <d v="1899-12-30T23:00:14"/>
    <n v="23"/>
    <n v="30"/>
    <s v="Silver"/>
    <s v="Shanghai"/>
    <s v="FLAGSHIP-LA"/>
    <s v="SOLAR-BLUSH-04"/>
    <s v="Highlighter"/>
    <n v="134.97"/>
    <x v="0"/>
    <n v="0"/>
    <s v="Mobile"/>
    <s v="34.170.27.46"/>
    <x v="0"/>
    <n v="359"/>
    <n v="-0.54884284817091189"/>
    <n v="0"/>
    <n v="0"/>
    <n v="0"/>
    <n v="0"/>
    <n v="0"/>
  </r>
  <r>
    <s v="faabb00e-bc7e-4147-b995-e95136f5fd24"/>
    <s v="247b78a9-8ae4-4774-96bc-7bf5c15ab15c"/>
    <d v="2025-02-17T00:00:00"/>
    <d v="1899-12-30T01:53:24"/>
    <n v="1"/>
    <n v="43"/>
    <s v="Bronze"/>
    <s v="New York"/>
    <s v="FLAGSHIP-LA"/>
    <s v="NEBULA-SERUM-07"/>
    <s v="Lipstick"/>
    <n v="134.96"/>
    <x v="1"/>
    <n v="0"/>
    <s v="Laptop"/>
    <s v="152.183.142.65"/>
    <x v="0"/>
    <n v="130"/>
    <n v="-0.5489812907656727"/>
    <n v="0"/>
    <n v="1"/>
    <n v="1"/>
    <n v="3"/>
    <n v="0"/>
  </r>
  <r>
    <s v="ffd209b1-0174-4a52-9cc7-25ab2984b34c"/>
    <s v="fb32d05f-56d9-43f9-9cff-84a9c706f6fb"/>
    <d v="2025-05-29T00:00:00"/>
    <d v="1899-12-30T01:00:54"/>
    <n v="1"/>
    <n v="44"/>
    <s v="Platinum"/>
    <s v="Cannes"/>
    <s v="FLAGSHIP-LA"/>
    <s v="ORION-CONCEAL-09"/>
    <s v="Eyeshadow Palette"/>
    <n v="134.77000000000001"/>
    <x v="0"/>
    <n v="0"/>
    <s v="Mobile"/>
    <s v="25.232.160.86"/>
    <x v="0"/>
    <n v="234"/>
    <n v="-0.55161170006613025"/>
    <n v="0"/>
    <n v="1"/>
    <n v="1"/>
    <n v="3"/>
    <n v="0"/>
  </r>
  <r>
    <s v="c16187b1-86de-4d71-b185-3899fe149d2b"/>
    <s v="874967e3-9971-4f69-8dc6-396ce738e4f0"/>
    <d v="2025-08-04T00:00:00"/>
    <d v="1899-12-30T21:33:02"/>
    <n v="21"/>
    <n v="26"/>
    <s v="VIP"/>
    <s v="Geneva"/>
    <s v="FLAGSHIP-PARIS"/>
    <s v="ORION-CONCEAL-09"/>
    <s v="Setting Spray"/>
    <n v="134.75"/>
    <x v="4"/>
    <n v="0"/>
    <s v="Tablet"/>
    <s v="145.47.57.81"/>
    <x v="0"/>
    <n v="306"/>
    <n v="-0.55188858525565221"/>
    <n v="0"/>
    <n v="0"/>
    <n v="0"/>
    <n v="0"/>
    <n v="0"/>
  </r>
  <r>
    <s v="92e97c16-e2a7-459b-a13a-3a8d79aa2f70"/>
    <s v="d4df1fea-754b-4768-bed1-f9a90e346d8d"/>
    <d v="2025-04-18T00:00:00"/>
    <d v="1899-12-30T10:59:51"/>
    <n v="10"/>
    <n v="62"/>
    <s v="Platinum"/>
    <s v="New York"/>
    <s v="FLAGSHIP-PARIS"/>
    <s v="AURORA-LIP-01"/>
    <s v="Highlighter"/>
    <n v="134.69"/>
    <x v="3"/>
    <n v="0"/>
    <s v="Mobile"/>
    <s v="197.103.127.191"/>
    <x v="0"/>
    <n v="227"/>
    <n v="-0.55271924082421786"/>
    <n v="0"/>
    <n v="0"/>
    <n v="1"/>
    <n v="1"/>
    <n v="0"/>
  </r>
  <r>
    <s v="5392c7a7-f8b6-4028-ae7b-21e0e98a34c9"/>
    <s v="d026bfe6-feff-4106-b4e8-cce6cfba8ea7"/>
    <d v="2025-06-18T00:00:00"/>
    <d v="1899-12-30T10:11:45"/>
    <n v="10"/>
    <n v="21"/>
    <s v="Gold"/>
    <s v="Rome"/>
    <s v="POPUP-MILAN"/>
    <s v="AURORA-LIP-01"/>
    <s v="Mascara"/>
    <n v="134.54"/>
    <x v="1"/>
    <n v="0"/>
    <s v="Tablet"/>
    <s v="170.96.1.164"/>
    <x v="1"/>
    <n v="111"/>
    <n v="-0.55479587974563183"/>
    <n v="0"/>
    <n v="0"/>
    <n v="1"/>
    <n v="1"/>
    <n v="0"/>
  </r>
  <r>
    <s v="8599a81e-650f-4480-8218-6bfed4055cfa"/>
    <s v="7e80ba36-ff06-4cf8-b7f9-8f9986907360"/>
    <d v="2025-07-05T00:00:00"/>
    <d v="1899-12-30T21:56:53"/>
    <n v="21"/>
    <n v="48"/>
    <s v="Silver"/>
    <s v="Tokyo"/>
    <s v="CONCESSION-SINGAPORE"/>
    <s v="GALAXIA-SET-08"/>
    <s v="Eyeliner"/>
    <n v="134.41"/>
    <x v="3"/>
    <n v="0"/>
    <s v="Laptop"/>
    <s v="197.221.102.205"/>
    <x v="0"/>
    <n v="263"/>
    <n v="-0.55659563347752372"/>
    <n v="0"/>
    <n v="0"/>
    <n v="1"/>
    <n v="1"/>
    <n v="0"/>
  </r>
  <r>
    <s v="a652c985-95f2-444f-808e-91ac49827a89"/>
    <s v="bae0e462-17c4-4a0e-9f16-02b99f37a726"/>
    <d v="2025-07-17T00:00:00"/>
    <d v="1899-12-30T14:02:04"/>
    <n v="14"/>
    <n v="41"/>
    <s v="Bronze"/>
    <s v="San Francisco"/>
    <s v="FLAGSHIP-LA"/>
    <s v="ORION-CONCEAL-09"/>
    <s v="Eyeshadow Palette"/>
    <n v="134.35"/>
    <x v="3"/>
    <n v="0"/>
    <s v="Mobile"/>
    <s v="140.79.240.74"/>
    <x v="0"/>
    <n v="378"/>
    <n v="-0.55742628904608926"/>
    <n v="0"/>
    <n v="0"/>
    <n v="0"/>
    <n v="0"/>
    <n v="0"/>
  </r>
  <r>
    <s v="79bf6866-d4de-4bb7-9f07-361d19774209"/>
    <s v="12a3030a-4eca-4b33-8df1-13c127283e39"/>
    <d v="2025-04-28T00:00:00"/>
    <d v="1899-12-30T10:15:00"/>
    <n v="10"/>
    <n v="57"/>
    <s v="Gold"/>
    <s v="Dubai"/>
    <s v="BOUTIQUE-SHANGHAI"/>
    <s v="ORION-CONCEAL-09"/>
    <s v="Setting Spray"/>
    <n v="134.16999999999999"/>
    <x v="3"/>
    <n v="0"/>
    <s v="Tablet"/>
    <s v="242.158.4.182"/>
    <x v="0"/>
    <n v="312"/>
    <n v="-0.559918255751786"/>
    <n v="0"/>
    <n v="0"/>
    <n v="0"/>
    <n v="0"/>
    <n v="0"/>
  </r>
  <r>
    <s v="e051fafd-1cea-4f34-bdc4-b662abbe94bb"/>
    <s v="dc6be06c-77ec-4417-9662-b827d11445b8"/>
    <d v="2025-05-07T00:00:00"/>
    <d v="1899-12-30T02:36:25"/>
    <n v="2"/>
    <n v="46"/>
    <s v="VIP"/>
    <s v="Los Angeles"/>
    <s v="FLAGSHIP-LA"/>
    <s v="AURORA-LIP-01"/>
    <s v="Eyeshadow Palette"/>
    <n v="134.03"/>
    <x v="4"/>
    <n v="0"/>
    <s v="Laptop"/>
    <s v="167.100.182.255"/>
    <x v="0"/>
    <n v="407"/>
    <n v="-0.56185645207843882"/>
    <n v="0"/>
    <n v="1"/>
    <n v="0"/>
    <n v="2"/>
    <n v="0"/>
  </r>
  <r>
    <s v="85658a57-8468-47ca-9dd7-952b6eb0c7b3"/>
    <s v="8bd25faf-1c7a-4c2e-8e85-38f27a6a7aa7"/>
    <d v="2025-05-08T00:00:00"/>
    <d v="1899-12-30T17:18:04"/>
    <n v="17"/>
    <n v="41"/>
    <s v="Silver"/>
    <s v="Zurich"/>
    <s v="CONCESSION-LONDON"/>
    <s v="COSMIC-HIGHLIGHT-06"/>
    <s v="Mascara"/>
    <n v="133.94999999999999"/>
    <x v="1"/>
    <n v="0"/>
    <s v="Laptop"/>
    <s v="189.72.250.9"/>
    <x v="0"/>
    <n v="66"/>
    <n v="-0.56296399283652632"/>
    <n v="0"/>
    <n v="0"/>
    <n v="1"/>
    <n v="1"/>
    <n v="0"/>
  </r>
  <r>
    <s v="579fcc3b-932a-4da8-8be8-f04e202761d7"/>
    <s v="b2d1d7e4-f926-42ba-916a-a9b4d30d4267"/>
    <d v="2025-06-23T00:00:00"/>
    <d v="1899-12-30T23:37:15"/>
    <n v="23"/>
    <n v="45"/>
    <s v="VIP"/>
    <s v="New York"/>
    <s v="FLAGSHIP-ROME"/>
    <s v="AURORA-LIP-01"/>
    <s v="Eyeliner"/>
    <n v="133.88999999999999"/>
    <x v="4"/>
    <n v="0"/>
    <s v="Laptop"/>
    <s v="167.244.107.115"/>
    <x v="0"/>
    <n v="450"/>
    <n v="-0.56379464840509197"/>
    <n v="0"/>
    <n v="0"/>
    <n v="0"/>
    <n v="0"/>
    <n v="0"/>
  </r>
  <r>
    <s v="07bc453e-6ded-46bb-8973-3be1e54978e8"/>
    <s v="a41297ec-5340-4a40-a8e3-cba6ecef4eb7"/>
    <d v="2025-04-03T00:00:00"/>
    <d v="1899-12-30T03:56:26"/>
    <n v="3"/>
    <n v="41"/>
    <s v="Silver"/>
    <s v="Los Angeles"/>
    <s v="CONCESSION-SINGAPORE"/>
    <s v="NEBULA-SERUM-07"/>
    <s v="Highlighter"/>
    <n v="133.88"/>
    <x v="1"/>
    <n v="0"/>
    <s v="Desktop"/>
    <s v="30.142.232.19"/>
    <x v="0"/>
    <n v="338"/>
    <n v="-0.56393309099985278"/>
    <n v="0"/>
    <n v="1"/>
    <n v="0"/>
    <n v="2"/>
    <n v="0"/>
  </r>
  <r>
    <s v="82d5165e-2782-4ff3-b253-6712234b0fa0"/>
    <s v="2755cf6e-28dc-4f08-b63a-2be89de8bd80"/>
    <d v="2025-05-07T00:00:00"/>
    <d v="1899-12-30T20:01:06"/>
    <n v="20"/>
    <n v="40"/>
    <s v="Silver"/>
    <s v="Zurich"/>
    <s v="BOUTIQUE-DUBAI"/>
    <s v="SOLAR-BLUSH-04"/>
    <s v="Mascara"/>
    <n v="133.78"/>
    <x v="3"/>
    <n v="0"/>
    <s v="Laptop"/>
    <s v="30.90.234.219"/>
    <x v="0"/>
    <n v="207"/>
    <n v="-0.56531751694746191"/>
    <n v="0"/>
    <n v="0"/>
    <n v="1"/>
    <n v="1"/>
    <n v="0"/>
  </r>
  <r>
    <s v="88b280b2-8885-42d6-b77f-faad338d4604"/>
    <s v="7421f655-c34e-4caf-8790-87a39ae96829"/>
    <d v="2025-06-05T00:00:00"/>
    <d v="1899-12-30T09:45:05"/>
    <n v="9"/>
    <n v="60"/>
    <s v="Silver"/>
    <s v="Rome"/>
    <s v="POPUP-TOKYO"/>
    <s v="ORION-CONCEAL-09"/>
    <s v="Serum"/>
    <n v="133.68"/>
    <x v="3"/>
    <n v="0"/>
    <s v="Laptop"/>
    <s v="136.16.151.218"/>
    <x v="0"/>
    <n v="331"/>
    <n v="-0.56670194289507103"/>
    <n v="0"/>
    <n v="0"/>
    <n v="0"/>
    <n v="0"/>
    <n v="0"/>
  </r>
  <r>
    <s v="3d4dfd80-969d-4321-9b8c-89b755e24f2b"/>
    <s v="5227ad06-75d5-48ff-99ed-4231fca2920f"/>
    <d v="2025-07-13T00:00:00"/>
    <d v="1899-12-30T20:01:38"/>
    <n v="20"/>
    <n v="41"/>
    <s v="Platinum"/>
    <s v="Tokyo"/>
    <s v="POPUP-MILAN"/>
    <s v="ECLIPSE-EYE-10"/>
    <s v="Eyeliner"/>
    <n v="133.63"/>
    <x v="1"/>
    <n v="0"/>
    <s v="Tablet"/>
    <s v="204.76.242.254"/>
    <x v="0"/>
    <n v="276"/>
    <n v="-0.56739415586887587"/>
    <n v="0"/>
    <n v="0"/>
    <n v="0"/>
    <n v="0"/>
    <n v="0"/>
  </r>
  <r>
    <s v="a1d9aab2-235e-45a0-bea5-2932afc0df36"/>
    <s v="6b667c0b-01c6-4057-b649-ffa9238d8fc5"/>
    <d v="2025-07-10T00:00:00"/>
    <d v="1899-12-30T00:10:50"/>
    <n v="0"/>
    <n v="60"/>
    <s v="Gold"/>
    <s v="Geneva"/>
    <s v="POPUP-TOKYO"/>
    <s v="ORION-CONCEAL-09"/>
    <s v="Mascara"/>
    <n v="133.55000000000001"/>
    <x v="4"/>
    <n v="0"/>
    <s v="Laptop"/>
    <s v="3.248.205.216"/>
    <x v="0"/>
    <n v="175"/>
    <n v="-0.56850169662696304"/>
    <n v="0"/>
    <n v="1"/>
    <n v="1"/>
    <n v="3"/>
    <n v="0"/>
  </r>
  <r>
    <s v="1ec3edcb-2095-494f-aca9-46a8cec1cc5c"/>
    <s v="4c13c349-29d4-47b1-8d90-6cff073c4fed"/>
    <d v="2025-04-01T00:00:00"/>
    <d v="1899-12-30T13:25:11"/>
    <n v="13"/>
    <n v="31"/>
    <s v="Bronze"/>
    <s v="Singapore"/>
    <s v="CONCESSION-SINGAPORE"/>
    <s v="COSMIC-HIGHLIGHT-06"/>
    <s v="Highlighter"/>
    <n v="133.27000000000001"/>
    <x v="4"/>
    <n v="0"/>
    <s v="Desktop"/>
    <s v="175.251.128.176"/>
    <x v="0"/>
    <n v="79"/>
    <n v="-0.5723780892802689"/>
    <n v="0"/>
    <n v="0"/>
    <n v="1"/>
    <n v="1"/>
    <n v="0"/>
  </r>
  <r>
    <s v="f2baaa7c-61f9-44be-883d-f10de83396df"/>
    <s v="2288c5c8-9d78-4942-a3e7-3c479ab551ab"/>
    <d v="2025-06-17T00:00:00"/>
    <d v="1899-12-30T03:24:16"/>
    <n v="3"/>
    <n v="27"/>
    <s v="Unknown"/>
    <s v="San Francisco"/>
    <s v="BOUTIQUE-NYC"/>
    <s v="ORION-CONCEAL-09"/>
    <s v="Concealer"/>
    <n v="133.19"/>
    <x v="3"/>
    <n v="0"/>
    <s v="Laptop"/>
    <s v="53.87.104.177"/>
    <x v="0"/>
    <n v="365"/>
    <n v="-0.57348563003835651"/>
    <n v="0"/>
    <n v="1"/>
    <n v="0"/>
    <n v="2"/>
    <n v="0"/>
  </r>
  <r>
    <s v="04c78041-07a5-4b29-86c8-90015ba78721"/>
    <s v="abad64ff-e935-4532-9305-7ecadb1a5629"/>
    <d v="2025-05-18T00:00:00"/>
    <d v="1899-12-30T08:12:07"/>
    <n v="8"/>
    <n v="18"/>
    <s v="Bronze"/>
    <s v="London"/>
    <s v="BOUTIQUE-NYC"/>
    <s v="NEBULA-SERUM-07"/>
    <s v="Concealer"/>
    <n v="133.16"/>
    <x v="3"/>
    <n v="0"/>
    <s v="Mobile"/>
    <s v="149.191.65.150"/>
    <x v="0"/>
    <n v="151"/>
    <n v="-0.57390095782263928"/>
    <n v="0"/>
    <n v="0"/>
    <n v="1"/>
    <n v="1"/>
    <n v="0"/>
  </r>
  <r>
    <s v="4c7d74bc-1cf2-4fe9-8fa3-78ae1a23969a"/>
    <s v="5b29c56c-8b09-423c-887e-7a5bb2ff747a"/>
    <d v="2025-07-16T00:00:00"/>
    <d v="1899-12-30T13:25:24"/>
    <n v="13"/>
    <n v="50"/>
    <s v="VIP"/>
    <s v="San Francisco"/>
    <s v="CONCESSION-LONDON"/>
    <s v="SOLAR-BLUSH-04"/>
    <s v="Blush"/>
    <n v="133.07"/>
    <x v="1"/>
    <n v="0"/>
    <s v="Laptop"/>
    <s v="142.60.87.114"/>
    <x v="0"/>
    <n v="488"/>
    <n v="-0.5751469411754877"/>
    <n v="0"/>
    <n v="0"/>
    <n v="0"/>
    <n v="0"/>
    <n v="0"/>
  </r>
  <r>
    <s v="4dfea768-66bb-439a-9b97-3d19116a1e3c"/>
    <s v="15b3e265-3626-4388-bc1d-107835183ab1"/>
    <d v="2025-06-09T00:00:00"/>
    <d v="1899-12-30T14:22:09"/>
    <n v="14"/>
    <n v="41"/>
    <s v="Bronze"/>
    <s v="Milan"/>
    <s v="FLAGSHIP-PARIS"/>
    <s v="SOLAR-BLUSH-04"/>
    <s v="Eyeshadow Palette"/>
    <n v="132.74"/>
    <x v="3"/>
    <n v="0"/>
    <s v="Desktop"/>
    <s v="166.86.246.89"/>
    <x v="0"/>
    <n v="56"/>
    <n v="-0.57971554680259796"/>
    <n v="0"/>
    <n v="0"/>
    <n v="1"/>
    <n v="1"/>
    <n v="0"/>
  </r>
  <r>
    <s v="2fba8e4a-7a5a-442e-b2c1-3144a9a8e1cf"/>
    <s v="f4d20bbe-bfc9-45ff-b85d-238c6f8d4680"/>
    <d v="2025-06-04T00:00:00"/>
    <d v="1899-12-30T21:03:06"/>
    <n v="21"/>
    <n v="22"/>
    <s v="Bronze"/>
    <s v="Milan"/>
    <s v="CONCESSION-LONDON"/>
    <s v="CELESTE-EYE-05"/>
    <s v="Eyeshadow Palette"/>
    <n v="132.72"/>
    <x v="1"/>
    <n v="0"/>
    <s v="Laptop"/>
    <s v="167.243.197.144"/>
    <x v="0"/>
    <n v="198"/>
    <n v="-0.57999243199211992"/>
    <n v="0"/>
    <n v="0"/>
    <n v="1"/>
    <n v="1"/>
    <n v="0"/>
  </r>
  <r>
    <s v="9d3b804d-676e-4c94-b2a0-bbf13cad0519"/>
    <s v="91b0a010-11b2-4032-923a-d8ff10b58533"/>
    <d v="2025-04-08T00:00:00"/>
    <d v="1899-12-30T14:15:09"/>
    <n v="14"/>
    <n v="25"/>
    <s v="Gold"/>
    <s v="Geneva"/>
    <s v="CONCESSION-SINGAPORE"/>
    <s v="STELLAR-FOUND-03"/>
    <s v="Eyeliner"/>
    <n v="132.53"/>
    <x v="1"/>
    <n v="0"/>
    <s v="Desktop"/>
    <s v="9.37.36.128"/>
    <x v="0"/>
    <n v="280"/>
    <n v="-0.58262284129257746"/>
    <n v="0"/>
    <n v="0"/>
    <n v="0"/>
    <n v="0"/>
    <n v="0"/>
  </r>
  <r>
    <s v="c4aa5f9b-071e-4e59-80fd-7c4f04857266"/>
    <s v="9e972048-37aa-48a8-9747-7f102ed84042"/>
    <d v="2025-03-24T00:00:00"/>
    <d v="1899-12-30T09:12:09"/>
    <n v="9"/>
    <n v="61"/>
    <s v="Silver"/>
    <s v="New York"/>
    <s v="CONCESSION-LONDON"/>
    <s v="ORION-CONCEAL-09"/>
    <s v="Serum"/>
    <n v="132.49"/>
    <x v="0"/>
    <n v="0"/>
    <s v="Desktop"/>
    <s v="12.31.97.203"/>
    <x v="0"/>
    <n v="91"/>
    <n v="-0.58317661167162105"/>
    <n v="0"/>
    <n v="0"/>
    <n v="1"/>
    <n v="1"/>
    <n v="0"/>
  </r>
  <r>
    <s v="4dffe337-1f53-4c24-99bc-861aec3f277a"/>
    <s v="37d8f82c-b5f7-4a98-9b8d-9e35d52c789e"/>
    <d v="2025-06-04T00:00:00"/>
    <d v="1899-12-30T23:52:21"/>
    <n v="23"/>
    <n v="54"/>
    <s v="Silver"/>
    <s v="Rome"/>
    <s v="FLAGSHIP-PARIS"/>
    <s v="ECLIPSE-EYE-10"/>
    <s v="Blush"/>
    <n v="132.31"/>
    <x v="1"/>
    <n v="0"/>
    <s v="Laptop"/>
    <s v="170.217.59.90"/>
    <x v="0"/>
    <n v="244"/>
    <n v="-0.58566857837731778"/>
    <n v="0"/>
    <n v="0"/>
    <n v="1"/>
    <n v="1"/>
    <n v="0"/>
  </r>
  <r>
    <s v="dde09971-b0b9-43f2-a02f-33905543fad7"/>
    <s v="42dba676-76e3-4a19-8e6d-97ea97f8db8a"/>
    <d v="2025-03-11T00:00:00"/>
    <d v="1899-12-30T08:03:35"/>
    <n v="8"/>
    <n v="41"/>
    <s v="Unknown"/>
    <s v="Shanghai"/>
    <s v="POPUP-TOKYO"/>
    <s v="STELLAR-FOUND-03"/>
    <s v="Lipstick"/>
    <n v="132.27000000000001"/>
    <x v="3"/>
    <n v="0"/>
    <s v="Mobile"/>
    <s v="139.175.9.16"/>
    <x v="0"/>
    <n v="192"/>
    <n v="-0.58622234875636137"/>
    <n v="0"/>
    <n v="0"/>
    <n v="1"/>
    <n v="1"/>
    <n v="0"/>
  </r>
  <r>
    <s v="dda6cfc6-58a0-4f0c-bde7-8db19d4b0b9d"/>
    <s v="f6fbc7bb-af6e-4e76-9304-ff46eb86fe7a"/>
    <d v="2025-07-28T00:00:00"/>
    <d v="1899-12-30T09:22:20"/>
    <n v="9"/>
    <n v="54"/>
    <s v="Bronze"/>
    <s v="Las Vegas"/>
    <s v="FLAGSHIP-PARIS"/>
    <s v="GALAXIA-SET-08"/>
    <s v="Foundation"/>
    <n v="132.25"/>
    <x v="4"/>
    <n v="0"/>
    <s v="Laptop"/>
    <s v="16.239.80.34"/>
    <x v="0"/>
    <n v="54"/>
    <n v="-0.58649923394588344"/>
    <n v="0"/>
    <n v="0"/>
    <n v="1"/>
    <n v="1"/>
    <n v="0"/>
  </r>
  <r>
    <s v="1f8e8899-dc24-460c-aaa1-6d8476d10016"/>
    <s v="a7bc4fe3-7d78-479a-9243-c6ea7d4579cf"/>
    <d v="2025-03-21T00:00:00"/>
    <d v="1899-12-30T05:01:22"/>
    <n v="5"/>
    <n v="49"/>
    <s v="Silver"/>
    <s v="Miami"/>
    <s v="FLAGSHIP-ROME"/>
    <s v="SOLAR-BLUSH-04"/>
    <s v="Mascara"/>
    <n v="131.99"/>
    <x v="4"/>
    <n v="0"/>
    <s v="Laptop"/>
    <s v="7.227.106.194"/>
    <x v="0"/>
    <n v="145"/>
    <n v="-0.59009874140966734"/>
    <n v="0"/>
    <n v="1"/>
    <n v="1"/>
    <n v="3"/>
    <n v="0"/>
  </r>
  <r>
    <s v="11efcfa6-de1b-4af1-9e75-4fd63b1800ed"/>
    <s v="75d559c0-1b8c-4f13-89f5-2eb1a7d5eb8f"/>
    <d v="2025-06-04T00:00:00"/>
    <d v="1899-12-30T15:07:16"/>
    <n v="15"/>
    <n v="31"/>
    <s v="Bronze"/>
    <s v="Milan"/>
    <s v="BOUTIQUE-SHANGHAI"/>
    <s v="SOLAR-BLUSH-04"/>
    <s v="Eyeliner"/>
    <n v="131.83000000000001"/>
    <x v="3"/>
    <n v="0"/>
    <s v="Tablet"/>
    <s v="143.106.91.19"/>
    <x v="0"/>
    <n v="478"/>
    <n v="-0.592313822925842"/>
    <n v="0"/>
    <n v="0"/>
    <n v="0"/>
    <n v="0"/>
    <n v="0"/>
  </r>
  <r>
    <s v="18ca8755-d2f5-47aa-8369-66e40a542778"/>
    <s v="dd0ee70b-abef-49bc-8b2b-2afa72e2f58d"/>
    <d v="2025-04-10T00:00:00"/>
    <d v="1899-12-30T06:07:08"/>
    <n v="6"/>
    <n v="39"/>
    <s v="Silver"/>
    <s v="Miami"/>
    <s v="CONCESSION-LONDON"/>
    <s v="ORION-CONCEAL-09"/>
    <s v="Blush"/>
    <n v="131.81"/>
    <x v="3"/>
    <n v="0"/>
    <s v="Laptop"/>
    <s v="170.88.243.71"/>
    <x v="0"/>
    <n v="473"/>
    <n v="-0.59259070811536407"/>
    <n v="0"/>
    <n v="0"/>
    <n v="0"/>
    <n v="0"/>
    <n v="0"/>
  </r>
  <r>
    <s v="a41f408d-c77f-41e0-85e2-955623a7178c"/>
    <s v="d70a5c2e-004b-4d18-a04e-b5ea312b4cd7"/>
    <d v="2025-05-11T00:00:00"/>
    <d v="1899-12-30T11:08:56"/>
    <n v="11"/>
    <n v="38"/>
    <s v="Bronze"/>
    <s v="Milan"/>
    <s v="BOUTIQUE-NYC"/>
    <s v="SOLAR-BLUSH-04"/>
    <s v="Concealer"/>
    <n v="131.69"/>
    <x v="1"/>
    <n v="0"/>
    <s v="Laptop"/>
    <s v="218.142.129.67"/>
    <x v="0"/>
    <n v="266"/>
    <n v="-0.59425201925249516"/>
    <n v="0"/>
    <n v="0"/>
    <n v="1"/>
    <n v="1"/>
    <n v="0"/>
  </r>
  <r>
    <s v="0291de22-d8e7-4413-aee5-1d00f412400a"/>
    <s v="330054de-8e1d-4fbd-b778-5d55438b1d9f"/>
    <d v="2025-05-13T00:00:00"/>
    <d v="1899-12-30T06:21:53"/>
    <n v="6"/>
    <n v="19"/>
    <s v="Silver"/>
    <s v="London"/>
    <s v="BOUTIQUE-SHANGHAI"/>
    <s v="NEBULA-SERUM-07"/>
    <s v="Highlighter"/>
    <n v="131.68"/>
    <x v="1"/>
    <n v="0"/>
    <s v="Desktop"/>
    <s v="240.149.55.178"/>
    <x v="0"/>
    <n v="142"/>
    <n v="-0.59439046184725597"/>
    <n v="0"/>
    <n v="0"/>
    <n v="1"/>
    <n v="1"/>
    <n v="0"/>
  </r>
  <r>
    <s v="eebbec03-33ab-4abe-aeda-ca25ca776274"/>
    <s v="dfb571e1-8127-4098-afd7-6cdc10a019ba"/>
    <d v="2025-07-05T00:00:00"/>
    <d v="1899-12-30T12:39:47"/>
    <n v="12"/>
    <n v="58"/>
    <s v="Gold"/>
    <s v="Cannes"/>
    <s v="FLAGSHIP-LA"/>
    <s v="SOLAR-BLUSH-04"/>
    <s v="Mascara"/>
    <n v="131.62"/>
    <x v="3"/>
    <n v="0"/>
    <s v="Laptop"/>
    <s v="37.113.8.101"/>
    <x v="0"/>
    <n v="51"/>
    <n v="-0.59522111741582162"/>
    <n v="0"/>
    <n v="0"/>
    <n v="1"/>
    <n v="1"/>
    <n v="0"/>
  </r>
  <r>
    <s v="2a53cb73-4276-458f-9c3b-2c90f53f8293"/>
    <s v="f7091e87-532c-436a-9b5a-d63185db2223"/>
    <d v="2025-04-18T00:00:00"/>
    <d v="1899-12-30T02:06:38"/>
    <n v="2"/>
    <n v="18"/>
    <s v="Bronze"/>
    <s v="Singapore"/>
    <s v="POPUP-MILAN"/>
    <s v="ECLIPSE-EYE-10"/>
    <s v="Mascara"/>
    <n v="131.58000000000001"/>
    <x v="3"/>
    <n v="0"/>
    <s v="Desktop"/>
    <s v="250.101.173.102"/>
    <x v="0"/>
    <n v="485"/>
    <n v="-0.5957748877948652"/>
    <n v="0"/>
    <n v="1"/>
    <n v="0"/>
    <n v="2"/>
    <n v="0"/>
  </r>
  <r>
    <s v="6adab114-6c41-4ea5-b8d4-5cc632c62de9"/>
    <s v="ea5bb459-a6f2-455d-855e-2132cc3f72a7"/>
    <d v="2025-06-13T00:00:00"/>
    <d v="1899-12-30T21:19:52"/>
    <n v="21"/>
    <n v="44"/>
    <s v="Unknown"/>
    <s v="Las Vegas"/>
    <s v="POPUP-MILAN"/>
    <s v="NEBULA-SERUM-07"/>
    <s v="Concealer"/>
    <n v="131.46"/>
    <x v="0"/>
    <n v="0"/>
    <s v="Mobile"/>
    <s v="12.34.111.210"/>
    <x v="1"/>
    <n v="308"/>
    <n v="-0.59743619893199629"/>
    <n v="0"/>
    <n v="0"/>
    <n v="0"/>
    <n v="0"/>
    <n v="0"/>
  </r>
  <r>
    <s v="936abff5-fb72-4d72-ad91-c08419da35ee"/>
    <s v="0cc97e8b-fd42-478c-8374-c9e7b8ae522f"/>
    <d v="2025-06-15T00:00:00"/>
    <d v="1899-12-30T14:20:26"/>
    <n v="14"/>
    <n v="28"/>
    <s v="Silver"/>
    <s v="Sydney"/>
    <s v="FLAGSHIP-LA"/>
    <s v="ECLIPSE-EYE-10"/>
    <s v="Serum"/>
    <n v="131.35"/>
    <x v="1"/>
    <n v="0"/>
    <s v="Mobile"/>
    <s v="241.219.61.118"/>
    <x v="0"/>
    <n v="71"/>
    <n v="-0.59895906747436667"/>
    <n v="0"/>
    <n v="0"/>
    <n v="1"/>
    <n v="1"/>
    <n v="0"/>
  </r>
  <r>
    <s v="e502db29-db43-4f16-bf4a-c0f0f5a85f5c"/>
    <s v="2e412d5c-93a3-498f-8753-a97fe6af9160"/>
    <d v="2025-03-13T00:00:00"/>
    <d v="1899-12-30T07:03:42"/>
    <n v="7"/>
    <n v="19"/>
    <s v="Gold"/>
    <s v="Hong Kong"/>
    <s v="POPUP-MILAN"/>
    <s v="SOLAR-BLUSH-04"/>
    <s v="Eyeliner"/>
    <n v="131.31"/>
    <x v="1"/>
    <n v="0"/>
    <s v="Desktop"/>
    <s v="83.180.136.216"/>
    <x v="0"/>
    <n v="250"/>
    <n v="-0.59951283785341025"/>
    <n v="0"/>
    <n v="0"/>
    <n v="1"/>
    <n v="1"/>
    <n v="0"/>
  </r>
  <r>
    <s v="50ae5de2-a4e3-4581-b59f-e5c619cba018"/>
    <s v="fee2268d-b8e4-4969-87e8-eed00d1fb165"/>
    <d v="2025-02-15T00:00:00"/>
    <d v="1899-12-30T00:09:03"/>
    <n v="0"/>
    <n v="35"/>
    <s v="Gold"/>
    <s v="Shanghai"/>
    <s v="FLAGSHIP-ROME"/>
    <s v="LUNAR-MASC-02"/>
    <s v="Setting Spray"/>
    <n v="131.16999999999999"/>
    <x v="0"/>
    <n v="0"/>
    <s v="Laptop"/>
    <s v="77.20.119.55"/>
    <x v="0"/>
    <n v="198"/>
    <n v="-0.6014510341800634"/>
    <n v="0"/>
    <n v="1"/>
    <n v="1"/>
    <n v="3"/>
    <n v="0"/>
  </r>
  <r>
    <s v="1e603b1e-b04d-4c3a-a771-41d243fd4cd8"/>
    <s v="c8a65f90-bdfb-4a75-9ab5-e4319a2a5edd"/>
    <d v="2025-06-02T00:00:00"/>
    <d v="1899-12-30T17:28:03"/>
    <n v="17"/>
    <n v="23"/>
    <s v="Gold"/>
    <s v="Monaco"/>
    <s v="FLAGSHIP-LA"/>
    <s v="NEBULA-SERUM-07"/>
    <s v="Lipstick"/>
    <n v="131.06"/>
    <x v="4"/>
    <n v="0"/>
    <s v="Mobile"/>
    <s v="209.198.61.114"/>
    <x v="0"/>
    <n v="423"/>
    <n v="-0.60297390272243334"/>
    <n v="0"/>
    <n v="0"/>
    <n v="0"/>
    <n v="0"/>
    <n v="0"/>
  </r>
  <r>
    <s v="8039c1da-c93e-4cb3-9ab3-9a0a444fed45"/>
    <s v="0ad77148-68f8-4a38-9d69-ae9cb60db120"/>
    <d v="2025-03-15T00:00:00"/>
    <d v="1899-12-30T05:56:01"/>
    <n v="5"/>
    <n v="44"/>
    <s v="Silver"/>
    <s v="Monte Carlo"/>
    <s v="CONCESSION-LONDON"/>
    <s v="CELESTE-EYE-05"/>
    <s v="Eyeshadow Palette"/>
    <n v="131.01"/>
    <x v="3"/>
    <n v="0"/>
    <s v="Desktop"/>
    <s v="58.9.166.113"/>
    <x v="0"/>
    <n v="409"/>
    <n v="-0.60366611569623818"/>
    <n v="0"/>
    <n v="1"/>
    <n v="0"/>
    <n v="2"/>
    <n v="0"/>
  </r>
  <r>
    <s v="2a1f9fc5-1c93-4c80-b9e3-8f62eb3e032f"/>
    <s v="bae8c1a7-3c99-42c8-8816-fb1a7343b19b"/>
    <d v="2025-05-05T00:00:00"/>
    <d v="1899-12-30T08:49:34"/>
    <n v="8"/>
    <n v="21"/>
    <s v="Platinum"/>
    <s v="San Francisco"/>
    <s v="FLAGSHIP-PARIS"/>
    <s v="GALAXIA-SET-08"/>
    <s v="Eyeshadow Palette"/>
    <n v="130.97999999999999"/>
    <x v="4"/>
    <n v="0"/>
    <s v="Mobile"/>
    <s v="14.54.37.244"/>
    <x v="0"/>
    <n v="274"/>
    <n v="-0.60408144348052095"/>
    <n v="0"/>
    <n v="0"/>
    <n v="0"/>
    <n v="0"/>
    <n v="0"/>
  </r>
  <r>
    <s v="90e467ab-dc2f-4a24-a4b3-d28dc471b8fe"/>
    <s v="c596a233-67e9-46e8-9ec4-8ae21db1570d"/>
    <d v="2025-05-12T00:00:00"/>
    <d v="1899-12-30T05:24:19"/>
    <n v="5"/>
    <n v="34"/>
    <s v="Bronze"/>
    <s v="Zurich"/>
    <s v="BOUTIQUE-DUBAI"/>
    <s v="STELLAR-FOUND-03"/>
    <s v="Concealer"/>
    <n v="130.96"/>
    <x v="3"/>
    <n v="0"/>
    <s v="Laptop"/>
    <s v="241.243.51.197"/>
    <x v="0"/>
    <n v="157"/>
    <n v="-0.60435832867004258"/>
    <n v="0"/>
    <n v="1"/>
    <n v="1"/>
    <n v="3"/>
    <n v="0"/>
  </r>
  <r>
    <s v="204c3ad0-1885-4913-a8cd-301498bb6df6"/>
    <s v="3f20a3d4-749e-487b-a0a9-b2bb6e6c19f3"/>
    <d v="2025-05-05T00:00:00"/>
    <d v="1899-12-30T08:48:45"/>
    <n v="8"/>
    <n v="19"/>
    <s v="Platinum"/>
    <s v="Sydney"/>
    <s v="BOUTIQUE-DUBAI"/>
    <s v="SOLAR-BLUSH-04"/>
    <s v="Serum"/>
    <n v="130.94"/>
    <x v="3"/>
    <n v="0"/>
    <s v="Desktop"/>
    <s v="6.14.132.123"/>
    <x v="0"/>
    <n v="60"/>
    <n v="-0.60463521385956454"/>
    <n v="0"/>
    <n v="0"/>
    <n v="1"/>
    <n v="1"/>
    <n v="0"/>
  </r>
  <r>
    <s v="452245d5-e6c0-42cd-8163-1244e40eefda"/>
    <s v="dd97af28-2556-4890-a5ce-0aa5edb4a7b5"/>
    <d v="2025-06-07T00:00:00"/>
    <d v="1899-12-30T12:25:37"/>
    <n v="12"/>
    <n v="43"/>
    <s v="Bronze"/>
    <s v="Los Angeles"/>
    <s v="BOUTIQUE-NYC"/>
    <s v="COSMIC-HIGHLIGHT-06"/>
    <s v="Setting Spray"/>
    <n v="130.88"/>
    <x v="1"/>
    <n v="0"/>
    <s v="Laptop"/>
    <s v="71.249.224.114"/>
    <x v="1"/>
    <n v="151"/>
    <n v="-0.60546586942813008"/>
    <n v="0"/>
    <n v="0"/>
    <n v="1"/>
    <n v="1"/>
    <n v="0"/>
  </r>
  <r>
    <s v="695a4a5d-65a4-4e26-9b81-506b3eda0379"/>
    <s v="a2218574-7368-4973-8f82-0f0d425161cb"/>
    <d v="2025-06-11T00:00:00"/>
    <d v="1899-12-30T08:26:05"/>
    <n v="8"/>
    <n v="33"/>
    <s v="Bronze"/>
    <s v="Hong Kong"/>
    <s v="FLAGSHIP-ROME"/>
    <s v="LUNAR-MASC-02"/>
    <s v="Mascara"/>
    <n v="130.86000000000001"/>
    <x v="0"/>
    <n v="0"/>
    <s v="Mobile"/>
    <s v="183.163.37.104"/>
    <x v="0"/>
    <n v="472"/>
    <n v="-0.6057427546176517"/>
    <n v="0"/>
    <n v="0"/>
    <n v="0"/>
    <n v="0"/>
    <n v="0"/>
  </r>
  <r>
    <s v="ae76e95f-f16e-421e-845e-1ec4b8de0602"/>
    <s v="076b6770-9823-44f8-a037-cfa3ee0d7fa5"/>
    <d v="2025-05-10T00:00:00"/>
    <d v="1899-12-30T15:35:12"/>
    <n v="15"/>
    <n v="29"/>
    <s v="Unknown"/>
    <s v="San Francisco"/>
    <s v="POPUP-TOKYO"/>
    <s v="NEBULA-SERUM-07"/>
    <s v="Eyeshadow Palette"/>
    <n v="130.66999999999999"/>
    <x v="3"/>
    <n v="0"/>
    <s v="Mobile"/>
    <s v="84.242.213.137"/>
    <x v="0"/>
    <n v="269"/>
    <n v="-0.60837316391810958"/>
    <n v="0"/>
    <n v="0"/>
    <n v="1"/>
    <n v="1"/>
    <n v="0"/>
  </r>
  <r>
    <s v="66605942-9105-466b-a009-1182e1be61ef"/>
    <s v="2dd8967e-5bd3-46b9-ad84-725dbf88c9af"/>
    <d v="2025-03-07T00:00:00"/>
    <d v="1899-12-30T01:58:49"/>
    <n v="1"/>
    <n v="28"/>
    <s v="Silver"/>
    <s v="Singapore"/>
    <s v="FLAGSHIP-LA"/>
    <s v="ORION-CONCEAL-09"/>
    <s v="Eyeliner"/>
    <n v="130.63999999999999"/>
    <x v="4"/>
    <n v="0"/>
    <s v="Tablet"/>
    <s v="191.97.32.67"/>
    <x v="0"/>
    <n v="278"/>
    <n v="-0.60878849170239246"/>
    <n v="0"/>
    <n v="1"/>
    <n v="0"/>
    <n v="2"/>
    <n v="0"/>
  </r>
  <r>
    <s v="94b1052c-201e-438c-839f-a8ef761a5ece"/>
    <s v="99f28397-5ced-4874-bc81-cbe0f9d7ca83"/>
    <d v="2025-08-04T00:00:00"/>
    <d v="1899-12-30T03:03:18"/>
    <n v="3"/>
    <n v="31"/>
    <s v="Silver"/>
    <s v="Zurich"/>
    <s v="POPUP-TOKYO"/>
    <s v="GALAXIA-SET-08"/>
    <s v="Blush"/>
    <n v="130.57"/>
    <x v="0"/>
    <n v="0"/>
    <s v="Desktop"/>
    <s v="199.228.9.254"/>
    <x v="0"/>
    <n v="476"/>
    <n v="-0.60975758986571882"/>
    <n v="0"/>
    <n v="1"/>
    <n v="0"/>
    <n v="2"/>
    <n v="0"/>
  </r>
  <r>
    <s v="45171e93-e958-4442-966b-3734f7272417"/>
    <s v="ea1992d2-2a74-40cb-87aa-f1a653183ece"/>
    <d v="2025-07-12T00:00:00"/>
    <d v="1899-12-30T07:44:38"/>
    <n v="7"/>
    <n v="24"/>
    <s v="Bronze"/>
    <s v="Hong Kong"/>
    <s v="BOUTIQUE-NYC"/>
    <s v="COSMIC-HIGHLIGHT-06"/>
    <s v="Blush"/>
    <n v="130.34"/>
    <x v="2"/>
    <n v="1"/>
    <s v="Laptop"/>
    <s v="103.128.232.92"/>
    <x v="0"/>
    <n v="215"/>
    <n v="-0.61294176954521995"/>
    <n v="0"/>
    <n v="0"/>
    <n v="1"/>
    <n v="3"/>
    <n v="0"/>
  </r>
  <r>
    <s v="b48d7b9a-f296-413e-af3b-9b2c391bd940"/>
    <s v="bd21373a-c16b-41bf-81dd-9c7e943f0bb6"/>
    <d v="2025-03-19T00:00:00"/>
    <d v="1899-12-30T22:10:05"/>
    <n v="22"/>
    <n v="39"/>
    <s v="Silver"/>
    <s v="Milan"/>
    <s v="BOUTIQUE-SHANGHAI"/>
    <s v="LUNAR-MASC-02"/>
    <s v="Lipstick"/>
    <n v="130.31"/>
    <x v="3"/>
    <n v="0"/>
    <s v="Mobile"/>
    <s v="108.92.209.74"/>
    <x v="0"/>
    <n v="79"/>
    <n v="-0.61335709732950272"/>
    <n v="0"/>
    <n v="0"/>
    <n v="1"/>
    <n v="1"/>
    <n v="0"/>
  </r>
  <r>
    <s v="af336251-2aa7-4c62-8f87-0d65f9c23050"/>
    <s v="4cbc1790-e1dc-4ad1-a998-898f2f1856e4"/>
    <d v="2025-08-07T00:00:00"/>
    <d v="1899-12-30T09:45:13"/>
    <n v="9"/>
    <n v="56"/>
    <s v="Bronze"/>
    <s v="London"/>
    <s v="FLAGSHIP-LA"/>
    <s v="GALAXIA-SET-08"/>
    <s v="Concealer"/>
    <n v="130.26"/>
    <x v="0"/>
    <n v="0"/>
    <s v="Tablet"/>
    <s v="116.253.123.42"/>
    <x v="0"/>
    <n v="136"/>
    <n v="-0.61404931030330745"/>
    <n v="0"/>
    <n v="0"/>
    <n v="1"/>
    <n v="1"/>
    <n v="0"/>
  </r>
  <r>
    <s v="8d31562c-8ff8-40fd-89fa-0ad8861f2a9c"/>
    <s v="cadee664-99ca-46fb-aa95-4b0c93a17826"/>
    <d v="2025-05-23T00:00:00"/>
    <d v="1899-12-30T16:35:13"/>
    <n v="16"/>
    <n v="29"/>
    <s v="Silver"/>
    <s v="Las Vegas"/>
    <s v="POPUP-MILAN"/>
    <s v="SOLAR-BLUSH-04"/>
    <s v="Lipstick"/>
    <n v="130.22"/>
    <x v="1"/>
    <n v="0"/>
    <s v="Desktop"/>
    <s v="128.51.227.16"/>
    <x v="1"/>
    <n v="363"/>
    <n v="-0.61460308068235103"/>
    <n v="0"/>
    <n v="0"/>
    <n v="0"/>
    <n v="0"/>
    <n v="0"/>
  </r>
  <r>
    <s v="0fc18b1b-0280-432c-80d8-670adafd8e86"/>
    <s v="16a66509-7a69-497f-b481-3e2202d189f7"/>
    <d v="2025-07-09T00:00:00"/>
    <d v="1899-12-30T01:02:02"/>
    <n v="1"/>
    <n v="52"/>
    <s v="Gold"/>
    <s v="Hong Kong"/>
    <s v="BOUTIQUE-DUBAI"/>
    <s v="CELESTE-EYE-05"/>
    <s v="Lipstick"/>
    <n v="130.16999999999999"/>
    <x v="3"/>
    <n v="0"/>
    <s v="Mobile"/>
    <s v="17.61.140.72"/>
    <x v="0"/>
    <n v="102"/>
    <n v="-0.61529529365615587"/>
    <n v="0"/>
    <n v="1"/>
    <n v="1"/>
    <n v="3"/>
    <n v="0"/>
  </r>
  <r>
    <s v="d75a71cf-67cc-41ba-82ab-becaa2261345"/>
    <s v="01def410-cd3f-4802-98c9-60db0d9195e1"/>
    <d v="2025-03-02T00:00:00"/>
    <d v="1899-12-30T04:09:36"/>
    <n v="4"/>
    <n v="56"/>
    <s v="Gold"/>
    <s v="San Francisco"/>
    <s v="CONCESSION-LONDON"/>
    <s v="ECLIPSE-EYE-10"/>
    <s v="Setting Spray"/>
    <n v="130.01"/>
    <x v="4"/>
    <n v="0"/>
    <s v="Laptop"/>
    <s v="71.219.117.156"/>
    <x v="0"/>
    <n v="339"/>
    <n v="-0.61751037517233065"/>
    <n v="0"/>
    <n v="1"/>
    <n v="0"/>
    <n v="2"/>
    <n v="0"/>
  </r>
  <r>
    <s v="d8b8f0f5-9110-4efc-8cf0-e30715b013e0"/>
    <s v="82eab8bc-3601-4dd9-9134-b00ad60c2b9c"/>
    <d v="2025-04-13T00:00:00"/>
    <d v="1899-12-30T21:24:33"/>
    <n v="21"/>
    <n v="19"/>
    <s v="Platinum"/>
    <s v="London"/>
    <s v="CONCESSION-LONDON"/>
    <s v="SOLAR-BLUSH-04"/>
    <s v="Lipstick"/>
    <n v="129.81"/>
    <x v="3"/>
    <n v="0"/>
    <s v="Mobile"/>
    <s v="196.22.67.127"/>
    <x v="0"/>
    <n v="147"/>
    <n v="-0.6202792270675489"/>
    <n v="0"/>
    <n v="0"/>
    <n v="1"/>
    <n v="1"/>
    <n v="0"/>
  </r>
  <r>
    <s v="25c6f7b9-b19c-4f95-8336-8d9ffa73d055"/>
    <s v="f17ae2f1-1006-4fdc-85f3-edea503aa3ad"/>
    <d v="2025-05-24T00:00:00"/>
    <d v="1899-12-30T02:59:27"/>
    <n v="2"/>
    <n v="42"/>
    <s v="Bronze"/>
    <s v="Zurich"/>
    <s v="POPUP-MILAN"/>
    <s v="ORION-CONCEAL-09"/>
    <s v="Mascara"/>
    <n v="129.66999999999999"/>
    <x v="1"/>
    <n v="0"/>
    <s v="Tablet"/>
    <s v="120.172.218.230"/>
    <x v="0"/>
    <n v="63"/>
    <n v="-0.62221742339420205"/>
    <n v="0"/>
    <n v="1"/>
    <n v="1"/>
    <n v="3"/>
    <n v="0"/>
  </r>
  <r>
    <s v="bfcb358e-fe90-4c39-87c7-b8c192d89119"/>
    <s v="2377695f-5136-40a6-95dc-138c661afaf8"/>
    <d v="2025-06-06T00:00:00"/>
    <d v="1899-12-30T22:49:19"/>
    <n v="22"/>
    <n v="18"/>
    <s v="Platinum"/>
    <s v="Cannes"/>
    <s v="CONCESSION-LONDON"/>
    <s v="ORION-CONCEAL-09"/>
    <s v="Eyeshadow Palette"/>
    <n v="129.65"/>
    <x v="1"/>
    <n v="0"/>
    <s v="Laptop"/>
    <s v="11.154.155.252"/>
    <x v="0"/>
    <n v="437"/>
    <n v="-0.62249430858372368"/>
    <n v="0"/>
    <n v="0"/>
    <n v="0"/>
    <n v="0"/>
    <n v="0"/>
  </r>
  <r>
    <s v="afdea3af-5eec-4b80-be40-91e75a2820af"/>
    <s v="2c93aeaf-2d0b-4017-b5c3-21edff9cd533"/>
    <d v="2025-03-24T00:00:00"/>
    <d v="1899-12-30T11:53:40"/>
    <n v="11"/>
    <n v="29"/>
    <s v="Bronze"/>
    <s v="San Francisco"/>
    <s v="FLAGSHIP-PARIS"/>
    <s v="ECLIPSE-EYE-10"/>
    <s v="Blush"/>
    <n v="129.58000000000001"/>
    <x v="4"/>
    <n v="0"/>
    <s v="Mobile"/>
    <s v="44.220.123.200"/>
    <x v="0"/>
    <n v="61"/>
    <n v="-0.62346340674705003"/>
    <n v="0"/>
    <n v="0"/>
    <n v="1"/>
    <n v="1"/>
    <n v="0"/>
  </r>
  <r>
    <s v="77837968-eab4-41d2-9650-6d25184fe03f"/>
    <s v="d4552f23-7552-45b2-93f0-535d472d3cbf"/>
    <d v="2025-04-16T00:00:00"/>
    <d v="1899-12-30T02:18:30"/>
    <n v="2"/>
    <n v="23"/>
    <s v="Silver"/>
    <s v="Los Angeles"/>
    <s v="BOUTIQUE-SHANGHAI"/>
    <s v="NEBULA-SERUM-07"/>
    <s v="Eyeshadow Palette"/>
    <n v="129.57"/>
    <x v="0"/>
    <n v="0"/>
    <s v="Mobile"/>
    <s v="207.116.178.114"/>
    <x v="0"/>
    <n v="60"/>
    <n v="-0.62360184934181129"/>
    <n v="0"/>
    <n v="1"/>
    <n v="1"/>
    <n v="3"/>
    <n v="0"/>
  </r>
  <r>
    <s v="34eee09e-d6ee-49a8-9a9a-0b4c0826228f"/>
    <s v="33e4e9ee-69c1-441b-80f8-52e405eb4f97"/>
    <d v="2025-05-27T00:00:00"/>
    <d v="1899-12-30T07:39:10"/>
    <n v="7"/>
    <n v="41"/>
    <s v="Bronze"/>
    <s v="Cannes"/>
    <s v="BOUTIQUE-NYC"/>
    <s v="CELESTE-EYE-05"/>
    <s v="Mascara"/>
    <n v="129.53"/>
    <x v="4"/>
    <n v="0"/>
    <s v="Mobile"/>
    <s v="145.218.146.165"/>
    <x v="0"/>
    <n v="78"/>
    <n v="-0.62415561972085487"/>
    <n v="0"/>
    <n v="0"/>
    <n v="1"/>
    <n v="1"/>
    <n v="0"/>
  </r>
  <r>
    <s v="eda4dc6a-3966-49e3-aa19-17c948c376dd"/>
    <s v="1c8ac32a-f7e0-4c65-aa9f-bbf11933dc30"/>
    <d v="2025-05-08T00:00:00"/>
    <d v="1899-12-30T19:21:59"/>
    <n v="19"/>
    <n v="22"/>
    <s v="Bronze"/>
    <s v="London"/>
    <s v="FLAGSHIP-PARIS"/>
    <s v="COSMIC-HIGHLIGHT-06"/>
    <s v="Eyeshadow Palette"/>
    <n v="129.44"/>
    <x v="4"/>
    <n v="0"/>
    <s v="Tablet"/>
    <s v="11.62.250.235"/>
    <x v="0"/>
    <n v="465"/>
    <n v="-0.62540160307370318"/>
    <n v="0"/>
    <n v="0"/>
    <n v="0"/>
    <n v="0"/>
    <n v="0"/>
  </r>
  <r>
    <s v="f301103a-d636-4efc-af39-187d7f056300"/>
    <s v="ef3d4917-e16f-46cc-b286-23f27a91c56b"/>
    <d v="2025-07-13T00:00:00"/>
    <d v="1899-12-30T13:08:53"/>
    <n v="13"/>
    <n v="47"/>
    <s v="Gold"/>
    <s v="Miami"/>
    <s v="FLAGSHIP-LA"/>
    <s v="AURORA-LIP-01"/>
    <s v="Setting Spray"/>
    <n v="129.38999999999999"/>
    <x v="3"/>
    <n v="0"/>
    <s v="Laptop"/>
    <s v="100.4.201.130"/>
    <x v="0"/>
    <n v="323"/>
    <n v="-0.62609381604750802"/>
    <n v="0"/>
    <n v="0"/>
    <n v="0"/>
    <n v="0"/>
    <n v="0"/>
  </r>
  <r>
    <s v="4196958b-6ad0-4a9e-be32-406a65fd1737"/>
    <s v="69fd6220-f17a-4135-8111-d5cebf45909c"/>
    <d v="2025-04-23T00:00:00"/>
    <d v="1899-12-30T05:31:02"/>
    <n v="5"/>
    <n v="51"/>
    <s v="Silver"/>
    <s v="Sydney"/>
    <s v="POPUP-MILAN"/>
    <s v="LUNAR-MASC-02"/>
    <s v="Setting Spray"/>
    <n v="129.34"/>
    <x v="1"/>
    <n v="0"/>
    <s v="Mobile"/>
    <s v="16.93.98.132"/>
    <x v="0"/>
    <n v="143"/>
    <n v="-0.62678602902131242"/>
    <n v="0"/>
    <n v="1"/>
    <n v="1"/>
    <n v="3"/>
    <n v="0"/>
  </r>
  <r>
    <s v="5cbebb2d-c2be-4443-8298-94f815732a8a"/>
    <s v="72b40162-4260-4b0c-b1a5-434d5d113196"/>
    <d v="2025-03-18T00:00:00"/>
    <d v="1899-12-30T09:10:49"/>
    <n v="9"/>
    <n v="58"/>
    <s v="Bronze"/>
    <s v="Tokyo"/>
    <s v="FLAGSHIP-LA"/>
    <s v="SOLAR-BLUSH-04"/>
    <s v="Blush"/>
    <n v="129.24"/>
    <x v="4"/>
    <n v="0"/>
    <s v="Laptop"/>
    <s v="166.45.84.12"/>
    <x v="0"/>
    <n v="71"/>
    <n v="-0.62817045496892154"/>
    <n v="0"/>
    <n v="0"/>
    <n v="1"/>
    <n v="1"/>
    <n v="0"/>
  </r>
  <r>
    <s v="f040386e-14aa-4c8d-88f3-9cb92716ea0e"/>
    <s v="5462a45b-e17c-4f19-b261-b73dee57b93e"/>
    <d v="2025-05-23T00:00:00"/>
    <d v="1899-12-30T15:58:31"/>
    <n v="15"/>
    <n v="53"/>
    <s v="Bronze"/>
    <s v="Monaco"/>
    <s v="FLAGSHIP-PARIS"/>
    <s v="STELLAR-FOUND-03"/>
    <s v="Setting Spray"/>
    <n v="129.22"/>
    <x v="3"/>
    <n v="0"/>
    <s v="Mobile"/>
    <s v="155.248.108.243"/>
    <x v="0"/>
    <n v="99"/>
    <n v="-0.6284473401584435"/>
    <n v="0"/>
    <n v="0"/>
    <n v="1"/>
    <n v="1"/>
    <n v="0"/>
  </r>
  <r>
    <s v="04b78d62-fa9c-4ac5-a560-be0f4996af16"/>
    <s v="75d23b44-f96f-4a9b-92cf-638cca3de931"/>
    <d v="2025-06-08T00:00:00"/>
    <d v="1899-12-30T01:25:28"/>
    <n v="1"/>
    <n v="54"/>
    <s v="Gold"/>
    <s v="Paris"/>
    <s v="BOUTIQUE-DUBAI"/>
    <s v="ECLIPSE-EYE-10"/>
    <s v="Blush"/>
    <n v="129.19"/>
    <x v="1"/>
    <n v="0"/>
    <s v="Mobile"/>
    <s v="122.207.248.142"/>
    <x v="0"/>
    <n v="205"/>
    <n v="-0.62886266794272627"/>
    <n v="0"/>
    <n v="1"/>
    <n v="1"/>
    <n v="3"/>
    <n v="0"/>
  </r>
  <r>
    <s v="bf922697-89c0-487d-9bf4-c3566e8ba62c"/>
    <s v="2d5babe2-8525-49ba-8491-e0443403a526"/>
    <d v="2025-05-22T00:00:00"/>
    <d v="1899-12-30T10:17:46"/>
    <n v="10"/>
    <n v="64"/>
    <s v="Platinum"/>
    <s v="Milan"/>
    <s v="BOUTIQUE-SHANGHAI"/>
    <s v="COSMIC-HIGHLIGHT-06"/>
    <s v="Highlighter"/>
    <n v="128.35"/>
    <x v="1"/>
    <n v="0"/>
    <s v="Tablet"/>
    <s v="91.4.51.220"/>
    <x v="0"/>
    <n v="135"/>
    <n v="-0.64049184590264407"/>
    <n v="0"/>
    <n v="0"/>
    <n v="1"/>
    <n v="1"/>
    <n v="0"/>
  </r>
  <r>
    <s v="fb826adb-e80a-4f8d-a221-cb3e19579904"/>
    <s v="3d96330e-bbb7-4335-9beb-86ba95b188c8"/>
    <d v="2025-06-03T00:00:00"/>
    <d v="1899-12-30T16:55:23"/>
    <n v="16"/>
    <n v="59"/>
    <s v="Silver"/>
    <s v="Tokyo"/>
    <s v="BOUTIQUE-NYC"/>
    <s v="ORION-CONCEAL-09"/>
    <s v="Eyeshadow Palette"/>
    <n v="128.33000000000001"/>
    <x v="1"/>
    <n v="0"/>
    <s v="Laptop"/>
    <s v="110.93.137.55"/>
    <x v="0"/>
    <n v="376"/>
    <n v="-0.64076873109216559"/>
    <n v="0"/>
    <n v="0"/>
    <n v="0"/>
    <n v="0"/>
    <n v="0"/>
  </r>
  <r>
    <s v="10f2aa32-e948-48df-9d86-d07d52705225"/>
    <s v="477e8757-c369-42c2-9383-55de71f3ac3c"/>
    <d v="2025-06-01T00:00:00"/>
    <d v="1899-12-30T02:52:42"/>
    <n v="2"/>
    <n v="61"/>
    <s v="Bronze"/>
    <s v="Cannes"/>
    <s v="FLAGSHIP-PARIS"/>
    <s v="AURORA-LIP-01"/>
    <s v="Lipstick"/>
    <n v="128.03"/>
    <x v="4"/>
    <n v="0"/>
    <s v="Desktop"/>
    <s v="65.196.158.185"/>
    <x v="0"/>
    <n v="391"/>
    <n v="-0.64492200893499352"/>
    <n v="0"/>
    <n v="1"/>
    <n v="0"/>
    <n v="2"/>
    <n v="0"/>
  </r>
  <r>
    <s v="d4731e29-0549-4937-b55a-1c20af075ac1"/>
    <s v="c85dc412-e90e-4cce-bf57-16a65bfabcc0"/>
    <d v="2025-04-01T00:00:00"/>
    <d v="1899-12-30T17:05:11"/>
    <n v="17"/>
    <n v="47"/>
    <s v="Bronze"/>
    <s v="Monte Carlo"/>
    <s v="CONCESSION-SINGAPORE"/>
    <s v="STELLAR-FOUND-03"/>
    <s v="Blush"/>
    <n v="127.92"/>
    <x v="1"/>
    <n v="0"/>
    <s v="Mobile"/>
    <s v="200.65.178.35"/>
    <x v="0"/>
    <n v="217"/>
    <n v="-0.64644487747736368"/>
    <n v="0"/>
    <n v="0"/>
    <n v="1"/>
    <n v="1"/>
    <n v="0"/>
  </r>
  <r>
    <s v="8b778065-c810-42b0-ba07-67cf5dffc678"/>
    <s v="6024dc2f-c955-4f8a-a1f7-3f6300276eb7"/>
    <d v="2025-03-11T00:00:00"/>
    <d v="1899-12-30T00:11:12"/>
    <n v="0"/>
    <n v="62"/>
    <s v="Silver"/>
    <s v="Milan"/>
    <s v="CONCESSION-SINGAPORE"/>
    <s v="STELLAR-FOUND-03"/>
    <s v="Lipstick"/>
    <n v="127.91"/>
    <x v="3"/>
    <n v="0"/>
    <s v="Mobile"/>
    <s v="171.101.245.136"/>
    <x v="0"/>
    <n v="312"/>
    <n v="-0.64658332007212471"/>
    <n v="0"/>
    <n v="1"/>
    <n v="0"/>
    <n v="2"/>
    <n v="0"/>
  </r>
  <r>
    <s v="6dc254af-1aee-4fd3-b774-ff18e92a404b"/>
    <s v="2fcf95ab-aa61-4759-bf97-0d23669c1565"/>
    <d v="2025-08-11T00:00:00"/>
    <d v="1899-12-30T02:08:37"/>
    <n v="2"/>
    <n v="40"/>
    <s v="Silver"/>
    <s v="Sydney"/>
    <s v="POPUP-MILAN"/>
    <s v="LUNAR-MASC-02"/>
    <s v="Highlighter"/>
    <n v="127.79"/>
    <x v="0"/>
    <n v="0"/>
    <s v="Tablet"/>
    <s v="134.121.37.224"/>
    <x v="0"/>
    <n v="106"/>
    <n v="-0.64824463120925568"/>
    <n v="0"/>
    <n v="1"/>
    <n v="1"/>
    <n v="3"/>
    <n v="0"/>
  </r>
  <r>
    <s v="68cfbdc4-cd01-498b-977f-157cdce8b17b"/>
    <s v="266ac8ff-d7a6-4d93-b667-91365d62c060"/>
    <d v="2025-04-09T00:00:00"/>
    <d v="1899-12-30T16:25:32"/>
    <n v="16"/>
    <n v="52"/>
    <s v="Silver"/>
    <s v="Miami"/>
    <s v="FLAGSHIP-PARIS"/>
    <s v="SOLAR-BLUSH-04"/>
    <s v="Lipstick"/>
    <n v="127.78"/>
    <x v="1"/>
    <n v="0"/>
    <s v="Mobile"/>
    <s v="196.23.88.171"/>
    <x v="0"/>
    <n v="87"/>
    <n v="-0.64838307380401661"/>
    <n v="0"/>
    <n v="0"/>
    <n v="1"/>
    <n v="1"/>
    <n v="0"/>
  </r>
  <r>
    <s v="89f06693-47ee-4039-a840-34121cf794f5"/>
    <s v="64a93d31-5515-4689-a35e-91fb9b7cc065"/>
    <d v="2025-07-03T00:00:00"/>
    <d v="1899-12-30T16:19:49"/>
    <n v="16"/>
    <n v="41"/>
    <s v="Platinum"/>
    <s v="Cannes"/>
    <s v="BOUTIQUE-SHANGHAI"/>
    <s v="ECLIPSE-EYE-10"/>
    <s v="Blush"/>
    <n v="127.75"/>
    <x v="4"/>
    <n v="0"/>
    <s v="Tablet"/>
    <s v="154.5.202.21"/>
    <x v="0"/>
    <n v="412"/>
    <n v="-0.64879840158829938"/>
    <n v="0"/>
    <n v="0"/>
    <n v="0"/>
    <n v="0"/>
    <n v="0"/>
  </r>
  <r>
    <s v="58c4c24b-5b14-4f0d-803e-60a779293ce3"/>
    <s v="dcd960d1-42f3-467c-b9f4-b9749e8dfbb9"/>
    <d v="2025-05-04T00:00:00"/>
    <d v="1899-12-30T04:47:25"/>
    <n v="4"/>
    <n v="41"/>
    <s v="Silver"/>
    <s v="Paris"/>
    <s v="BOUTIQUE-NYC"/>
    <s v="STELLAR-FOUND-03"/>
    <s v="Concealer"/>
    <n v="127.63"/>
    <x v="3"/>
    <n v="0"/>
    <s v="Tablet"/>
    <s v="75.112.16.242"/>
    <x v="0"/>
    <n v="322"/>
    <n v="-0.65045971272543057"/>
    <n v="0"/>
    <n v="1"/>
    <n v="0"/>
    <n v="2"/>
    <n v="0"/>
  </r>
  <r>
    <s v="ea71777a-67a6-4a3f-b01f-54bb8ba127f4"/>
    <s v="48074c6d-cc06-4630-bbe9-0f55d23f2576"/>
    <d v="2025-03-09T00:00:00"/>
    <d v="1899-12-30T06:01:28"/>
    <n v="6"/>
    <n v="52"/>
    <s v="Silver"/>
    <s v="Shanghai"/>
    <s v="FLAGSHIP-PARIS"/>
    <s v="NEBULA-SERUM-07"/>
    <s v="Setting Spray"/>
    <n v="127.51"/>
    <x v="0"/>
    <n v="0"/>
    <s v="Tablet"/>
    <s v="26.121.211.102"/>
    <x v="0"/>
    <n v="209"/>
    <n v="-0.65212102386256154"/>
    <n v="0"/>
    <n v="0"/>
    <n v="1"/>
    <n v="1"/>
    <n v="0"/>
  </r>
  <r>
    <s v="760bf4a4-523b-4717-aa2f-d3af6d255458"/>
    <s v="c1dca0b0-839d-40cf-b44b-f998a04cae18"/>
    <d v="2025-06-15T00:00:00"/>
    <d v="1899-12-30T12:10:46"/>
    <n v="12"/>
    <n v="22"/>
    <s v="Platinum"/>
    <s v="London"/>
    <s v="BOUTIQUE-SHANGHAI"/>
    <s v="STELLAR-FOUND-03"/>
    <s v="Highlighter"/>
    <n v="127.2"/>
    <x v="1"/>
    <n v="0"/>
    <s v="Mobile"/>
    <s v="194.200.200.36"/>
    <x v="0"/>
    <n v="55"/>
    <n v="-0.65641274430015029"/>
    <n v="0"/>
    <n v="0"/>
    <n v="1"/>
    <n v="1"/>
    <n v="0"/>
  </r>
  <r>
    <s v="719566b4-b1ba-4438-aa53-4b326fcf61bd"/>
    <s v="18df562b-9937-4ca9-b1af-8f076dce5224"/>
    <d v="2025-04-03T00:00:00"/>
    <d v="1899-12-30T12:28:55"/>
    <n v="12"/>
    <n v="57"/>
    <s v="Bronze"/>
    <s v="Hong Kong"/>
    <s v="BOUTIQUE-NYC"/>
    <s v="LUNAR-MASC-02"/>
    <s v="Concealer"/>
    <n v="127.14"/>
    <x v="3"/>
    <n v="0"/>
    <s v="Desktop"/>
    <s v="42.123.34.50"/>
    <x v="0"/>
    <n v="173"/>
    <n v="-0.65724339986871583"/>
    <n v="0"/>
    <n v="0"/>
    <n v="1"/>
    <n v="1"/>
    <n v="0"/>
  </r>
  <r>
    <s v="209a52e6-ef01-483a-a17d-c59b23dc0e0b"/>
    <s v="d03b7c43-a8dd-4e67-81af-99f5722c5ee4"/>
    <d v="2025-04-09T00:00:00"/>
    <d v="1899-12-30T06:32:29"/>
    <n v="6"/>
    <n v="35"/>
    <s v="Unknown"/>
    <s v="Paris"/>
    <s v="FLAGSHIP-LA"/>
    <s v="CELESTE-EYE-05"/>
    <s v="Eyeshadow Palette"/>
    <n v="126.95"/>
    <x v="0"/>
    <n v="0"/>
    <s v="Desktop"/>
    <s v="84.161.117.106"/>
    <x v="0"/>
    <n v="58"/>
    <n v="-0.65987380916917338"/>
    <n v="0"/>
    <n v="0"/>
    <n v="1"/>
    <n v="1"/>
    <n v="0"/>
  </r>
  <r>
    <s v="1778d1bd-9f8e-4326-9db0-45b2ecd2d1fc"/>
    <s v="9bcae7fb-5cee-4f2f-aa50-afd087f3777a"/>
    <d v="2025-07-31T00:00:00"/>
    <d v="1899-12-30T18:32:08"/>
    <n v="18"/>
    <n v="58"/>
    <s v="Silver"/>
    <s v="Cannes"/>
    <s v="POPUP-TOKYO"/>
    <s v="ECLIPSE-EYE-10"/>
    <s v="Eyeshadow Palette"/>
    <n v="126.75"/>
    <x v="1"/>
    <n v="0"/>
    <s v="Desktop"/>
    <s v="29.235.62.54"/>
    <x v="0"/>
    <n v="227"/>
    <n v="-0.66264266106439185"/>
    <n v="0"/>
    <n v="0"/>
    <n v="1"/>
    <n v="1"/>
    <n v="0"/>
  </r>
  <r>
    <s v="748ad375-4969-455a-94a3-7c864ab37e4c"/>
    <s v="d76786f1-a249-4cb1-b9a5-eb62789ff4a7"/>
    <d v="2025-07-12T00:00:00"/>
    <d v="1899-12-30T10:16:06"/>
    <n v="10"/>
    <n v="36"/>
    <s v="Bronze"/>
    <s v="London"/>
    <s v="FLAGSHIP-PARIS"/>
    <s v="ECLIPSE-EYE-10"/>
    <s v="Highlighter"/>
    <n v="126.65"/>
    <x v="4"/>
    <n v="0"/>
    <s v="Laptop"/>
    <s v="77.81.11.200"/>
    <x v="0"/>
    <n v="157"/>
    <n v="-0.66402708701200108"/>
    <n v="0"/>
    <n v="0"/>
    <n v="1"/>
    <n v="1"/>
    <n v="0"/>
  </r>
  <r>
    <s v="830e8b9b-aa01-43a2-9d57-64168790fef6"/>
    <s v="7a8b3130-f5a1-473b-b630-1a61016d6269"/>
    <d v="2025-06-07T00:00:00"/>
    <d v="1899-12-30T19:16:58"/>
    <n v="19"/>
    <n v="55"/>
    <s v="Bronze"/>
    <s v="Dubai"/>
    <s v="BOUTIQUE-SHANGHAI"/>
    <s v="COSMIC-HIGHLIGHT-06"/>
    <s v="Mascara"/>
    <n v="126.6"/>
    <x v="1"/>
    <n v="0"/>
    <s v="Desktop"/>
    <s v="37.240.55.231"/>
    <x v="0"/>
    <n v="443"/>
    <n v="-0.66471929998580581"/>
    <n v="0"/>
    <n v="0"/>
    <n v="0"/>
    <n v="0"/>
    <n v="0"/>
  </r>
  <r>
    <s v="4a4d1070-8c4d-4c97-8eae-abb1dc314c9e"/>
    <s v="94c5814c-72a6-4c33-8a45-c377bcd8f7dc"/>
    <d v="2025-07-19T00:00:00"/>
    <d v="1899-12-30T04:00:35"/>
    <n v="4"/>
    <n v="45"/>
    <s v="Silver"/>
    <s v="Dubai"/>
    <s v="POPUP-TOKYO"/>
    <s v="NEBULA-SERUM-07"/>
    <s v="Foundation"/>
    <n v="126.59"/>
    <x v="0"/>
    <n v="0"/>
    <s v="Mobile"/>
    <s v="23.41.200.91"/>
    <x v="0"/>
    <n v="173"/>
    <n v="-0.66485774258056662"/>
    <n v="0"/>
    <n v="1"/>
    <n v="1"/>
    <n v="3"/>
    <n v="0"/>
  </r>
  <r>
    <s v="7202c00c-94d4-46d7-9f76-6336bc7c225d"/>
    <s v="090cea76-7a0b-4e76-9f2d-bc10cbd318b1"/>
    <d v="2025-06-15T00:00:00"/>
    <d v="1899-12-30T10:09:49"/>
    <n v="10"/>
    <n v="29"/>
    <s v="Platinum"/>
    <s v="Zurich"/>
    <s v="BOUTIQUE-NYC"/>
    <s v="LUNAR-MASC-02"/>
    <s v="Blush"/>
    <n v="126.51"/>
    <x v="3"/>
    <n v="0"/>
    <s v="Tablet"/>
    <s v="179.229.65.114"/>
    <x v="0"/>
    <n v="109"/>
    <n v="-0.66596528333865401"/>
    <n v="0"/>
    <n v="0"/>
    <n v="1"/>
    <n v="1"/>
    <n v="0"/>
  </r>
  <r>
    <s v="70826bd6-62cf-4f1e-9d1a-8b7dcdccdfef"/>
    <s v="ad3d0dfc-4f3c-43b4-a389-9b0e8d9acd1a"/>
    <d v="2025-07-01T00:00:00"/>
    <d v="1899-12-30T10:17:03"/>
    <n v="10"/>
    <n v="22"/>
    <s v="Silver"/>
    <s v="Sydney"/>
    <s v="CONCESSION-SINGAPORE"/>
    <s v="LUNAR-MASC-02"/>
    <s v="Setting Spray"/>
    <n v="126.39"/>
    <x v="4"/>
    <n v="0"/>
    <s v="Tablet"/>
    <s v="163.230.49.18"/>
    <x v="0"/>
    <n v="64"/>
    <n v="-0.66762659447578521"/>
    <n v="0"/>
    <n v="0"/>
    <n v="1"/>
    <n v="1"/>
    <n v="0"/>
  </r>
  <r>
    <s v="59c4b6e2-6113-4fb9-8ca5-0c8684688fa7"/>
    <s v="1c6c611f-902a-4cb1-97c3-bcdcb1040883"/>
    <d v="2025-08-07T00:00:00"/>
    <d v="1899-12-30T12:24:26"/>
    <n v="12"/>
    <n v="41"/>
    <s v="Silver"/>
    <s v="Tokyo"/>
    <s v="FLAGSHIP-LA"/>
    <s v="STELLAR-FOUND-03"/>
    <s v="Blush"/>
    <n v="126.35"/>
    <x v="4"/>
    <n v="0"/>
    <s v="Tablet"/>
    <s v="8.114.24.5"/>
    <x v="0"/>
    <n v="446"/>
    <n v="-0.6681803648548289"/>
    <n v="0"/>
    <n v="0"/>
    <n v="0"/>
    <n v="0"/>
    <n v="0"/>
  </r>
  <r>
    <s v="e25c3d56-89f8-45ee-b9e6-d8f48ff58757"/>
    <s v="dee086fb-2341-4430-8dc5-aa0fcc6bd804"/>
    <d v="2025-03-17T00:00:00"/>
    <d v="1899-12-30T15:35:06"/>
    <n v="15"/>
    <n v="47"/>
    <s v="Silver"/>
    <s v="Cannes"/>
    <s v="BOUTIQUE-DUBAI"/>
    <s v="ORION-CONCEAL-09"/>
    <s v="Eyeliner"/>
    <n v="126.31"/>
    <x v="2"/>
    <n v="1"/>
    <s v="Tablet"/>
    <s v="73.234.61.199"/>
    <x v="0"/>
    <n v="372"/>
    <n v="-0.66873413523387248"/>
    <n v="0"/>
    <n v="0"/>
    <n v="0"/>
    <n v="2"/>
    <n v="0"/>
  </r>
  <r>
    <s v="b08b27f1-96a1-4818-9540-df12a44c0dce"/>
    <s v="25c5ce3c-27dd-4844-851f-14a2bee286a1"/>
    <d v="2025-03-18T00:00:00"/>
    <d v="1899-12-30T14:41:16"/>
    <n v="14"/>
    <n v="41"/>
    <s v="Bronze"/>
    <s v="Monaco"/>
    <s v="CONCESSION-LONDON"/>
    <s v="NEBULA-SERUM-07"/>
    <s v="Setting Spray"/>
    <n v="126.09"/>
    <x v="3"/>
    <n v="0"/>
    <s v="Desktop"/>
    <s v="87.57.245.20"/>
    <x v="0"/>
    <n v="232"/>
    <n v="-0.6717798723186128"/>
    <n v="0"/>
    <n v="0"/>
    <n v="1"/>
    <n v="1"/>
    <n v="0"/>
  </r>
  <r>
    <s v="436a40f4-1371-43ef-990b-75210c688192"/>
    <s v="3b03cad8-39c6-469f-9ab0-7e92a2164598"/>
    <d v="2025-02-14T00:00:00"/>
    <d v="1899-12-30T22:13:39"/>
    <n v="22"/>
    <n v="20"/>
    <s v="Gold"/>
    <s v="Monaco"/>
    <s v="POPUP-TOKYO"/>
    <s v="AURORA-LIP-01"/>
    <s v="Highlighter"/>
    <n v="125.98"/>
    <x v="0"/>
    <n v="0"/>
    <s v="Desktop"/>
    <s v="144.29.177.244"/>
    <x v="0"/>
    <n v="165"/>
    <n v="-0.67330274086098307"/>
    <n v="0"/>
    <n v="0"/>
    <n v="1"/>
    <n v="1"/>
    <n v="0"/>
  </r>
  <r>
    <s v="53278f27-da77-410a-bd00-00343772e4cf"/>
    <s v="91b9dfab-0c85-48eb-a393-43b0e1615859"/>
    <d v="2025-06-08T00:00:00"/>
    <d v="1899-12-30T01:26:19"/>
    <n v="1"/>
    <n v="54"/>
    <s v="Bronze"/>
    <s v="Sydney"/>
    <s v="BOUTIQUE-SHANGHAI"/>
    <s v="STELLAR-FOUND-03"/>
    <s v="Foundation"/>
    <n v="125.96"/>
    <x v="0"/>
    <n v="0"/>
    <s v="Mobile"/>
    <s v="187.233.129.183"/>
    <x v="0"/>
    <n v="152"/>
    <n v="-0.67357962605050503"/>
    <n v="0"/>
    <n v="1"/>
    <n v="1"/>
    <n v="3"/>
    <n v="0"/>
  </r>
  <r>
    <s v="19b76d19-280e-4511-8893-53fe05f495cd"/>
    <s v="f990f467-dd82-4254-9bf9-034b4444de21"/>
    <d v="2025-07-22T00:00:00"/>
    <d v="1899-12-30T18:02:52"/>
    <n v="18"/>
    <n v="31"/>
    <s v="Silver"/>
    <s v="San Francisco"/>
    <s v="BOUTIQUE-DUBAI"/>
    <s v="STELLAR-FOUND-03"/>
    <s v="Setting Spray"/>
    <n v="125.95"/>
    <x v="1"/>
    <n v="0"/>
    <s v="Laptop"/>
    <s v="66.200.236.123"/>
    <x v="0"/>
    <n v="408"/>
    <n v="-0.67371806864526584"/>
    <n v="0"/>
    <n v="0"/>
    <n v="0"/>
    <n v="0"/>
    <n v="0"/>
  </r>
  <r>
    <s v="66d57461-2a42-4b5b-aba6-382fe98b95f4"/>
    <s v="1a6e1612-8e89-4396-a3af-647e6cd35471"/>
    <d v="2025-04-16T00:00:00"/>
    <d v="1899-12-30T19:06:59"/>
    <n v="19"/>
    <n v="25"/>
    <s v="Platinum"/>
    <s v="Tokyo"/>
    <s v="POPUP-TOKYO"/>
    <s v="COSMIC-HIGHLIGHT-06"/>
    <s v="Highlighter"/>
    <n v="125.84"/>
    <x v="3"/>
    <n v="0"/>
    <s v="Mobile"/>
    <s v="95.94.105.17"/>
    <x v="0"/>
    <n v="161"/>
    <n v="-0.675240937187636"/>
    <n v="0"/>
    <n v="0"/>
    <n v="1"/>
    <n v="1"/>
    <n v="0"/>
  </r>
  <r>
    <s v="12c9e3ac-99af-40c8-a405-ac2cf37160d6"/>
    <s v="d11ddd04-a0a5-4acb-89c4-5d01ca9fbbf9"/>
    <d v="2025-02-20T00:00:00"/>
    <d v="1899-12-30T04:45:27"/>
    <n v="4"/>
    <n v="33"/>
    <s v="Bronze"/>
    <s v="Zurich"/>
    <s v="BOUTIQUE-SHANGHAI"/>
    <s v="NEBULA-SERUM-07"/>
    <s v="Eyeshadow Palette"/>
    <n v="125.69"/>
    <x v="3"/>
    <n v="0"/>
    <s v="Mobile"/>
    <s v="136.9.216.161"/>
    <x v="0"/>
    <n v="357"/>
    <n v="-0.67731757610904997"/>
    <n v="0"/>
    <n v="1"/>
    <n v="0"/>
    <n v="2"/>
    <n v="0"/>
  </r>
  <r>
    <s v="301080cc-0e51-449e-a5fd-25f6bb203f78"/>
    <s v="c6268ecb-3b44-43c7-ad95-06b5d189effa"/>
    <d v="2025-07-27T00:00:00"/>
    <d v="1899-12-30T09:49:22"/>
    <n v="9"/>
    <n v="18"/>
    <s v="Gold"/>
    <s v="New York"/>
    <s v="FLAGSHIP-LA"/>
    <s v="SOLAR-BLUSH-04"/>
    <s v="Blush"/>
    <n v="125.62"/>
    <x v="0"/>
    <n v="0"/>
    <s v="Desktop"/>
    <s v="157.18.49.33"/>
    <x v="0"/>
    <n v="303"/>
    <n v="-0.67828667427237632"/>
    <n v="0"/>
    <n v="0"/>
    <n v="0"/>
    <n v="0"/>
    <n v="0"/>
  </r>
  <r>
    <s v="728be591-ddf1-47d4-b19e-38220e9a4536"/>
    <s v="70e679e2-3803-4b3e-9f6a-5a02780969ff"/>
    <d v="2025-04-11T00:00:00"/>
    <d v="1899-12-30T12:03:36"/>
    <n v="12"/>
    <n v="24"/>
    <s v="Silver"/>
    <s v="Geneva"/>
    <s v="FLAGSHIP-PARIS"/>
    <s v="NEBULA-SERUM-07"/>
    <s v="Serum"/>
    <n v="125.6"/>
    <x v="1"/>
    <n v="0"/>
    <s v="Tablet"/>
    <s v="31.108.234.76"/>
    <x v="0"/>
    <n v="80"/>
    <n v="-0.67856355946189828"/>
    <n v="0"/>
    <n v="0"/>
    <n v="1"/>
    <n v="1"/>
    <n v="0"/>
  </r>
  <r>
    <s v="ed758575-19cc-461f-9176-cb530d3484c6"/>
    <s v="9dda46dd-8bf8-406d-b6fa-7377a99cfb7b"/>
    <d v="2025-07-11T00:00:00"/>
    <d v="1899-12-30T12:23:43"/>
    <n v="12"/>
    <n v="22"/>
    <s v="Bronze"/>
    <s v="Miami"/>
    <s v="BOUTIQUE-SHANGHAI"/>
    <s v="COSMIC-HIGHLIGHT-06"/>
    <s v="Eyeliner"/>
    <n v="125.46"/>
    <x v="3"/>
    <n v="0"/>
    <s v="Tablet"/>
    <s v="193.12.117.169"/>
    <x v="0"/>
    <n v="347"/>
    <n v="-0.68050175578855121"/>
    <n v="0"/>
    <n v="0"/>
    <n v="0"/>
    <n v="0"/>
    <n v="0"/>
  </r>
  <r>
    <s v="4c4119ae-0513-49af-9aa2-03dbcbbcc388"/>
    <s v="2c5f95be-8ca8-4823-a1b5-a7efeef7d76c"/>
    <d v="2025-03-16T00:00:00"/>
    <d v="1899-12-30T10:11:07"/>
    <n v="10"/>
    <n v="54"/>
    <s v="Bronze"/>
    <s v="San Francisco"/>
    <s v="POPUP-MILAN"/>
    <s v="STELLAR-FOUND-03"/>
    <s v="Blush"/>
    <n v="125.4"/>
    <x v="4"/>
    <n v="0"/>
    <s v="Tablet"/>
    <s v="167.71.63.249"/>
    <x v="0"/>
    <n v="371"/>
    <n v="-0.68133241135711664"/>
    <n v="0"/>
    <n v="0"/>
    <n v="0"/>
    <n v="0"/>
    <n v="0"/>
  </r>
  <r>
    <s v="1d776da6-57c1-4bce-9b05-374684bc322a"/>
    <s v="4032fd9a-0382-4f4b-91b9-ed2134b51859"/>
    <d v="2025-04-09T00:00:00"/>
    <d v="1899-12-30T02:25:24"/>
    <n v="2"/>
    <n v="41"/>
    <s v="Bronze"/>
    <s v="San Francisco"/>
    <s v="FLAGSHIP-ROME"/>
    <s v="STELLAR-FOUND-03"/>
    <s v="Eyeliner"/>
    <n v="125.24"/>
    <x v="4"/>
    <n v="0"/>
    <s v="Mobile"/>
    <s v="243.136.147.253"/>
    <x v="0"/>
    <n v="346"/>
    <n v="-0.68354749287329153"/>
    <n v="0"/>
    <n v="1"/>
    <n v="0"/>
    <n v="2"/>
    <n v="0"/>
  </r>
  <r>
    <s v="953c153b-14bd-455e-a050-31ce69c99a3a"/>
    <s v="8ba23f82-347b-4538-aa81-8c392c58d24f"/>
    <d v="2025-06-15T00:00:00"/>
    <d v="1899-12-30T11:27:20"/>
    <n v="11"/>
    <n v="54"/>
    <s v="Bronze"/>
    <s v="Monte Carlo"/>
    <s v="BOUTIQUE-SHANGHAI"/>
    <s v="NEBULA-SERUM-07"/>
    <s v="Eyeshadow Palette"/>
    <n v="125.2"/>
    <x v="0"/>
    <n v="0"/>
    <s v="Laptop"/>
    <s v="88.96.243.239"/>
    <x v="0"/>
    <n v="429"/>
    <n v="-0.68410126325233511"/>
    <n v="0"/>
    <n v="0"/>
    <n v="0"/>
    <n v="0"/>
    <n v="0"/>
  </r>
  <r>
    <s v="cd61d6a5-5396-48e5-8abd-a5b0fbe5e7d6"/>
    <s v="54bf0cc4-84d7-4078-90a8-d80bf97973b3"/>
    <d v="2025-08-06T00:00:00"/>
    <d v="1899-12-30T11:34:52"/>
    <n v="11"/>
    <n v="46"/>
    <s v="VIP"/>
    <s v="Hong Kong"/>
    <s v="BOUTIQUE-SHANGHAI"/>
    <s v="SOLAR-BLUSH-04"/>
    <s v="Foundation"/>
    <n v="125.06"/>
    <x v="0"/>
    <n v="0"/>
    <s v="Mobile"/>
    <s v="63.227.43.164"/>
    <x v="0"/>
    <n v="435"/>
    <n v="-0.68603945957898815"/>
    <n v="0"/>
    <n v="0"/>
    <n v="0"/>
    <n v="0"/>
    <n v="0"/>
  </r>
  <r>
    <s v="d28acb1b-698e-4741-9f6d-c8a2a368874e"/>
    <s v="944cdf5f-9dff-4f7f-8388-93d35cf4cb71"/>
    <d v="2025-02-25T00:00:00"/>
    <d v="1899-12-30T11:24:30"/>
    <n v="11"/>
    <n v="58"/>
    <s v="Bronze"/>
    <s v="Paris"/>
    <s v="POPUP-MILAN"/>
    <s v="ORION-CONCEAL-09"/>
    <s v="Setting Spray"/>
    <n v="125.05"/>
    <x v="3"/>
    <n v="0"/>
    <s v="Tablet"/>
    <s v="33.152.51.60"/>
    <x v="0"/>
    <n v="65"/>
    <n v="-0.68617790217374908"/>
    <n v="0"/>
    <n v="0"/>
    <n v="1"/>
    <n v="1"/>
    <n v="0"/>
  </r>
  <r>
    <s v="1188b934-7b5c-4977-99a7-b8ee0dc06346"/>
    <s v="8f7801ad-0571-4404-965c-ca81889738fc"/>
    <d v="2025-03-13T00:00:00"/>
    <d v="1899-12-30T07:42:42"/>
    <n v="7"/>
    <n v="54"/>
    <s v="Bronze"/>
    <s v="Sydney"/>
    <s v="POPUP-TOKYO"/>
    <s v="GALAXIA-SET-08"/>
    <s v="Setting Spray"/>
    <n v="124.99"/>
    <x v="1"/>
    <n v="0"/>
    <s v="Laptop"/>
    <s v="160.106.144.44"/>
    <x v="1"/>
    <n v="147"/>
    <n v="-0.68700855774231473"/>
    <n v="0"/>
    <n v="0"/>
    <n v="1"/>
    <n v="1"/>
    <n v="0"/>
  </r>
  <r>
    <s v="fb6f026c-e094-429a-ac13-cbcdcae682d2"/>
    <s v="3a96ddc2-49bd-423c-a66b-92633bbc352c"/>
    <d v="2025-05-05T00:00:00"/>
    <d v="1899-12-30T01:55:42"/>
    <n v="1"/>
    <n v="65"/>
    <s v="Bronze"/>
    <s v="Milan"/>
    <s v="FLAGSHIP-ROME"/>
    <s v="AURORA-LIP-01"/>
    <s v="Setting Spray"/>
    <n v="124.93"/>
    <x v="4"/>
    <n v="0"/>
    <s v="Laptop"/>
    <s v="207.42.177.51"/>
    <x v="0"/>
    <n v="338"/>
    <n v="-0.68783921331088005"/>
    <n v="0"/>
    <n v="1"/>
    <n v="0"/>
    <n v="2"/>
    <n v="0"/>
  </r>
  <r>
    <s v="cc25079f-6020-437a-9dab-7836e13188b8"/>
    <s v="06182562-fedc-4eba-9dd9-1e955d904c87"/>
    <d v="2025-03-10T00:00:00"/>
    <d v="1899-12-30T19:47:33"/>
    <n v="19"/>
    <n v="61"/>
    <s v="Gold"/>
    <s v="Milan"/>
    <s v="BOUTIQUE-SHANGHAI"/>
    <s v="AURORA-LIP-01"/>
    <s v="Blush"/>
    <n v="124.87"/>
    <x v="1"/>
    <n v="0"/>
    <s v="Tablet"/>
    <s v="187.181.161.230"/>
    <x v="0"/>
    <n v="205"/>
    <n v="-0.68866986887944559"/>
    <n v="0"/>
    <n v="0"/>
    <n v="1"/>
    <n v="1"/>
    <n v="0"/>
  </r>
  <r>
    <s v="42467d64-1308-43e0-9de9-e84e5262a28f"/>
    <s v="4842ba0d-7732-44bf-9521-4d29fd258431"/>
    <d v="2025-03-17T00:00:00"/>
    <d v="1899-12-30T22:14:43"/>
    <n v="22"/>
    <n v="18"/>
    <s v="Bronze"/>
    <s v="Zurich"/>
    <s v="POPUP-MILAN"/>
    <s v="ECLIPSE-EYE-10"/>
    <s v="Eyeliner"/>
    <n v="124.84"/>
    <x v="3"/>
    <n v="0"/>
    <s v="Laptop"/>
    <s v="137.59.0.177"/>
    <x v="0"/>
    <n v="351"/>
    <n v="-0.68908519666372847"/>
    <n v="0"/>
    <n v="0"/>
    <n v="0"/>
    <n v="0"/>
    <n v="0"/>
  </r>
  <r>
    <s v="76cc93f0-a329-4ab4-a070-ffeea080d6dc"/>
    <s v="8cf36e43-6c9a-4b66-aea7-e8d59180db4e"/>
    <d v="2025-02-24T00:00:00"/>
    <d v="1899-12-30T06:58:05"/>
    <n v="6"/>
    <n v="58"/>
    <s v="Bronze"/>
    <s v="Shanghai"/>
    <s v="BOUTIQUE-DUBAI"/>
    <s v="GALAXIA-SET-08"/>
    <s v="Eyeliner"/>
    <n v="124.78"/>
    <x v="2"/>
    <n v="1"/>
    <s v="Tablet"/>
    <s v="12.79.72.126"/>
    <x v="0"/>
    <n v="301"/>
    <n v="-0.68991585223229401"/>
    <n v="0"/>
    <n v="0"/>
    <n v="0"/>
    <n v="2"/>
    <n v="0"/>
  </r>
  <r>
    <s v="585a6fa7-8c75-4352-8c0c-7b64edcd262d"/>
    <s v="7bc8d189-afed-4e31-833b-1fc8043d1b77"/>
    <d v="2025-05-17T00:00:00"/>
    <d v="1899-12-30T15:33:22"/>
    <n v="15"/>
    <n v="22"/>
    <s v="Platinum"/>
    <s v="Monte Carlo"/>
    <s v="CONCESSION-SINGAPORE"/>
    <s v="GALAXIA-SET-08"/>
    <s v="Setting Spray"/>
    <n v="124.6"/>
    <x v="0"/>
    <n v="0"/>
    <s v="Mobile"/>
    <s v="242.75.130.126"/>
    <x v="0"/>
    <n v="456"/>
    <n v="-0.69240781893799075"/>
    <n v="0"/>
    <n v="0"/>
    <n v="0"/>
    <n v="0"/>
    <n v="0"/>
  </r>
  <r>
    <s v="ed6878b1-fff3-4f58-8d41-fdf890585ea8"/>
    <s v="6d1a808d-da8f-4e6d-b8ce-50edaa01d3e2"/>
    <d v="2025-03-16T00:00:00"/>
    <d v="1899-12-30T15:09:03"/>
    <n v="15"/>
    <n v="31"/>
    <s v="VIP"/>
    <s v="Rome"/>
    <s v="BOUTIQUE-SHANGHAI"/>
    <s v="NEBULA-SERUM-07"/>
    <s v="Concealer"/>
    <n v="124.33"/>
    <x v="4"/>
    <n v="0"/>
    <s v="Desktop"/>
    <s v="168.192.45.237"/>
    <x v="0"/>
    <n v="368"/>
    <n v="-0.69614576899653569"/>
    <n v="0"/>
    <n v="0"/>
    <n v="0"/>
    <n v="0"/>
    <n v="0"/>
  </r>
  <r>
    <s v="d3e9f26b-120f-436b-88cb-02fd48731925"/>
    <s v="8ee7654d-cfaf-4365-a24c-8c14aa3945b5"/>
    <d v="2025-03-17T00:00:00"/>
    <d v="1899-12-30T00:36:48"/>
    <n v="0"/>
    <n v="45"/>
    <s v="VIP"/>
    <s v="London"/>
    <s v="BOUTIQUE-DUBAI"/>
    <s v="GALAXIA-SET-08"/>
    <s v="Eyeshadow Palette"/>
    <n v="124.25"/>
    <x v="3"/>
    <n v="0"/>
    <s v="Desktop"/>
    <s v="158.189.224.73"/>
    <x v="0"/>
    <n v="114"/>
    <n v="-0.69725330975462307"/>
    <n v="0"/>
    <n v="1"/>
    <n v="1"/>
    <n v="3"/>
    <n v="0"/>
  </r>
  <r>
    <s v="7204fe37-3624-4d6d-8fcb-3f2f17d10461"/>
    <s v="ad6d770b-fc7b-4dc3-81ca-f5c3f83c5900"/>
    <d v="2025-06-14T00:00:00"/>
    <d v="1899-12-30T06:17:41"/>
    <n v="6"/>
    <n v="57"/>
    <s v="Silver"/>
    <s v="London"/>
    <s v="BOUTIQUE-SHANGHAI"/>
    <s v="NEBULA-SERUM-07"/>
    <s v="Setting Spray"/>
    <n v="124.24"/>
    <x v="1"/>
    <n v="0"/>
    <s v="Tablet"/>
    <s v="57.172.218.245"/>
    <x v="1"/>
    <n v="279"/>
    <n v="-0.697391752349384"/>
    <n v="0"/>
    <n v="0"/>
    <n v="0"/>
    <n v="0"/>
    <n v="0"/>
  </r>
  <r>
    <s v="4ef7aa5f-2515-4de3-afdc-f283e03ff182"/>
    <s v="84eb653a-6f64-447c-b7ba-701abb8a6505"/>
    <d v="2025-03-15T00:00:00"/>
    <d v="1899-12-30T05:35:10"/>
    <n v="5"/>
    <n v="27"/>
    <s v="Silver"/>
    <s v="Sydney"/>
    <s v="BOUTIQUE-NYC"/>
    <s v="SOLAR-BLUSH-04"/>
    <s v="Eyeshadow Palette"/>
    <n v="124.18"/>
    <x v="1"/>
    <n v="0"/>
    <s v="Mobile"/>
    <s v="252.84.222.31"/>
    <x v="0"/>
    <n v="485"/>
    <n v="-0.69822240791794943"/>
    <n v="0"/>
    <n v="1"/>
    <n v="0"/>
    <n v="2"/>
    <n v="0"/>
  </r>
  <r>
    <s v="d90b5b60-bb9f-49a0-8791-7d2cb89bcb7f"/>
    <s v="60617aa7-5f5a-4821-af54-ac094cc36c1d"/>
    <d v="2025-02-17T00:00:00"/>
    <d v="1899-12-30T18:32:20"/>
    <n v="18"/>
    <n v="51"/>
    <s v="Bronze"/>
    <s v="Singapore"/>
    <s v="BOUTIQUE-NYC"/>
    <s v="SOLAR-BLUSH-04"/>
    <s v="Setting Spray"/>
    <n v="124.18"/>
    <x v="3"/>
    <n v="0"/>
    <s v="Mobile"/>
    <s v="246.130.178.250"/>
    <x v="0"/>
    <n v="65"/>
    <n v="-0.69822240791794943"/>
    <n v="0"/>
    <n v="0"/>
    <n v="1"/>
    <n v="1"/>
    <n v="0"/>
  </r>
  <r>
    <s v="7027b046-3a59-4e4e-a273-2ce6dabb5d56"/>
    <s v="73f3997a-e8a8-4e13-b71f-815e224fffb4"/>
    <d v="2025-08-01T00:00:00"/>
    <d v="1899-12-30T09:29:40"/>
    <n v="9"/>
    <n v="63"/>
    <s v="VIP"/>
    <s v="Cannes"/>
    <s v="CONCESSION-LONDON"/>
    <s v="ECLIPSE-EYE-10"/>
    <s v="Mascara"/>
    <n v="124.13"/>
    <x v="1"/>
    <n v="0"/>
    <s v="Laptop"/>
    <s v="160.206.130.103"/>
    <x v="0"/>
    <n v="364"/>
    <n v="-0.69891462089175416"/>
    <n v="0"/>
    <n v="0"/>
    <n v="0"/>
    <n v="0"/>
    <n v="0"/>
  </r>
  <r>
    <s v="54d1896e-46e9-4a68-9ca7-c051225849f3"/>
    <s v="a7b8d7f3-b547-4ad1-b06b-346e8d7b3a19"/>
    <d v="2025-06-03T00:00:00"/>
    <d v="1899-12-30T20:45:49"/>
    <n v="20"/>
    <n v="60"/>
    <s v="Silver"/>
    <s v="Tokyo"/>
    <s v="POPUP-MILAN"/>
    <s v="COSMIC-HIGHLIGHT-06"/>
    <s v="Eyeshadow Palette"/>
    <n v="124.07"/>
    <x v="3"/>
    <n v="0"/>
    <s v="Tablet"/>
    <s v="183.97.99.186"/>
    <x v="0"/>
    <n v="57"/>
    <n v="-0.69974527646031981"/>
    <n v="0"/>
    <n v="0"/>
    <n v="1"/>
    <n v="1"/>
    <n v="0"/>
  </r>
  <r>
    <s v="fcc6c4ef-94ee-4cd3-ad6f-914115ac7886"/>
    <s v="9c159761-8644-4842-8439-bec14bfaff88"/>
    <d v="2025-08-12T00:00:00"/>
    <d v="1899-12-30T06:26:44"/>
    <n v="6"/>
    <n v="22"/>
    <s v="Silver"/>
    <s v="Miami"/>
    <s v="CONCESSION-LONDON"/>
    <s v="AURORA-LIP-01"/>
    <s v="Mascara"/>
    <n v="123.9"/>
    <x v="3"/>
    <n v="0"/>
    <s v="Laptop"/>
    <s v="244.218.86.28"/>
    <x v="0"/>
    <n v="351"/>
    <n v="-0.70209880057125529"/>
    <n v="0"/>
    <n v="0"/>
    <n v="0"/>
    <n v="0"/>
    <n v="0"/>
  </r>
  <r>
    <s v="5685a8c3-ece2-4307-9bf9-3656a5cdea40"/>
    <s v="911fa4cb-8f3f-4ca4-8904-64c4e470e378"/>
    <d v="2025-05-03T00:00:00"/>
    <d v="1899-12-30T17:37:44"/>
    <n v="17"/>
    <n v="63"/>
    <s v="Silver"/>
    <s v="Rome"/>
    <s v="FLAGSHIP-PARIS"/>
    <s v="CELESTE-EYE-05"/>
    <s v="Lipstick"/>
    <n v="123.48"/>
    <x v="3"/>
    <n v="0"/>
    <s v="Mobile"/>
    <s v="144.114.249.132"/>
    <x v="0"/>
    <n v="305"/>
    <n v="-0.70791338955121419"/>
    <n v="0"/>
    <n v="0"/>
    <n v="0"/>
    <n v="0"/>
    <n v="0"/>
  </r>
  <r>
    <s v="0b03170f-b598-49fa-b967-48238f91964b"/>
    <s v="4357cc1f-0b3a-4433-be6c-f293f6b0577d"/>
    <d v="2025-07-08T00:00:00"/>
    <d v="1899-12-30T19:39:15"/>
    <n v="19"/>
    <n v="30"/>
    <s v="Bronze"/>
    <s v="Singapore"/>
    <s v="POPUP-TOKYO"/>
    <s v="NEBULA-SERUM-07"/>
    <s v="Serum"/>
    <n v="123.47"/>
    <x v="4"/>
    <n v="0"/>
    <s v="Desktop"/>
    <s v="110.42.153.78"/>
    <x v="0"/>
    <n v="312"/>
    <n v="-0.70805183214597511"/>
    <n v="0"/>
    <n v="0"/>
    <n v="0"/>
    <n v="0"/>
    <n v="0"/>
  </r>
  <r>
    <s v="0d55bcfd-e6fb-4ed5-a8e2-73e195543cbe"/>
    <s v="434ffdb0-4fea-4fa5-b5e8-5759c9cab421"/>
    <d v="2025-07-27T00:00:00"/>
    <d v="1899-12-30T10:35:41"/>
    <n v="10"/>
    <n v="55"/>
    <s v="Gold"/>
    <s v="Hong Kong"/>
    <s v="FLAGSHIP-PARIS"/>
    <s v="NEBULA-SERUM-07"/>
    <s v="Setting Spray"/>
    <n v="123.46"/>
    <x v="0"/>
    <n v="0"/>
    <s v="Tablet"/>
    <s v="216.33.185.161"/>
    <x v="0"/>
    <n v="127"/>
    <n v="-0.70819027474073615"/>
    <n v="0"/>
    <n v="0"/>
    <n v="1"/>
    <n v="1"/>
    <n v="0"/>
  </r>
  <r>
    <s v="7912f2a7-5a61-4534-8f84-5ae04c42600a"/>
    <s v="ec73d93d-3e16-4841-aead-4bbd95c7ba9a"/>
    <d v="2025-06-14T00:00:00"/>
    <d v="1899-12-30T13:53:37"/>
    <n v="13"/>
    <n v="40"/>
    <s v="Bronze"/>
    <s v="Monaco"/>
    <s v="POPUP-MILAN"/>
    <s v="STELLAR-FOUND-03"/>
    <s v="Eyeliner"/>
    <n v="123.34"/>
    <x v="1"/>
    <n v="0"/>
    <s v="Mobile"/>
    <s v="234.106.200.51"/>
    <x v="0"/>
    <n v="190"/>
    <n v="-0.70985158587786712"/>
    <n v="0"/>
    <n v="0"/>
    <n v="1"/>
    <n v="1"/>
    <n v="0"/>
  </r>
  <r>
    <s v="33858931-47fa-4637-8813-09b87284344f"/>
    <s v="0eedb1e0-3286-405d-bf43-536cd7348791"/>
    <d v="2025-03-22T00:00:00"/>
    <d v="1899-12-30T16:28:26"/>
    <n v="16"/>
    <n v="63"/>
    <s v="Bronze"/>
    <s v="Singapore"/>
    <s v="CONCESSION-LONDON"/>
    <s v="COSMIC-HIGHLIGHT-06"/>
    <s v="Serum"/>
    <n v="123.12"/>
    <x v="0"/>
    <n v="0"/>
    <s v="Laptop"/>
    <s v="80.162.40.109"/>
    <x v="0"/>
    <n v="315"/>
    <n v="-0.71289732296260744"/>
    <n v="0"/>
    <n v="0"/>
    <n v="0"/>
    <n v="0"/>
    <n v="0"/>
  </r>
  <r>
    <s v="bbfb965f-5fe7-4e69-b704-f5cf1084f686"/>
    <s v="2d4130f8-2097-42b0-a3d4-a5501d4d2fea"/>
    <d v="2025-08-08T00:00:00"/>
    <d v="1899-12-30T14:16:13"/>
    <n v="14"/>
    <n v="28"/>
    <s v="VIP"/>
    <s v="Monaco"/>
    <s v="POPUP-TOKYO"/>
    <s v="AURORA-LIP-01"/>
    <s v="Foundation"/>
    <n v="122.72"/>
    <x v="0"/>
    <n v="0"/>
    <s v="Tablet"/>
    <s v="25.6.66.169"/>
    <x v="0"/>
    <n v="238"/>
    <n v="-0.71843502675304449"/>
    <n v="0"/>
    <n v="0"/>
    <n v="1"/>
    <n v="1"/>
    <n v="0"/>
  </r>
  <r>
    <s v="619a5625-538d-4aa3-aeed-edb8c1cfcd87"/>
    <s v="aa6b2170-1275-466a-8322-458a18893b57"/>
    <d v="2025-08-09T00:00:00"/>
    <d v="1899-12-30T08:21:19"/>
    <n v="8"/>
    <n v="19"/>
    <s v="Bronze"/>
    <s v="Paris"/>
    <s v="FLAGSHIP-LA"/>
    <s v="CELESTE-EYE-05"/>
    <s v="Mascara"/>
    <n v="122.7"/>
    <x v="3"/>
    <n v="0"/>
    <s v="Tablet"/>
    <s v="74.83.217.212"/>
    <x v="0"/>
    <n v="340"/>
    <n v="-0.71871191194256634"/>
    <n v="0"/>
    <n v="0"/>
    <n v="0"/>
    <n v="0"/>
    <n v="0"/>
  </r>
  <r>
    <s v="80b98edd-8475-41b2-aaa6-d2b187bb4f27"/>
    <s v="97c89863-e67c-478b-a873-6783478aadc0"/>
    <d v="2025-07-29T00:00:00"/>
    <d v="1899-12-30T19:43:10"/>
    <n v="19"/>
    <n v="62"/>
    <s v="Silver"/>
    <s v="San Francisco"/>
    <s v="POPUP-MILAN"/>
    <s v="AURORA-LIP-01"/>
    <s v="Eyeshadow Palette"/>
    <n v="122.64"/>
    <x v="1"/>
    <n v="0"/>
    <s v="Desktop"/>
    <s v="254.102.100.129"/>
    <x v="0"/>
    <n v="88"/>
    <n v="-0.71954256751113188"/>
    <n v="0"/>
    <n v="0"/>
    <n v="1"/>
    <n v="1"/>
    <n v="0"/>
  </r>
  <r>
    <s v="c3b14f6a-4d08-403e-8936-eef5a89a3ae5"/>
    <s v="5b3ed56d-ae97-4a70-956e-940f17566df5"/>
    <d v="2025-04-14T00:00:00"/>
    <d v="1899-12-30T02:28:11"/>
    <n v="2"/>
    <n v="19"/>
    <s v="Platinum"/>
    <s v="Sydney"/>
    <s v="FLAGSHIP-PARIS"/>
    <s v="STELLAR-FOUND-03"/>
    <s v="Foundation"/>
    <n v="122.43"/>
    <x v="4"/>
    <n v="0"/>
    <s v="Desktop"/>
    <s v="49.196.184.213"/>
    <x v="1"/>
    <n v="258"/>
    <n v="-0.72244986200111116"/>
    <n v="0"/>
    <n v="1"/>
    <n v="1"/>
    <n v="3"/>
    <n v="0"/>
  </r>
  <r>
    <s v="98e2a5f5-2835-4975-add1-f8ae67c2225a"/>
    <s v="aa305fe7-b776-47d3-aa73-9dd5b58b7a08"/>
    <d v="2025-03-19T00:00:00"/>
    <d v="1899-12-30T15:11:12"/>
    <n v="15"/>
    <n v="20"/>
    <s v="Bronze"/>
    <s v="Rome"/>
    <s v="FLAGSHIP-ROME"/>
    <s v="SOLAR-BLUSH-04"/>
    <s v="Setting Spray"/>
    <n v="122.32"/>
    <x v="1"/>
    <n v="0"/>
    <s v="Tablet"/>
    <s v="234.241.192.237"/>
    <x v="0"/>
    <n v="219"/>
    <n v="-0.72397273054348155"/>
    <n v="0"/>
    <n v="0"/>
    <n v="1"/>
    <n v="1"/>
    <n v="0"/>
  </r>
  <r>
    <s v="7f48144b-291b-4f85-b39f-cafd2613eb11"/>
    <s v="924d84b4-018d-4d8e-a81e-39876d74662e"/>
    <d v="2025-05-12T00:00:00"/>
    <d v="1899-12-30T17:59:45"/>
    <n v="17"/>
    <n v="63"/>
    <s v="Silver"/>
    <s v="Las Vegas"/>
    <s v="FLAGSHIP-ROME"/>
    <s v="NEBULA-SERUM-07"/>
    <s v="Concealer"/>
    <n v="122.25"/>
    <x v="1"/>
    <n v="0"/>
    <s v="Mobile"/>
    <s v="52.155.83.217"/>
    <x v="0"/>
    <n v="227"/>
    <n v="-0.7249418287068079"/>
    <n v="0"/>
    <n v="0"/>
    <n v="1"/>
    <n v="1"/>
    <n v="0"/>
  </r>
  <r>
    <s v="c30a684b-05c5-4b0b-ba1f-34ba9c64b3d3"/>
    <s v="9d542826-1dac-48ab-b486-2c6e816aec68"/>
    <d v="2025-05-23T00:00:00"/>
    <d v="1899-12-30T14:58:34"/>
    <n v="14"/>
    <n v="44"/>
    <s v="Bronze"/>
    <s v="Los Angeles"/>
    <s v="POPUP-MILAN"/>
    <s v="ECLIPSE-EYE-10"/>
    <s v="Concealer"/>
    <n v="121.78"/>
    <x v="3"/>
    <n v="0"/>
    <s v="Desktop"/>
    <s v="155.80.87.117"/>
    <x v="0"/>
    <n v="182"/>
    <n v="-0.73144863066057142"/>
    <n v="0"/>
    <n v="0"/>
    <n v="1"/>
    <n v="1"/>
    <n v="0"/>
  </r>
  <r>
    <s v="9e873113-6090-434b-a0d0-fc2b3407a99f"/>
    <s v="1c6b7582-8ed2-4bfe-b790-734f34c959aa"/>
    <d v="2025-05-10T00:00:00"/>
    <d v="1899-12-30T00:05:22"/>
    <n v="0"/>
    <n v="32"/>
    <s v="Bronze"/>
    <s v="San Francisco"/>
    <s v="BOUTIQUE-DUBAI"/>
    <s v="STELLAR-FOUND-03"/>
    <s v="Foundation"/>
    <n v="121.78"/>
    <x v="4"/>
    <n v="0"/>
    <s v="Mobile"/>
    <s v="31.152.251.221"/>
    <x v="0"/>
    <n v="242"/>
    <n v="-0.73144863066057142"/>
    <n v="0"/>
    <n v="1"/>
    <n v="1"/>
    <n v="3"/>
    <n v="0"/>
  </r>
  <r>
    <s v="28299720-b308-49f2-94e4-fd7152fac746"/>
    <s v="a244614c-3aba-4d50-9a02-17c1f5c7fd30"/>
    <d v="2025-06-07T00:00:00"/>
    <d v="1899-12-30T13:51:00"/>
    <n v="13"/>
    <n v="44"/>
    <s v="Bronze"/>
    <s v="Tokyo"/>
    <s v="BOUTIQUE-SHANGHAI"/>
    <s v="SOLAR-BLUSH-04"/>
    <s v="Lipstick"/>
    <n v="121.55"/>
    <x v="4"/>
    <n v="0"/>
    <s v="Desktop"/>
    <s v="120.164.119.33"/>
    <x v="0"/>
    <n v="239"/>
    <n v="-0.73463281034007266"/>
    <n v="0"/>
    <n v="0"/>
    <n v="1"/>
    <n v="1"/>
    <n v="0"/>
  </r>
  <r>
    <s v="a4a00178-f0f2-49c4-8d8f-bddeddd259de"/>
    <s v="ba396b95-0acf-41ad-98f8-4418d4d3c07e"/>
    <d v="2025-08-02T00:00:00"/>
    <d v="1899-12-30T13:12:41"/>
    <n v="13"/>
    <n v="51"/>
    <s v="Platinum"/>
    <s v="Las Vegas"/>
    <s v="CONCESSION-LONDON"/>
    <s v="GALAXIA-SET-08"/>
    <s v="Foundation"/>
    <n v="121.48"/>
    <x v="1"/>
    <n v="0"/>
    <s v="Tablet"/>
    <s v="235.97.2.6"/>
    <x v="0"/>
    <n v="51"/>
    <n v="-0.73560190850339902"/>
    <n v="0"/>
    <n v="0"/>
    <n v="1"/>
    <n v="1"/>
    <n v="0"/>
  </r>
  <r>
    <s v="e6c620f8-aa3c-48ba-8856-94fc50b154c2"/>
    <s v="9c20c916-ab5c-4dd2-b013-696bf779ab48"/>
    <d v="2025-03-04T00:00:00"/>
    <d v="1899-12-30T16:10:26"/>
    <n v="16"/>
    <n v="64"/>
    <s v="Gold"/>
    <s v="Rome"/>
    <s v="CONCESSION-SINGAPORE"/>
    <s v="GALAXIA-SET-08"/>
    <s v="Blush"/>
    <n v="121.42"/>
    <x v="4"/>
    <n v="0"/>
    <s v="Laptop"/>
    <s v="68.60.43.181"/>
    <x v="0"/>
    <n v="361"/>
    <n v="-0.73643256407196467"/>
    <n v="0"/>
    <n v="0"/>
    <n v="0"/>
    <n v="0"/>
    <n v="0"/>
  </r>
  <r>
    <s v="087a9733-2e8e-4a9d-aca6-b219ce744ce5"/>
    <s v="31a2a73b-650a-4d16-93df-ab3ed99f6f7b"/>
    <d v="2025-07-19T00:00:00"/>
    <d v="1899-12-30T13:36:50"/>
    <n v="13"/>
    <n v="60"/>
    <s v="Silver"/>
    <s v="Monte Carlo"/>
    <s v="BOUTIQUE-DUBAI"/>
    <s v="SOLAR-BLUSH-04"/>
    <s v="Highlighter"/>
    <n v="121.29"/>
    <x v="1"/>
    <n v="0"/>
    <s v="Tablet"/>
    <s v="122.194.244.87"/>
    <x v="0"/>
    <n v="327"/>
    <n v="-0.73823231780385656"/>
    <n v="0"/>
    <n v="0"/>
    <n v="0"/>
    <n v="0"/>
    <n v="0"/>
  </r>
  <r>
    <s v="225b3db7-011a-42a1-b824-49e633d782bf"/>
    <s v="29aac3e9-2cae-4065-9ab2-d669b64107ba"/>
    <d v="2025-03-01T00:00:00"/>
    <d v="1899-12-30T07:35:20"/>
    <n v="7"/>
    <n v="34"/>
    <s v="Silver"/>
    <s v="Las Vegas"/>
    <s v="FLAGSHIP-ROME"/>
    <s v="COSMIC-HIGHLIGHT-06"/>
    <s v="Lipstick"/>
    <n v="121.22"/>
    <x v="3"/>
    <n v="0"/>
    <s v="Laptop"/>
    <s v="55.239.137.222"/>
    <x v="0"/>
    <n v="53"/>
    <n v="-0.73920141596718314"/>
    <n v="0"/>
    <n v="0"/>
    <n v="1"/>
    <n v="1"/>
    <n v="0"/>
  </r>
  <r>
    <s v="0a2ce87a-f9cb-418c-87a8-dc635f9ca46e"/>
    <s v="e7331e5b-a063-481a-9cfe-b8d13a1d7073"/>
    <d v="2025-02-21T00:00:00"/>
    <d v="1899-12-30T06:39:18"/>
    <n v="6"/>
    <n v="41"/>
    <s v="Bronze"/>
    <s v="London"/>
    <s v="POPUP-MILAN"/>
    <s v="GALAXIA-SET-08"/>
    <s v="Concealer"/>
    <n v="121.02"/>
    <x v="2"/>
    <n v="1"/>
    <s v="Desktop"/>
    <s v="111.201.162.195"/>
    <x v="0"/>
    <n v="446"/>
    <n v="-0.74197026786240172"/>
    <n v="0"/>
    <n v="0"/>
    <n v="0"/>
    <n v="2"/>
    <n v="0"/>
  </r>
  <r>
    <s v="39cd802d-6d8b-479c-bac2-9760119aa418"/>
    <s v="c20be47f-0a8e-4e11-997d-39dde291e88f"/>
    <d v="2025-02-26T00:00:00"/>
    <d v="1899-12-30T09:16:23"/>
    <n v="9"/>
    <n v="29"/>
    <s v="Silver"/>
    <s v="Hong Kong"/>
    <s v="POPUP-MILAN"/>
    <s v="SOLAR-BLUSH-04"/>
    <s v="Eyeliner"/>
    <n v="120.83"/>
    <x v="0"/>
    <n v="0"/>
    <s v="Laptop"/>
    <s v="192.153.222.210"/>
    <x v="0"/>
    <n v="460"/>
    <n v="-0.74460067716285927"/>
    <n v="0"/>
    <n v="0"/>
    <n v="0"/>
    <n v="0"/>
    <n v="0"/>
  </r>
  <r>
    <s v="24b2c88e-35eb-47c0-8105-5a71af528ed5"/>
    <s v="232e8ff4-e493-4356-9a20-70ba6c7059ca"/>
    <d v="2025-05-15T00:00:00"/>
    <d v="1899-12-30T03:21:13"/>
    <n v="3"/>
    <n v="18"/>
    <s v="Unknown"/>
    <s v="Paris"/>
    <s v="BOUTIQUE-DUBAI"/>
    <s v="LUNAR-MASC-02"/>
    <s v="Setting Spray"/>
    <n v="120.59"/>
    <x v="3"/>
    <n v="0"/>
    <s v="Mobile"/>
    <s v="93.52.75.192"/>
    <x v="0"/>
    <n v="176"/>
    <n v="-0.74792329943712133"/>
    <n v="0"/>
    <n v="1"/>
    <n v="1"/>
    <n v="3"/>
    <n v="0"/>
  </r>
  <r>
    <s v="b6890f77-cd03-41d9-928f-4cced59c31db"/>
    <s v="f3cb9747-87f9-47e5-9547-6cbc68ce5184"/>
    <d v="2025-04-20T00:00:00"/>
    <d v="1899-12-30T04:02:09"/>
    <n v="4"/>
    <n v="46"/>
    <s v="Unknown"/>
    <s v="Las Vegas"/>
    <s v="POPUP-MILAN"/>
    <s v="NEBULA-SERUM-07"/>
    <s v="Highlighter"/>
    <n v="120.56"/>
    <x v="4"/>
    <n v="0"/>
    <s v="Tablet"/>
    <s v="168.78.54.66"/>
    <x v="0"/>
    <n v="347"/>
    <n v="-0.7483386272214041"/>
    <n v="0"/>
    <n v="1"/>
    <n v="0"/>
    <n v="2"/>
    <n v="0"/>
  </r>
  <r>
    <s v="cece4e44-4a7f-43ba-b37e-05783173ac8c"/>
    <s v="cd72b982-d0fb-4bba-9fdd-998a05fd221b"/>
    <d v="2025-05-22T00:00:00"/>
    <d v="1899-12-30T04:08:26"/>
    <n v="4"/>
    <n v="32"/>
    <s v="Bronze"/>
    <s v="Monte Carlo"/>
    <s v="BOUTIQUE-SHANGHAI"/>
    <s v="SOLAR-BLUSH-04"/>
    <s v="Mascara"/>
    <n v="120.39"/>
    <x v="0"/>
    <n v="0"/>
    <s v="Desktop"/>
    <s v="22.64.137.140"/>
    <x v="0"/>
    <n v="120"/>
    <n v="-0.75069215133233991"/>
    <n v="0"/>
    <n v="1"/>
    <n v="1"/>
    <n v="3"/>
    <n v="0"/>
  </r>
  <r>
    <s v="445fb9bb-9cac-4794-a65f-427798e65621"/>
    <s v="037a79ed-9dd3-4017-a500-08865d857d40"/>
    <d v="2025-03-25T00:00:00"/>
    <d v="1899-12-30T02:12:08"/>
    <n v="2"/>
    <n v="35"/>
    <s v="Bronze"/>
    <s v="Hong Kong"/>
    <s v="BOUTIQUE-NYC"/>
    <s v="COSMIC-HIGHLIGHT-06"/>
    <s v="Serum"/>
    <n v="120.01"/>
    <x v="1"/>
    <n v="0"/>
    <s v="Tablet"/>
    <s v="246.49.85.85"/>
    <x v="0"/>
    <n v="52"/>
    <n v="-0.755952969933255"/>
    <n v="0"/>
    <n v="1"/>
    <n v="1"/>
    <n v="3"/>
    <n v="0"/>
  </r>
  <r>
    <s v="62b95d20-77f2-4d34-a207-f62350b63b53"/>
    <s v="d8865086-be58-4ba3-9758-f69759e94692"/>
    <d v="2025-07-11T00:00:00"/>
    <d v="1899-12-30T04:08:12"/>
    <n v="4"/>
    <n v="18"/>
    <s v="Gold"/>
    <s v="Los Angeles"/>
    <s v="FLAGSHIP-PARIS"/>
    <s v="STELLAR-FOUND-03"/>
    <s v="Highlighter"/>
    <n v="119.83"/>
    <x v="3"/>
    <n v="0"/>
    <s v="Tablet"/>
    <s v="241.6.4.54"/>
    <x v="0"/>
    <n v="120"/>
    <n v="-0.75844493663895174"/>
    <n v="0"/>
    <n v="1"/>
    <n v="1"/>
    <n v="3"/>
    <n v="0"/>
  </r>
  <r>
    <s v="f59dcc3c-35bc-447d-bdd7-dae5585102ee"/>
    <s v="47a5e86a-1f7b-469b-917e-f948c60e0fc9"/>
    <d v="2025-03-02T00:00:00"/>
    <d v="1899-12-30T16:08:28"/>
    <n v="16"/>
    <n v="51"/>
    <s v="Gold"/>
    <s v="Milan"/>
    <s v="FLAGSHIP-PARIS"/>
    <s v="LUNAR-MASC-02"/>
    <s v="Serum"/>
    <n v="119.45"/>
    <x v="0"/>
    <n v="0"/>
    <s v="Laptop"/>
    <s v="126.224.146.115"/>
    <x v="0"/>
    <n v="60"/>
    <n v="-0.76370575523986672"/>
    <n v="0"/>
    <n v="0"/>
    <n v="1"/>
    <n v="1"/>
    <n v="0"/>
  </r>
  <r>
    <s v="4b253a0b-7815-43a6-b09f-aa9153248e1a"/>
    <s v="c83db1e4-3e2e-4a1d-bccc-21d69992a391"/>
    <d v="2025-05-22T00:00:00"/>
    <d v="1899-12-30T17:52:50"/>
    <n v="17"/>
    <n v="47"/>
    <s v="Platinum"/>
    <s v="New York"/>
    <s v="POPUP-MILAN"/>
    <s v="ORION-CONCEAL-09"/>
    <s v="Highlighter"/>
    <n v="119.43"/>
    <x v="4"/>
    <n v="0"/>
    <s v="Tablet"/>
    <s v="111.51.162.97"/>
    <x v="0"/>
    <n v="80"/>
    <n v="-0.76398264042938857"/>
    <n v="0"/>
    <n v="0"/>
    <n v="1"/>
    <n v="1"/>
    <n v="0"/>
  </r>
  <r>
    <s v="77934cc9-65e3-4d02-b7a4-0e6978bcd07a"/>
    <s v="63c272f8-932a-4294-aea2-cfc4967dcd02"/>
    <d v="2025-06-06T00:00:00"/>
    <d v="1899-12-30T10:41:05"/>
    <n v="10"/>
    <n v="50"/>
    <s v="Bronze"/>
    <s v="Sydney"/>
    <s v="FLAGSHIP-ROME"/>
    <s v="CELESTE-EYE-05"/>
    <s v="Lipstick"/>
    <n v="119.39"/>
    <x v="0"/>
    <n v="0"/>
    <s v="Tablet"/>
    <s v="60.222.188.75"/>
    <x v="0"/>
    <n v="274"/>
    <n v="-0.76453641080843238"/>
    <n v="0"/>
    <n v="0"/>
    <n v="0"/>
    <n v="0"/>
    <n v="0"/>
  </r>
  <r>
    <s v="fb082aac-953c-4c03-b9bd-6cb2698a4d5c"/>
    <s v="f40f886e-271b-4116-8ee0-a41414e06d5f"/>
    <d v="2025-03-06T00:00:00"/>
    <d v="1899-12-30T12:26:38"/>
    <n v="12"/>
    <n v="53"/>
    <s v="Unknown"/>
    <s v="Paris"/>
    <s v="POPUP-TOKYO"/>
    <s v="NEBULA-SERUM-07"/>
    <s v="Eyeliner"/>
    <n v="119.26"/>
    <x v="2"/>
    <n v="1"/>
    <s v="Tablet"/>
    <s v="41.130.62.98"/>
    <x v="0"/>
    <n v="131"/>
    <n v="-0.76633616454032427"/>
    <n v="0"/>
    <n v="0"/>
    <n v="1"/>
    <n v="3"/>
    <n v="0"/>
  </r>
  <r>
    <s v="ec3d8058-4ce8-456d-94a6-fcaf566a61bd"/>
    <s v="58059eb9-e69b-42c1-a1e1-8c1f8d0a5103"/>
    <d v="2025-03-30T00:00:00"/>
    <d v="1899-12-30T06:06:31"/>
    <n v="6"/>
    <n v="24"/>
    <s v="Bronze"/>
    <s v="Rome"/>
    <s v="CONCESSION-SINGAPORE"/>
    <s v="LUNAR-MASC-02"/>
    <s v="Concealer"/>
    <n v="119.18"/>
    <x v="0"/>
    <n v="0"/>
    <s v="Mobile"/>
    <s v="97.67.193.63"/>
    <x v="0"/>
    <n v="416"/>
    <n v="-0.76744370529841166"/>
    <n v="0"/>
    <n v="0"/>
    <n v="0"/>
    <n v="0"/>
    <n v="0"/>
  </r>
  <r>
    <s v="19fccf85-e092-497f-bfd3-fde9d77b13a9"/>
    <s v="b6513326-5bf1-4c9a-90ca-2f19283cf358"/>
    <d v="2025-07-17T00:00:00"/>
    <d v="1899-12-30T08:17:28"/>
    <n v="8"/>
    <n v="18"/>
    <s v="Bronze"/>
    <s v="Rome"/>
    <s v="POPUP-MILAN"/>
    <s v="COSMIC-HIGHLIGHT-06"/>
    <s v="Eyeliner"/>
    <n v="118.76"/>
    <x v="1"/>
    <n v="0"/>
    <s v="Desktop"/>
    <s v="113.216.221.79"/>
    <x v="0"/>
    <n v="389"/>
    <n v="-0.77325829427837056"/>
    <n v="0"/>
    <n v="0"/>
    <n v="0"/>
    <n v="0"/>
    <n v="0"/>
  </r>
  <r>
    <s v="b19bbab6-97e5-494c-a2f5-d474e6f43e1b"/>
    <s v="b7f7127c-82d2-4851-9c07-3c0e2cb0dc31"/>
    <d v="2025-02-14T00:00:00"/>
    <d v="1899-12-30T02:18:38"/>
    <n v="2"/>
    <n v="60"/>
    <s v="Gold"/>
    <s v="Paris"/>
    <s v="BOUTIQUE-NYC"/>
    <s v="COSMIC-HIGHLIGHT-06"/>
    <s v="Setting Spray"/>
    <n v="118.74"/>
    <x v="0"/>
    <n v="0"/>
    <s v="Laptop"/>
    <s v="176.225.162.21"/>
    <x v="0"/>
    <n v="252"/>
    <n v="-0.77353517946789252"/>
    <n v="0"/>
    <n v="1"/>
    <n v="1"/>
    <n v="3"/>
    <n v="0"/>
  </r>
  <r>
    <s v="453d71e0-7442-45fd-8408-c50f9dcf7dc9"/>
    <s v="dd13892f-f171-4ad2-83a5-08a6906cc531"/>
    <d v="2025-03-02T00:00:00"/>
    <d v="1899-12-30T13:44:35"/>
    <n v="13"/>
    <n v="23"/>
    <s v="Platinum"/>
    <s v="Dubai"/>
    <s v="CONCESSION-SINGAPORE"/>
    <s v="COSMIC-HIGHLIGHT-06"/>
    <s v="Eyeliner"/>
    <n v="118.66"/>
    <x v="0"/>
    <n v="0"/>
    <s v="Laptop"/>
    <s v="255.34.185.246"/>
    <x v="0"/>
    <n v="104"/>
    <n v="-0.77464272022597991"/>
    <n v="0"/>
    <n v="0"/>
    <n v="1"/>
    <n v="1"/>
    <n v="0"/>
  </r>
  <r>
    <s v="fbe97d5c-b09b-4733-a93e-9900a2ece31f"/>
    <s v="05495b60-4753-4533-ae23-beaccab925b6"/>
    <d v="2025-08-07T00:00:00"/>
    <d v="1899-12-30T11:59:32"/>
    <n v="11"/>
    <n v="33"/>
    <s v="Silver"/>
    <s v="Milan"/>
    <s v="CONCESSION-LONDON"/>
    <s v="NEBULA-SERUM-07"/>
    <s v="Blush"/>
    <n v="118.61"/>
    <x v="1"/>
    <n v="0"/>
    <s v="Desktop"/>
    <s v="205.150.7.232"/>
    <x v="0"/>
    <n v="423"/>
    <n v="-0.77533493319978453"/>
    <n v="0"/>
    <n v="0"/>
    <n v="0"/>
    <n v="0"/>
    <n v="0"/>
  </r>
  <r>
    <s v="073e2328-f617-487a-9af8-63211da02101"/>
    <s v="312fffee-b9c7-44f0-ad4a-5a0017e42d76"/>
    <d v="2025-04-16T00:00:00"/>
    <d v="1899-12-30T18:06:09"/>
    <n v="18"/>
    <n v="49"/>
    <s v="Platinum"/>
    <s v="Hong Kong"/>
    <s v="POPUP-MILAN"/>
    <s v="NEBULA-SERUM-07"/>
    <s v="Concealer"/>
    <n v="118.43"/>
    <x v="4"/>
    <n v="0"/>
    <s v="Tablet"/>
    <s v="12.212.55.167"/>
    <x v="0"/>
    <n v="152"/>
    <n v="-0.77782689990548104"/>
    <n v="0"/>
    <n v="0"/>
    <n v="1"/>
    <n v="1"/>
    <n v="0"/>
  </r>
  <r>
    <s v="8407d310-89f9-47ba-9ad9-aa97ae1a8df7"/>
    <s v="e4967af7-5faf-4a9a-a55a-901b77b48d83"/>
    <d v="2025-07-28T00:00:00"/>
    <d v="1899-12-30T16:43:26"/>
    <n v="16"/>
    <n v="53"/>
    <s v="Platinum"/>
    <s v="Zurich"/>
    <s v="BOUTIQUE-SHANGHAI"/>
    <s v="ECLIPSE-EYE-10"/>
    <s v="Highlighter"/>
    <n v="118.25"/>
    <x v="4"/>
    <n v="0"/>
    <s v="Laptop"/>
    <s v="237.134.110.14"/>
    <x v="0"/>
    <n v="215"/>
    <n v="-0.78031886661117777"/>
    <n v="0"/>
    <n v="0"/>
    <n v="1"/>
    <n v="1"/>
    <n v="0"/>
  </r>
  <r>
    <s v="42b31f28-f177-446c-8006-831ad52e7f7b"/>
    <s v="785a0c4c-632d-4e35-adb4-ae62b8da881a"/>
    <d v="2025-05-31T00:00:00"/>
    <d v="1899-12-30T00:21:52"/>
    <n v="0"/>
    <n v="35"/>
    <s v="Gold"/>
    <s v="Los Angeles"/>
    <s v="FLAGSHIP-ROME"/>
    <s v="COSMIC-HIGHLIGHT-06"/>
    <s v="Setting Spray"/>
    <n v="118.17"/>
    <x v="4"/>
    <n v="0"/>
    <s v="Tablet"/>
    <s v="124.150.135.109"/>
    <x v="0"/>
    <n v="238"/>
    <n v="-0.78142640736926516"/>
    <n v="0"/>
    <n v="1"/>
    <n v="1"/>
    <n v="3"/>
    <n v="0"/>
  </r>
  <r>
    <s v="a9663ca7-b925-4ea9-b6dc-ebd7bfa742b6"/>
    <s v="430be96e-8391-4fcb-944d-b2b5eaaf8cb8"/>
    <d v="2025-07-23T00:00:00"/>
    <d v="1899-12-30T09:44:45"/>
    <n v="9"/>
    <n v="45"/>
    <s v="Gold"/>
    <s v="New York"/>
    <s v="BOUTIQUE-NYC"/>
    <s v="SOLAR-BLUSH-04"/>
    <s v="Mascara"/>
    <n v="118.15"/>
    <x v="4"/>
    <n v="0"/>
    <s v="Desktop"/>
    <s v="45.77.92.186"/>
    <x v="1"/>
    <n v="430"/>
    <n v="-0.7817032925587869"/>
    <n v="0"/>
    <n v="0"/>
    <n v="0"/>
    <n v="0"/>
    <n v="0"/>
  </r>
  <r>
    <s v="b40f4ba3-e5a6-403f-9c20-71289506992a"/>
    <s v="5984e576-5702-45f7-9169-43efc5bf269b"/>
    <d v="2025-05-19T00:00:00"/>
    <d v="1899-12-30T08:09:45"/>
    <n v="8"/>
    <n v="43"/>
    <s v="Bronze"/>
    <s v="Los Angeles"/>
    <s v="FLAGSHIP-ROME"/>
    <s v="GALAXIA-SET-08"/>
    <s v="Highlighter"/>
    <n v="118.14"/>
    <x v="1"/>
    <n v="0"/>
    <s v="Desktop"/>
    <s v="176.33.209.8"/>
    <x v="0"/>
    <n v="128"/>
    <n v="-0.78184173515354793"/>
    <n v="0"/>
    <n v="0"/>
    <n v="1"/>
    <n v="1"/>
    <n v="0"/>
  </r>
  <r>
    <s v="8882e2d7-c2b5-4bc4-a8ab-859b90048da9"/>
    <s v="a9192338-659b-4ebd-b312-ecc8bd009f8d"/>
    <d v="2025-07-20T00:00:00"/>
    <d v="1899-12-30T20:47:09"/>
    <n v="20"/>
    <n v="59"/>
    <s v="Platinum"/>
    <s v="Monaco"/>
    <s v="BOUTIQUE-SHANGHAI"/>
    <s v="AURORA-LIP-01"/>
    <s v="Blush"/>
    <n v="117.99"/>
    <x v="0"/>
    <n v="0"/>
    <s v="Mobile"/>
    <s v="33.159.223.183"/>
    <x v="0"/>
    <n v="171"/>
    <n v="-0.7839183740749619"/>
    <n v="0"/>
    <n v="0"/>
    <n v="1"/>
    <n v="1"/>
    <n v="0"/>
  </r>
  <r>
    <s v="31555f36-5f14-4647-b279-888f279cc99f"/>
    <s v="3d4ec728-c9e4-4993-a875-7a06cb8a4300"/>
    <d v="2025-08-07T00:00:00"/>
    <d v="1899-12-30T22:08:33"/>
    <n v="22"/>
    <n v="22"/>
    <s v="Silver"/>
    <s v="Shanghai"/>
    <s v="BOUTIQUE-SHANGHAI"/>
    <s v="NEBULA-SERUM-07"/>
    <s v="Concealer"/>
    <n v="117.89"/>
    <x v="4"/>
    <n v="0"/>
    <s v="Desktop"/>
    <s v="52.171.65.16"/>
    <x v="0"/>
    <n v="415"/>
    <n v="-0.78530280002257102"/>
    <n v="0"/>
    <n v="0"/>
    <n v="0"/>
    <n v="0"/>
    <n v="0"/>
  </r>
  <r>
    <s v="32a40175-499f-4914-be7d-461db18999bf"/>
    <s v="6c07796d-d3b2-4310-a841-72664355a4eb"/>
    <d v="2025-05-12T00:00:00"/>
    <d v="1899-12-30T15:22:58"/>
    <n v="15"/>
    <n v="43"/>
    <s v="Bronze"/>
    <s v="Shanghai"/>
    <s v="BOUTIQUE-DUBAI"/>
    <s v="STELLAR-FOUND-03"/>
    <s v="Concealer"/>
    <n v="117.79"/>
    <x v="3"/>
    <n v="0"/>
    <s v="Mobile"/>
    <s v="239.83.99.223"/>
    <x v="0"/>
    <n v="67"/>
    <n v="-0.78668722597018015"/>
    <n v="0"/>
    <n v="0"/>
    <n v="1"/>
    <n v="1"/>
    <n v="0"/>
  </r>
  <r>
    <s v="e372918c-43fd-43b4-8816-f6388a1cb387"/>
    <s v="a133837d-bfde-4536-86fb-3767a5c9cec8"/>
    <d v="2025-04-24T00:00:00"/>
    <d v="1899-12-30T21:47:19"/>
    <n v="21"/>
    <n v="61"/>
    <s v="Bronze"/>
    <s v="Rome"/>
    <s v="CONCESSION-LONDON"/>
    <s v="SOLAR-BLUSH-04"/>
    <s v="Mascara"/>
    <n v="117.61"/>
    <x v="3"/>
    <n v="0"/>
    <s v="Desktop"/>
    <s v="196.34.123.223"/>
    <x v="0"/>
    <n v="107"/>
    <n v="-0.78917919267587688"/>
    <n v="0"/>
    <n v="0"/>
    <n v="1"/>
    <n v="1"/>
    <n v="0"/>
  </r>
  <r>
    <s v="36fbb488-6c15-4dca-9ad8-3b340dcb2820"/>
    <s v="da27fb6c-dd91-4f94-9b46-0343692c7018"/>
    <d v="2025-07-19T00:00:00"/>
    <d v="1899-12-30T15:15:13"/>
    <n v="15"/>
    <n v="50"/>
    <s v="Silver"/>
    <s v="London"/>
    <s v="FLAGSHIP-ROME"/>
    <s v="AURORA-LIP-01"/>
    <s v="Serum"/>
    <n v="117.52"/>
    <x v="0"/>
    <n v="0"/>
    <s v="Mobile"/>
    <s v="164.95.195.103"/>
    <x v="0"/>
    <n v="99"/>
    <n v="-0.79042517602872531"/>
    <n v="0"/>
    <n v="0"/>
    <n v="1"/>
    <n v="1"/>
    <n v="0"/>
  </r>
  <r>
    <s v="465a66c6-a2be-4bb6-aca8-1fae37d62051"/>
    <s v="39985faa-ffce-4cba-9e19-ec4230e1c0a4"/>
    <d v="2025-04-18T00:00:00"/>
    <d v="1899-12-30T05:46:50"/>
    <n v="5"/>
    <n v="22"/>
    <s v="Bronze"/>
    <s v="Sydney"/>
    <s v="BOUTIQUE-DUBAI"/>
    <s v="ORION-CONCEAL-09"/>
    <s v="Concealer"/>
    <n v="117.5"/>
    <x v="0"/>
    <n v="0"/>
    <s v="Tablet"/>
    <s v="249.140.225.209"/>
    <x v="0"/>
    <n v="202"/>
    <n v="-0.79070206121824704"/>
    <n v="0"/>
    <n v="1"/>
    <n v="1"/>
    <n v="3"/>
    <n v="0"/>
  </r>
  <r>
    <s v="0ddc8ec8-2876-408b-82c8-8fdb3de25d1b"/>
    <s v="ca6dbaf5-b9dd-4954-99b9-6d0064d51107"/>
    <d v="2025-06-23T00:00:00"/>
    <d v="1899-12-30T22:28:05"/>
    <n v="22"/>
    <n v="41"/>
    <s v="Gold"/>
    <s v="Dubai"/>
    <s v="BOUTIQUE-DUBAI"/>
    <s v="LUNAR-MASC-02"/>
    <s v="Setting Spray"/>
    <n v="117.38"/>
    <x v="0"/>
    <n v="0"/>
    <s v="Desktop"/>
    <s v="40.147.64.68"/>
    <x v="0"/>
    <n v="207"/>
    <n v="-0.79236337235537824"/>
    <n v="0"/>
    <n v="0"/>
    <n v="1"/>
    <n v="1"/>
    <n v="0"/>
  </r>
  <r>
    <s v="101e1487-f54c-42a3-9889-d444b622138b"/>
    <s v="c133a3b2-3f28-4843-a9e5-60b8f983a5f7"/>
    <d v="2025-03-06T00:00:00"/>
    <d v="1899-12-30T16:25:40"/>
    <n v="16"/>
    <n v="23"/>
    <s v="Bronze"/>
    <s v="Paris"/>
    <s v="FLAGSHIP-PARIS"/>
    <s v="SOLAR-BLUSH-04"/>
    <s v="Highlighter"/>
    <n v="117.3"/>
    <x v="4"/>
    <n v="0"/>
    <s v="Mobile"/>
    <s v="14.175.219.4"/>
    <x v="0"/>
    <n v="245"/>
    <n v="-0.79347091311346563"/>
    <n v="0"/>
    <n v="0"/>
    <n v="1"/>
    <n v="1"/>
    <n v="0"/>
  </r>
  <r>
    <s v="e05a1219-fd01-46ea-abb7-a91aa58cf8e3"/>
    <s v="af0119c9-1201-4344-9462-7eba254133ce"/>
    <d v="2025-02-19T00:00:00"/>
    <d v="1899-12-30T02:13:42"/>
    <n v="2"/>
    <n v="41"/>
    <s v="Bronze"/>
    <s v="Los Angeles"/>
    <s v="BOUTIQUE-DUBAI"/>
    <s v="STELLAR-FOUND-03"/>
    <s v="Setting Spray"/>
    <n v="117.18"/>
    <x v="4"/>
    <n v="0"/>
    <s v="Desktop"/>
    <s v="121.56.23.8"/>
    <x v="0"/>
    <n v="165"/>
    <n v="-0.7951322242505966"/>
    <n v="0"/>
    <n v="1"/>
    <n v="1"/>
    <n v="3"/>
    <n v="0"/>
  </r>
  <r>
    <s v="f4eab15b-10fd-4b23-a373-b31d125b4ecc"/>
    <s v="d8af302b-2700-4b4e-8432-f2c889916bfe"/>
    <d v="2025-07-02T00:00:00"/>
    <d v="1899-12-30T13:35:31"/>
    <n v="13"/>
    <n v="28"/>
    <s v="Bronze"/>
    <s v="Sydney"/>
    <s v="BOUTIQUE-SHANGHAI"/>
    <s v="ECLIPSE-EYE-10"/>
    <s v="Setting Spray"/>
    <n v="116.96"/>
    <x v="4"/>
    <n v="0"/>
    <s v="Tablet"/>
    <s v="118.18.16.90"/>
    <x v="0"/>
    <n v="99"/>
    <n v="-0.79817796133533714"/>
    <n v="0"/>
    <n v="0"/>
    <n v="1"/>
    <n v="1"/>
    <n v="0"/>
  </r>
  <r>
    <s v="749cb480-20eb-44d0-a385-11709113c4af"/>
    <s v="47dbac06-b875-4ff4-a046-2d1cab277e7e"/>
    <d v="2025-05-27T00:00:00"/>
    <d v="1899-12-30T20:19:10"/>
    <n v="20"/>
    <n v="40"/>
    <s v="Bronze"/>
    <s v="Los Angeles"/>
    <s v="FLAGSHIP-LA"/>
    <s v="COSMIC-HIGHLIGHT-06"/>
    <s v="Foundation"/>
    <n v="116.83"/>
    <x v="0"/>
    <n v="0"/>
    <s v="Tablet"/>
    <s v="133.22.114.24"/>
    <x v="0"/>
    <n v="203"/>
    <n v="-0.79997771506722903"/>
    <n v="0"/>
    <n v="0"/>
    <n v="1"/>
    <n v="1"/>
    <n v="0"/>
  </r>
  <r>
    <s v="22922caa-03f5-45ee-8deb-fa778f79e025"/>
    <s v="2eb3f9de-50f5-4b12-8051-62b221289f89"/>
    <d v="2025-06-20T00:00:00"/>
    <d v="1899-12-30T05:43:57"/>
    <n v="5"/>
    <n v="20"/>
    <s v="Silver"/>
    <s v="San Francisco"/>
    <s v="POPUP-MILAN"/>
    <s v="SOLAR-BLUSH-04"/>
    <s v="Eyeliner"/>
    <n v="116.82"/>
    <x v="3"/>
    <n v="0"/>
    <s v="Mobile"/>
    <s v="149.202.79.228"/>
    <x v="0"/>
    <n v="377"/>
    <n v="-0.80011615766199007"/>
    <n v="0"/>
    <n v="1"/>
    <n v="0"/>
    <n v="2"/>
    <n v="0"/>
  </r>
  <r>
    <s v="11db507c-4036-4740-9e07-136ec7d9ca20"/>
    <s v="e0ecba88-df45-4cc4-9a48-b6fb1b95c145"/>
    <d v="2025-04-14T00:00:00"/>
    <d v="1899-12-30T14:19:43"/>
    <n v="14"/>
    <n v="21"/>
    <s v="Unknown"/>
    <s v="Rome"/>
    <s v="FLAGSHIP-ROME"/>
    <s v="STELLAR-FOUND-03"/>
    <s v="Foundation"/>
    <n v="116.62"/>
    <x v="4"/>
    <n v="0"/>
    <s v="Mobile"/>
    <s v="93.185.190.121"/>
    <x v="0"/>
    <n v="239"/>
    <n v="-0.80288500955720843"/>
    <n v="0"/>
    <n v="0"/>
    <n v="1"/>
    <n v="1"/>
    <n v="0"/>
  </r>
  <r>
    <s v="8563911f-41d6-43c7-b784-bf465e0f6c8e"/>
    <s v="8a62940a-8965-4f7d-b512-1c7c1c946fb4"/>
    <d v="2025-05-06T00:00:00"/>
    <d v="1899-12-30T14:21:35"/>
    <n v="14"/>
    <n v="35"/>
    <s v="Bronze"/>
    <s v="Las Vegas"/>
    <s v="FLAGSHIP-PARIS"/>
    <s v="AURORA-LIP-01"/>
    <s v="Foundation"/>
    <n v="116.45"/>
    <x v="1"/>
    <n v="0"/>
    <s v="Desktop"/>
    <s v="248.237.211.202"/>
    <x v="0"/>
    <n v="472"/>
    <n v="-0.80523853366814413"/>
    <n v="0"/>
    <n v="0"/>
    <n v="0"/>
    <n v="0"/>
    <n v="0"/>
  </r>
  <r>
    <s v="1f398a51-55b8-47e1-bd6f-f0807d02e982"/>
    <s v="5127c22e-0b62-41b6-b491-70fd05b66b07"/>
    <d v="2025-07-21T00:00:00"/>
    <d v="1899-12-30T01:06:36"/>
    <n v="1"/>
    <n v="62"/>
    <s v="Bronze"/>
    <s v="San Francisco"/>
    <s v="FLAGSHIP-ROME"/>
    <s v="ORION-CONCEAL-09"/>
    <s v="Mascara"/>
    <n v="116.31"/>
    <x v="0"/>
    <n v="0"/>
    <s v="Tablet"/>
    <s v="223.75.32.181"/>
    <x v="0"/>
    <n v="488"/>
    <n v="-0.80717672999479706"/>
    <n v="0"/>
    <n v="1"/>
    <n v="0"/>
    <n v="2"/>
    <n v="0"/>
  </r>
  <r>
    <s v="9b5f7324-c8b2-4e36-a888-b0a3aeefd071"/>
    <s v="7f8cf7cb-a367-4120-8be5-dcefd452262c"/>
    <d v="2025-03-12T00:00:00"/>
    <d v="1899-12-30T11:25:20"/>
    <n v="11"/>
    <n v="36"/>
    <s v="Bronze"/>
    <s v="Shanghai"/>
    <s v="BOUTIQUE-DUBAI"/>
    <s v="ORION-CONCEAL-09"/>
    <s v="Eyeliner"/>
    <n v="116.29"/>
    <x v="0"/>
    <n v="0"/>
    <s v="Mobile"/>
    <s v="100.228.100.105"/>
    <x v="0"/>
    <n v="413"/>
    <n v="-0.80745361518431891"/>
    <n v="0"/>
    <n v="0"/>
    <n v="0"/>
    <n v="0"/>
    <n v="0"/>
  </r>
  <r>
    <s v="39e917c7-9be0-4dce-96c8-512c1f1e16ce"/>
    <s v="965b50dc-3b47-4d27-8acd-1ae330dc8d0f"/>
    <d v="2025-07-23T00:00:00"/>
    <d v="1899-12-30T02:03:06"/>
    <n v="2"/>
    <n v="37"/>
    <s v="Silver"/>
    <s v="Tokyo"/>
    <s v="FLAGSHIP-PARIS"/>
    <s v="ORION-CONCEAL-09"/>
    <s v="Eyeliner"/>
    <n v="116.27"/>
    <x v="1"/>
    <n v="0"/>
    <s v="Laptop"/>
    <s v="171.140.13.253"/>
    <x v="0"/>
    <n v="460"/>
    <n v="-0.80773050037384087"/>
    <n v="0"/>
    <n v="1"/>
    <n v="0"/>
    <n v="2"/>
    <n v="0"/>
  </r>
  <r>
    <s v="f8a28e1c-c218-4a84-88d6-245620c9b80a"/>
    <s v="8855da3a-e4b4-40f6-a9ed-e563d59b04d2"/>
    <d v="2025-03-09T00:00:00"/>
    <d v="1899-12-30T19:01:33"/>
    <n v="19"/>
    <n v="40"/>
    <s v="Bronze"/>
    <s v="Los Angeles"/>
    <s v="CONCESSION-LONDON"/>
    <s v="COSMIC-HIGHLIGHT-06"/>
    <s v="Mascara"/>
    <n v="116.19"/>
    <x v="1"/>
    <n v="0"/>
    <s v="Mobile"/>
    <s v="79.81.156.243"/>
    <x v="0"/>
    <n v="229"/>
    <n v="-0.80883804113192825"/>
    <n v="0"/>
    <n v="0"/>
    <n v="1"/>
    <n v="1"/>
    <n v="0"/>
  </r>
  <r>
    <s v="ebab94ea-c62e-45ee-8d36-bc7de51201fe"/>
    <s v="9029e24a-0e44-4394-9551-c0901743376d"/>
    <d v="2025-04-11T00:00:00"/>
    <d v="1899-12-30T20:25:27"/>
    <n v="20"/>
    <n v="52"/>
    <s v="Bronze"/>
    <s v="Las Vegas"/>
    <s v="POPUP-TOKYO"/>
    <s v="CELESTE-EYE-05"/>
    <s v="Setting Spray"/>
    <n v="116.12"/>
    <x v="1"/>
    <n v="0"/>
    <s v="Mobile"/>
    <s v="234.178.169.200"/>
    <x v="0"/>
    <n v="148"/>
    <n v="-0.80980713929525461"/>
    <n v="0"/>
    <n v="0"/>
    <n v="1"/>
    <n v="1"/>
    <n v="0"/>
  </r>
  <r>
    <s v="5618ba59-070e-474b-882f-19898fb2e44f"/>
    <s v="dae12df6-36ee-4e89-a47d-6f9bdd05dbae"/>
    <d v="2025-07-23T00:00:00"/>
    <d v="1899-12-30T21:38:12"/>
    <n v="21"/>
    <n v="21"/>
    <s v="Bronze"/>
    <s v="Las Vegas"/>
    <s v="BOUTIQUE-NYC"/>
    <s v="LUNAR-MASC-02"/>
    <s v="Concealer"/>
    <n v="116.06"/>
    <x v="0"/>
    <n v="0"/>
    <s v="Mobile"/>
    <s v="39.240.34.2"/>
    <x v="0"/>
    <n v="285"/>
    <n v="-0.81063779486382015"/>
    <n v="0"/>
    <n v="0"/>
    <n v="0"/>
    <n v="0"/>
    <n v="0"/>
  </r>
  <r>
    <s v="ff349104-e0dd-4eae-8c8b-efd98dfbe7c2"/>
    <s v="46d27e8e-4368-4e46-83e2-83e353e3e8cb"/>
    <d v="2025-03-01T00:00:00"/>
    <d v="1899-12-30T23:48:07"/>
    <n v="23"/>
    <n v="33"/>
    <s v="Bronze"/>
    <s v="Cannes"/>
    <s v="BOUTIQUE-NYC"/>
    <s v="AURORA-LIP-01"/>
    <s v="Eyeshadow Palette"/>
    <n v="115.92"/>
    <x v="3"/>
    <n v="0"/>
    <s v="Mobile"/>
    <s v="46.6.251.53"/>
    <x v="0"/>
    <n v="290"/>
    <n v="-0.81257599119047319"/>
    <n v="0"/>
    <n v="0"/>
    <n v="0"/>
    <n v="0"/>
    <n v="0"/>
  </r>
  <r>
    <s v="cdc680e9-1a19-4269-be64-8daf1c73cd69"/>
    <s v="e0bec00f-d80a-4d28-af16-5b94affc969e"/>
    <d v="2025-06-03T00:00:00"/>
    <d v="1899-12-30T08:22:01"/>
    <n v="8"/>
    <n v="32"/>
    <s v="Unknown"/>
    <s v="New York"/>
    <s v="FLAGSHIP-ROME"/>
    <s v="ORION-CONCEAL-09"/>
    <s v="Blush"/>
    <n v="115.86"/>
    <x v="1"/>
    <n v="0"/>
    <s v="Laptop"/>
    <s v="238.69.84.242"/>
    <x v="0"/>
    <n v="481"/>
    <n v="-0.81340664675903873"/>
    <n v="0"/>
    <n v="0"/>
    <n v="0"/>
    <n v="0"/>
    <n v="0"/>
  </r>
  <r>
    <s v="829af373-5e82-4c2f-a679-4f9642e34c03"/>
    <s v="04ade18d-622e-45db-a522-3e761fc5f905"/>
    <d v="2025-03-09T00:00:00"/>
    <d v="1899-12-30T21:00:40"/>
    <n v="21"/>
    <n v="29"/>
    <s v="Silver"/>
    <s v="San Francisco"/>
    <s v="BOUTIQUE-DUBAI"/>
    <s v="STELLAR-FOUND-03"/>
    <s v="Highlighter"/>
    <n v="115.76"/>
    <x v="0"/>
    <n v="0"/>
    <s v="Tablet"/>
    <s v="70.255.188.135"/>
    <x v="0"/>
    <n v="489"/>
    <n v="-0.81479107270664786"/>
    <n v="0"/>
    <n v="0"/>
    <n v="0"/>
    <n v="0"/>
    <n v="0"/>
  </r>
  <r>
    <s v="4b691f64-e24a-42f3-b5e2-526b9caa8bf7"/>
    <s v="b9b86e68-2c06-4ab7-941e-0c63cc26b444"/>
    <d v="2025-08-05T00:00:00"/>
    <d v="1899-12-30T22:11:49"/>
    <n v="22"/>
    <n v="34"/>
    <s v="Bronze"/>
    <s v="Miami"/>
    <s v="BOUTIQUE-SHANGHAI"/>
    <s v="ORION-CONCEAL-09"/>
    <s v="Lipstick"/>
    <n v="115.62"/>
    <x v="2"/>
    <n v="1"/>
    <s v="Tablet"/>
    <s v="79.169.245.79"/>
    <x v="0"/>
    <n v="450"/>
    <n v="-0.81672926903330079"/>
    <n v="0"/>
    <n v="0"/>
    <n v="0"/>
    <n v="2"/>
    <n v="0"/>
  </r>
  <r>
    <s v="a0900666-2fda-4d56-a236-73e106031fea"/>
    <s v="317139ca-a36b-46cd-9285-4b2aab22b305"/>
    <d v="2025-05-17T00:00:00"/>
    <d v="1899-12-30T02:42:22"/>
    <n v="2"/>
    <n v="64"/>
    <s v="Platinum"/>
    <s v="London"/>
    <s v="FLAGSHIP-LA"/>
    <s v="CELESTE-EYE-05"/>
    <s v="Mascara"/>
    <n v="115.48"/>
    <x v="1"/>
    <n v="0"/>
    <s v="Desktop"/>
    <s v="177.50.22.121"/>
    <x v="0"/>
    <n v="101"/>
    <n v="-0.81866746535995383"/>
    <n v="0"/>
    <n v="1"/>
    <n v="1"/>
    <n v="3"/>
    <n v="0"/>
  </r>
  <r>
    <s v="26a0dcef-264b-4788-adc6-f3d2d8699003"/>
    <s v="fc419940-ce62-4914-8f64-6486e7447c38"/>
    <d v="2025-04-10T00:00:00"/>
    <d v="1899-12-30T06:47:07"/>
    <n v="6"/>
    <n v="41"/>
    <s v="Silver"/>
    <s v="Sydney"/>
    <s v="CONCESSION-SINGAPORE"/>
    <s v="COSMIC-HIGHLIGHT-06"/>
    <s v="Mascara"/>
    <n v="115.37"/>
    <x v="3"/>
    <n v="0"/>
    <s v="Desktop"/>
    <s v="89.39.154.153"/>
    <x v="0"/>
    <n v="384"/>
    <n v="-0.82019033390232399"/>
    <n v="0"/>
    <n v="0"/>
    <n v="0"/>
    <n v="0"/>
    <n v="0"/>
  </r>
  <r>
    <s v="0cbb904b-f1a9-4cdc-8e17-df1dc4c3a927"/>
    <s v="6bb3d0c6-5594-44f3-8b6e-0a4f707eb803"/>
    <d v="2025-06-29T00:00:00"/>
    <d v="1899-12-30T14:24:36"/>
    <n v="14"/>
    <n v="52"/>
    <s v="Gold"/>
    <s v="Singapore"/>
    <s v="CONCESSION-SINGAPORE"/>
    <s v="GALAXIA-SET-08"/>
    <s v="Eyeshadow Palette"/>
    <n v="115.32"/>
    <x v="4"/>
    <n v="0"/>
    <s v="Laptop"/>
    <s v="36.192.112.100"/>
    <x v="0"/>
    <n v="308"/>
    <n v="-0.82088254687612872"/>
    <n v="0"/>
    <n v="0"/>
    <n v="0"/>
    <n v="0"/>
    <n v="0"/>
  </r>
  <r>
    <s v="479c73ff-52e8-4e93-9cb5-f2ee040bd538"/>
    <s v="091592ba-7c8a-460b-be8b-561d08cbb3e6"/>
    <d v="2025-04-10T00:00:00"/>
    <d v="1899-12-30T05:08:40"/>
    <n v="5"/>
    <n v="19"/>
    <s v="Bronze"/>
    <s v="Geneva"/>
    <s v="FLAGSHIP-PARIS"/>
    <s v="ECLIPSE-EYE-10"/>
    <s v="Blush"/>
    <n v="115.28"/>
    <x v="1"/>
    <n v="0"/>
    <s v="Laptop"/>
    <s v="155.125.149.66"/>
    <x v="0"/>
    <n v="173"/>
    <n v="-0.8214363172551723"/>
    <n v="0"/>
    <n v="1"/>
    <n v="1"/>
    <n v="3"/>
    <n v="0"/>
  </r>
  <r>
    <s v="0ab4acec-3708-42b5-8a0d-f84d5e3da4c5"/>
    <s v="6841fdd6-26f4-436a-850a-1e5852b51143"/>
    <d v="2025-06-14T00:00:00"/>
    <d v="1899-12-30T10:36:55"/>
    <n v="10"/>
    <n v="41"/>
    <s v="Bronze"/>
    <s v="Tokyo"/>
    <s v="POPUP-TOKYO"/>
    <s v="ORION-CONCEAL-09"/>
    <s v="Eyeliner"/>
    <n v="115.15"/>
    <x v="4"/>
    <n v="0"/>
    <s v="Mobile"/>
    <s v="166.225.235.19"/>
    <x v="0"/>
    <n v="356"/>
    <n v="-0.82323607098706431"/>
    <n v="0"/>
    <n v="0"/>
    <n v="0"/>
    <n v="0"/>
    <n v="0"/>
  </r>
  <r>
    <s v="6c984169-b6a7-4f76-8ff4-a725702b7c85"/>
    <s v="ed4e5d75-c1eb-4e81-bccb-4856a584888c"/>
    <d v="2025-02-25T00:00:00"/>
    <d v="1899-12-30T14:39:11"/>
    <n v="14"/>
    <n v="50"/>
    <s v="Silver"/>
    <s v="San Francisco"/>
    <s v="BOUTIQUE-SHANGHAI"/>
    <s v="STELLAR-FOUND-03"/>
    <s v="Lipstick"/>
    <n v="115.14"/>
    <x v="3"/>
    <n v="0"/>
    <s v="Laptop"/>
    <s v="133.98.184.232"/>
    <x v="0"/>
    <n v="408"/>
    <n v="-0.82337451358182523"/>
    <n v="0"/>
    <n v="0"/>
    <n v="0"/>
    <n v="0"/>
    <n v="0"/>
  </r>
  <r>
    <s v="8f963d40-b4b1-4952-8560-2e12c66a16e7"/>
    <s v="0c4ed1c8-2bcc-4a89-b433-588fe44a3c78"/>
    <d v="2025-03-06T00:00:00"/>
    <d v="1899-12-30T00:16:35"/>
    <n v="0"/>
    <n v="25"/>
    <s v="Bronze"/>
    <s v="Zurich"/>
    <s v="POPUP-MILAN"/>
    <s v="GALAXIA-SET-08"/>
    <s v="Lipstick"/>
    <n v="115.13"/>
    <x v="0"/>
    <n v="0"/>
    <s v="Mobile"/>
    <s v="8.132.142.90"/>
    <x v="0"/>
    <n v="419"/>
    <n v="-0.82351295617658626"/>
    <n v="0"/>
    <n v="1"/>
    <n v="0"/>
    <n v="2"/>
    <n v="0"/>
  </r>
  <r>
    <s v="feca9f31-afb6-4b3a-b700-6cd743f4ae66"/>
    <s v="f183e34d-43a8-4e8a-afa7-d62b4c8d934d"/>
    <d v="2025-06-22T00:00:00"/>
    <d v="1899-12-30T22:34:08"/>
    <n v="22"/>
    <n v="35"/>
    <s v="Gold"/>
    <s v="Sydney"/>
    <s v="FLAGSHIP-PARIS"/>
    <s v="CELESTE-EYE-05"/>
    <s v="Highlighter"/>
    <n v="114.94"/>
    <x v="4"/>
    <n v="0"/>
    <s v="Laptop"/>
    <s v="77.63.232.78"/>
    <x v="0"/>
    <n v="416"/>
    <n v="-0.82614336547704381"/>
    <n v="0"/>
    <n v="0"/>
    <n v="0"/>
    <n v="0"/>
    <n v="0"/>
  </r>
  <r>
    <s v="d6aff6c1-07eb-4158-bd2f-5e0df7e3a4f8"/>
    <s v="e72c260a-5275-4776-92c9-691bcdf6f391"/>
    <d v="2025-03-13T00:00:00"/>
    <d v="1899-12-30T23:44:48"/>
    <n v="23"/>
    <n v="31"/>
    <s v="Gold"/>
    <s v="Singapore"/>
    <s v="BOUTIQUE-SHANGHAI"/>
    <s v="AURORA-LIP-01"/>
    <s v="Mascara"/>
    <n v="114.81"/>
    <x v="4"/>
    <n v="0"/>
    <s v="Desktop"/>
    <s v="161.49.14.245"/>
    <x v="0"/>
    <n v="183"/>
    <n v="-0.82794311920893571"/>
    <n v="0"/>
    <n v="0"/>
    <n v="1"/>
    <n v="1"/>
    <n v="0"/>
  </r>
  <r>
    <s v="eef2b6d8-2257-495a-88e6-45fcbf96ee22"/>
    <s v="3ac72913-17b6-46f6-8479-57d6aec6bf79"/>
    <d v="2025-03-04T00:00:00"/>
    <d v="1899-12-30T17:57:32"/>
    <n v="17"/>
    <n v="23"/>
    <s v="Bronze"/>
    <s v="Miami"/>
    <s v="BOUTIQUE-DUBAI"/>
    <s v="STELLAR-FOUND-03"/>
    <s v="Concealer"/>
    <n v="114.76"/>
    <x v="1"/>
    <n v="0"/>
    <s v="Desktop"/>
    <s v="140.165.161.154"/>
    <x v="0"/>
    <n v="388"/>
    <n v="-0.82863533218274033"/>
    <n v="0"/>
    <n v="0"/>
    <n v="0"/>
    <n v="0"/>
    <n v="0"/>
  </r>
  <r>
    <s v="127ceb73-6ee7-40a5-a9c8-8173f39c6473"/>
    <s v="b25b2a69-cb91-497e-9d9f-89103fbdf172"/>
    <d v="2025-05-23T00:00:00"/>
    <d v="1899-12-30T22:28:07"/>
    <n v="22"/>
    <n v="64"/>
    <s v="Unknown"/>
    <s v="Zurich"/>
    <s v="POPUP-MILAN"/>
    <s v="COSMIC-HIGHLIGHT-06"/>
    <s v="Foundation"/>
    <n v="114.41"/>
    <x v="1"/>
    <n v="0"/>
    <s v="Laptop"/>
    <s v="173.123.2.212"/>
    <x v="0"/>
    <n v="233"/>
    <n v="-0.83348082299937287"/>
    <n v="0"/>
    <n v="0"/>
    <n v="1"/>
    <n v="1"/>
    <n v="0"/>
  </r>
  <r>
    <s v="39a46d3d-5d28-4fdc-8f6b-e9b3450fc87d"/>
    <s v="3f9b3f21-0285-49a1-8c7f-aff4ac2346a8"/>
    <d v="2025-03-24T00:00:00"/>
    <d v="1899-12-30T05:31:52"/>
    <n v="5"/>
    <n v="19"/>
    <s v="Silver"/>
    <s v="Tokyo"/>
    <s v="BOUTIQUE-NYC"/>
    <s v="GALAXIA-SET-08"/>
    <s v="Highlighter"/>
    <n v="114.25"/>
    <x v="3"/>
    <n v="0"/>
    <s v="Laptop"/>
    <s v="142.40.28.228"/>
    <x v="0"/>
    <n v="212"/>
    <n v="-0.83569590451554754"/>
    <n v="0"/>
    <n v="1"/>
    <n v="1"/>
    <n v="3"/>
    <n v="0"/>
  </r>
  <r>
    <s v="fa95ede7-80a5-48a6-8ac6-1df008473ceb"/>
    <s v="0d31973f-0520-4d8f-b6fc-d8b03a8366ef"/>
    <d v="2025-07-22T00:00:00"/>
    <d v="1899-12-30T14:45:13"/>
    <n v="14"/>
    <n v="49"/>
    <s v="Bronze"/>
    <s v="Geneva"/>
    <s v="BOUTIQUE-NYC"/>
    <s v="LUNAR-MASC-02"/>
    <s v="Highlighter"/>
    <n v="114.22"/>
    <x v="4"/>
    <n v="0"/>
    <s v="Laptop"/>
    <s v="121.10.230.124"/>
    <x v="0"/>
    <n v="194"/>
    <n v="-0.83611123229983031"/>
    <n v="0"/>
    <n v="0"/>
    <n v="1"/>
    <n v="1"/>
    <n v="0"/>
  </r>
  <r>
    <s v="7d479f6d-daa8-4317-9ce9-7f80d5ebe8e6"/>
    <s v="df8e3dac-7ef3-4786-b865-03231392875c"/>
    <d v="2025-07-24T00:00:00"/>
    <d v="1899-12-30T12:37:06"/>
    <n v="12"/>
    <n v="23"/>
    <s v="Bronze"/>
    <s v="Milan"/>
    <s v="POPUP-TOKYO"/>
    <s v="LUNAR-MASC-02"/>
    <s v="Setting Spray"/>
    <n v="114.2"/>
    <x v="1"/>
    <n v="0"/>
    <s v="Laptop"/>
    <s v="23.54.66.61"/>
    <x v="0"/>
    <n v="138"/>
    <n v="-0.83638811748935216"/>
    <n v="0"/>
    <n v="0"/>
    <n v="1"/>
    <n v="1"/>
    <n v="0"/>
  </r>
  <r>
    <s v="e48f7bef-a91a-4023-a53b-a6d6b13cbb54"/>
    <s v="3234534f-abc4-4f5f-955c-1b29a5935fce"/>
    <d v="2025-06-14T00:00:00"/>
    <d v="1899-12-30T13:47:06"/>
    <n v="13"/>
    <n v="39"/>
    <s v="Gold"/>
    <s v="Tokyo"/>
    <s v="FLAGSHIP-ROME"/>
    <s v="LUNAR-MASC-02"/>
    <s v="Serum"/>
    <n v="114.13"/>
    <x v="0"/>
    <n v="0"/>
    <s v="Desktop"/>
    <s v="224.81.125.236"/>
    <x v="0"/>
    <n v="59"/>
    <n v="-0.83735721565267873"/>
    <n v="0"/>
    <n v="0"/>
    <n v="1"/>
    <n v="1"/>
    <n v="0"/>
  </r>
  <r>
    <s v="2e673a18-cb06-4bec-8cc4-c597e7f4e458"/>
    <s v="9d0f1fd7-824b-438f-9e4c-4c4f7b784f8c"/>
    <d v="2025-05-20T00:00:00"/>
    <d v="1899-12-30T06:48:18"/>
    <n v="6"/>
    <n v="37"/>
    <s v="Gold"/>
    <s v="Cannes"/>
    <s v="BOUTIQUE-SHANGHAI"/>
    <s v="AURORA-LIP-01"/>
    <s v="Foundation"/>
    <n v="114.1"/>
    <x v="0"/>
    <n v="0"/>
    <s v="Laptop"/>
    <s v="39.104.11.150"/>
    <x v="0"/>
    <n v="427"/>
    <n v="-0.8377725434369615"/>
    <n v="0"/>
    <n v="0"/>
    <n v="0"/>
    <n v="0"/>
    <n v="0"/>
  </r>
  <r>
    <s v="6d2a84bf-e1af-4855-82b1-8586045b3981"/>
    <s v="eee313d2-2161-44f8-a903-1b54bdbf4b62"/>
    <d v="2025-03-03T00:00:00"/>
    <d v="1899-12-30T21:13:45"/>
    <n v="21"/>
    <n v="33"/>
    <s v="Bronze"/>
    <s v="Singapore"/>
    <s v="CONCESSION-SINGAPORE"/>
    <s v="SOLAR-BLUSH-04"/>
    <s v="Setting Spray"/>
    <n v="114.1"/>
    <x v="3"/>
    <n v="0"/>
    <s v="Tablet"/>
    <s v="106.174.83.52"/>
    <x v="0"/>
    <n v="209"/>
    <n v="-0.8377725434369615"/>
    <n v="0"/>
    <n v="0"/>
    <n v="1"/>
    <n v="1"/>
    <n v="0"/>
  </r>
  <r>
    <s v="a0973d23-33f1-4e86-880f-50b945d037ab"/>
    <s v="18e4ca2b-cc09-46db-a4c9-a9ba10aeac8b"/>
    <d v="2025-04-09T00:00:00"/>
    <d v="1899-12-30T07:00:16"/>
    <n v="7"/>
    <n v="54"/>
    <s v="Silver"/>
    <s v="New York"/>
    <s v="CONCESSION-LONDON"/>
    <s v="ECLIPSE-EYE-10"/>
    <s v="Eyeshadow Palette"/>
    <n v="114.07"/>
    <x v="4"/>
    <n v="0"/>
    <s v="Tablet"/>
    <s v="90.157.228.44"/>
    <x v="0"/>
    <n v="339"/>
    <n v="-0.83818787122124427"/>
    <n v="0"/>
    <n v="0"/>
    <n v="0"/>
    <n v="0"/>
    <n v="0"/>
  </r>
  <r>
    <s v="1c34a00f-322f-47f7-86ca-5c85592e23bc"/>
    <s v="253b664a-9d8c-41b8-96fe-448befb8d53e"/>
    <d v="2025-03-03T00:00:00"/>
    <d v="1899-12-30T20:50:21"/>
    <n v="20"/>
    <n v="41"/>
    <s v="Bronze"/>
    <s v="Geneva"/>
    <s v="CONCESSION-SINGAPORE"/>
    <s v="CELESTE-EYE-05"/>
    <s v="Eyeliner"/>
    <n v="114.04"/>
    <x v="1"/>
    <n v="0"/>
    <s v="Tablet"/>
    <s v="159.230.127.189"/>
    <x v="0"/>
    <n v="410"/>
    <n v="-0.83860319900552693"/>
    <n v="0"/>
    <n v="0"/>
    <n v="0"/>
    <n v="0"/>
    <n v="0"/>
  </r>
  <r>
    <s v="e77d28ec-f63d-4806-acab-9dd681217cd2"/>
    <s v="50697c70-93a2-4388-8c0e-4ba28b0981c6"/>
    <d v="2025-07-24T00:00:00"/>
    <d v="1899-12-30T14:03:10"/>
    <n v="14"/>
    <n v="36"/>
    <s v="Gold"/>
    <s v="Las Vegas"/>
    <s v="POPUP-TOKYO"/>
    <s v="SOLAR-BLUSH-04"/>
    <s v="Serum"/>
    <n v="114.01"/>
    <x v="3"/>
    <n v="0"/>
    <s v="Mobile"/>
    <s v="110.239.159.84"/>
    <x v="0"/>
    <n v="389"/>
    <n v="-0.8390185267898097"/>
    <n v="0"/>
    <n v="0"/>
    <n v="0"/>
    <n v="0"/>
    <n v="0"/>
  </r>
  <r>
    <s v="491cf914-d9a9-401f-b365-7511fa28476d"/>
    <s v="a59eff2f-9f5b-4b2b-ad04-d2fbe6eba924"/>
    <d v="2025-05-09T00:00:00"/>
    <d v="1899-12-30T21:51:10"/>
    <n v="21"/>
    <n v="51"/>
    <s v="Gold"/>
    <s v="Singapore"/>
    <s v="POPUP-TOKYO"/>
    <s v="GALAXIA-SET-08"/>
    <s v="Eyeliner"/>
    <n v="114"/>
    <x v="3"/>
    <n v="0"/>
    <s v="Tablet"/>
    <s v="114.74.5.35"/>
    <x v="0"/>
    <n v="206"/>
    <n v="-0.83915696938457063"/>
    <n v="0"/>
    <n v="0"/>
    <n v="1"/>
    <n v="1"/>
    <n v="0"/>
  </r>
  <r>
    <s v="ff9da086-0a22-472a-8f7c-61ef044620d3"/>
    <s v="8aa491ec-40a5-49f8-9448-ae088032135b"/>
    <d v="2025-02-20T00:00:00"/>
    <d v="1899-12-30T23:20:17"/>
    <n v="23"/>
    <n v="33"/>
    <s v="Bronze"/>
    <s v="Shanghai"/>
    <s v="POPUP-TOKYO"/>
    <s v="SOLAR-BLUSH-04"/>
    <s v="Eyeshadow Palette"/>
    <n v="114"/>
    <x v="0"/>
    <n v="0"/>
    <s v="Tablet"/>
    <s v="117.29.188.5"/>
    <x v="0"/>
    <n v="490"/>
    <n v="-0.83915696938457063"/>
    <n v="0"/>
    <n v="0"/>
    <n v="0"/>
    <n v="0"/>
    <n v="0"/>
  </r>
  <r>
    <s v="e7abc7e3-b666-4d54-9318-1f45a5117d2e"/>
    <s v="47fcb4ef-cd78-472b-a032-e61ba9e33116"/>
    <d v="2025-07-10T00:00:00"/>
    <d v="1899-12-30T16:28:31"/>
    <n v="16"/>
    <n v="50"/>
    <s v="Gold"/>
    <s v="Singapore"/>
    <s v="BOUTIQUE-SHANGHAI"/>
    <s v="SOLAR-BLUSH-04"/>
    <s v="Setting Spray"/>
    <n v="113.97"/>
    <x v="1"/>
    <n v="0"/>
    <s v="Laptop"/>
    <s v="175.35.85.95"/>
    <x v="0"/>
    <n v="149"/>
    <n v="-0.83957229716885351"/>
    <n v="0"/>
    <n v="0"/>
    <n v="1"/>
    <n v="1"/>
    <n v="0"/>
  </r>
  <r>
    <s v="d1563d4b-de86-47c5-9df6-bc78259834a8"/>
    <s v="8d7bd046-4a87-4c8c-850e-4d55f4767119"/>
    <d v="2025-08-06T00:00:00"/>
    <d v="1899-12-30T20:17:15"/>
    <n v="20"/>
    <n v="40"/>
    <s v="Gold"/>
    <s v="Shanghai"/>
    <s v="POPUP-TOKYO"/>
    <s v="ECLIPSE-EYE-10"/>
    <s v="Serum"/>
    <n v="113.85"/>
    <x v="4"/>
    <n v="0"/>
    <s v="Tablet"/>
    <s v="175.162.153.155"/>
    <x v="0"/>
    <n v="481"/>
    <n v="-0.84123360830598459"/>
    <n v="0"/>
    <n v="0"/>
    <n v="0"/>
    <n v="0"/>
    <n v="0"/>
  </r>
  <r>
    <s v="adf2aa5b-1234-442f-96b9-9f6ea1fc0d58"/>
    <s v="3fb12b71-aec0-4b28-8c3b-c08de108a8aa"/>
    <d v="2025-04-17T00:00:00"/>
    <d v="1899-12-30T18:54:06"/>
    <n v="18"/>
    <n v="44"/>
    <s v="VIP"/>
    <s v="Sydney"/>
    <s v="BOUTIQUE-NYC"/>
    <s v="SOLAR-BLUSH-04"/>
    <s v="Lipstick"/>
    <n v="113.65"/>
    <x v="3"/>
    <n v="0"/>
    <s v="Laptop"/>
    <s v="150.234.43.5"/>
    <x v="0"/>
    <n v="485"/>
    <n v="-0.84400246020120295"/>
    <n v="0"/>
    <n v="0"/>
    <n v="0"/>
    <n v="0"/>
    <n v="0"/>
  </r>
  <r>
    <s v="a063f74d-04f9-4d56-b1cd-7c569a592f1d"/>
    <s v="2c4a6677-203e-4781-a877-22a1f771ccf3"/>
    <d v="2025-08-02T00:00:00"/>
    <d v="1899-12-30T01:18:01"/>
    <n v="1"/>
    <n v="49"/>
    <s v="Bronze"/>
    <s v="Los Angeles"/>
    <s v="BOUTIQUE-SHANGHAI"/>
    <s v="AURORA-LIP-01"/>
    <s v="Concealer"/>
    <n v="113.51"/>
    <x v="1"/>
    <n v="0"/>
    <s v="Desktop"/>
    <s v="237.91.249.200"/>
    <x v="0"/>
    <n v="105"/>
    <n v="-0.84594065652785588"/>
    <n v="0"/>
    <n v="1"/>
    <n v="1"/>
    <n v="3"/>
    <n v="0"/>
  </r>
  <r>
    <s v="35cef2c8-9019-4581-8a23-9de73ae23a80"/>
    <s v="46fb1f06-aa70-418e-bb6f-79815879e539"/>
    <d v="2025-04-13T00:00:00"/>
    <d v="1899-12-30T18:14:28"/>
    <n v="18"/>
    <n v="22"/>
    <s v="Silver"/>
    <s v="Miami"/>
    <s v="BOUTIQUE-NYC"/>
    <s v="AURORA-LIP-01"/>
    <s v="Setting Spray"/>
    <n v="113.48"/>
    <x v="0"/>
    <n v="0"/>
    <s v="Mobile"/>
    <s v="255.174.181.23"/>
    <x v="0"/>
    <n v="220"/>
    <n v="-0.84635598431213865"/>
    <n v="0"/>
    <n v="0"/>
    <n v="1"/>
    <n v="1"/>
    <n v="0"/>
  </r>
  <r>
    <s v="cfee835a-4fcd-4fc2-b6b2-f8a96a0af053"/>
    <s v="a93a79e7-c113-42c3-a063-75fcd69141eb"/>
    <d v="2025-03-24T00:00:00"/>
    <d v="1899-12-30T08:25:09"/>
    <n v="8"/>
    <n v="37"/>
    <s v="Platinum"/>
    <s v="Hong Kong"/>
    <s v="FLAGSHIP-PARIS"/>
    <s v="ECLIPSE-EYE-10"/>
    <s v="Blush"/>
    <n v="113.47"/>
    <x v="0"/>
    <n v="0"/>
    <s v="Laptop"/>
    <s v="180.176.125.21"/>
    <x v="0"/>
    <n v="447"/>
    <n v="-0.84649442690689969"/>
    <n v="0"/>
    <n v="0"/>
    <n v="0"/>
    <n v="0"/>
    <n v="0"/>
  </r>
  <r>
    <s v="fca0f3c2-700b-4824-b691-e29558898193"/>
    <s v="3f8b8192-c8de-4afd-8337-9fd04956b921"/>
    <d v="2025-07-04T00:00:00"/>
    <d v="1899-12-30T14:16:22"/>
    <n v="14"/>
    <n v="54"/>
    <s v="Platinum"/>
    <s v="Milan"/>
    <s v="POPUP-TOKYO"/>
    <s v="COSMIC-HIGHLIGHT-06"/>
    <s v="Lipstick"/>
    <n v="113.43"/>
    <x v="4"/>
    <n v="0"/>
    <s v="Laptop"/>
    <s v="197.45.78.157"/>
    <x v="0"/>
    <n v="487"/>
    <n v="-0.84704819728594327"/>
    <n v="0"/>
    <n v="0"/>
    <n v="0"/>
    <n v="0"/>
    <n v="0"/>
  </r>
  <r>
    <s v="187b0df8-0e1f-4c11-aa01-0172dcd7e492"/>
    <s v="c2a51b1a-1104-4e9e-ad11-68d2f9eb80ca"/>
    <d v="2025-07-26T00:00:00"/>
    <d v="1899-12-30T22:20:46"/>
    <n v="22"/>
    <n v="53"/>
    <s v="Bronze"/>
    <s v="Sydney"/>
    <s v="POPUP-TOKYO"/>
    <s v="STELLAR-FOUND-03"/>
    <s v="Blush"/>
    <n v="113.29"/>
    <x v="4"/>
    <n v="0"/>
    <s v="Mobile"/>
    <s v="46.225.35.251"/>
    <x v="0"/>
    <n v="146"/>
    <n v="-0.8489863936125962"/>
    <n v="0"/>
    <n v="0"/>
    <n v="1"/>
    <n v="1"/>
    <n v="0"/>
  </r>
  <r>
    <s v="51841b0b-9e35-420f-8211-0f59bc80c5d1"/>
    <s v="59a0e45c-5229-414f-8cb1-ac97eaaede7b"/>
    <d v="2025-06-01T00:00:00"/>
    <d v="1899-12-30T15:35:32"/>
    <n v="15"/>
    <n v="21"/>
    <s v="Bronze"/>
    <s v="Geneva"/>
    <s v="BOUTIQUE-DUBAI"/>
    <s v="GALAXIA-SET-08"/>
    <s v="Lipstick"/>
    <n v="113.2"/>
    <x v="0"/>
    <n v="0"/>
    <s v="Laptop"/>
    <s v="50.27.96.243"/>
    <x v="0"/>
    <n v="336"/>
    <n v="-0.85023237696544463"/>
    <n v="0"/>
    <n v="0"/>
    <n v="0"/>
    <n v="0"/>
    <n v="0"/>
  </r>
  <r>
    <s v="2fcbeb79-8286-4d0d-a2cd-2c6c4121d248"/>
    <s v="9a7814bf-7727-48fb-a9c3-c94159406837"/>
    <d v="2025-08-12T00:00:00"/>
    <d v="1899-12-30T10:14:20"/>
    <n v="10"/>
    <n v="24"/>
    <s v="Silver"/>
    <s v="San Francisco"/>
    <s v="BOUTIQUE-DUBAI"/>
    <s v="CELESTE-EYE-05"/>
    <s v="Serum"/>
    <n v="113.15"/>
    <x v="1"/>
    <n v="0"/>
    <s v="Tablet"/>
    <s v="238.75.73.84"/>
    <x v="0"/>
    <n v="385"/>
    <n v="-0.85092458993924924"/>
    <n v="0"/>
    <n v="0"/>
    <n v="0"/>
    <n v="0"/>
    <n v="0"/>
  </r>
  <r>
    <s v="4409ba0d-b906-4512-9201-668523e7bb5a"/>
    <s v="f1afb0f4-5952-4a04-9d25-659ebdf61e82"/>
    <d v="2025-07-07T00:00:00"/>
    <d v="1899-12-30T04:04:33"/>
    <n v="4"/>
    <n v="24"/>
    <s v="Silver"/>
    <s v="Los Angeles"/>
    <s v="POPUP-TOKYO"/>
    <s v="LUNAR-MASC-02"/>
    <s v="Serum"/>
    <n v="113.14"/>
    <x v="1"/>
    <n v="0"/>
    <s v="Laptop"/>
    <s v="27.6.34.99"/>
    <x v="0"/>
    <n v="270"/>
    <n v="-0.85106303253401017"/>
    <n v="0"/>
    <n v="1"/>
    <n v="1"/>
    <n v="3"/>
    <n v="0"/>
  </r>
  <r>
    <s v="5e4c8ab3-df50-4372-b930-db21e341ada8"/>
    <s v="32e83c6b-992f-4443-bc09-310a0f85c0d4"/>
    <d v="2025-04-11T00:00:00"/>
    <d v="1899-12-30T09:07:40"/>
    <n v="9"/>
    <n v="25"/>
    <s v="Platinum"/>
    <s v="Los Angeles"/>
    <s v="FLAGSHIP-LA"/>
    <s v="STELLAR-FOUND-03"/>
    <s v="Mascara"/>
    <n v="113.14"/>
    <x v="3"/>
    <n v="0"/>
    <s v="Desktop"/>
    <s v="193.11.224.233"/>
    <x v="0"/>
    <n v="303"/>
    <n v="-0.85106303253401017"/>
    <n v="0"/>
    <n v="0"/>
    <n v="0"/>
    <n v="0"/>
    <n v="0"/>
  </r>
  <r>
    <s v="b52ee806-094c-4c4a-8bf3-efe4258e0c94"/>
    <s v="4dc137e1-3f12-4d4a-a854-b40dd4300475"/>
    <d v="2025-05-01T00:00:00"/>
    <d v="1899-12-30T05:06:58"/>
    <n v="5"/>
    <n v="49"/>
    <s v="Gold"/>
    <s v="Los Angeles"/>
    <s v="BOUTIQUE-DUBAI"/>
    <s v="STELLAR-FOUND-03"/>
    <s v="Highlighter"/>
    <n v="113.11"/>
    <x v="0"/>
    <n v="0"/>
    <s v="Laptop"/>
    <s v="123.68.133.88"/>
    <x v="0"/>
    <n v="245"/>
    <n v="-0.85147836031829294"/>
    <n v="0"/>
    <n v="1"/>
    <n v="1"/>
    <n v="3"/>
    <n v="0"/>
  </r>
  <r>
    <s v="378428a6-460f-4594-b417-3fd88c0bd93e"/>
    <s v="f7aefb53-8ece-455f-bce0-e773ca09b753"/>
    <d v="2025-06-06T00:00:00"/>
    <d v="1899-12-30T00:42:05"/>
    <n v="0"/>
    <n v="56"/>
    <s v="Gold"/>
    <s v="Las Vegas"/>
    <s v="POPUP-TOKYO"/>
    <s v="LUNAR-MASC-02"/>
    <s v="Blush"/>
    <n v="113.11"/>
    <x v="4"/>
    <n v="0"/>
    <s v="Laptop"/>
    <s v="193.144.203.99"/>
    <x v="0"/>
    <n v="380"/>
    <n v="-0.85147836031829294"/>
    <n v="0"/>
    <n v="1"/>
    <n v="0"/>
    <n v="2"/>
    <n v="0"/>
  </r>
  <r>
    <s v="ab056d37-9dd3-4763-9edd-82d29ffbe708"/>
    <s v="394a6249-995d-4cf8-bc20-6e37a7cd4b22"/>
    <d v="2025-05-16T00:00:00"/>
    <d v="1899-12-30T16:09:19"/>
    <n v="16"/>
    <n v="42"/>
    <s v="Gold"/>
    <s v="San Francisco"/>
    <s v="BOUTIQUE-DUBAI"/>
    <s v="ORION-CONCEAL-09"/>
    <s v="Mascara"/>
    <n v="113.08"/>
    <x v="2"/>
    <n v="1"/>
    <s v="Tablet"/>
    <s v="205.16.175.43"/>
    <x v="0"/>
    <n v="211"/>
    <n v="-0.85189368810257571"/>
    <n v="0"/>
    <n v="0"/>
    <n v="1"/>
    <n v="3"/>
    <n v="0"/>
  </r>
  <r>
    <s v="f3cdd43e-d6ec-43e0-b0ad-6706e40c3202"/>
    <s v="2f1551ad-910e-424f-a886-b828076b5ef4"/>
    <d v="2025-06-24T00:00:00"/>
    <d v="1899-12-30T07:47:09"/>
    <n v="7"/>
    <n v="62"/>
    <s v="Silver"/>
    <s v="Paris"/>
    <s v="POPUP-TOKYO"/>
    <s v="CELESTE-EYE-05"/>
    <s v="Lipstick"/>
    <n v="113.05"/>
    <x v="4"/>
    <n v="0"/>
    <s v="Tablet"/>
    <s v="52.81.139.69"/>
    <x v="0"/>
    <n v="313"/>
    <n v="-0.85230901588685859"/>
    <n v="0"/>
    <n v="0"/>
    <n v="0"/>
    <n v="0"/>
    <n v="0"/>
  </r>
  <r>
    <s v="eacf8d4a-7119-40d5-ba17-83a0a92144a9"/>
    <s v="cafb4e33-607e-4825-a4c6-dcda73d7a1ae"/>
    <d v="2025-03-28T00:00:00"/>
    <d v="1899-12-30T16:06:01"/>
    <n v="16"/>
    <n v="34"/>
    <s v="Unknown"/>
    <s v="Singapore"/>
    <s v="FLAGSHIP-PARIS"/>
    <s v="STELLAR-FOUND-03"/>
    <s v="Highlighter"/>
    <n v="113.04"/>
    <x v="0"/>
    <n v="0"/>
    <s v="Laptop"/>
    <s v="99.145.108.111"/>
    <x v="0"/>
    <n v="389"/>
    <n v="-0.8524474584816194"/>
    <n v="0"/>
    <n v="0"/>
    <n v="0"/>
    <n v="0"/>
    <n v="0"/>
  </r>
  <r>
    <s v="5b338ba4-52d9-4fd4-b471-f4a0fbec200a"/>
    <s v="637f5490-5b76-4744-8592-f665f2e229c9"/>
    <d v="2025-05-20T00:00:00"/>
    <d v="1899-12-30T12:46:20"/>
    <n v="12"/>
    <n v="49"/>
    <s v="Gold"/>
    <s v="San Francisco"/>
    <s v="FLAGSHIP-LA"/>
    <s v="ORION-CONCEAL-09"/>
    <s v="Eyeliner"/>
    <n v="113"/>
    <x v="0"/>
    <n v="0"/>
    <s v="Desktop"/>
    <s v="248.93.203.99"/>
    <x v="0"/>
    <n v="306"/>
    <n v="-0.8530012288606631"/>
    <n v="0"/>
    <n v="0"/>
    <n v="0"/>
    <n v="0"/>
    <n v="0"/>
  </r>
  <r>
    <s v="0aff4a95-6c21-4493-9f3e-75f2ee8ba1f3"/>
    <s v="1ed03f08-36b2-4b24-acf5-5a69caa166f6"/>
    <d v="2025-06-07T00:00:00"/>
    <d v="1899-12-30T11:46:13"/>
    <n v="11"/>
    <n v="57"/>
    <s v="Platinum"/>
    <s v="Miami"/>
    <s v="FLAGSHIP-ROME"/>
    <s v="ECLIPSE-EYE-10"/>
    <s v="Mascara"/>
    <n v="112.9"/>
    <x v="4"/>
    <n v="0"/>
    <s v="Laptop"/>
    <s v="63.70.22.30"/>
    <x v="0"/>
    <n v="127"/>
    <n v="-0.85438565480827233"/>
    <n v="0"/>
    <n v="0"/>
    <n v="1"/>
    <n v="1"/>
    <n v="0"/>
  </r>
  <r>
    <s v="3ad8e2ba-bd62-405a-bb05-07e6dc24239a"/>
    <s v="4b8eafb4-bbf0-404b-8602-009c952db8ba"/>
    <d v="2025-02-26T00:00:00"/>
    <d v="1899-12-30T10:26:09"/>
    <n v="10"/>
    <n v="54"/>
    <s v="Silver"/>
    <s v="Las Vegas"/>
    <s v="FLAGSHIP-ROME"/>
    <s v="LUNAR-MASC-02"/>
    <s v="Setting Spray"/>
    <n v="112.89"/>
    <x v="4"/>
    <n v="0"/>
    <s v="Tablet"/>
    <s v="97.112.37.241"/>
    <x v="0"/>
    <n v="396"/>
    <n v="-0.85452409740303326"/>
    <n v="0"/>
    <n v="0"/>
    <n v="0"/>
    <n v="0"/>
    <n v="0"/>
  </r>
  <r>
    <s v="99a79d25-aba2-45f4-a48b-1112dd27bb9b"/>
    <s v="38ff4959-c9f4-45cc-9aff-1f6ae5722a9e"/>
    <d v="2025-04-09T00:00:00"/>
    <d v="1899-12-30T17:44:56"/>
    <n v="17"/>
    <n v="27"/>
    <s v="Silver"/>
    <s v="Paris"/>
    <s v="BOUTIQUE-DUBAI"/>
    <s v="ORION-CONCEAL-09"/>
    <s v="Blush"/>
    <n v="112.72"/>
    <x v="3"/>
    <n v="0"/>
    <s v="Laptop"/>
    <s v="5.184.23.166"/>
    <x v="0"/>
    <n v="392"/>
    <n v="-0.85687762151396907"/>
    <n v="0"/>
    <n v="0"/>
    <n v="0"/>
    <n v="0"/>
    <n v="0"/>
  </r>
  <r>
    <s v="64ebd258-f638-4a80-b644-96da963e65b3"/>
    <s v="8e2aa493-6b2b-4ae9-89ac-7c9608f802fc"/>
    <d v="2025-05-16T00:00:00"/>
    <d v="1899-12-30T09:59:02"/>
    <n v="9"/>
    <n v="64"/>
    <s v="Silver"/>
    <s v="Sydney"/>
    <s v="BOUTIQUE-NYC"/>
    <s v="ECLIPSE-EYE-10"/>
    <s v="Blush"/>
    <n v="112.63"/>
    <x v="4"/>
    <n v="0"/>
    <s v="Laptop"/>
    <s v="102.103.44.254"/>
    <x v="1"/>
    <n v="437"/>
    <n v="-0.85812360486681738"/>
    <n v="0"/>
    <n v="0"/>
    <n v="0"/>
    <n v="0"/>
    <n v="0"/>
  </r>
  <r>
    <s v="af0f2677-c049-4690-8a9d-5817764e93c2"/>
    <s v="752ae55d-20ff-492c-b053-7ce28f726972"/>
    <d v="2025-05-07T00:00:00"/>
    <d v="1899-12-30T09:10:04"/>
    <n v="9"/>
    <n v="39"/>
    <s v="Gold"/>
    <s v="San Francisco"/>
    <s v="CONCESSION-LONDON"/>
    <s v="CELESTE-EYE-05"/>
    <s v="Serum"/>
    <n v="112.42"/>
    <x v="1"/>
    <n v="0"/>
    <s v="Mobile"/>
    <s v="24.165.65.93"/>
    <x v="0"/>
    <n v="346"/>
    <n v="-0.86103089935679678"/>
    <n v="0"/>
    <n v="0"/>
    <n v="0"/>
    <n v="0"/>
    <n v="0"/>
  </r>
  <r>
    <s v="e59c3379-a2a4-43e0-835b-a3a4b539ff1b"/>
    <s v="f8c6aa2b-4885-42e0-8603-2a73dd8af24d"/>
    <d v="2025-03-18T00:00:00"/>
    <d v="1899-12-30T10:28:21"/>
    <n v="10"/>
    <n v="36"/>
    <s v="Unknown"/>
    <s v="Monte Carlo"/>
    <s v="FLAGSHIP-LA"/>
    <s v="AURORA-LIP-01"/>
    <s v="Blush"/>
    <n v="111.9"/>
    <x v="3"/>
    <n v="0"/>
    <s v="Mobile"/>
    <s v="248.95.108.94"/>
    <x v="0"/>
    <n v="141"/>
    <n v="-0.8682299142843648"/>
    <n v="0"/>
    <n v="0"/>
    <n v="1"/>
    <n v="1"/>
    <n v="0"/>
  </r>
  <r>
    <s v="ed5bf010-4eaf-4513-8b07-c99f58433834"/>
    <s v="a632dabe-5a69-4ae2-9b7a-3ff1c2ebc367"/>
    <d v="2025-03-23T00:00:00"/>
    <d v="1899-12-30T04:39:18"/>
    <n v="4"/>
    <n v="62"/>
    <s v="Gold"/>
    <s v="London"/>
    <s v="FLAGSHIP-PARIS"/>
    <s v="STELLAR-FOUND-03"/>
    <s v="Highlighter"/>
    <n v="111.63"/>
    <x v="4"/>
    <n v="0"/>
    <s v="Laptop"/>
    <s v="9.40.249.176"/>
    <x v="0"/>
    <n v="401"/>
    <n v="-0.87196786434290985"/>
    <n v="0"/>
    <n v="1"/>
    <n v="0"/>
    <n v="2"/>
    <n v="0"/>
  </r>
  <r>
    <s v="75019049-118e-48d6-bafe-28d50d57dc4a"/>
    <s v="77918ad3-e1a8-470b-a5ea-94f65f9dd76a"/>
    <d v="2025-05-20T00:00:00"/>
    <d v="1899-12-30T15:39:00"/>
    <n v="15"/>
    <n v="50"/>
    <s v="Gold"/>
    <s v="Cannes"/>
    <s v="POPUP-MILAN"/>
    <s v="SOLAR-BLUSH-04"/>
    <s v="Eyeshadow Palette"/>
    <n v="111.52"/>
    <x v="1"/>
    <n v="0"/>
    <s v="Desktop"/>
    <s v="200.170.180.32"/>
    <x v="0"/>
    <n v="109"/>
    <n v="-0.87349073288528001"/>
    <n v="0"/>
    <n v="0"/>
    <n v="1"/>
    <n v="1"/>
    <n v="0"/>
  </r>
  <r>
    <s v="7c8edada-daa8-4e7f-984f-f6230d2b1a8c"/>
    <s v="a2d2c0fc-41fb-43c8-8f6a-d5a525bc028a"/>
    <d v="2025-04-24T00:00:00"/>
    <d v="1899-12-30T15:19:00"/>
    <n v="15"/>
    <n v="26"/>
    <s v="Silver"/>
    <s v="San Francisco"/>
    <s v="BOUTIQUE-SHANGHAI"/>
    <s v="CELESTE-EYE-05"/>
    <s v="Serum"/>
    <n v="111.47"/>
    <x v="0"/>
    <n v="0"/>
    <s v="Laptop"/>
    <s v="58.96.139.102"/>
    <x v="0"/>
    <n v="354"/>
    <n v="-0.87418294585908463"/>
    <n v="0"/>
    <n v="0"/>
    <n v="0"/>
    <n v="0"/>
    <n v="0"/>
  </r>
  <r>
    <s v="325e7a38-6910-4c85-80e6-c6c9f7a2ea8c"/>
    <s v="67235f31-400a-40e7-bdc7-f5dc0ea27bce"/>
    <d v="2025-06-26T00:00:00"/>
    <d v="1899-12-30T19:14:40"/>
    <n v="19"/>
    <n v="30"/>
    <s v="Bronze"/>
    <s v="Dubai"/>
    <s v="FLAGSHIP-ROME"/>
    <s v="NEBULA-SERUM-07"/>
    <s v="Setting Spray"/>
    <n v="111.46"/>
    <x v="1"/>
    <n v="0"/>
    <s v="Mobile"/>
    <s v="238.167.196.143"/>
    <x v="0"/>
    <n v="238"/>
    <n v="-0.87432138845384555"/>
    <n v="0"/>
    <n v="0"/>
    <n v="1"/>
    <n v="1"/>
    <n v="0"/>
  </r>
  <r>
    <s v="9b516408-8ad2-4a7b-93cc-c6ce054b223c"/>
    <s v="bce49526-b3b4-4605-8395-a4a1d4fafa15"/>
    <d v="2025-05-29T00:00:00"/>
    <d v="1899-12-30T11:20:10"/>
    <n v="11"/>
    <n v="28"/>
    <s v="Bronze"/>
    <s v="Dubai"/>
    <s v="FLAGSHIP-PARIS"/>
    <s v="AURORA-LIP-01"/>
    <s v="Highlighter"/>
    <n v="111.15"/>
    <x v="3"/>
    <n v="0"/>
    <s v="Desktop"/>
    <s v="165.175.193.195"/>
    <x v="0"/>
    <n v="118"/>
    <n v="-0.87861310889143407"/>
    <n v="0"/>
    <n v="0"/>
    <n v="1"/>
    <n v="1"/>
    <n v="0"/>
  </r>
  <r>
    <s v="6ab47eb6-4c93-410d-9b40-f28392d9d9ca"/>
    <s v="ed94515d-9640-4178-9d2d-da9adf814818"/>
    <d v="2025-06-10T00:00:00"/>
    <d v="1899-12-30T03:31:47"/>
    <n v="3"/>
    <n v="25"/>
    <s v="Bronze"/>
    <s v="Los Angeles"/>
    <s v="CONCESSION-LONDON"/>
    <s v="CELESTE-EYE-05"/>
    <s v="Eyeliner"/>
    <n v="111.06"/>
    <x v="1"/>
    <n v="0"/>
    <s v="Tablet"/>
    <s v="91.180.218.171"/>
    <x v="0"/>
    <n v="180"/>
    <n v="-0.87985909224428249"/>
    <n v="0"/>
    <n v="1"/>
    <n v="1"/>
    <n v="3"/>
    <n v="0"/>
  </r>
  <r>
    <s v="3662676f-1206-4a80-ba3b-20b5c264893e"/>
    <s v="2fac5e8c-59a7-49b9-afc4-396d827b8f4b"/>
    <d v="2025-03-25T00:00:00"/>
    <d v="1899-12-30T20:17:13"/>
    <n v="20"/>
    <n v="51"/>
    <s v="Gold"/>
    <s v="Monte Carlo"/>
    <s v="BOUTIQUE-NYC"/>
    <s v="STELLAR-FOUND-03"/>
    <s v="Concealer"/>
    <n v="110.84"/>
    <x v="0"/>
    <n v="0"/>
    <s v="Tablet"/>
    <s v="239.28.13.100"/>
    <x v="0"/>
    <n v="343"/>
    <n v="-0.88290482932902281"/>
    <n v="0"/>
    <n v="0"/>
    <n v="0"/>
    <n v="0"/>
    <n v="0"/>
  </r>
  <r>
    <s v="fbbb0293-3d7d-4153-886a-fc3eeb16d33a"/>
    <s v="89b259fe-9b5f-4414-af2e-963aa2da36e1"/>
    <d v="2025-02-21T00:00:00"/>
    <d v="1899-12-30T16:18:12"/>
    <n v="16"/>
    <n v="43"/>
    <s v="Bronze"/>
    <s v="Shanghai"/>
    <s v="FLAGSHIP-PARIS"/>
    <s v="ECLIPSE-EYE-10"/>
    <s v="Eyeshadow Palette"/>
    <n v="110.72"/>
    <x v="1"/>
    <n v="0"/>
    <s v="Tablet"/>
    <s v="98.164.224.90"/>
    <x v="0"/>
    <n v="385"/>
    <n v="-0.88456614046615389"/>
    <n v="0"/>
    <n v="0"/>
    <n v="0"/>
    <n v="0"/>
    <n v="0"/>
  </r>
  <r>
    <s v="5aee0a9f-a08c-4345-a3d3-7f9d0e65221a"/>
    <s v="6de6265d-5a96-4c32-8b0f-cc5623620170"/>
    <d v="2025-05-13T00:00:00"/>
    <d v="1899-12-30T22:13:13"/>
    <n v="22"/>
    <n v="33"/>
    <s v="VIP"/>
    <s v="Las Vegas"/>
    <s v="FLAGSHIP-PARIS"/>
    <s v="NEBULA-SERUM-07"/>
    <s v="Blush"/>
    <n v="110.7"/>
    <x v="4"/>
    <n v="0"/>
    <s v="Laptop"/>
    <s v="24.159.174.81"/>
    <x v="1"/>
    <n v="380"/>
    <n v="-0.88484302565567574"/>
    <n v="0"/>
    <n v="0"/>
    <n v="0"/>
    <n v="0"/>
    <n v="0"/>
  </r>
  <r>
    <s v="691794eb-36c8-4f81-babe-e9e351063141"/>
    <s v="fad4acfe-73ff-4149-87b3-33d7d5f27e09"/>
    <d v="2025-04-26T00:00:00"/>
    <d v="1899-12-30T23:36:20"/>
    <n v="23"/>
    <n v="52"/>
    <s v="Gold"/>
    <s v="Cannes"/>
    <s v="FLAGSHIP-ROME"/>
    <s v="CELESTE-EYE-05"/>
    <s v="Highlighter"/>
    <n v="110.64"/>
    <x v="3"/>
    <n v="0"/>
    <s v="Mobile"/>
    <s v="189.27.34.255"/>
    <x v="0"/>
    <n v="361"/>
    <n v="-0.88567368122424128"/>
    <n v="0"/>
    <n v="0"/>
    <n v="0"/>
    <n v="0"/>
    <n v="0"/>
  </r>
  <r>
    <s v="c9be7e5e-d376-4181-aa42-880a23ef0e90"/>
    <s v="5031509b-2792-4fea-834a-51dd58da1797"/>
    <d v="2025-07-14T00:00:00"/>
    <d v="1899-12-30T07:04:32"/>
    <n v="7"/>
    <n v="57"/>
    <s v="Bronze"/>
    <s v="Tokyo"/>
    <s v="POPUP-MILAN"/>
    <s v="ORION-CONCEAL-09"/>
    <s v="Setting Spray"/>
    <n v="110.56"/>
    <x v="0"/>
    <n v="0"/>
    <s v="Laptop"/>
    <s v="123.155.116.10"/>
    <x v="0"/>
    <n v="68"/>
    <n v="-0.88678122198232867"/>
    <n v="0"/>
    <n v="0"/>
    <n v="1"/>
    <n v="1"/>
    <n v="0"/>
  </r>
  <r>
    <s v="30ce27d8-efe4-46c3-9470-ee6a6643c2c3"/>
    <s v="5654cede-4691-41bd-b9ce-2a8b4e7816a7"/>
    <d v="2025-05-23T00:00:00"/>
    <d v="1899-12-30T10:43:59"/>
    <n v="10"/>
    <n v="25"/>
    <s v="Gold"/>
    <s v="Dubai"/>
    <s v="BOUTIQUE-NYC"/>
    <s v="GALAXIA-SET-08"/>
    <s v="Blush"/>
    <n v="110.52"/>
    <x v="3"/>
    <n v="0"/>
    <s v="Laptop"/>
    <s v="91.71.233.140"/>
    <x v="0"/>
    <n v="408"/>
    <n v="-0.88733499236137248"/>
    <n v="0"/>
    <n v="0"/>
    <n v="0"/>
    <n v="0"/>
    <n v="0"/>
  </r>
  <r>
    <s v="581fdf67-8616-4447-9a3c-97f927f6c601"/>
    <s v="2270384c-1886-45fe-acb3-c643465b8ff8"/>
    <d v="2025-05-09T00:00:00"/>
    <d v="1899-12-30T22:36:06"/>
    <n v="22"/>
    <n v="34"/>
    <s v="Gold"/>
    <s v="Las Vegas"/>
    <s v="FLAGSHIP-PARIS"/>
    <s v="ECLIPSE-EYE-10"/>
    <s v="Eyeliner"/>
    <n v="110.27"/>
    <x v="3"/>
    <n v="0"/>
    <s v="Tablet"/>
    <s v="223.253.65.116"/>
    <x v="0"/>
    <n v="261"/>
    <n v="-0.89079605723039557"/>
    <n v="0"/>
    <n v="0"/>
    <n v="1"/>
    <n v="1"/>
    <n v="0"/>
  </r>
  <r>
    <s v="8604a421-54c5-4675-b811-828c498a9b7d"/>
    <s v="627f2f66-4fd9-4b47-a5d2-dce74fc283ec"/>
    <d v="2025-03-30T00:00:00"/>
    <d v="1899-12-30T15:16:19"/>
    <n v="15"/>
    <n v="34"/>
    <s v="Bronze"/>
    <s v="Hong Kong"/>
    <s v="BOUTIQUE-NYC"/>
    <s v="NEBULA-SERUM-07"/>
    <s v="Eyeliner"/>
    <n v="110.2"/>
    <x v="4"/>
    <n v="0"/>
    <s v="Tablet"/>
    <s v="156.241.225.162"/>
    <x v="0"/>
    <n v="436"/>
    <n v="-0.89176515539372192"/>
    <n v="0"/>
    <n v="0"/>
    <n v="0"/>
    <n v="0"/>
    <n v="0"/>
  </r>
  <r>
    <s v="19cb5afb-f3c8-4925-a6f2-8cd90077a76c"/>
    <s v="50a67c73-06bb-486c-8152-3c3a80916006"/>
    <d v="2025-08-02T00:00:00"/>
    <d v="1899-12-30T21:25:31"/>
    <n v="21"/>
    <n v="37"/>
    <s v="Silver"/>
    <s v="San Francisco"/>
    <s v="BOUTIQUE-DUBAI"/>
    <s v="SOLAR-BLUSH-04"/>
    <s v="Mascara"/>
    <n v="110.17"/>
    <x v="0"/>
    <n v="0"/>
    <s v="Mobile"/>
    <s v="225.221.107.162"/>
    <x v="0"/>
    <n v="401"/>
    <n v="-0.8921804831780048"/>
    <n v="0"/>
    <n v="0"/>
    <n v="0"/>
    <n v="0"/>
    <n v="0"/>
  </r>
  <r>
    <s v="316691d6-36d9-406a-96e4-67ed2ac17c68"/>
    <s v="6bb8c8c5-657b-404c-a8c2-4866fb6d707e"/>
    <d v="2025-06-10T00:00:00"/>
    <d v="1899-12-30T13:01:14"/>
    <n v="13"/>
    <n v="34"/>
    <s v="Bronze"/>
    <s v="Geneva"/>
    <s v="POPUP-MILAN"/>
    <s v="LUNAR-MASC-02"/>
    <s v="Eyeshadow Palette"/>
    <n v="109.9"/>
    <x v="1"/>
    <n v="0"/>
    <s v="Laptop"/>
    <s v="233.252.210.62"/>
    <x v="0"/>
    <n v="344"/>
    <n v="-0.89591843323654963"/>
    <n v="0"/>
    <n v="0"/>
    <n v="0"/>
    <n v="0"/>
    <n v="0"/>
  </r>
  <r>
    <s v="56a7c8b9-2bff-4a2a-a215-8d87afcd865a"/>
    <s v="14cd63bc-60c0-423e-af19-cfd8b88cc6ee"/>
    <d v="2025-08-12T00:00:00"/>
    <d v="1899-12-30T22:44:38"/>
    <n v="22"/>
    <n v="30"/>
    <s v="Bronze"/>
    <s v="Las Vegas"/>
    <s v="POPUP-TOKYO"/>
    <s v="STELLAR-FOUND-03"/>
    <s v="Blush"/>
    <n v="109.4"/>
    <x v="1"/>
    <n v="0"/>
    <s v="Tablet"/>
    <s v="78.255.52.87"/>
    <x v="0"/>
    <n v="357"/>
    <n v="-0.90284056297459592"/>
    <n v="0"/>
    <n v="0"/>
    <n v="0"/>
    <n v="0"/>
    <n v="0"/>
  </r>
  <r>
    <s v="0a855dfc-152f-498c-b09a-b44ce445febc"/>
    <s v="37a5cfbb-b43d-49b5-ad9d-7a738398daa5"/>
    <d v="2025-05-26T00:00:00"/>
    <d v="1899-12-30T09:59:20"/>
    <n v="9"/>
    <n v="41"/>
    <s v="VIP"/>
    <s v="Miami"/>
    <s v="FLAGSHIP-ROME"/>
    <s v="GALAXIA-SET-08"/>
    <s v="Lipstick"/>
    <n v="109.12"/>
    <x v="4"/>
    <n v="0"/>
    <s v="Mobile"/>
    <s v="49.22.108.154"/>
    <x v="0"/>
    <n v="411"/>
    <n v="-0.90671695562790178"/>
    <n v="0"/>
    <n v="0"/>
    <n v="0"/>
    <n v="0"/>
    <n v="0"/>
  </r>
  <r>
    <s v="8c92dfab-c968-4adf-9e2c-1a2f9a6e2a7f"/>
    <s v="f31dc896-173b-47c7-9a83-82b66846e735"/>
    <d v="2025-03-06T00:00:00"/>
    <d v="1899-12-30T04:01:30"/>
    <n v="4"/>
    <n v="54"/>
    <s v="Bronze"/>
    <s v="Sydney"/>
    <s v="BOUTIQUE-SHANGHAI"/>
    <s v="AURORA-LIP-01"/>
    <s v="Eyeshadow Palette"/>
    <n v="108.94"/>
    <x v="1"/>
    <n v="0"/>
    <s v="Tablet"/>
    <s v="196.18.37.10"/>
    <x v="0"/>
    <n v="494"/>
    <n v="-0.90920892233359851"/>
    <n v="0"/>
    <n v="1"/>
    <n v="0"/>
    <n v="2"/>
    <n v="0"/>
  </r>
  <r>
    <s v="28525951-ac97-4080-a35a-a6a1fa1596a0"/>
    <s v="50a2cb2d-658c-43bd-bc19-a8674af4518e"/>
    <d v="2025-07-07T00:00:00"/>
    <d v="1899-12-30T17:11:43"/>
    <n v="17"/>
    <n v="64"/>
    <s v="Bronze"/>
    <s v="Singapore"/>
    <s v="CONCESSION-SINGAPORE"/>
    <s v="NEBULA-SERUM-07"/>
    <s v="Eyeshadow Palette"/>
    <n v="108.61"/>
    <x v="3"/>
    <n v="0"/>
    <s v="Laptop"/>
    <s v="109.11.59.85"/>
    <x v="0"/>
    <n v="115"/>
    <n v="-0.91377752796070899"/>
    <n v="0"/>
    <n v="0"/>
    <n v="1"/>
    <n v="1"/>
    <n v="0"/>
  </r>
  <r>
    <s v="821a7700-450c-4734-af42-9abbfa174fd8"/>
    <s v="d2563001-faa5-44b4-857f-6650554c3c09"/>
    <d v="2025-04-21T00:00:00"/>
    <d v="1899-12-30T11:03:39"/>
    <n v="11"/>
    <n v="52"/>
    <s v="VIP"/>
    <s v="Sydney"/>
    <s v="BOUTIQUE-NYC"/>
    <s v="NEBULA-SERUM-07"/>
    <s v="Foundation"/>
    <n v="108.07"/>
    <x v="3"/>
    <n v="0"/>
    <s v="Desktop"/>
    <s v="222.41.251.241"/>
    <x v="0"/>
    <n v="270"/>
    <n v="-0.92125342807779909"/>
    <n v="0"/>
    <n v="0"/>
    <n v="1"/>
    <n v="1"/>
    <n v="0"/>
  </r>
  <r>
    <s v="6be448e2-3c77-4f67-acfe-073fa4daea03"/>
    <s v="efe81151-353e-4a79-8543-f369875fc091"/>
    <d v="2025-03-29T00:00:00"/>
    <d v="1899-12-30T20:03:03"/>
    <n v="20"/>
    <n v="60"/>
    <s v="Platinum"/>
    <s v="Geneva"/>
    <s v="FLAGSHIP-PARIS"/>
    <s v="SOLAR-BLUSH-04"/>
    <s v="Mascara"/>
    <n v="108.05"/>
    <x v="3"/>
    <n v="0"/>
    <s v="Mobile"/>
    <s v="94.25.189.129"/>
    <x v="0"/>
    <n v="482"/>
    <n v="-0.92153031326732082"/>
    <n v="0"/>
    <n v="0"/>
    <n v="0"/>
    <n v="0"/>
    <n v="0"/>
  </r>
  <r>
    <s v="b905b0ec-1aa1-41b3-8a42-ac2a1d885951"/>
    <s v="09139ae0-be91-4823-bc5d-bbaed51655bc"/>
    <d v="2025-06-10T00:00:00"/>
    <d v="1899-12-30T12:19:14"/>
    <n v="12"/>
    <n v="52"/>
    <s v="Silver"/>
    <s v="Monaco"/>
    <s v="BOUTIQUE-NYC"/>
    <s v="ECLIPSE-EYE-10"/>
    <s v="Eyeliner"/>
    <n v="107.96"/>
    <x v="4"/>
    <n v="0"/>
    <s v="Laptop"/>
    <s v="255.129.140.29"/>
    <x v="0"/>
    <n v="478"/>
    <n v="-0.92277629662016925"/>
    <n v="0"/>
    <n v="0"/>
    <n v="0"/>
    <n v="0"/>
    <n v="0"/>
  </r>
  <r>
    <s v="33dcf326-ea4c-4e34-b7bf-5394ba72831c"/>
    <s v="20ac4e8d-39b9-47fa-8cc9-a05ca442d3ee"/>
    <d v="2025-05-07T00:00:00"/>
    <d v="1899-12-30T18:18:29"/>
    <n v="18"/>
    <n v="41"/>
    <s v="Bronze"/>
    <s v="Cannes"/>
    <s v="CONCESSION-LONDON"/>
    <s v="CELESTE-EYE-05"/>
    <s v="Lipstick"/>
    <n v="107.64"/>
    <x v="1"/>
    <n v="0"/>
    <s v="Tablet"/>
    <s v="210.201.96.35"/>
    <x v="0"/>
    <n v="435"/>
    <n v="-0.92720645965251869"/>
    <n v="0"/>
    <n v="0"/>
    <n v="0"/>
    <n v="0"/>
    <n v="0"/>
  </r>
  <r>
    <s v="ecc993bb-98a7-40c9-9106-78f03fa994df"/>
    <s v="92f41d3c-4031-4827-b941-930667f9070e"/>
    <d v="2025-07-01T00:00:00"/>
    <d v="1899-12-30T10:41:06"/>
    <n v="10"/>
    <n v="53"/>
    <s v="Gold"/>
    <s v="Rome"/>
    <s v="POPUP-MILAN"/>
    <s v="LUNAR-MASC-02"/>
    <s v="Lipstick"/>
    <n v="107.52"/>
    <x v="4"/>
    <n v="0"/>
    <s v="Tablet"/>
    <s v="230.234.185.15"/>
    <x v="0"/>
    <n v="302"/>
    <n v="-0.92886777078964988"/>
    <n v="0"/>
    <n v="0"/>
    <n v="0"/>
    <n v="0"/>
    <n v="0"/>
  </r>
  <r>
    <s v="32027c9c-a538-4d26-9055-25d59f372a4f"/>
    <s v="7fec6e8b-a530-4312-abad-d87ab6bd35e5"/>
    <d v="2025-08-09T00:00:00"/>
    <d v="1899-12-30T03:08:31"/>
    <n v="3"/>
    <n v="40"/>
    <s v="Silver"/>
    <s v="Hong Kong"/>
    <s v="FLAGSHIP-PARIS"/>
    <s v="CELESTE-EYE-05"/>
    <s v="Serum"/>
    <n v="107.44"/>
    <x v="4"/>
    <n v="0"/>
    <s v="Mobile"/>
    <s v="92.213.8.228"/>
    <x v="0"/>
    <n v="298"/>
    <n v="-0.92997531154773716"/>
    <n v="0"/>
    <n v="1"/>
    <n v="0"/>
    <n v="2"/>
    <n v="0"/>
  </r>
  <r>
    <s v="ee50a183-c993-41e1-ba04-2a227fcd9811"/>
    <s v="5f38ccad-0c1d-486e-9a7b-df6eae61971c"/>
    <d v="2025-03-12T00:00:00"/>
    <d v="1899-12-30T09:02:46"/>
    <n v="9"/>
    <n v="37"/>
    <s v="Gold"/>
    <s v="Hong Kong"/>
    <s v="POPUP-MILAN"/>
    <s v="STELLAR-FOUND-03"/>
    <s v="Eyeshadow Palette"/>
    <n v="107.4"/>
    <x v="1"/>
    <n v="0"/>
    <s v="Laptop"/>
    <s v="177.233.90.20"/>
    <x v="0"/>
    <n v="250"/>
    <n v="-0.93052908192678085"/>
    <n v="0"/>
    <n v="0"/>
    <n v="1"/>
    <n v="1"/>
    <n v="0"/>
  </r>
  <r>
    <s v="8027ff57-4fd9-4789-bedb-f642330c5b23"/>
    <s v="79c3a9e8-318c-48d3-88c2-47768a6a74a6"/>
    <d v="2025-07-27T00:00:00"/>
    <d v="1899-12-30T18:37:25"/>
    <n v="18"/>
    <n v="41"/>
    <s v="None"/>
    <s v="Monaco"/>
    <s v="FLAGSHIP-ROME"/>
    <s v="COSMIC-HIGHLIGHT-06"/>
    <s v="Eyeliner"/>
    <n v="107.11"/>
    <x v="3"/>
    <n v="0"/>
    <s v="Desktop"/>
    <s v="237.201.34.247"/>
    <x v="0"/>
    <n v="151"/>
    <n v="-0.93454391717484775"/>
    <n v="0"/>
    <n v="0"/>
    <n v="1"/>
    <n v="1"/>
    <n v="0"/>
  </r>
  <r>
    <s v="e34e7280-8932-46d1-9a3a-685fc7056e11"/>
    <s v="7873717b-fc4c-4895-b75f-511ccc813401"/>
    <d v="2025-07-15T00:00:00"/>
    <d v="1899-12-30T15:34:19"/>
    <n v="15"/>
    <n v="55"/>
    <s v="Bronze"/>
    <s v="Zurich"/>
    <s v="CONCESSION-SINGAPORE"/>
    <s v="ORION-CONCEAL-09"/>
    <s v="Highlighter"/>
    <n v="107.04"/>
    <x v="4"/>
    <n v="0"/>
    <s v="Desktop"/>
    <s v="116.108.95.102"/>
    <x v="0"/>
    <n v="94"/>
    <n v="-0.9355130153381741"/>
    <n v="0"/>
    <n v="0"/>
    <n v="1"/>
    <n v="1"/>
    <n v="0"/>
  </r>
  <r>
    <s v="b7070d51-5c23-4174-a318-4a813665451b"/>
    <s v="a5f85ea7-1eeb-4e48-8382-a2358ba09952"/>
    <d v="2025-03-13T00:00:00"/>
    <d v="1899-12-30T15:59:38"/>
    <n v="15"/>
    <n v="33"/>
    <s v="Gold"/>
    <s v="Las Vegas"/>
    <s v="FLAGSHIP-LA"/>
    <s v="GALAXIA-SET-08"/>
    <s v="Eyeshadow Palette"/>
    <n v="106.88"/>
    <x v="2"/>
    <n v="1"/>
    <s v="Laptop"/>
    <s v="68.240.51.64"/>
    <x v="0"/>
    <n v="288"/>
    <n v="-0.93772809685434899"/>
    <n v="0"/>
    <n v="0"/>
    <n v="0"/>
    <n v="2"/>
    <n v="0"/>
  </r>
  <r>
    <s v="42fc86f5-4777-485b-a4ef-fb495336c0b6"/>
    <s v="a7e6cddd-0e1b-48fa-acdf-105dcbfdf6c5"/>
    <d v="2025-07-27T00:00:00"/>
    <d v="1899-12-30T12:50:15"/>
    <n v="12"/>
    <n v="42"/>
    <s v="Bronze"/>
    <s v="Milan"/>
    <s v="POPUP-TOKYO"/>
    <s v="COSMIC-HIGHLIGHT-06"/>
    <s v="Eyeliner"/>
    <n v="106.61"/>
    <x v="4"/>
    <n v="0"/>
    <s v="Desktop"/>
    <s v="67.59.230.190"/>
    <x v="0"/>
    <n v="137"/>
    <n v="-0.94146604691289393"/>
    <n v="0"/>
    <n v="0"/>
    <n v="1"/>
    <n v="1"/>
    <n v="0"/>
  </r>
  <r>
    <s v="d19e2cb5-e535-4427-baaf-47b7c83005b9"/>
    <s v="3a2274a2-593e-409f-938f-9a84666cf27e"/>
    <d v="2025-02-27T00:00:00"/>
    <d v="1899-12-30T04:44:34"/>
    <n v="4"/>
    <n v="52"/>
    <s v="Silver"/>
    <s v="Singapore"/>
    <s v="FLAGSHIP-ROME"/>
    <s v="ORION-CONCEAL-09"/>
    <s v="Foundation"/>
    <n v="106.58"/>
    <x v="3"/>
    <n v="0"/>
    <s v="Laptop"/>
    <s v="133.7.206.213"/>
    <x v="1"/>
    <n v="454"/>
    <n v="-0.9418813746971767"/>
    <n v="0"/>
    <n v="1"/>
    <n v="0"/>
    <n v="2"/>
    <n v="0"/>
  </r>
  <r>
    <s v="774cb515-375c-4baa-882d-7c61154d08a7"/>
    <s v="98b94fb8-ca38-496d-aaaf-cad4ffffa326"/>
    <d v="2025-06-15T00:00:00"/>
    <d v="1899-12-30T20:46:41"/>
    <n v="20"/>
    <n v="58"/>
    <s v="VIP"/>
    <s v="Las Vegas"/>
    <s v="POPUP-MILAN"/>
    <s v="GALAXIA-SET-08"/>
    <s v="Eyeshadow Palette"/>
    <n v="106.52"/>
    <x v="4"/>
    <n v="0"/>
    <s v="Mobile"/>
    <s v="48.179.14.46"/>
    <x v="0"/>
    <n v="59"/>
    <n v="-0.94271203026574235"/>
    <n v="0"/>
    <n v="0"/>
    <n v="1"/>
    <n v="1"/>
    <n v="0"/>
  </r>
  <r>
    <s v="11298290-36d7-4bd8-92bc-6729cc501ff5"/>
    <s v="cfaf855a-d3c7-48ab-a5f3-9bd93d0f5d2c"/>
    <d v="2025-06-29T00:00:00"/>
    <d v="1899-12-30T07:02:26"/>
    <n v="7"/>
    <n v="61"/>
    <s v="Silver"/>
    <s v="Cannes"/>
    <s v="FLAGSHIP-LA"/>
    <s v="GALAXIA-SET-08"/>
    <s v="Blush"/>
    <n v="106.46"/>
    <x v="1"/>
    <n v="0"/>
    <s v="Tablet"/>
    <s v="116.109.232.134"/>
    <x v="0"/>
    <n v="60"/>
    <n v="-0.94354268583430789"/>
    <n v="0"/>
    <n v="0"/>
    <n v="1"/>
    <n v="1"/>
    <n v="0"/>
  </r>
  <r>
    <s v="8fdd683e-beb3-4c79-a648-893d3042cfc6"/>
    <s v="0d0064da-97bb-46cb-bb28-cbceee0c5ea4"/>
    <d v="2025-04-11T00:00:00"/>
    <d v="1899-12-30T12:06:53"/>
    <n v="12"/>
    <n v="20"/>
    <s v="Bronze"/>
    <s v="Dubai"/>
    <s v="BOUTIQUE-NYC"/>
    <s v="GALAXIA-SET-08"/>
    <s v="Eyeshadow Palette"/>
    <n v="106.39"/>
    <x v="3"/>
    <n v="0"/>
    <s v="Laptop"/>
    <s v="38.17.163.158"/>
    <x v="0"/>
    <n v="157"/>
    <n v="-0.94451178399763425"/>
    <n v="0"/>
    <n v="0"/>
    <n v="1"/>
    <n v="1"/>
    <n v="0"/>
  </r>
  <r>
    <s v="0c8df2a2-9ff2-4098-b67b-709d5df929a7"/>
    <s v="739ea94e-19dc-4a3b-a3b3-edb0cb4ee91f"/>
    <d v="2025-04-12T00:00:00"/>
    <d v="1899-12-30T02:37:06"/>
    <n v="2"/>
    <n v="22"/>
    <s v="Bronze"/>
    <s v="Los Angeles"/>
    <s v="BOUTIQUE-NYC"/>
    <s v="AURORA-LIP-01"/>
    <s v="Serum"/>
    <n v="106.36"/>
    <x v="3"/>
    <n v="0"/>
    <s v="Tablet"/>
    <s v="20.5.139.78"/>
    <x v="0"/>
    <n v="384"/>
    <n v="-0.94492711178191702"/>
    <n v="0"/>
    <n v="1"/>
    <n v="0"/>
    <n v="2"/>
    <n v="0"/>
  </r>
  <r>
    <s v="06727fc6-1b9d-4e45-a02c-da96d340fae3"/>
    <s v="2d1ae94f-d89d-4591-9b06-3d7bf0195139"/>
    <d v="2025-03-15T00:00:00"/>
    <d v="1899-12-30T22:45:31"/>
    <n v="22"/>
    <n v="49"/>
    <s v="Bronze"/>
    <s v="Sydney"/>
    <s v="FLAGSHIP-PARIS"/>
    <s v="CELESTE-EYE-05"/>
    <s v="Blush"/>
    <n v="106.24"/>
    <x v="4"/>
    <n v="0"/>
    <s v="Laptop"/>
    <s v="143.6.208.111"/>
    <x v="0"/>
    <n v="168"/>
    <n v="-0.94658842291904821"/>
    <n v="0"/>
    <n v="0"/>
    <n v="1"/>
    <n v="1"/>
    <n v="0"/>
  </r>
  <r>
    <s v="38cfaa96-972a-4e47-879c-d031635f9160"/>
    <s v="eaa6374e-ef6e-4d1c-b40e-39f620633706"/>
    <d v="2025-03-26T00:00:00"/>
    <d v="1899-12-30T23:46:03"/>
    <n v="23"/>
    <n v="18"/>
    <s v="Silver"/>
    <s v="Milan"/>
    <s v="POPUP-MILAN"/>
    <s v="GALAXIA-SET-08"/>
    <s v="Lipstick"/>
    <n v="106.22"/>
    <x v="4"/>
    <n v="0"/>
    <s v="Tablet"/>
    <s v="185.99.183.138"/>
    <x v="0"/>
    <n v="124"/>
    <n v="-0.94686530810856995"/>
    <n v="0"/>
    <n v="0"/>
    <n v="1"/>
    <n v="1"/>
    <n v="0"/>
  </r>
  <r>
    <s v="0f79ab85-f039-4cd0-93f4-c399712504e2"/>
    <s v="cb97e151-e90f-47a9-9e34-2be1e54f6795"/>
    <d v="2025-04-03T00:00:00"/>
    <d v="1899-12-30T12:45:55"/>
    <n v="12"/>
    <n v="60"/>
    <s v="Bronze"/>
    <s v="San Francisco"/>
    <s v="CONCESSION-SINGAPORE"/>
    <s v="GALAXIA-SET-08"/>
    <s v="Setting Spray"/>
    <n v="106.21"/>
    <x v="4"/>
    <n v="0"/>
    <s v="Laptop"/>
    <s v="245.203.145.146"/>
    <x v="0"/>
    <n v="175"/>
    <n v="-0.94700375070333098"/>
    <n v="0"/>
    <n v="0"/>
    <n v="1"/>
    <n v="1"/>
    <n v="0"/>
  </r>
  <r>
    <s v="5a72570b-75ff-46af-9f7d-728915ce73cb"/>
    <s v="dc3cc91e-f179-4c95-8ff1-510807e5232b"/>
    <d v="2025-03-03T00:00:00"/>
    <d v="1899-12-30T12:36:53"/>
    <n v="12"/>
    <n v="38"/>
    <s v="Silver"/>
    <s v="Milan"/>
    <s v="CONCESSION-LONDON"/>
    <s v="AURORA-LIP-01"/>
    <s v="Blush"/>
    <n v="106.2"/>
    <x v="3"/>
    <n v="0"/>
    <s v="Tablet"/>
    <s v="172.46.203.71"/>
    <x v="0"/>
    <n v="96"/>
    <n v="-0.94714219329809179"/>
    <n v="0"/>
    <n v="0"/>
    <n v="1"/>
    <n v="1"/>
    <n v="0"/>
  </r>
  <r>
    <s v="2ba7d5af-3cef-485e-9bc9-0d3f3c1485f2"/>
    <s v="4a92c237-fdd8-4946-9c86-36d358a32d76"/>
    <d v="2025-07-10T00:00:00"/>
    <d v="1899-12-30T10:16:23"/>
    <n v="10"/>
    <n v="32"/>
    <s v="Platinum"/>
    <s v="London"/>
    <s v="CONCESSION-LONDON"/>
    <s v="LUNAR-MASC-02"/>
    <s v="Mascara"/>
    <n v="106.19"/>
    <x v="1"/>
    <n v="0"/>
    <s v="Tablet"/>
    <s v="75.104.190.128"/>
    <x v="0"/>
    <n v="205"/>
    <n v="-0.94728063589285283"/>
    <n v="0"/>
    <n v="0"/>
    <n v="1"/>
    <n v="1"/>
    <n v="0"/>
  </r>
  <r>
    <s v="cc46c08c-b784-4352-aa6a-c82484212400"/>
    <s v="420d5fb2-0b84-462b-8062-f5f7d555b930"/>
    <d v="2025-06-04T00:00:00"/>
    <d v="1899-12-30T11:07:11"/>
    <n v="11"/>
    <n v="18"/>
    <s v="Silver"/>
    <s v="Miami"/>
    <s v="FLAGSHIP-LA"/>
    <s v="CELESTE-EYE-05"/>
    <s v="Serum"/>
    <n v="106.16"/>
    <x v="3"/>
    <n v="0"/>
    <s v="Desktop"/>
    <s v="94.94.225.54"/>
    <x v="0"/>
    <n v="129"/>
    <n v="-0.9476959636771356"/>
    <n v="0"/>
    <n v="0"/>
    <n v="1"/>
    <n v="1"/>
    <n v="0"/>
  </r>
  <r>
    <s v="b0bd580f-22ff-4fd4-91bc-ff34a64858cf"/>
    <s v="a51d2c83-6508-4f8e-a550-e49bac0360bb"/>
    <d v="2025-06-09T00:00:00"/>
    <d v="1899-12-30T04:15:17"/>
    <n v="4"/>
    <n v="55"/>
    <s v="Silver"/>
    <s v="Milan"/>
    <s v="POPUP-TOKYO"/>
    <s v="ECLIPSE-EYE-10"/>
    <s v="Blush"/>
    <n v="106.12"/>
    <x v="3"/>
    <n v="0"/>
    <s v="Mobile"/>
    <s v="154.169.171.153"/>
    <x v="0"/>
    <n v="195"/>
    <n v="-0.94824973405617918"/>
    <n v="0"/>
    <n v="1"/>
    <n v="1"/>
    <n v="3"/>
    <n v="0"/>
  </r>
  <r>
    <s v="8883c30c-4d8a-4ce4-a136-8023f506f6ca"/>
    <s v="4c156941-a27f-4914-a68b-d858f69a7436"/>
    <d v="2025-03-26T00:00:00"/>
    <d v="1899-12-30T01:06:52"/>
    <n v="1"/>
    <n v="64"/>
    <s v="Silver"/>
    <s v="Milan"/>
    <s v="POPUP-TOKYO"/>
    <s v="COSMIC-HIGHLIGHT-06"/>
    <s v="Lipstick"/>
    <n v="106.09"/>
    <x v="0"/>
    <n v="0"/>
    <s v="Laptop"/>
    <s v="115.67.173.148"/>
    <x v="0"/>
    <n v="443"/>
    <n v="-0.94866506184046195"/>
    <n v="0"/>
    <n v="1"/>
    <n v="0"/>
    <n v="2"/>
    <n v="0"/>
  </r>
  <r>
    <s v="63d2016e-e8f7-44c0-bafc-cf034c5c4bbb"/>
    <s v="e0de57a8-3ae5-4d5a-9992-eb285a15c585"/>
    <d v="2025-08-07T00:00:00"/>
    <d v="1899-12-30T05:52:20"/>
    <n v="5"/>
    <n v="38"/>
    <s v="Gold"/>
    <s v="Las Vegas"/>
    <s v="CONCESSION-LONDON"/>
    <s v="GALAXIA-SET-08"/>
    <s v="Eyeliner"/>
    <n v="105.98"/>
    <x v="1"/>
    <n v="0"/>
    <s v="Desktop"/>
    <s v="148.1.251.244"/>
    <x v="0"/>
    <n v="98"/>
    <n v="-0.95018793038283211"/>
    <n v="0"/>
    <n v="1"/>
    <n v="1"/>
    <n v="3"/>
    <n v="0"/>
  </r>
  <r>
    <s v="59b2150f-6e60-4e4a-a3f8-1028fb0d4d85"/>
    <s v="f6ef173b-413e-4143-9def-812fdf86e307"/>
    <d v="2025-04-17T00:00:00"/>
    <d v="1899-12-30T21:14:10"/>
    <n v="21"/>
    <n v="44"/>
    <s v="Bronze"/>
    <s v="New York"/>
    <s v="POPUP-TOKYO"/>
    <s v="COSMIC-HIGHLIGHT-06"/>
    <s v="Setting Spray"/>
    <n v="105.98"/>
    <x v="4"/>
    <n v="0"/>
    <s v="Mobile"/>
    <s v="181.192.30.170"/>
    <x v="0"/>
    <n v="406"/>
    <n v="-0.95018793038283211"/>
    <n v="0"/>
    <n v="0"/>
    <n v="0"/>
    <n v="0"/>
    <n v="0"/>
  </r>
  <r>
    <s v="3e4da178-ebd5-42fd-92c1-66c4955afc9f"/>
    <s v="5158d4b9-85ab-4613-9855-631ccb41a0e5"/>
    <d v="2025-06-07T00:00:00"/>
    <d v="1899-12-30T13:40:27"/>
    <n v="13"/>
    <n v="48"/>
    <s v="Silver"/>
    <s v="Monte Carlo"/>
    <s v="BOUTIQUE-DUBAI"/>
    <s v="STELLAR-FOUND-03"/>
    <s v="Blush"/>
    <n v="105.74"/>
    <x v="4"/>
    <n v="0"/>
    <s v="Mobile"/>
    <s v="254.56.114.52"/>
    <x v="0"/>
    <n v="145"/>
    <n v="-0.95351055265709439"/>
    <n v="0"/>
    <n v="0"/>
    <n v="1"/>
    <n v="1"/>
    <n v="0"/>
  </r>
  <r>
    <s v="52faae0c-eb02-4eb6-a100-75778ba860e1"/>
    <s v="6cedc26f-dfa5-4ed3-8f69-1eb688d666cc"/>
    <d v="2025-03-04T00:00:00"/>
    <d v="1899-12-30T01:29:08"/>
    <n v="1"/>
    <n v="23"/>
    <s v="Silver"/>
    <s v="Miami"/>
    <s v="CONCESSION-LONDON"/>
    <s v="COSMIC-HIGHLIGHT-06"/>
    <s v="Setting Spray"/>
    <n v="105.69"/>
    <x v="0"/>
    <n v="0"/>
    <s v="Tablet"/>
    <s v="235.39.59.67"/>
    <x v="0"/>
    <n v="414"/>
    <n v="-0.95420276563089901"/>
    <n v="0"/>
    <n v="1"/>
    <n v="0"/>
    <n v="2"/>
    <n v="0"/>
  </r>
  <r>
    <s v="cb8cd73b-966d-4b74-b4e4-4d911b3fb9cb"/>
    <s v="99bd7862-7678-4fe0-bee1-81dc455eb688"/>
    <d v="2025-06-10T00:00:00"/>
    <d v="1899-12-30T11:39:01"/>
    <n v="11"/>
    <n v="30"/>
    <s v="Platinum"/>
    <s v="Monte Carlo"/>
    <s v="CONCESSION-SINGAPORE"/>
    <s v="GALAXIA-SET-08"/>
    <s v="Serum"/>
    <n v="105.69"/>
    <x v="4"/>
    <n v="0"/>
    <s v="Mobile"/>
    <s v="22.92.55.203"/>
    <x v="0"/>
    <n v="133"/>
    <n v="-0.95420276563089901"/>
    <n v="0"/>
    <n v="0"/>
    <n v="1"/>
    <n v="1"/>
    <n v="0"/>
  </r>
  <r>
    <s v="d37de765-eb4d-4024-bbe0-e27e6b660cdb"/>
    <s v="69317287-2bc9-413e-a662-6c5b60b583e8"/>
    <d v="2025-06-24T00:00:00"/>
    <d v="1899-12-30T03:08:48"/>
    <n v="3"/>
    <n v="30"/>
    <s v="Platinum"/>
    <s v="Milan"/>
    <s v="POPUP-TOKYO"/>
    <s v="AURORA-LIP-01"/>
    <s v="Mascara"/>
    <n v="105.59"/>
    <x v="0"/>
    <n v="0"/>
    <s v="Laptop"/>
    <s v="247.231.21.0"/>
    <x v="0"/>
    <n v="463"/>
    <n v="-0.95558719157850813"/>
    <n v="0"/>
    <n v="1"/>
    <n v="0"/>
    <n v="2"/>
    <n v="0"/>
  </r>
  <r>
    <s v="7c2c5702-b86b-4b6b-979e-a725f7ddaa16"/>
    <s v="7d8e7af6-dd72-4a0e-b03d-c1e64ebc05e8"/>
    <d v="2025-06-19T00:00:00"/>
    <d v="1899-12-30T03:46:00"/>
    <n v="3"/>
    <n v="25"/>
    <s v="Bronze"/>
    <s v="Singapore"/>
    <s v="BOUTIQUE-DUBAI"/>
    <s v="GALAXIA-SET-08"/>
    <s v="Concealer"/>
    <n v="105.57"/>
    <x v="1"/>
    <n v="0"/>
    <s v="Desktop"/>
    <s v="251.216.163.186"/>
    <x v="0"/>
    <n v="105"/>
    <n v="-0.9558640767680302"/>
    <n v="0"/>
    <n v="1"/>
    <n v="1"/>
    <n v="3"/>
    <n v="0"/>
  </r>
  <r>
    <s v="8d439096-c9f0-420d-ae9c-b94fd7ae7516"/>
    <s v="b10538d1-dbc8-4f72-a7c2-aa9ef9269820"/>
    <d v="2025-03-10T00:00:00"/>
    <d v="1899-12-30T23:16:37"/>
    <n v="23"/>
    <n v="42"/>
    <s v="Bronze"/>
    <s v="Geneva"/>
    <s v="BOUTIQUE-NYC"/>
    <s v="SOLAR-BLUSH-04"/>
    <s v="Mascara"/>
    <n v="105.5"/>
    <x v="4"/>
    <n v="0"/>
    <s v="Laptop"/>
    <s v="219.159.204.29"/>
    <x v="0"/>
    <n v="264"/>
    <n v="-0.95683317493135656"/>
    <n v="0"/>
    <n v="0"/>
    <n v="1"/>
    <n v="1"/>
    <n v="0"/>
  </r>
  <r>
    <s v="02e8425b-49fb-4607-9a5b-0c417b2ecca2"/>
    <s v="60b1a6ff-3785-44e9-89be-6a7356141aaa"/>
    <d v="2025-06-08T00:00:00"/>
    <d v="1899-12-30T04:48:07"/>
    <n v="4"/>
    <n v="22"/>
    <s v="Gold"/>
    <s v="Los Angeles"/>
    <s v="POPUP-TOKYO"/>
    <s v="SOLAR-BLUSH-04"/>
    <s v="Highlighter"/>
    <n v="105.35"/>
    <x v="4"/>
    <n v="0"/>
    <s v="Tablet"/>
    <s v="61.27.216.176"/>
    <x v="0"/>
    <n v="163"/>
    <n v="-0.95890981385277052"/>
    <n v="0"/>
    <n v="1"/>
    <n v="1"/>
    <n v="3"/>
    <n v="0"/>
  </r>
  <r>
    <s v="749047aa-fc7c-4a6d-8390-ec573efcfb4a"/>
    <s v="23e98503-02de-412f-b524-89277e986109"/>
    <d v="2025-07-01T00:00:00"/>
    <d v="1899-12-30T11:49:19"/>
    <n v="11"/>
    <n v="27"/>
    <s v="Bronze"/>
    <s v="Dubai"/>
    <s v="FLAGSHIP-ROME"/>
    <s v="AURORA-LIP-01"/>
    <s v="Serum"/>
    <n v="104.82"/>
    <x v="3"/>
    <n v="0"/>
    <s v="Desktop"/>
    <s v="209.217.75.14"/>
    <x v="0"/>
    <n v="409"/>
    <n v="-0.96624727137509947"/>
    <n v="0"/>
    <n v="0"/>
    <n v="0"/>
    <n v="0"/>
    <n v="0"/>
  </r>
  <r>
    <s v="72549903-fe4d-4d4f-aad4-2540d1f27227"/>
    <s v="8dc7abb6-0567-43b5-8abc-02e46a384ff4"/>
    <d v="2025-05-02T00:00:00"/>
    <d v="1899-12-30T22:25:02"/>
    <n v="22"/>
    <n v="21"/>
    <s v="Silver"/>
    <s v="London"/>
    <s v="CONCESSION-LONDON"/>
    <s v="LUNAR-MASC-02"/>
    <s v="Blush"/>
    <n v="104.75"/>
    <x v="4"/>
    <n v="0"/>
    <s v="Laptop"/>
    <s v="45.38.187.68"/>
    <x v="0"/>
    <n v="195"/>
    <n v="-0.96721636953842594"/>
    <n v="0"/>
    <n v="0"/>
    <n v="1"/>
    <n v="1"/>
    <n v="0"/>
  </r>
  <r>
    <s v="5e0b344d-568f-402d-bd84-9c3133060ab7"/>
    <s v="d1a15c06-f581-43c7-9b07-b5931a0a9575"/>
    <d v="2025-03-22T00:00:00"/>
    <d v="1899-12-30T21:37:07"/>
    <n v="21"/>
    <n v="31"/>
    <s v="Silver"/>
    <s v="Monte Carlo"/>
    <s v="POPUP-TOKYO"/>
    <s v="STELLAR-FOUND-03"/>
    <s v="Eyeliner"/>
    <n v="104.37"/>
    <x v="1"/>
    <n v="0"/>
    <s v="Tablet"/>
    <s v="169.26.140.42"/>
    <x v="0"/>
    <n v="79"/>
    <n v="-0.97247718813934092"/>
    <n v="0"/>
    <n v="0"/>
    <n v="1"/>
    <n v="1"/>
    <n v="0"/>
  </r>
  <r>
    <s v="69705baa-88ca-4d7e-9708-1b36b7a7fdce"/>
    <s v="8ef6ba8d-cce0-4bf7-be07-e3a3074982e6"/>
    <d v="2025-06-06T00:00:00"/>
    <d v="1899-12-30T07:31:24"/>
    <n v="7"/>
    <n v="62"/>
    <s v="Bronze"/>
    <s v="Tokyo"/>
    <s v="FLAGSHIP-PARIS"/>
    <s v="ECLIPSE-EYE-10"/>
    <s v="Concealer"/>
    <n v="104.24"/>
    <x v="3"/>
    <n v="0"/>
    <s v="Mobile"/>
    <s v="250.15.101.101"/>
    <x v="1"/>
    <n v="107"/>
    <n v="-0.97427694187123315"/>
    <n v="0"/>
    <n v="0"/>
    <n v="1"/>
    <n v="1"/>
    <n v="0"/>
  </r>
  <r>
    <s v="2d243be9-11d1-49aa-ba92-3615f744de23"/>
    <s v="71d04d23-5196-4083-8d66-20a52b373aad"/>
    <d v="2025-02-15T00:00:00"/>
    <d v="1899-12-30T14:49:55"/>
    <n v="14"/>
    <n v="46"/>
    <s v="Bronze"/>
    <s v="New York"/>
    <s v="POPUP-MILAN"/>
    <s v="STELLAR-FOUND-03"/>
    <s v="Eyeliner"/>
    <n v="104.19"/>
    <x v="1"/>
    <n v="0"/>
    <s v="Desktop"/>
    <s v="129.60.123.201"/>
    <x v="0"/>
    <n v="317"/>
    <n v="-0.97496915484503766"/>
    <n v="0"/>
    <n v="0"/>
    <n v="0"/>
    <n v="0"/>
    <n v="0"/>
  </r>
  <r>
    <s v="21a08151-eb27-4c5d-a265-83c835190f2a"/>
    <s v="df1aafea-9d77-464a-b42f-1230922a83a8"/>
    <d v="2025-03-07T00:00:00"/>
    <d v="1899-12-30T00:21:13"/>
    <n v="0"/>
    <n v="47"/>
    <s v="Unknown"/>
    <s v="Zurich"/>
    <s v="FLAGSHIP-PARIS"/>
    <s v="CELESTE-EYE-05"/>
    <s v="Mascara"/>
    <n v="104"/>
    <x v="0"/>
    <n v="0"/>
    <s v="Laptop"/>
    <s v="86.101.132.130"/>
    <x v="0"/>
    <n v="198"/>
    <n v="-0.9775995641454952"/>
    <n v="0"/>
    <n v="1"/>
    <n v="1"/>
    <n v="3"/>
    <n v="0"/>
  </r>
  <r>
    <s v="664e30e8-a88a-42f8-803a-4171cf021e46"/>
    <s v="3bff2035-e330-4a35-a411-18357524b2dc"/>
    <d v="2025-05-30T00:00:00"/>
    <d v="1899-12-30T22:18:44"/>
    <n v="22"/>
    <n v="38"/>
    <s v="Bronze"/>
    <s v="Rome"/>
    <s v="FLAGSHIP-LA"/>
    <s v="CELESTE-EYE-05"/>
    <s v="Blush"/>
    <n v="103.94"/>
    <x v="4"/>
    <n v="0"/>
    <s v="Desktop"/>
    <s v="101.152.232.252"/>
    <x v="0"/>
    <n v="476"/>
    <n v="-0.97843021971406086"/>
    <n v="0"/>
    <n v="0"/>
    <n v="0"/>
    <n v="0"/>
    <n v="0"/>
  </r>
  <r>
    <s v="a11bbcfd-a12f-434a-8b50-30d3a252583e"/>
    <s v="c342e5f1-662c-46c4-bd64-2c267d4bd8e7"/>
    <d v="2025-08-02T00:00:00"/>
    <d v="1899-12-30T20:34:18"/>
    <n v="20"/>
    <n v="23"/>
    <s v="Bronze"/>
    <s v="Sydney"/>
    <s v="CONCESSION-SINGAPORE"/>
    <s v="AURORA-LIP-01"/>
    <s v="Serum"/>
    <n v="103.81"/>
    <x v="3"/>
    <n v="0"/>
    <s v="Mobile"/>
    <s v="9.12.47.29"/>
    <x v="0"/>
    <n v="499"/>
    <n v="-0.98022997344595275"/>
    <n v="0"/>
    <n v="0"/>
    <n v="0"/>
    <n v="0"/>
    <n v="0"/>
  </r>
  <r>
    <s v="86c11c4b-b43b-4f9e-b135-7f301a7a06f9"/>
    <s v="61556d70-f741-4f74-93eb-0554951e7308"/>
    <d v="2025-07-26T00:00:00"/>
    <d v="1899-12-30T16:24:46"/>
    <n v="16"/>
    <n v="63"/>
    <s v="Gold"/>
    <s v="Los Angeles"/>
    <s v="BOUTIQUE-DUBAI"/>
    <s v="STELLAR-FOUND-03"/>
    <s v="Lipstick"/>
    <n v="103.81"/>
    <x v="4"/>
    <n v="0"/>
    <s v="Mobile"/>
    <s v="119.162.49.113"/>
    <x v="0"/>
    <n v="353"/>
    <n v="-0.98022997344595275"/>
    <n v="0"/>
    <n v="0"/>
    <n v="0"/>
    <n v="0"/>
    <n v="0"/>
  </r>
  <r>
    <s v="b0e4897e-b985-4a21-9bbf-58acc05b8260"/>
    <s v="c6806cd5-5699-4359-ab39-d6a6932c7a56"/>
    <d v="2025-07-28T00:00:00"/>
    <d v="1899-12-30T19:46:09"/>
    <n v="19"/>
    <n v="61"/>
    <s v="Bronze"/>
    <s v="Monte Carlo"/>
    <s v="POPUP-TOKYO"/>
    <s v="AURORA-LIP-01"/>
    <s v="Serum"/>
    <n v="103.47"/>
    <x v="4"/>
    <n v="0"/>
    <s v="Laptop"/>
    <s v="234.191.8.223"/>
    <x v="0"/>
    <n v="458"/>
    <n v="-0.98493702166782426"/>
    <n v="0"/>
    <n v="0"/>
    <n v="0"/>
    <n v="0"/>
    <n v="0"/>
  </r>
  <r>
    <s v="7e38d022-07df-4761-9470-57c29cb1e269"/>
    <s v="20ef2880-615a-45cf-b735-1dd3b27d1d85"/>
    <d v="2025-07-17T00:00:00"/>
    <d v="1899-12-30T17:25:16"/>
    <n v="17"/>
    <n v="51"/>
    <s v="Bronze"/>
    <s v="Rome"/>
    <s v="CONCESSION-SINGAPORE"/>
    <s v="GALAXIA-SET-08"/>
    <s v="Eyeshadow Palette"/>
    <n v="103.16"/>
    <x v="3"/>
    <n v="0"/>
    <s v="Desktop"/>
    <s v="79.156.163.241"/>
    <x v="0"/>
    <n v="475"/>
    <n v="-0.98922874210541289"/>
    <n v="0"/>
    <n v="0"/>
    <n v="0"/>
    <n v="0"/>
    <n v="0"/>
  </r>
  <r>
    <s v="47e7bb95-62ff-41e2-bca7-feacf1f88d29"/>
    <s v="8ad8ca66-92b8-4ebf-8a18-3aa622f7bcc8"/>
    <d v="2025-07-22T00:00:00"/>
    <d v="1899-12-30T20:56:36"/>
    <n v="20"/>
    <n v="64"/>
    <s v="Silver"/>
    <s v="San Francisco"/>
    <s v="POPUP-TOKYO"/>
    <s v="AURORA-LIP-01"/>
    <s v="Serum"/>
    <n v="103.1"/>
    <x v="3"/>
    <n v="0"/>
    <s v="Tablet"/>
    <s v="45.227.22.141"/>
    <x v="0"/>
    <n v="393"/>
    <n v="-0.99005939767397855"/>
    <n v="0"/>
    <n v="0"/>
    <n v="0"/>
    <n v="0"/>
    <n v="0"/>
  </r>
  <r>
    <s v="335ada54-a9de-4800-b4cf-381abcd96b6c"/>
    <s v="560dcc0d-e9ee-42cb-84d2-6d613658bbed"/>
    <d v="2025-07-17T00:00:00"/>
    <d v="1899-12-30T23:54:59"/>
    <n v="23"/>
    <n v="56"/>
    <s v="Gold"/>
    <s v="Los Angeles"/>
    <s v="CONCESSION-LONDON"/>
    <s v="COSMIC-HIGHLIGHT-06"/>
    <s v="Eyeliner"/>
    <n v="103.05"/>
    <x v="0"/>
    <n v="0"/>
    <s v="Mobile"/>
    <s v="168.167.248.227"/>
    <x v="0"/>
    <n v="455"/>
    <n v="-0.99075161064778305"/>
    <n v="0"/>
    <n v="0"/>
    <n v="0"/>
    <n v="0"/>
    <n v="0"/>
  </r>
  <r>
    <s v="cd99a57b-a0dc-41f6-b19e-b30be5ab8a13"/>
    <s v="b02cb057-170d-4570-8cf0-28ec88e68526"/>
    <d v="2025-07-24T00:00:00"/>
    <d v="1899-12-30T01:41:08"/>
    <n v="1"/>
    <n v="34"/>
    <s v="Silver"/>
    <s v="London"/>
    <s v="CONCESSION-LONDON"/>
    <s v="AURORA-LIP-01"/>
    <s v="Serum"/>
    <n v="103.04"/>
    <x v="4"/>
    <n v="0"/>
    <s v="Laptop"/>
    <s v="241.232.199.229"/>
    <x v="0"/>
    <n v="143"/>
    <n v="-0.99089005324254387"/>
    <n v="0"/>
    <n v="1"/>
    <n v="1"/>
    <n v="3"/>
    <n v="0"/>
  </r>
  <r>
    <s v="c3ae10b8-ce99-4243-9fd8-39b52c20d186"/>
    <s v="4a32404f-5758-4e5c-8319-41695b4f829f"/>
    <d v="2025-04-09T00:00:00"/>
    <d v="1899-12-30T12:05:40"/>
    <n v="12"/>
    <n v="30"/>
    <s v="Platinum"/>
    <s v="Rome"/>
    <s v="FLAGSHIP-ROME"/>
    <s v="STELLAR-FOUND-03"/>
    <s v="Serum"/>
    <n v="102.85"/>
    <x v="1"/>
    <n v="0"/>
    <s v="Mobile"/>
    <s v="187.41.240.33"/>
    <x v="0"/>
    <n v="203"/>
    <n v="-0.99352046254300164"/>
    <n v="0"/>
    <n v="0"/>
    <n v="1"/>
    <n v="1"/>
    <n v="0"/>
  </r>
  <r>
    <s v="8f4396ad-0185-42f0-887e-321d757f999d"/>
    <s v="7dc61ff1-5d99-4f7c-9245-517c8cb5ee7f"/>
    <d v="2025-06-21T00:00:00"/>
    <d v="1899-12-30T16:08:20"/>
    <n v="16"/>
    <n v="56"/>
    <s v="Gold"/>
    <s v="Singapore"/>
    <s v="BOUTIQUE-SHANGHAI"/>
    <s v="COSMIC-HIGHLIGHT-06"/>
    <s v="Setting Spray"/>
    <n v="102.82"/>
    <x v="4"/>
    <n v="0"/>
    <s v="Tablet"/>
    <s v="203.192.80.8"/>
    <x v="0"/>
    <n v="249"/>
    <n v="-0.99393579032728441"/>
    <n v="0"/>
    <n v="0"/>
    <n v="1"/>
    <n v="1"/>
    <n v="0"/>
  </r>
  <r>
    <s v="33d13587-727d-4d73-b997-07aeaf5bf837"/>
    <s v="53e8ee40-2f90-4c4e-a252-c4f92d09b356"/>
    <d v="2025-06-22T00:00:00"/>
    <d v="1899-12-30T17:44:17"/>
    <n v="17"/>
    <n v="24"/>
    <s v="Bronze"/>
    <s v="Zurich"/>
    <s v="FLAGSHIP-PARIS"/>
    <s v="STELLAR-FOUND-03"/>
    <s v="Concealer"/>
    <n v="102.66"/>
    <x v="1"/>
    <n v="0"/>
    <s v="Tablet"/>
    <s v="94.89.34.104"/>
    <x v="0"/>
    <n v="471"/>
    <n v="-0.99615087184345918"/>
    <n v="0"/>
    <n v="0"/>
    <n v="0"/>
    <n v="0"/>
    <n v="0"/>
  </r>
  <r>
    <s v="7809a78f-a2e2-47d9-9042-3b40b97c53a8"/>
    <s v="be2da421-3329-4ae2-a74a-053bdd3d6c88"/>
    <d v="2025-04-18T00:00:00"/>
    <d v="1899-12-30T18:50:15"/>
    <n v="18"/>
    <n v="26"/>
    <s v="Bronze"/>
    <s v="Milan"/>
    <s v="FLAGSHIP-LA"/>
    <s v="ECLIPSE-EYE-10"/>
    <s v="Concealer"/>
    <n v="102.64"/>
    <x v="0"/>
    <n v="0"/>
    <s v="Tablet"/>
    <s v="220.13.107.246"/>
    <x v="0"/>
    <n v="334"/>
    <n v="-0.99642775703298092"/>
    <n v="0"/>
    <n v="0"/>
    <n v="0"/>
    <n v="0"/>
    <n v="0"/>
  </r>
  <r>
    <s v="4b876afb-2e76-4fa9-8e62-62a90b82a193"/>
    <s v="55fddbc8-0c32-44b5-af2d-4d63b60520f6"/>
    <d v="2025-02-21T00:00:00"/>
    <d v="1899-12-30T09:16:54"/>
    <n v="9"/>
    <n v="47"/>
    <s v="Platinum"/>
    <s v="Las Vegas"/>
    <s v="CONCESSION-SINGAPORE"/>
    <s v="CELESTE-EYE-05"/>
    <s v="Blush"/>
    <n v="102.63"/>
    <x v="1"/>
    <n v="0"/>
    <s v="Desktop"/>
    <s v="154.2.24.193"/>
    <x v="0"/>
    <n v="380"/>
    <n v="-0.99656619962774196"/>
    <n v="0"/>
    <n v="0"/>
    <n v="0"/>
    <n v="0"/>
    <n v="0"/>
  </r>
  <r>
    <s v="398ffa9a-b960-456c-bd08-7233047f3f64"/>
    <s v="f45f65bd-7dd7-481c-9eb7-83c74e63b9b3"/>
    <d v="2025-08-04T00:00:00"/>
    <d v="1899-12-30T21:17:42"/>
    <n v="21"/>
    <n v="25"/>
    <s v="Bronze"/>
    <s v="New York"/>
    <s v="CONCESSION-SINGAPORE"/>
    <s v="COSMIC-HIGHLIGHT-06"/>
    <s v="Setting Spray"/>
    <n v="102.46"/>
    <x v="0"/>
    <n v="0"/>
    <s v="Desktop"/>
    <s v="148.150.3.199"/>
    <x v="0"/>
    <n v="318"/>
    <n v="-0.99891972373867766"/>
    <n v="0"/>
    <n v="0"/>
    <n v="0"/>
    <n v="0"/>
    <n v="0"/>
  </r>
  <r>
    <s v="970c1706-e0c2-4d05-a795-762e8255efb0"/>
    <s v="f7383524-2bc8-4120-bd91-d24cbd2e9a68"/>
    <d v="2025-05-27T00:00:00"/>
    <d v="1899-12-30T17:18:34"/>
    <n v="17"/>
    <n v="41"/>
    <s v="Bronze"/>
    <s v="Hong Kong"/>
    <s v="FLAGSHIP-ROME"/>
    <s v="LUNAR-MASC-02"/>
    <s v="Concealer"/>
    <n v="102.27"/>
    <x v="0"/>
    <n v="0"/>
    <s v="Desktop"/>
    <s v="38.51.195.40"/>
    <x v="0"/>
    <n v="264"/>
    <n v="-1.0015501330391352"/>
    <n v="0"/>
    <n v="0"/>
    <n v="1"/>
    <n v="1"/>
    <n v="0"/>
  </r>
  <r>
    <s v="9751b57e-c95a-4fce-85d8-4bd1428c7d8f"/>
    <s v="26b70dd9-2be3-4054-905a-778ec520f93d"/>
    <d v="2025-05-27T00:00:00"/>
    <d v="1899-12-30T07:42:16"/>
    <n v="7"/>
    <n v="51"/>
    <s v="Bronze"/>
    <s v="Geneva"/>
    <s v="CONCESSION-LONDON"/>
    <s v="ECLIPSE-EYE-10"/>
    <s v="Serum"/>
    <n v="102.21"/>
    <x v="1"/>
    <n v="0"/>
    <s v="Tablet"/>
    <s v="178.128.61.222"/>
    <x v="0"/>
    <n v="297"/>
    <n v="-1.0023807886077007"/>
    <n v="0"/>
    <n v="0"/>
    <n v="0"/>
    <n v="0"/>
    <n v="0"/>
  </r>
  <r>
    <s v="5dd201e7-95b9-400a-9d6b-6c9a4cf74640"/>
    <s v="eecf2345-89ba-424e-a469-08b12e75a7de"/>
    <d v="2025-04-26T00:00:00"/>
    <d v="1899-12-30T02:08:20"/>
    <n v="2"/>
    <n v="20"/>
    <s v="Gold"/>
    <s v="Monte Carlo"/>
    <s v="FLAGSHIP-ROME"/>
    <s v="LUNAR-MASC-02"/>
    <s v="Mascara"/>
    <n v="102.09"/>
    <x v="4"/>
    <n v="0"/>
    <s v="Laptop"/>
    <s v="162.242.86.26"/>
    <x v="0"/>
    <n v="443"/>
    <n v="-1.0040420997448318"/>
    <n v="0"/>
    <n v="1"/>
    <n v="0"/>
    <n v="2"/>
    <n v="0"/>
  </r>
  <r>
    <s v="cd4cc71d-5b79-4559-b736-ff06fd16557d"/>
    <s v="daa0202c-e544-4ad9-9aec-44a34b03ef7c"/>
    <d v="2025-02-26T00:00:00"/>
    <d v="1899-12-30T13:33:40"/>
    <n v="13"/>
    <n v="42"/>
    <s v="Platinum"/>
    <s v="Singapore"/>
    <s v="POPUP-TOKYO"/>
    <s v="COSMIC-HIGHLIGHT-06"/>
    <s v="Foundation"/>
    <n v="102.08"/>
    <x v="3"/>
    <n v="0"/>
    <s v="Desktop"/>
    <s v="156.101.209.88"/>
    <x v="0"/>
    <n v="400"/>
    <n v="-1.0041805423395929"/>
    <n v="0"/>
    <n v="0"/>
    <n v="0"/>
    <n v="0"/>
    <n v="0"/>
  </r>
  <r>
    <s v="7a2131f4-f9ff-4ad4-931e-fe038a1a85e0"/>
    <s v="bdf12228-4e8a-4aa0-9380-d83c4270845f"/>
    <d v="2025-04-21T00:00:00"/>
    <d v="1899-12-30T07:42:37"/>
    <n v="7"/>
    <n v="27"/>
    <s v="Bronze"/>
    <s v="Paris"/>
    <s v="BOUTIQUE-NYC"/>
    <s v="ORION-CONCEAL-09"/>
    <s v="Highlighter"/>
    <n v="102.01"/>
    <x v="2"/>
    <n v="1"/>
    <s v="Mobile"/>
    <s v="103.41.178.219"/>
    <x v="0"/>
    <n v="67"/>
    <n v="-1.0051496405029192"/>
    <n v="0"/>
    <n v="0"/>
    <n v="1"/>
    <n v="3"/>
    <n v="0"/>
  </r>
  <r>
    <s v="7a255ecd-0bf9-4753-9250-9e9a54ff8e10"/>
    <s v="f28ec1de-ca60-4a6a-9512-d03ecf4e8dd5"/>
    <d v="2025-03-15T00:00:00"/>
    <d v="1899-12-30T19:09:23"/>
    <n v="19"/>
    <n v="41"/>
    <s v="Silver"/>
    <s v="Monte Carlo"/>
    <s v="FLAGSHIP-ROME"/>
    <s v="NEBULA-SERUM-07"/>
    <s v="Lipstick"/>
    <n v="101.73"/>
    <x v="4"/>
    <n v="0"/>
    <s v="Tablet"/>
    <s v="223.40.76.3"/>
    <x v="0"/>
    <n v="228"/>
    <n v="-1.0090260331562251"/>
    <n v="0"/>
    <n v="0"/>
    <n v="1"/>
    <n v="1"/>
    <n v="0"/>
  </r>
  <r>
    <s v="dc84726a-662a-4c6c-8b84-b5beaace642e"/>
    <s v="1d005a3b-3a8b-4cfc-8fe2-2f2864d089c3"/>
    <d v="2025-05-04T00:00:00"/>
    <d v="1899-12-30T15:55:38"/>
    <n v="15"/>
    <n v="35"/>
    <s v="Bronze"/>
    <s v="Los Angeles"/>
    <s v="POPUP-TOKYO"/>
    <s v="SOLAR-BLUSH-04"/>
    <s v="Highlighter"/>
    <n v="101.43"/>
    <x v="4"/>
    <n v="0"/>
    <s v="Laptop"/>
    <s v="47.51.13.20"/>
    <x v="0"/>
    <n v="381"/>
    <n v="-1.0131793109990528"/>
    <n v="0"/>
    <n v="0"/>
    <n v="0"/>
    <n v="0"/>
    <n v="0"/>
  </r>
  <r>
    <s v="945aa577-1202-4dcf-a340-d8f08efa4bc9"/>
    <s v="b2ef4896-e188-4fd9-87ca-5a7e4235f072"/>
    <d v="2025-07-07T00:00:00"/>
    <d v="1899-12-30T13:07:22"/>
    <n v="13"/>
    <n v="41"/>
    <s v="Silver"/>
    <s v="Singapore"/>
    <s v="BOUTIQUE-DUBAI"/>
    <s v="GALAXIA-SET-08"/>
    <s v="Foundation"/>
    <n v="101.33"/>
    <x v="3"/>
    <n v="0"/>
    <s v="Laptop"/>
    <s v="3.162.213.91"/>
    <x v="0"/>
    <n v="477"/>
    <n v="-1.014563736946662"/>
    <n v="0"/>
    <n v="0"/>
    <n v="0"/>
    <n v="0"/>
    <n v="0"/>
  </r>
  <r>
    <s v="452610b4-b53c-484e-8ce5-b2933ec5d347"/>
    <s v="2d3a8f96-b846-4bd2-9f2a-221c4c53c710"/>
    <d v="2025-08-09T00:00:00"/>
    <d v="1899-12-30T08:26:19"/>
    <n v="8"/>
    <n v="49"/>
    <s v="Gold"/>
    <s v="Zurich"/>
    <s v="POPUP-MILAN"/>
    <s v="ECLIPSE-EYE-10"/>
    <s v="Eyeliner"/>
    <n v="101.26"/>
    <x v="0"/>
    <n v="0"/>
    <s v="Tablet"/>
    <s v="134.218.151.24"/>
    <x v="0"/>
    <n v="351"/>
    <n v="-1.0155328351099884"/>
    <n v="0"/>
    <n v="0"/>
    <n v="0"/>
    <n v="0"/>
    <n v="0"/>
  </r>
  <r>
    <s v="5f1ed56e-3b0a-4749-881d-d5bc3dec3d53"/>
    <s v="5312f061-94ca-4927-a3a7-3c01428ad009"/>
    <d v="2025-03-07T00:00:00"/>
    <d v="1899-12-30T09:49:54"/>
    <n v="9"/>
    <n v="25"/>
    <s v="Bronze"/>
    <s v="Paris"/>
    <s v="FLAGSHIP-ROME"/>
    <s v="ORION-CONCEAL-09"/>
    <s v="Highlighter"/>
    <n v="101.11"/>
    <x v="3"/>
    <n v="0"/>
    <s v="Mobile"/>
    <s v="151.103.234.141"/>
    <x v="0"/>
    <n v="260"/>
    <n v="-1.0176094740314023"/>
    <n v="0"/>
    <n v="0"/>
    <n v="1"/>
    <n v="1"/>
    <n v="0"/>
  </r>
  <r>
    <s v="f9187876-94f9-41ae-9b1c-857f23b5f412"/>
    <s v="e2391e25-404f-402f-b9b7-5a4ad2483e52"/>
    <d v="2025-03-12T00:00:00"/>
    <d v="1899-12-30T15:09:40"/>
    <n v="15"/>
    <n v="42"/>
    <s v="Silver"/>
    <s v="Milan"/>
    <s v="POPUP-TOKYO"/>
    <s v="ECLIPSE-EYE-10"/>
    <s v="Foundation"/>
    <n v="100.48"/>
    <x v="1"/>
    <n v="0"/>
    <s v="Laptop"/>
    <s v="242.59.33.173"/>
    <x v="0"/>
    <n v="162"/>
    <n v="-1.0263313575013406"/>
    <n v="0"/>
    <n v="0"/>
    <n v="1"/>
    <n v="1"/>
    <n v="0"/>
  </r>
  <r>
    <s v="848198bf-2fd5-4b8f-9175-84c54a09f14b"/>
    <s v="f3926f33-cfec-41a0-a113-7a2e7b098d09"/>
    <d v="2025-06-18T00:00:00"/>
    <d v="1899-12-30T19:51:44"/>
    <n v="19"/>
    <n v="28"/>
    <s v="Bronze"/>
    <s v="Monte Carlo"/>
    <s v="BOUTIQUE-DUBAI"/>
    <s v="NEBULA-SERUM-07"/>
    <s v="Setting Spray"/>
    <n v="100.38"/>
    <x v="1"/>
    <n v="0"/>
    <s v="Desktop"/>
    <s v="145.193.17.165"/>
    <x v="0"/>
    <n v="92"/>
    <n v="-1.0277157834489499"/>
    <n v="0"/>
    <n v="0"/>
    <n v="1"/>
    <n v="1"/>
    <n v="0"/>
  </r>
  <r>
    <s v="3e0c9c2f-7668-4faa-a346-3e6369d85377"/>
    <s v="2d0f7233-2726-4260-a214-e5b36fd5e4e7"/>
    <d v="2025-03-17T00:00:00"/>
    <d v="1899-12-30T02:49:32"/>
    <n v="2"/>
    <n v="20"/>
    <s v="Silver"/>
    <s v="Sydney"/>
    <s v="BOUTIQUE-DUBAI"/>
    <s v="ECLIPSE-EYE-10"/>
    <s v="Blush"/>
    <n v="100.02"/>
    <x v="3"/>
    <n v="0"/>
    <s v="Desktop"/>
    <s v="230.51.76.12"/>
    <x v="0"/>
    <n v="324"/>
    <n v="-1.0326997168603433"/>
    <n v="0"/>
    <n v="1"/>
    <n v="0"/>
    <n v="2"/>
    <n v="0"/>
  </r>
  <r>
    <s v="ecc8b20e-df61-419c-adc8-30371986c3d5"/>
    <s v="d5150d7c-f995-4e83-8bea-ad2bb5bc9149"/>
    <d v="2025-06-30T00:00:00"/>
    <d v="1899-12-30T08:09:49"/>
    <n v="8"/>
    <n v="50"/>
    <s v="Platinum"/>
    <s v="Geneva"/>
    <s v="CONCESSION-SINGAPORE"/>
    <s v="LUNAR-MASC-02"/>
    <s v="Eyeshadow Palette"/>
    <n v="100"/>
    <x v="0"/>
    <n v="0"/>
    <s v="Mobile"/>
    <s v="169.187.49.244"/>
    <x v="0"/>
    <n v="458"/>
    <n v="-1.032976602049865"/>
    <n v="0"/>
    <n v="0"/>
    <n v="0"/>
    <n v="0"/>
    <n v="0"/>
  </r>
  <r>
    <s v="427d17ff-0051-4463-b4f7-5e50557fa93f"/>
    <s v="2dca10a2-ac9d-4f1f-87ab-c9ff3604ea19"/>
    <d v="2025-04-22T00:00:00"/>
    <d v="1899-12-30T22:46:05"/>
    <n v="22"/>
    <n v="30"/>
    <s v="Platinum"/>
    <s v="Paris"/>
    <s v="FLAGSHIP-ROME"/>
    <s v="COSMIC-HIGHLIGHT-06"/>
    <s v="Eyeshadow Palette"/>
    <n v="99.91"/>
    <x v="4"/>
    <n v="0"/>
    <s v="Desktop"/>
    <s v="196.77.225.27"/>
    <x v="0"/>
    <n v="251"/>
    <n v="-1.0342225854027134"/>
    <n v="0"/>
    <n v="0"/>
    <n v="1"/>
    <n v="1"/>
    <n v="0"/>
  </r>
  <r>
    <s v="def30641-282c-4b3a-8764-9d4fb34be702"/>
    <s v="fd601a01-7ca3-48ff-bda3-0ff7d7f0ae2e"/>
    <d v="2025-08-04T00:00:00"/>
    <d v="1899-12-30T03:34:22"/>
    <n v="3"/>
    <n v="38"/>
    <s v="Unknown"/>
    <s v="Monte Carlo"/>
    <s v="FLAGSHIP-LA"/>
    <s v="ORION-CONCEAL-09"/>
    <s v="Foundation"/>
    <n v="99.86"/>
    <x v="4"/>
    <n v="0"/>
    <s v="Laptop"/>
    <s v="55.54.182.165"/>
    <x v="0"/>
    <n v="165"/>
    <n v="-1.0349147983765179"/>
    <n v="0"/>
    <n v="1"/>
    <n v="1"/>
    <n v="3"/>
    <n v="0"/>
  </r>
  <r>
    <s v="5c7cbfe0-6f20-4620-9c14-269fd96eaac5"/>
    <s v="4b19b200-bd81-48af-974d-c06b39d0184c"/>
    <d v="2025-07-31T00:00:00"/>
    <d v="1899-12-30T11:38:45"/>
    <n v="11"/>
    <n v="62"/>
    <s v="VIP"/>
    <s v="Las Vegas"/>
    <s v="POPUP-MILAN"/>
    <s v="ORION-CONCEAL-09"/>
    <s v="Eyeliner"/>
    <n v="99.75"/>
    <x v="0"/>
    <n v="0"/>
    <s v="Mobile"/>
    <s v="14.198.193.64"/>
    <x v="0"/>
    <n v="417"/>
    <n v="-1.0364376669188882"/>
    <n v="0"/>
    <n v="0"/>
    <n v="0"/>
    <n v="0"/>
    <n v="0"/>
  </r>
  <r>
    <s v="0ed700e4-8cde-4be9-97f2-9ef932423e80"/>
    <s v="be5d882f-e903-4f23-9aeb-0e4b99b53a4a"/>
    <d v="2025-04-20T00:00:00"/>
    <d v="1899-12-30T08:00:21"/>
    <n v="8"/>
    <n v="46"/>
    <s v="Silver"/>
    <s v="Tokyo"/>
    <s v="POPUP-TOKYO"/>
    <s v="LUNAR-MASC-02"/>
    <s v="Foundation"/>
    <n v="99.59"/>
    <x v="0"/>
    <n v="0"/>
    <s v="Mobile"/>
    <s v="49.249.53.174"/>
    <x v="0"/>
    <n v="176"/>
    <n v="-1.0386527484350629"/>
    <n v="0"/>
    <n v="0"/>
    <n v="1"/>
    <n v="1"/>
    <n v="0"/>
  </r>
  <r>
    <s v="e1a56e0e-4a64-45f9-abd7-c59e29b900ef"/>
    <s v="414a80d6-4c3e-4331-af77-72169ecae854"/>
    <d v="2025-05-16T00:00:00"/>
    <d v="1899-12-30T01:18:57"/>
    <n v="1"/>
    <n v="40"/>
    <s v="Silver"/>
    <s v="Shanghai"/>
    <s v="BOUTIQUE-NYC"/>
    <s v="LUNAR-MASC-02"/>
    <s v="Concealer"/>
    <n v="99.2"/>
    <x v="3"/>
    <n v="0"/>
    <s v="Tablet"/>
    <s v="86.233.72.6"/>
    <x v="0"/>
    <n v="132"/>
    <n v="-1.0440520096307391"/>
    <n v="0"/>
    <n v="1"/>
    <n v="1"/>
    <n v="3"/>
    <n v="0"/>
  </r>
  <r>
    <s v="1d9f6c71-524d-4701-8b98-bd1f9e086ec2"/>
    <s v="566a3fff-63cc-41f7-8242-5f43300c5029"/>
    <d v="2025-03-03T00:00:00"/>
    <d v="1899-12-30T23:44:47"/>
    <n v="23"/>
    <n v="43"/>
    <s v="Bronze"/>
    <s v="Dubai"/>
    <s v="BOUTIQUE-NYC"/>
    <s v="ECLIPSE-EYE-10"/>
    <s v="Setting Spray"/>
    <n v="99.2"/>
    <x v="3"/>
    <n v="0"/>
    <s v="Desktop"/>
    <s v="167.178.91.12"/>
    <x v="0"/>
    <n v="68"/>
    <n v="-1.0440520096307391"/>
    <n v="0"/>
    <n v="0"/>
    <n v="1"/>
    <n v="1"/>
    <n v="0"/>
  </r>
  <r>
    <s v="ce19b604-9a8e-4ebf-b6cb-c85205b81db9"/>
    <s v="f6faaa37-f232-4afa-bacc-a4cf56ca2eec"/>
    <d v="2025-03-05T00:00:00"/>
    <d v="1899-12-30T02:10:27"/>
    <n v="2"/>
    <n v="62"/>
    <s v="Silver"/>
    <s v="Sydney"/>
    <s v="BOUTIQUE-NYC"/>
    <s v="AURORA-LIP-01"/>
    <s v="Lipstick"/>
    <n v="99.07"/>
    <x v="4"/>
    <n v="0"/>
    <s v="Tablet"/>
    <s v="252.65.153.127"/>
    <x v="0"/>
    <n v="373"/>
    <n v="-1.0458517633626312"/>
    <n v="0"/>
    <n v="1"/>
    <n v="0"/>
    <n v="2"/>
    <n v="0"/>
  </r>
  <r>
    <s v="f66e78dd-cbee-4901-a3f0-6a7f58b88a1d"/>
    <s v="246df56c-013a-4d10-8c12-eaa25fd5d478"/>
    <d v="2025-08-04T00:00:00"/>
    <d v="1899-12-30T16:52:44"/>
    <n v="16"/>
    <n v="50"/>
    <s v="Bronze"/>
    <s v="Milan"/>
    <s v="FLAGSHIP-ROME"/>
    <s v="STELLAR-FOUND-03"/>
    <s v="Mascara"/>
    <n v="99.05"/>
    <x v="4"/>
    <n v="0"/>
    <s v="Desktop"/>
    <s v="29.80.127.66"/>
    <x v="0"/>
    <n v="422"/>
    <n v="-1.0461286485521528"/>
    <n v="0"/>
    <n v="0"/>
    <n v="0"/>
    <n v="0"/>
    <n v="0"/>
  </r>
  <r>
    <s v="53216f39-566b-4246-9d19-ab92913a7f60"/>
    <s v="9bf2a6d6-6616-404f-bd40-d844acec97b5"/>
    <d v="2025-03-09T00:00:00"/>
    <d v="1899-12-30T20:27:17"/>
    <n v="20"/>
    <n v="39"/>
    <s v="VIP"/>
    <s v="Rome"/>
    <s v="FLAGSHIP-PARIS"/>
    <s v="ECLIPSE-EYE-10"/>
    <s v="Concealer"/>
    <n v="98.82"/>
    <x v="4"/>
    <n v="0"/>
    <s v="Laptop"/>
    <s v="122.245.148.148"/>
    <x v="0"/>
    <n v="446"/>
    <n v="-1.0493128282316542"/>
    <n v="0"/>
    <n v="0"/>
    <n v="0"/>
    <n v="0"/>
    <n v="0"/>
  </r>
  <r>
    <s v="a1bc1790-5938-4035-98e2-bda07a352a91"/>
    <s v="d45117b3-b920-4c2c-bcca-f5d280dc2623"/>
    <d v="2025-08-05T00:00:00"/>
    <d v="1899-12-30T23:17:44"/>
    <n v="23"/>
    <n v="53"/>
    <s v="Bronze"/>
    <s v="Cannes"/>
    <s v="CONCESSION-LONDON"/>
    <s v="NEBULA-SERUM-07"/>
    <s v="Serum"/>
    <n v="98.37"/>
    <x v="3"/>
    <n v="0"/>
    <s v="Tablet"/>
    <s v="143.250.201.41"/>
    <x v="0"/>
    <n v="204"/>
    <n v="-1.0555427449958956"/>
    <n v="0"/>
    <n v="0"/>
    <n v="1"/>
    <n v="1"/>
    <n v="0"/>
  </r>
  <r>
    <s v="f6ae8169-dd15-4c21-8291-5c91833202a4"/>
    <s v="2c87d809-bdfc-47c2-b6d0-de5d7f5f9803"/>
    <d v="2025-04-13T00:00:00"/>
    <d v="1899-12-30T17:04:36"/>
    <n v="17"/>
    <n v="64"/>
    <s v="Bronze"/>
    <s v="Geneva"/>
    <s v="BOUTIQUE-SHANGHAI"/>
    <s v="AURORA-LIP-01"/>
    <s v="Blush"/>
    <n v="98.35"/>
    <x v="2"/>
    <n v="1"/>
    <s v="Tablet"/>
    <s v="93.105.45.99"/>
    <x v="0"/>
    <n v="128"/>
    <n v="-1.0558196301854177"/>
    <n v="0"/>
    <n v="0"/>
    <n v="1"/>
    <n v="3"/>
    <n v="0"/>
  </r>
  <r>
    <s v="1e6c825b-4058-4d5d-89b5-e5b471ecc45e"/>
    <s v="a4abe3ca-ea2f-4b86-8e36-861f98ee137d"/>
    <d v="2025-03-12T00:00:00"/>
    <d v="1899-12-30T19:22:19"/>
    <n v="19"/>
    <n v="41"/>
    <s v="Unknown"/>
    <s v="Miami"/>
    <s v="FLAGSHIP-LA"/>
    <s v="GALAXIA-SET-08"/>
    <s v="Setting Spray"/>
    <n v="98.34"/>
    <x v="0"/>
    <n v="0"/>
    <s v="Tablet"/>
    <s v="226.82.188.10"/>
    <x v="0"/>
    <n v="409"/>
    <n v="-1.0559580727801785"/>
    <n v="0"/>
    <n v="0"/>
    <n v="0"/>
    <n v="0"/>
    <n v="0"/>
  </r>
  <r>
    <s v="efcf8f63-bd1f-4faf-9947-6d269d110758"/>
    <s v="dacb7618-8c7e-45ac-a416-5e05f7e1afb5"/>
    <d v="2025-07-11T00:00:00"/>
    <d v="1899-12-30T09:55:34"/>
    <n v="9"/>
    <n v="43"/>
    <s v="Bronze"/>
    <s v="San Francisco"/>
    <s v="BOUTIQUE-SHANGHAI"/>
    <s v="ORION-CONCEAL-09"/>
    <s v="Blush"/>
    <n v="98.09"/>
    <x v="4"/>
    <n v="0"/>
    <s v="Desktop"/>
    <s v="148.29.43.146"/>
    <x v="0"/>
    <n v="493"/>
    <n v="-1.0594191376492015"/>
    <n v="0"/>
    <n v="0"/>
    <n v="0"/>
    <n v="0"/>
    <n v="0"/>
  </r>
  <r>
    <s v="be66f47b-619c-4549-a134-b9193f4c2a88"/>
    <s v="e5e46166-c127-4d46-956b-123a5ec4c692"/>
    <d v="2025-07-24T00:00:00"/>
    <d v="1899-12-30T19:58:30"/>
    <n v="19"/>
    <n v="20"/>
    <s v="Gold"/>
    <s v="Las Vegas"/>
    <s v="CONCESSION-LONDON"/>
    <s v="ECLIPSE-EYE-10"/>
    <s v="Blush"/>
    <n v="98"/>
    <x v="0"/>
    <n v="0"/>
    <s v="Laptop"/>
    <s v="100.191.69.234"/>
    <x v="0"/>
    <n v="401"/>
    <n v="-1.0606651210020499"/>
    <n v="0"/>
    <n v="0"/>
    <n v="0"/>
    <n v="0"/>
    <n v="0"/>
  </r>
  <r>
    <s v="6b0fbd94-4fc1-4829-ad2b-786594b665db"/>
    <s v="f9831746-4187-42b8-ab05-9d3006fd86c6"/>
    <d v="2025-07-11T00:00:00"/>
    <d v="1899-12-30T01:06:40"/>
    <n v="1"/>
    <n v="52"/>
    <s v="Platinum"/>
    <s v="Paris"/>
    <s v="POPUP-MILAN"/>
    <s v="SOLAR-BLUSH-04"/>
    <s v="Foundation"/>
    <n v="97.74"/>
    <x v="0"/>
    <n v="0"/>
    <s v="Mobile"/>
    <s v="239.116.140.98"/>
    <x v="0"/>
    <n v="196"/>
    <n v="-1.0642646284658341"/>
    <n v="0"/>
    <n v="1"/>
    <n v="1"/>
    <n v="3"/>
    <n v="0"/>
  </r>
  <r>
    <s v="e33744f3-a281-463b-ac3f-2e31b9c35b61"/>
    <s v="bc2a7506-353c-41eb-9d14-6627bce3df28"/>
    <d v="2025-07-19T00:00:00"/>
    <d v="1899-12-30T09:19:17"/>
    <n v="9"/>
    <n v="64"/>
    <s v="Gold"/>
    <s v="Hong Kong"/>
    <s v="FLAGSHIP-PARIS"/>
    <s v="AURORA-LIP-01"/>
    <s v="Highlighter"/>
    <n v="97.69"/>
    <x v="1"/>
    <n v="0"/>
    <s v="Mobile"/>
    <s v="1.201.111.156"/>
    <x v="0"/>
    <n v="455"/>
    <n v="-1.0649568414396386"/>
    <n v="0"/>
    <n v="0"/>
    <n v="0"/>
    <n v="0"/>
    <n v="0"/>
  </r>
  <r>
    <s v="861faf44-d734-4e66-9105-cb1adbe0361e"/>
    <s v="3d3ce5b2-f5b7-4fc0-8bbd-a50085c8bd89"/>
    <d v="2025-07-13T00:00:00"/>
    <d v="1899-12-30T18:36:14"/>
    <n v="18"/>
    <n v="52"/>
    <s v="Bronze"/>
    <s v="Las Vegas"/>
    <s v="FLAGSHIP-ROME"/>
    <s v="SOLAR-BLUSH-04"/>
    <s v="Serum"/>
    <n v="97.6"/>
    <x v="1"/>
    <n v="0"/>
    <s v="Tablet"/>
    <s v="166.186.145.107"/>
    <x v="0"/>
    <n v="398"/>
    <n v="-1.0662028247924871"/>
    <n v="0"/>
    <n v="0"/>
    <n v="0"/>
    <n v="0"/>
    <n v="0"/>
  </r>
  <r>
    <s v="d13c19d0-cb7f-4e50-bb34-6a49892b064c"/>
    <s v="28e0f814-23e2-4c6c-8c58-41ea85b443ae"/>
    <d v="2025-02-15T00:00:00"/>
    <d v="1899-12-30T14:18:40"/>
    <n v="14"/>
    <n v="58"/>
    <s v="Bronze"/>
    <s v="Singapore"/>
    <s v="POPUP-MILAN"/>
    <s v="LUNAR-MASC-02"/>
    <s v="Eyeshadow Palette"/>
    <n v="97.45"/>
    <x v="4"/>
    <n v="0"/>
    <s v="Tablet"/>
    <s v="71.228.24.166"/>
    <x v="0"/>
    <n v="456"/>
    <n v="-1.0682794637139008"/>
    <n v="0"/>
    <n v="0"/>
    <n v="0"/>
    <n v="0"/>
    <n v="0"/>
  </r>
  <r>
    <s v="9d3f41de-6645-43a2-bd3d-12c72e70dc2b"/>
    <s v="e64a62b1-0647-4612-966f-b3f612fb1383"/>
    <d v="2025-03-06T00:00:00"/>
    <d v="1899-12-30T11:30:34"/>
    <n v="11"/>
    <n v="21"/>
    <s v="Bronze"/>
    <s v="Monte Carlo"/>
    <s v="POPUP-TOKYO"/>
    <s v="STELLAR-FOUND-03"/>
    <s v="Foundation"/>
    <n v="97.4"/>
    <x v="0"/>
    <n v="0"/>
    <s v="Laptop"/>
    <s v="144.179.60.174"/>
    <x v="0"/>
    <n v="426"/>
    <n v="-1.0689716766877053"/>
    <n v="0"/>
    <n v="0"/>
    <n v="0"/>
    <n v="0"/>
    <n v="0"/>
  </r>
  <r>
    <s v="43a2d058-4524-4a06-b2b8-cb86870f7234"/>
    <s v="b80b536b-76f5-4176-b6a0-ab8ad8530287"/>
    <d v="2025-03-03T00:00:00"/>
    <d v="1899-12-30T17:47:35"/>
    <n v="17"/>
    <n v="41"/>
    <s v="Gold"/>
    <s v="Tokyo"/>
    <s v="FLAGSHIP-ROME"/>
    <s v="AURORA-LIP-01"/>
    <s v="Eyeshadow Palette"/>
    <n v="97.23"/>
    <x v="3"/>
    <n v="0"/>
    <s v="Laptop"/>
    <s v="250.236.56.169"/>
    <x v="0"/>
    <n v="248"/>
    <n v="-1.0713252007986411"/>
    <n v="0"/>
    <n v="0"/>
    <n v="1"/>
    <n v="1"/>
    <n v="0"/>
  </r>
  <r>
    <s v="4fa859f0-38e0-416b-8cfc-ae9c8e4b1958"/>
    <s v="b7633e52-a8c5-431d-9f91-31e8306b8d5d"/>
    <d v="2025-02-18T00:00:00"/>
    <d v="1899-12-30T01:05:49"/>
    <n v="1"/>
    <n v="19"/>
    <s v="VIP"/>
    <s v="Zurich"/>
    <s v="FLAGSHIP-ROME"/>
    <s v="AURORA-LIP-01"/>
    <s v="Blush"/>
    <n v="97.19"/>
    <x v="1"/>
    <n v="0"/>
    <s v="Mobile"/>
    <s v="111.189.186.120"/>
    <x v="0"/>
    <n v="160"/>
    <n v="-1.0718789711776848"/>
    <n v="0"/>
    <n v="1"/>
    <n v="1"/>
    <n v="3"/>
    <n v="0"/>
  </r>
  <r>
    <s v="f4b04fb7-b11b-4161-ad9f-817db5a8b668"/>
    <s v="e2ab43b8-77ce-49a0-a80d-874561da5008"/>
    <d v="2025-03-13T00:00:00"/>
    <d v="1899-12-30T14:06:51"/>
    <n v="14"/>
    <n v="45"/>
    <s v="Bronze"/>
    <s v="Geneva"/>
    <s v="BOUTIQUE-SHANGHAI"/>
    <s v="ORION-CONCEAL-09"/>
    <s v="Eyeliner"/>
    <n v="97.17"/>
    <x v="0"/>
    <n v="0"/>
    <s v="Tablet"/>
    <s v="76.103.77.192"/>
    <x v="0"/>
    <n v="64"/>
    <n v="-1.0721558563672067"/>
    <n v="0"/>
    <n v="0"/>
    <n v="1"/>
    <n v="1"/>
    <n v="0"/>
  </r>
  <r>
    <s v="34094987-b634-42e2-850d-77ac1e77b563"/>
    <s v="f763bb96-eac8-4550-ba92-a5771086bc5a"/>
    <d v="2025-08-11T00:00:00"/>
    <d v="1899-12-30T15:56:38"/>
    <n v="15"/>
    <n v="48"/>
    <s v="Bronze"/>
    <s v="Shanghai"/>
    <s v="BOUTIQUE-SHANGHAI"/>
    <s v="STELLAR-FOUND-03"/>
    <s v="Foundation"/>
    <n v="97.12"/>
    <x v="1"/>
    <n v="0"/>
    <s v="Tablet"/>
    <s v="228.245.66.138"/>
    <x v="0"/>
    <n v="253"/>
    <n v="-1.0728480693410112"/>
    <n v="0"/>
    <n v="0"/>
    <n v="1"/>
    <n v="1"/>
    <n v="0"/>
  </r>
  <r>
    <s v="34e34833-0535-4d26-a7d0-8279512afad6"/>
    <s v="77a1bcef-7b92-448a-a8c0-a45079117d94"/>
    <d v="2025-06-23T00:00:00"/>
    <d v="1899-12-30T22:44:39"/>
    <n v="22"/>
    <n v="21"/>
    <s v="Platinum"/>
    <s v="Geneva"/>
    <s v="POPUP-MILAN"/>
    <s v="GALAXIA-SET-08"/>
    <s v="Blush"/>
    <n v="97.04"/>
    <x v="1"/>
    <n v="0"/>
    <s v="Desktop"/>
    <s v="21.152.231.214"/>
    <x v="0"/>
    <n v="314"/>
    <n v="-1.0739556100990986"/>
    <n v="0"/>
    <n v="0"/>
    <n v="0"/>
    <n v="0"/>
    <n v="0"/>
  </r>
  <r>
    <s v="62a9774c-6507-49d8-ae64-adbc42467cad"/>
    <s v="2301b037-9b08-4a06-843f-8f7ecb28b3ee"/>
    <d v="2025-07-16T00:00:00"/>
    <d v="1899-12-30T18:16:44"/>
    <n v="18"/>
    <n v="56"/>
    <s v="Gold"/>
    <s v="London"/>
    <s v="FLAGSHIP-ROME"/>
    <s v="CELESTE-EYE-05"/>
    <s v="Eyeshadow Palette"/>
    <n v="96.97"/>
    <x v="3"/>
    <n v="0"/>
    <s v="Desktop"/>
    <s v="216.18.4.125"/>
    <x v="0"/>
    <n v="396"/>
    <n v="-1.0749247082624251"/>
    <n v="0"/>
    <n v="0"/>
    <n v="0"/>
    <n v="0"/>
    <n v="0"/>
  </r>
  <r>
    <s v="1a47402e-1f16-49e8-9ab8-57f196bc3e29"/>
    <s v="d71af965-e166-4295-9d14-0fab031158c4"/>
    <d v="2025-02-14T00:00:00"/>
    <d v="1899-12-30T09:58:39"/>
    <n v="9"/>
    <n v="54"/>
    <s v="Bronze"/>
    <s v="London"/>
    <s v="POPUP-TOKYO"/>
    <s v="ECLIPSE-EYE-10"/>
    <s v="Eyeshadow Palette"/>
    <n v="96.79"/>
    <x v="3"/>
    <n v="0"/>
    <s v="Laptop"/>
    <s v="21.47.31.217"/>
    <x v="0"/>
    <n v="278"/>
    <n v="-1.0774166749681218"/>
    <n v="0"/>
    <n v="0"/>
    <n v="0"/>
    <n v="0"/>
    <n v="0"/>
  </r>
  <r>
    <s v="cb9f0c78-c06c-4c81-8627-503750a956f2"/>
    <s v="be1f3a54-06de-4c92-8c72-574b71b25804"/>
    <d v="2025-03-06T00:00:00"/>
    <d v="1899-12-30T05:07:57"/>
    <n v="5"/>
    <n v="20"/>
    <s v="Bronze"/>
    <s v="Sydney"/>
    <s v="FLAGSHIP-ROME"/>
    <s v="NEBULA-SERUM-07"/>
    <s v="Concealer"/>
    <n v="96.72"/>
    <x v="0"/>
    <n v="0"/>
    <s v="Laptop"/>
    <s v="118.134.82.107"/>
    <x v="0"/>
    <n v="152"/>
    <n v="-1.0783857731314483"/>
    <n v="0"/>
    <n v="1"/>
    <n v="1"/>
    <n v="3"/>
    <n v="0"/>
  </r>
  <r>
    <s v="f6156cf0-6d99-4331-88ff-a8a564e797c1"/>
    <s v="62a518d2-73c8-41b7-b3c7-bc7c32e3544e"/>
    <d v="2025-06-22T00:00:00"/>
    <d v="1899-12-30T23:30:48"/>
    <n v="23"/>
    <n v="41"/>
    <s v="VIP"/>
    <s v="Paris"/>
    <s v="CONCESSION-LONDON"/>
    <s v="ECLIPSE-EYE-10"/>
    <s v="Lipstick"/>
    <n v="96.51"/>
    <x v="0"/>
    <n v="0"/>
    <s v="Desktop"/>
    <s v="176.120.207.122"/>
    <x v="0"/>
    <n v="401"/>
    <n v="-1.0812930676214276"/>
    <n v="0"/>
    <n v="0"/>
    <n v="0"/>
    <n v="0"/>
    <n v="0"/>
  </r>
  <r>
    <s v="95d6a55c-7ce8-46fc-85a0-2931210a9237"/>
    <s v="57a02a97-1ad6-40ee-a089-6280d766667d"/>
    <d v="2025-06-16T00:00:00"/>
    <d v="1899-12-30T23:58:51"/>
    <n v="23"/>
    <n v="35"/>
    <s v="Silver"/>
    <s v="Hong Kong"/>
    <s v="BOUTIQUE-SHANGHAI"/>
    <s v="SOLAR-BLUSH-04"/>
    <s v="Eyeshadow Palette"/>
    <n v="96.32"/>
    <x v="1"/>
    <n v="0"/>
    <s v="Laptop"/>
    <s v="230.24.87.162"/>
    <x v="0"/>
    <n v="460"/>
    <n v="-1.0839234769218853"/>
    <n v="0"/>
    <n v="0"/>
    <n v="0"/>
    <n v="0"/>
    <n v="0"/>
  </r>
  <r>
    <s v="426fd42f-f045-4526-a7f9-dcd23b2f991a"/>
    <s v="a5e73148-4f7a-4501-a8ed-bb97420e0864"/>
    <d v="2025-08-02T00:00:00"/>
    <d v="1899-12-30T12:43:57"/>
    <n v="12"/>
    <n v="52"/>
    <s v="Silver"/>
    <s v="Monte Carlo"/>
    <s v="BOUTIQUE-SHANGHAI"/>
    <s v="AURORA-LIP-01"/>
    <s v="Serum"/>
    <n v="96.06"/>
    <x v="0"/>
    <n v="0"/>
    <s v="Laptop"/>
    <s v="192.184.220.144"/>
    <x v="0"/>
    <n v="170"/>
    <n v="-1.0875229843856693"/>
    <n v="0"/>
    <n v="0"/>
    <n v="1"/>
    <n v="1"/>
    <n v="0"/>
  </r>
  <r>
    <s v="d330d435-ba26-4d42-9b8e-86e0652b73a7"/>
    <s v="743b9c2c-4d5f-4ca4-9371-c6dbba82b9f3"/>
    <d v="2025-03-26T00:00:00"/>
    <d v="1899-12-30T11:59:28"/>
    <n v="11"/>
    <n v="46"/>
    <s v="Platinum"/>
    <s v="Miami"/>
    <s v="POPUP-TOKYO"/>
    <s v="ORION-CONCEAL-09"/>
    <s v="Serum"/>
    <n v="95.97"/>
    <x v="1"/>
    <n v="0"/>
    <s v="Tablet"/>
    <s v="193.138.106.41"/>
    <x v="0"/>
    <n v="52"/>
    <n v="-1.0887689677385177"/>
    <n v="0"/>
    <n v="0"/>
    <n v="1"/>
    <n v="1"/>
    <n v="0"/>
  </r>
  <r>
    <s v="a6152648-9878-42f6-975f-54cfcf3d7b36"/>
    <s v="080099d5-6fe7-4a8c-ae53-362480708a4c"/>
    <d v="2025-05-22T00:00:00"/>
    <d v="1899-12-30T10:34:22"/>
    <n v="10"/>
    <n v="26"/>
    <s v="Bronze"/>
    <s v="Dubai"/>
    <s v="FLAGSHIP-PARIS"/>
    <s v="ECLIPSE-EYE-10"/>
    <s v="Eyeshadow Palette"/>
    <n v="95.93"/>
    <x v="1"/>
    <n v="0"/>
    <s v="Mobile"/>
    <s v="23.210.250.110"/>
    <x v="0"/>
    <n v="449"/>
    <n v="-1.0893227381175612"/>
    <n v="0"/>
    <n v="0"/>
    <n v="0"/>
    <n v="0"/>
    <n v="0"/>
  </r>
  <r>
    <s v="7d142f98-a122-41ba-9b86-da81b52f5869"/>
    <s v="c3727821-7385-45cd-bb9c-cc1044f45edc"/>
    <d v="2025-07-24T00:00:00"/>
    <d v="1899-12-30T11:14:38"/>
    <n v="11"/>
    <n v="32"/>
    <s v="Gold"/>
    <s v="Monte Carlo"/>
    <s v="FLAGSHIP-PARIS"/>
    <s v="NEBULA-SERUM-07"/>
    <s v="Mascara"/>
    <n v="95.89"/>
    <x v="4"/>
    <n v="0"/>
    <s v="Mobile"/>
    <s v="129.200.115.206"/>
    <x v="0"/>
    <n v="435"/>
    <n v="-1.0898765084966051"/>
    <n v="0"/>
    <n v="0"/>
    <n v="0"/>
    <n v="0"/>
    <n v="0"/>
  </r>
  <r>
    <s v="9e40610e-441c-467c-aa01-acae8c36539f"/>
    <s v="1c223a60-3351-4e82-8c90-82e9d6390a8d"/>
    <d v="2025-04-18T00:00:00"/>
    <d v="1899-12-30T15:09:29"/>
    <n v="15"/>
    <n v="43"/>
    <s v="Gold"/>
    <s v="Rome"/>
    <s v="BOUTIQUE-SHANGHAI"/>
    <s v="ORION-CONCEAL-09"/>
    <s v="Serum"/>
    <n v="95.2"/>
    <x v="3"/>
    <n v="0"/>
    <s v="Laptop"/>
    <s v="107.91.251.125"/>
    <x v="0"/>
    <n v="468"/>
    <n v="-1.0994290475351087"/>
    <n v="0"/>
    <n v="0"/>
    <n v="0"/>
    <n v="0"/>
    <n v="0"/>
  </r>
  <r>
    <s v="04c0a123-f772-454f-97eb-06fcaa3331c4"/>
    <s v="3d6a5304-35f4-4b7f-8e91-8c16867a351c"/>
    <d v="2025-05-02T00:00:00"/>
    <d v="1899-12-30T13:11:22"/>
    <n v="13"/>
    <n v="26"/>
    <s v="Bronze"/>
    <s v="Hong Kong"/>
    <s v="CONCESSION-SINGAPORE"/>
    <s v="AURORA-LIP-01"/>
    <s v="Eyeshadow Palette"/>
    <n v="95.15"/>
    <x v="3"/>
    <n v="0"/>
    <s v="Desktop"/>
    <s v="221.246.40.184"/>
    <x v="0"/>
    <n v="415"/>
    <n v="-1.1001212605089135"/>
    <n v="0"/>
    <n v="0"/>
    <n v="0"/>
    <n v="0"/>
    <n v="0"/>
  </r>
  <r>
    <s v="97a2fff9-aaa2-4404-b9af-2d88f663822f"/>
    <s v="8c731fe9-77e0-4507-ab38-a1df8c62af22"/>
    <d v="2025-04-06T00:00:00"/>
    <d v="1899-12-30T13:06:00"/>
    <n v="13"/>
    <n v="22"/>
    <s v="Bronze"/>
    <s v="Miami"/>
    <s v="POPUP-TOKYO"/>
    <s v="COSMIC-HIGHLIGHT-06"/>
    <s v="Serum"/>
    <n v="95"/>
    <x v="4"/>
    <n v="0"/>
    <s v="Desktop"/>
    <s v="92.133.182.81"/>
    <x v="0"/>
    <n v="329"/>
    <n v="-1.1021978994303274"/>
    <n v="0"/>
    <n v="0"/>
    <n v="0"/>
    <n v="0"/>
    <n v="0"/>
  </r>
  <r>
    <s v="61c6580f-ef35-4696-92cc-c37f419debf9"/>
    <s v="6a9c3d5f-ed08-44da-95d2-4de69eb9b576"/>
    <d v="2025-06-02T00:00:00"/>
    <d v="1899-12-30T16:30:35"/>
    <n v="16"/>
    <n v="18"/>
    <s v="Silver"/>
    <s v="Las Vegas"/>
    <s v="BOUTIQUE-NYC"/>
    <s v="SOLAR-BLUSH-04"/>
    <s v="Foundation"/>
    <n v="94.92"/>
    <x v="2"/>
    <n v="1"/>
    <s v="Tablet"/>
    <s v="153.141.252.221"/>
    <x v="0"/>
    <n v="63"/>
    <n v="-1.1033054401884146"/>
    <n v="0"/>
    <n v="0"/>
    <n v="1"/>
    <n v="3"/>
    <n v="0"/>
  </r>
  <r>
    <s v="54b52070-0a83-4ea0-b91b-a703715b546d"/>
    <s v="eaff30ab-d462-4668-9f21-e08e4fd301bf"/>
    <d v="2025-07-14T00:00:00"/>
    <d v="1899-12-30T17:36:23"/>
    <n v="17"/>
    <n v="44"/>
    <s v="Gold"/>
    <s v="Rome"/>
    <s v="FLAGSHIP-PARIS"/>
    <s v="AURORA-LIP-01"/>
    <s v="Eyeshadow Palette"/>
    <n v="94.78"/>
    <x v="1"/>
    <n v="0"/>
    <s v="Mobile"/>
    <s v="187.143.238.40"/>
    <x v="0"/>
    <n v="63"/>
    <n v="-1.1052436365150677"/>
    <n v="0"/>
    <n v="0"/>
    <n v="1"/>
    <n v="1"/>
    <n v="0"/>
  </r>
  <r>
    <s v="b03e5622-65a6-4440-90e6-535249ad5c84"/>
    <s v="94760811-5a2e-4c35-bbd5-297070c15a5e"/>
    <d v="2025-03-14T00:00:00"/>
    <d v="1899-12-30T02:38:38"/>
    <n v="2"/>
    <n v="47"/>
    <s v="Platinum"/>
    <s v="Monaco"/>
    <s v="POPUP-MILAN"/>
    <s v="SOLAR-BLUSH-04"/>
    <s v="Serum"/>
    <n v="94.64"/>
    <x v="2"/>
    <n v="1"/>
    <s v="Laptop"/>
    <s v="246.86.165.8"/>
    <x v="0"/>
    <n v="201"/>
    <n v="-1.1071818328417207"/>
    <n v="0"/>
    <n v="1"/>
    <n v="1"/>
    <n v="5"/>
    <n v="1"/>
  </r>
  <r>
    <s v="d6cb6c96-95f8-4f31-b87e-b383ce7542a3"/>
    <s v="98a463fb-7790-4b23-8048-e4bcc03b1e4d"/>
    <d v="2025-05-11T00:00:00"/>
    <d v="1899-12-30T22:56:00"/>
    <n v="22"/>
    <n v="50"/>
    <s v="Bronze"/>
    <s v="Cannes"/>
    <s v="FLAGSHIP-PARIS"/>
    <s v="STELLAR-FOUND-03"/>
    <s v="Eyeshadow Palette"/>
    <n v="94.62"/>
    <x v="4"/>
    <n v="0"/>
    <s v="Mobile"/>
    <s v="130.166.209.230"/>
    <x v="0"/>
    <n v="179"/>
    <n v="-1.1074587180312423"/>
    <n v="0"/>
    <n v="0"/>
    <n v="1"/>
    <n v="1"/>
    <n v="0"/>
  </r>
  <r>
    <s v="687dae4c-d4c7-43cc-910a-d5ebf7709e74"/>
    <s v="8c025070-9cc1-4b03-80e4-795256658456"/>
    <d v="2025-06-07T00:00:00"/>
    <d v="1899-12-30T04:46:01"/>
    <n v="4"/>
    <n v="50"/>
    <s v="Bronze"/>
    <s v="Las Vegas"/>
    <s v="FLAGSHIP-ROME"/>
    <s v="SOLAR-BLUSH-04"/>
    <s v="Serum"/>
    <n v="94.56"/>
    <x v="1"/>
    <n v="0"/>
    <s v="Mobile"/>
    <s v="4.178.114.47"/>
    <x v="0"/>
    <n v="68"/>
    <n v="-1.1082893735998081"/>
    <n v="0"/>
    <n v="1"/>
    <n v="1"/>
    <n v="3"/>
    <n v="0"/>
  </r>
  <r>
    <s v="b4e16d93-fd74-4529-bf33-b932d28fb659"/>
    <s v="b8b96368-129a-47ce-82ee-1e38962357e3"/>
    <d v="2025-06-03T00:00:00"/>
    <d v="1899-12-30T21:02:23"/>
    <n v="21"/>
    <n v="33"/>
    <s v="Gold"/>
    <s v="Rome"/>
    <s v="BOUTIQUE-NYC"/>
    <s v="SOLAR-BLUSH-04"/>
    <s v="Lipstick"/>
    <n v="94.2"/>
    <x v="1"/>
    <n v="0"/>
    <s v="Desktop"/>
    <s v="99.163.91.73"/>
    <x v="0"/>
    <n v="496"/>
    <n v="-1.1132733070112013"/>
    <n v="0"/>
    <n v="0"/>
    <n v="0"/>
    <n v="0"/>
    <n v="0"/>
  </r>
  <r>
    <s v="df00896b-6c1f-4e95-8c2e-bc154fbd9d73"/>
    <s v="17297bdb-0c2e-4bd9-8de3-a37d66a7760b"/>
    <d v="2025-05-12T00:00:00"/>
    <d v="1899-12-30T18:24:05"/>
    <n v="18"/>
    <n v="39"/>
    <s v="Bronze"/>
    <s v="Shanghai"/>
    <s v="POPUP-TOKYO"/>
    <s v="GALAXIA-SET-08"/>
    <s v="Setting Spray"/>
    <n v="93.95"/>
    <x v="1"/>
    <n v="0"/>
    <s v="Mobile"/>
    <s v="251.136.142.46"/>
    <x v="0"/>
    <n v="69"/>
    <n v="-1.1167343718802243"/>
    <n v="0"/>
    <n v="0"/>
    <n v="1"/>
    <n v="1"/>
    <n v="0"/>
  </r>
  <r>
    <s v="f1ddd7c7-b1b3-4bca-8c8d-f61b12b117d1"/>
    <s v="e11a6e0f-3ce3-49b0-89d2-7fca1f66f725"/>
    <d v="2025-05-04T00:00:00"/>
    <d v="1899-12-30T11:26:48"/>
    <n v="11"/>
    <n v="24"/>
    <s v="Bronze"/>
    <s v="Singapore"/>
    <s v="POPUP-MILAN"/>
    <s v="LUNAR-MASC-02"/>
    <s v="Serum"/>
    <n v="93.91"/>
    <x v="0"/>
    <n v="0"/>
    <s v="Laptop"/>
    <s v="169.173.72.124"/>
    <x v="0"/>
    <n v="355"/>
    <n v="-1.1172881422592682"/>
    <n v="0"/>
    <n v="0"/>
    <n v="0"/>
    <n v="0"/>
    <n v="0"/>
  </r>
  <r>
    <s v="a47f2436-3e34-4e69-b006-fd6e51388822"/>
    <s v="cf2240b5-7126-4d2c-bf0f-675e255f27e2"/>
    <d v="2025-03-25T00:00:00"/>
    <d v="1899-12-30T14:51:18"/>
    <n v="14"/>
    <n v="65"/>
    <s v="Gold"/>
    <s v="Zurich"/>
    <s v="BOUTIQUE-NYC"/>
    <s v="STELLAR-FOUND-03"/>
    <s v="Foundation"/>
    <n v="93.8"/>
    <x v="0"/>
    <n v="0"/>
    <s v="Tablet"/>
    <s v="52.150.200.26"/>
    <x v="0"/>
    <n v="169"/>
    <n v="-1.1188110108016383"/>
    <n v="0"/>
    <n v="0"/>
    <n v="1"/>
    <n v="1"/>
    <n v="0"/>
  </r>
  <r>
    <s v="ccc7ee07-f3ce-4d81-b547-b69d97960a2d"/>
    <s v="a14cc391-bd8d-4c5a-999a-436577e30ea1"/>
    <d v="2025-04-08T00:00:00"/>
    <d v="1899-12-30T23:37:44"/>
    <n v="23"/>
    <n v="52"/>
    <s v="Silver"/>
    <s v="Paris"/>
    <s v="POPUP-TOKYO"/>
    <s v="STELLAR-FOUND-03"/>
    <s v="Eyeliner"/>
    <n v="93.74"/>
    <x v="3"/>
    <n v="0"/>
    <s v="Mobile"/>
    <s v="26.163.72.211"/>
    <x v="0"/>
    <n v="288"/>
    <n v="-1.1196416663702038"/>
    <n v="0"/>
    <n v="0"/>
    <n v="0"/>
    <n v="0"/>
    <n v="0"/>
  </r>
  <r>
    <s v="36bdce5e-20db-4da1-b2b6-577593e69b30"/>
    <s v="5cd6e8c8-8e80-4848-9e81-678e0ca7aaf0"/>
    <d v="2025-04-03T00:00:00"/>
    <d v="1899-12-30T10:19:58"/>
    <n v="10"/>
    <n v="38"/>
    <s v="Gold"/>
    <s v="Rome"/>
    <s v="CONCESSION-LONDON"/>
    <s v="SOLAR-BLUSH-04"/>
    <s v="Lipstick"/>
    <n v="93.67"/>
    <x v="4"/>
    <n v="0"/>
    <s v="Laptop"/>
    <s v="152.172.139.34"/>
    <x v="0"/>
    <n v="303"/>
    <n v="-1.1206107645335304"/>
    <n v="0"/>
    <n v="0"/>
    <n v="0"/>
    <n v="0"/>
    <n v="0"/>
  </r>
  <r>
    <s v="a0f34453-445c-4160-9bad-eebd4d39fbe1"/>
    <s v="0176a53e-1e29-426b-b316-df04b6b3a4a9"/>
    <d v="2025-03-18T00:00:00"/>
    <d v="1899-12-30T03:10:28"/>
    <n v="3"/>
    <n v="64"/>
    <s v="Gold"/>
    <s v="Monte Carlo"/>
    <s v="FLAGSHIP-ROME"/>
    <s v="STELLAR-FOUND-03"/>
    <s v="Concealer"/>
    <n v="93.67"/>
    <x v="0"/>
    <n v="0"/>
    <s v="Mobile"/>
    <s v="83.97.106.202"/>
    <x v="0"/>
    <n v="322"/>
    <n v="-1.1206107645335304"/>
    <n v="0"/>
    <n v="1"/>
    <n v="0"/>
    <n v="2"/>
    <n v="0"/>
  </r>
  <r>
    <s v="ddbcf006-e08d-4126-ae2b-0c3ee1945c40"/>
    <s v="29d432ed-2820-4faf-929f-678682cb1cb1"/>
    <d v="2025-06-26T00:00:00"/>
    <d v="1899-12-30T04:26:53"/>
    <n v="4"/>
    <n v="50"/>
    <s v="Bronze"/>
    <s v="Sydney"/>
    <s v="FLAGSHIP-ROME"/>
    <s v="NEBULA-SERUM-07"/>
    <s v="Serum"/>
    <n v="93.53"/>
    <x v="4"/>
    <n v="0"/>
    <s v="Laptop"/>
    <s v="103.28.112.200"/>
    <x v="0"/>
    <n v="159"/>
    <n v="-1.1225489608601833"/>
    <n v="0"/>
    <n v="1"/>
    <n v="1"/>
    <n v="3"/>
    <n v="0"/>
  </r>
  <r>
    <s v="f218a888-1f6f-4f62-b528-8f1683c1c1a2"/>
    <s v="e956e786-9b66-40db-a2be-0184c7e904e0"/>
    <d v="2025-08-02T00:00:00"/>
    <d v="1899-12-30T10:53:28"/>
    <n v="10"/>
    <n v="63"/>
    <s v="Gold"/>
    <s v="Las Vegas"/>
    <s v="CONCESSION-LONDON"/>
    <s v="ORION-CONCEAL-09"/>
    <s v="Eyeshadow Palette"/>
    <n v="93.39"/>
    <x v="1"/>
    <n v="0"/>
    <s v="Tablet"/>
    <s v="125.14.73.72"/>
    <x v="0"/>
    <n v="365"/>
    <n v="-1.1244871571868362"/>
    <n v="0"/>
    <n v="0"/>
    <n v="0"/>
    <n v="0"/>
    <n v="0"/>
  </r>
  <r>
    <s v="a353dc8c-85cc-438d-ba3c-ff1023d6e14a"/>
    <s v="a8c822bb-80f3-4971-8680-ee94d73627fd"/>
    <d v="2025-06-23T00:00:00"/>
    <d v="1899-12-30T21:29:57"/>
    <n v="21"/>
    <n v="56"/>
    <s v="Gold"/>
    <s v="Milan"/>
    <s v="CONCESSION-LONDON"/>
    <s v="GALAXIA-SET-08"/>
    <s v="Eyeliner"/>
    <n v="93.35"/>
    <x v="3"/>
    <n v="0"/>
    <s v="Laptop"/>
    <s v="34.101.45.109"/>
    <x v="0"/>
    <n v="431"/>
    <n v="-1.1250409275658799"/>
    <n v="0"/>
    <n v="0"/>
    <n v="0"/>
    <n v="0"/>
    <n v="0"/>
  </r>
  <r>
    <s v="6c0b6abd-cbae-4140-9218-abcd6cc69f68"/>
    <s v="b0aceb11-01ba-41c7-b636-bdef0ec57b14"/>
    <d v="2025-03-26T00:00:00"/>
    <d v="1899-12-30T05:33:04"/>
    <n v="5"/>
    <n v="31"/>
    <s v="Gold"/>
    <s v="Paris"/>
    <s v="POPUP-MILAN"/>
    <s v="COSMIC-HIGHLIGHT-06"/>
    <s v="Setting Spray"/>
    <n v="93.3"/>
    <x v="2"/>
    <n v="1"/>
    <s v="Mobile"/>
    <s v="8.243.231.180"/>
    <x v="0"/>
    <n v="217"/>
    <n v="-1.1257331405396844"/>
    <n v="0"/>
    <n v="1"/>
    <n v="1"/>
    <n v="5"/>
    <n v="1"/>
  </r>
  <r>
    <s v="7a5b4998-fb12-4376-8cbf-9e10400e9234"/>
    <s v="95b5623b-9cf9-410d-89e7-fa9ee3a58886"/>
    <d v="2025-05-24T00:00:00"/>
    <d v="1899-12-30T11:08:47"/>
    <n v="11"/>
    <n v="33"/>
    <s v="Platinum"/>
    <s v="Zurich"/>
    <s v="FLAGSHIP-PARIS"/>
    <s v="AURORA-LIP-01"/>
    <s v="Serum"/>
    <n v="93.11"/>
    <x v="3"/>
    <n v="0"/>
    <s v="Desktop"/>
    <s v="191.140.97.70"/>
    <x v="0"/>
    <n v="145"/>
    <n v="-1.1283635498401421"/>
    <n v="0"/>
    <n v="0"/>
    <n v="1"/>
    <n v="1"/>
    <n v="0"/>
  </r>
  <r>
    <s v="29896e6c-a604-4e58-a319-d7088136c02d"/>
    <s v="04dbdc34-b4ef-494e-b3ae-0f50555b6d2b"/>
    <d v="2025-06-21T00:00:00"/>
    <d v="1899-12-30T14:11:43"/>
    <n v="14"/>
    <n v="30"/>
    <s v="Silver"/>
    <s v="Dubai"/>
    <s v="BOUTIQUE-SHANGHAI"/>
    <s v="ECLIPSE-EYE-10"/>
    <s v="Highlighter"/>
    <n v="93.08"/>
    <x v="3"/>
    <n v="0"/>
    <s v="Laptop"/>
    <s v="148.244.250.143"/>
    <x v="0"/>
    <n v="120"/>
    <n v="-1.1287788776244247"/>
    <n v="0"/>
    <n v="0"/>
    <n v="1"/>
    <n v="1"/>
    <n v="0"/>
  </r>
  <r>
    <s v="1b277e93-767e-4a27-90cc-f321a3c5b96a"/>
    <s v="0a6adf88-3d6b-439b-b530-09b34bcf2908"/>
    <d v="2025-03-02T00:00:00"/>
    <d v="1899-12-30T04:12:38"/>
    <n v="4"/>
    <n v="25"/>
    <s v="Silver"/>
    <s v="Miami"/>
    <s v="POPUP-TOKYO"/>
    <s v="ECLIPSE-EYE-10"/>
    <s v="Setting Spray"/>
    <n v="92.72"/>
    <x v="0"/>
    <n v="0"/>
    <s v="Tablet"/>
    <s v="31.70.164.109"/>
    <x v="0"/>
    <n v="136"/>
    <n v="-1.1337628110358182"/>
    <n v="0"/>
    <n v="1"/>
    <n v="1"/>
    <n v="3"/>
    <n v="0"/>
  </r>
  <r>
    <s v="15c0d66f-e21f-404d-89cf-d4cb47a3f6c1"/>
    <s v="fe56c5fa-71a8-42a7-893e-5c5fb0a5430e"/>
    <d v="2025-07-10T00:00:00"/>
    <d v="1899-12-30T04:16:23"/>
    <n v="4"/>
    <n v="58"/>
    <s v="Bronze"/>
    <s v="London"/>
    <s v="FLAGSHIP-ROME"/>
    <s v="ORION-CONCEAL-09"/>
    <s v="Serum"/>
    <n v="92.24"/>
    <x v="0"/>
    <n v="0"/>
    <s v="Tablet"/>
    <s v="124.194.7.33"/>
    <x v="0"/>
    <n v="218"/>
    <n v="-1.1404080555843426"/>
    <n v="0"/>
    <n v="1"/>
    <n v="1"/>
    <n v="3"/>
    <n v="0"/>
  </r>
  <r>
    <s v="2e5d3885-1969-4e08-a673-e49d028f48e8"/>
    <s v="9559f110-79db-406c-ab0f-08c082ad1510"/>
    <d v="2025-03-24T00:00:00"/>
    <d v="1899-12-30T20:01:49"/>
    <n v="20"/>
    <n v="25"/>
    <s v="Silver"/>
    <s v="Dubai"/>
    <s v="BOUTIQUE-SHANGHAI"/>
    <s v="SOLAR-BLUSH-04"/>
    <s v="Eyeshadow Palette"/>
    <n v="92.15"/>
    <x v="1"/>
    <n v="0"/>
    <s v="Desktop"/>
    <s v="28.38.124.82"/>
    <x v="0"/>
    <n v="455"/>
    <n v="-1.1416540389371908"/>
    <n v="0"/>
    <n v="0"/>
    <n v="0"/>
    <n v="0"/>
    <n v="0"/>
  </r>
  <r>
    <s v="580eab68-69a7-4537-ae0f-87d5f1c911fd"/>
    <s v="1f41da43-d9c9-4c67-a8b2-6f8bbbb59c89"/>
    <d v="2025-04-30T00:00:00"/>
    <d v="1899-12-30T09:13:48"/>
    <n v="9"/>
    <n v="41"/>
    <s v="Silver"/>
    <s v="Monaco"/>
    <s v="FLAGSHIP-PARIS"/>
    <s v="ORION-CONCEAL-09"/>
    <s v="Foundation"/>
    <n v="92.13"/>
    <x v="3"/>
    <n v="0"/>
    <s v="Mobile"/>
    <s v="148.10.145.9"/>
    <x v="0"/>
    <n v="90"/>
    <n v="-1.1419309241267128"/>
    <n v="0"/>
    <n v="0"/>
    <n v="1"/>
    <n v="1"/>
    <n v="0"/>
  </r>
  <r>
    <s v="54cdb22d-c13d-49ce-b583-c7601ced0f32"/>
    <s v="39a448f3-3b7f-4be7-bcd3-c079503e531e"/>
    <d v="2025-02-26T00:00:00"/>
    <d v="1899-12-30T22:21:52"/>
    <n v="22"/>
    <n v="28"/>
    <s v="Gold"/>
    <s v="Cannes"/>
    <s v="BOUTIQUE-DUBAI"/>
    <s v="SOLAR-BLUSH-04"/>
    <s v="Concealer"/>
    <n v="92.1"/>
    <x v="4"/>
    <n v="0"/>
    <s v="Mobile"/>
    <s v="81.33.65.31"/>
    <x v="0"/>
    <n v="164"/>
    <n v="-1.1423462519109955"/>
    <n v="0"/>
    <n v="0"/>
    <n v="1"/>
    <n v="1"/>
    <n v="0"/>
  </r>
  <r>
    <s v="8b13ed0c-e1e4-4cb0-9717-babd8b58c8a5"/>
    <s v="dc6dc635-47f7-404d-aa33-eba56816c6e7"/>
    <d v="2025-07-07T00:00:00"/>
    <d v="1899-12-30T02:35:34"/>
    <n v="2"/>
    <n v="55"/>
    <s v="Platinum"/>
    <s v="Paris"/>
    <s v="POPUP-MILAN"/>
    <s v="LUNAR-MASC-02"/>
    <s v="Concealer"/>
    <n v="92.05"/>
    <x v="4"/>
    <n v="0"/>
    <s v="Tablet"/>
    <s v="22.70.212.233"/>
    <x v="0"/>
    <n v="498"/>
    <n v="-1.1430384648848002"/>
    <n v="0"/>
    <n v="1"/>
    <n v="0"/>
    <n v="2"/>
    <n v="0"/>
  </r>
  <r>
    <s v="d612e3a4-c641-4880-933d-a0b5ce8cdfd9"/>
    <s v="8d341640-1c21-4c0d-af41-8b7512b4fcf9"/>
    <d v="2025-05-01T00:00:00"/>
    <d v="1899-12-30T10:23:18"/>
    <n v="10"/>
    <n v="55"/>
    <s v="Bronze"/>
    <s v="London"/>
    <s v="POPUP-MILAN"/>
    <s v="COSMIC-HIGHLIGHT-06"/>
    <s v="Foundation"/>
    <n v="92.02"/>
    <x v="4"/>
    <n v="0"/>
    <s v="Tablet"/>
    <s v="13.195.216.99"/>
    <x v="0"/>
    <n v="106"/>
    <n v="-1.1434537926690829"/>
    <n v="0"/>
    <n v="0"/>
    <n v="1"/>
    <n v="1"/>
    <n v="0"/>
  </r>
  <r>
    <s v="914a4923-3272-4ff1-ba06-c65ef3fee637"/>
    <s v="31433e10-5ceb-4646-8956-6f6c132ee255"/>
    <d v="2025-06-29T00:00:00"/>
    <d v="1899-12-30T02:25:42"/>
    <n v="2"/>
    <n v="56"/>
    <s v="Bronze"/>
    <s v="London"/>
    <s v="BOUTIQUE-SHANGHAI"/>
    <s v="ECLIPSE-EYE-10"/>
    <s v="Blush"/>
    <n v="91.98"/>
    <x v="0"/>
    <n v="0"/>
    <s v="Desktop"/>
    <s v="82.28.184.203"/>
    <x v="0"/>
    <n v="445"/>
    <n v="-1.1440075630481266"/>
    <n v="0"/>
    <n v="1"/>
    <n v="0"/>
    <n v="2"/>
    <n v="0"/>
  </r>
  <r>
    <s v="5a11a780-fd93-4e14-9060-dcf70442cc34"/>
    <s v="1f2dc6d4-c94d-4867-ad3c-8e76368695ff"/>
    <d v="2025-08-02T00:00:00"/>
    <d v="1899-12-30T14:02:59"/>
    <n v="14"/>
    <n v="24"/>
    <s v="Silver"/>
    <s v="Dubai"/>
    <s v="FLAGSHIP-LA"/>
    <s v="ORION-CONCEAL-09"/>
    <s v="Mascara"/>
    <n v="91.91"/>
    <x v="3"/>
    <n v="0"/>
    <s v="Laptop"/>
    <s v="15.175.141.189"/>
    <x v="1"/>
    <n v="229"/>
    <n v="-1.1449766612114531"/>
    <n v="0"/>
    <n v="0"/>
    <n v="1"/>
    <n v="1"/>
    <n v="0"/>
  </r>
  <r>
    <s v="210a3217-c25c-427b-8ca6-7affc6aaeac0"/>
    <s v="3706178f-00a2-4182-b8de-7a5ccc84a0ad"/>
    <d v="2025-03-27T00:00:00"/>
    <d v="1899-12-30T11:32:35"/>
    <n v="11"/>
    <n v="48"/>
    <s v="Bronze"/>
    <s v="Rome"/>
    <s v="BOUTIQUE-NYC"/>
    <s v="CELESTE-EYE-05"/>
    <s v="Foundation"/>
    <n v="91.78"/>
    <x v="1"/>
    <n v="0"/>
    <s v="Laptop"/>
    <s v="166.251.55.73"/>
    <x v="0"/>
    <n v="240"/>
    <n v="-1.146776414943345"/>
    <n v="0"/>
    <n v="0"/>
    <n v="1"/>
    <n v="1"/>
    <n v="0"/>
  </r>
  <r>
    <s v="66c4066e-d261-4c39-9108-fdd4dec315cc"/>
    <s v="2379d854-161c-49ee-92f6-981981ec722b"/>
    <d v="2025-07-01T00:00:00"/>
    <d v="1899-12-30T20:48:02"/>
    <n v="20"/>
    <n v="41"/>
    <s v="Bronze"/>
    <s v="Dubai"/>
    <s v="FLAGSHIP-LA"/>
    <s v="CELESTE-EYE-05"/>
    <s v="Mascara"/>
    <n v="91.5"/>
    <x v="4"/>
    <n v="0"/>
    <s v="Laptop"/>
    <s v="31.114.104.97"/>
    <x v="0"/>
    <n v="419"/>
    <n v="-1.1506528075966509"/>
    <n v="0"/>
    <n v="0"/>
    <n v="0"/>
    <n v="0"/>
    <n v="0"/>
  </r>
  <r>
    <s v="eed951bc-22a0-468c-a8db-67836cc6c3fa"/>
    <s v="ce63d293-d377-430c-b4dc-45eb366490e6"/>
    <d v="2025-03-09T00:00:00"/>
    <d v="1899-12-30T21:24:50"/>
    <n v="21"/>
    <n v="53"/>
    <s v="Silver"/>
    <s v="Paris"/>
    <s v="POPUP-MILAN"/>
    <s v="CELESTE-EYE-05"/>
    <s v="Highlighter"/>
    <n v="91.39"/>
    <x v="3"/>
    <n v="0"/>
    <s v="Desktop"/>
    <s v="111.68.159.199"/>
    <x v="0"/>
    <n v="210"/>
    <n v="-1.1521756761390212"/>
    <n v="0"/>
    <n v="0"/>
    <n v="1"/>
    <n v="1"/>
    <n v="0"/>
  </r>
  <r>
    <s v="3f9b97b5-b3cf-4d4c-b3be-6972276307fe"/>
    <s v="55b07097-1f67-4d96-941f-41aec7fd4e16"/>
    <d v="2025-06-05T00:00:00"/>
    <d v="1899-12-30T09:28:25"/>
    <n v="9"/>
    <n v="21"/>
    <s v="Silver"/>
    <s v="Geneva"/>
    <s v="FLAGSHIP-ROME"/>
    <s v="ORION-CONCEAL-09"/>
    <s v="Mascara"/>
    <n v="91.33"/>
    <x v="0"/>
    <n v="0"/>
    <s v="Laptop"/>
    <s v="36.73.246.82"/>
    <x v="0"/>
    <n v="328"/>
    <n v="-1.1530063317075867"/>
    <n v="0"/>
    <n v="0"/>
    <n v="0"/>
    <n v="0"/>
    <n v="0"/>
  </r>
  <r>
    <s v="939bc6da-07be-4561-9621-57524c2e199a"/>
    <s v="09c5f336-9636-4b17-8e82-72ca0c687dd9"/>
    <d v="2025-07-08T00:00:00"/>
    <d v="1899-12-30T13:41:52"/>
    <n v="13"/>
    <n v="25"/>
    <s v="VIP"/>
    <s v="Shanghai"/>
    <s v="BOUTIQUE-SHANGHAI"/>
    <s v="STELLAR-FOUND-03"/>
    <s v="Foundation"/>
    <n v="91.07"/>
    <x v="4"/>
    <n v="0"/>
    <s v="Laptop"/>
    <s v="65.186.234.6"/>
    <x v="0"/>
    <n v="315"/>
    <n v="-1.1566058391713707"/>
    <n v="0"/>
    <n v="0"/>
    <n v="0"/>
    <n v="0"/>
    <n v="0"/>
  </r>
  <r>
    <s v="f48388d5-ac94-4e49-8998-2377c611f037"/>
    <s v="8151ad1b-de62-4c58-b12d-7b3edfd6d82a"/>
    <d v="2025-02-24T00:00:00"/>
    <d v="1899-12-30T05:58:56"/>
    <n v="5"/>
    <n v="21"/>
    <s v="Gold"/>
    <s v="Tokyo"/>
    <s v="FLAGSHIP-PARIS"/>
    <s v="SOLAR-BLUSH-04"/>
    <s v="Lipstick"/>
    <n v="91.04"/>
    <x v="0"/>
    <n v="0"/>
    <s v="Mobile"/>
    <s v="122.126.142.74"/>
    <x v="0"/>
    <n v="126"/>
    <n v="-1.1570211669556534"/>
    <n v="0"/>
    <n v="1"/>
    <n v="1"/>
    <n v="3"/>
    <n v="0"/>
  </r>
  <r>
    <s v="25a634f0-74f0-4982-8c99-3c5ccbf7d7b3"/>
    <s v="d0b2c450-28ff-4880-83c7-96f588c6a26c"/>
    <d v="2025-08-04T00:00:00"/>
    <d v="1899-12-30T05:23:44"/>
    <n v="5"/>
    <n v="50"/>
    <s v="Bronze"/>
    <s v="Sydney"/>
    <s v="FLAGSHIP-LA"/>
    <s v="AURORA-LIP-01"/>
    <s v="Mascara"/>
    <n v="90.66"/>
    <x v="0"/>
    <n v="0"/>
    <s v="Tablet"/>
    <s v="163.216.225.250"/>
    <x v="1"/>
    <n v="238"/>
    <n v="-1.1622819855565687"/>
    <n v="0"/>
    <n v="1"/>
    <n v="1"/>
    <n v="3"/>
    <n v="0"/>
  </r>
  <r>
    <s v="d5f29d2d-8434-459e-b7fc-05198a0bd4a5"/>
    <s v="95b263b2-2cef-413f-8547-1cca1334134e"/>
    <d v="2025-07-12T00:00:00"/>
    <d v="1899-12-30T23:41:23"/>
    <n v="23"/>
    <n v="24"/>
    <s v="Bronze"/>
    <s v="Milan"/>
    <s v="CONCESSION-LONDON"/>
    <s v="LUNAR-MASC-02"/>
    <s v="Serum"/>
    <n v="90.57"/>
    <x v="1"/>
    <n v="0"/>
    <s v="Desktop"/>
    <s v="236.154.159.88"/>
    <x v="0"/>
    <n v="446"/>
    <n v="-1.1635279689094169"/>
    <n v="0"/>
    <n v="0"/>
    <n v="0"/>
    <n v="0"/>
    <n v="0"/>
  </r>
  <r>
    <s v="ef22a55a-c1ef-46cb-9a07-45d34ba62071"/>
    <s v="6e00258f-3149-4af8-8af2-8ccf826a46f3"/>
    <d v="2025-05-22T00:00:00"/>
    <d v="1899-12-30T06:46:57"/>
    <n v="6"/>
    <n v="58"/>
    <s v="Silver"/>
    <s v="New York"/>
    <s v="BOUTIQUE-DUBAI"/>
    <s v="AURORA-LIP-01"/>
    <s v="Lipstick"/>
    <n v="90.51"/>
    <x v="1"/>
    <n v="0"/>
    <s v="Mobile"/>
    <s v="234.93.48.201"/>
    <x v="0"/>
    <n v="471"/>
    <n v="-1.1643586244779824"/>
    <n v="0"/>
    <n v="0"/>
    <n v="0"/>
    <n v="0"/>
    <n v="0"/>
  </r>
  <r>
    <s v="f31123af-14ba-48c4-aca3-e82a4e27a724"/>
    <s v="94934bf3-a029-4ef5-9f05-d31115815e76"/>
    <d v="2025-02-16T00:00:00"/>
    <d v="1899-12-30T07:19:49"/>
    <n v="7"/>
    <n v="49"/>
    <s v="Platinum"/>
    <s v="Geneva"/>
    <s v="FLAGSHIP-PARIS"/>
    <s v="CELESTE-EYE-05"/>
    <s v="Eyeshadow Palette"/>
    <n v="90.26"/>
    <x v="4"/>
    <n v="0"/>
    <s v="Desktop"/>
    <s v="136.201.245.50"/>
    <x v="0"/>
    <n v="219"/>
    <n v="-1.1678196893470054"/>
    <n v="0"/>
    <n v="0"/>
    <n v="1"/>
    <n v="1"/>
    <n v="0"/>
  </r>
  <r>
    <s v="c9e9f62f-1d44-4253-815f-a78c0d282a13"/>
    <s v="e8a1e62d-48d1-49ed-b8e3-14f0b09178f5"/>
    <d v="2025-07-30T00:00:00"/>
    <d v="1899-12-30T07:48:31"/>
    <n v="7"/>
    <n v="35"/>
    <s v="Platinum"/>
    <s v="Shanghai"/>
    <s v="BOUTIQUE-NYC"/>
    <s v="LUNAR-MASC-02"/>
    <s v="Highlighter"/>
    <n v="90.1"/>
    <x v="1"/>
    <n v="0"/>
    <s v="Mobile"/>
    <s v="48.254.97.106"/>
    <x v="0"/>
    <n v="360"/>
    <n v="-1.1700347708631804"/>
    <n v="0"/>
    <n v="0"/>
    <n v="0"/>
    <n v="0"/>
    <n v="0"/>
  </r>
  <r>
    <s v="973adf27-f550-4570-b8c6-e4000f732363"/>
    <s v="93edf618-97c7-4c77-8000-21ae91f6299e"/>
    <d v="2025-05-22T00:00:00"/>
    <d v="1899-12-30T11:10:41"/>
    <n v="11"/>
    <n v="39"/>
    <s v="Silver"/>
    <s v="London"/>
    <s v="CONCESSION-SINGAPORE"/>
    <s v="SOLAR-BLUSH-04"/>
    <s v="Foundation"/>
    <n v="90.09"/>
    <x v="3"/>
    <n v="0"/>
    <s v="Tablet"/>
    <s v="171.247.66.88"/>
    <x v="0"/>
    <n v="63"/>
    <n v="-1.1701732134579412"/>
    <n v="0"/>
    <n v="0"/>
    <n v="1"/>
    <n v="1"/>
    <n v="0"/>
  </r>
  <r>
    <s v="35e5c592-1a0f-4632-a7f6-ee40c5b03880"/>
    <s v="36894703-4701-4c71-97db-7a9d63581682"/>
    <d v="2025-02-17T00:00:00"/>
    <d v="1899-12-30T23:21:56"/>
    <n v="23"/>
    <n v="41"/>
    <s v="VIP"/>
    <s v="Cannes"/>
    <s v="BOUTIQUE-NYC"/>
    <s v="ORION-CONCEAL-09"/>
    <s v="Serum"/>
    <n v="90.02"/>
    <x v="4"/>
    <n v="0"/>
    <s v="Laptop"/>
    <s v="171.140.200.197"/>
    <x v="0"/>
    <n v="332"/>
    <n v="-1.1711423116212678"/>
    <n v="0"/>
    <n v="0"/>
    <n v="0"/>
    <n v="0"/>
    <n v="0"/>
  </r>
  <r>
    <s v="9e4376b6-7438-40c4-9a19-5467e83c6556"/>
    <s v="522e652c-c124-4f64-b5d9-b6d14d4c8b6a"/>
    <d v="2025-06-12T00:00:00"/>
    <d v="1899-12-30T18:50:19"/>
    <n v="18"/>
    <n v="25"/>
    <s v="Gold"/>
    <s v="Los Angeles"/>
    <s v="BOUTIQUE-DUBAI"/>
    <s v="STELLAR-FOUND-03"/>
    <s v="Mascara"/>
    <n v="89.99"/>
    <x v="1"/>
    <n v="0"/>
    <s v="Desktop"/>
    <s v="148.20.46.147"/>
    <x v="0"/>
    <n v="138"/>
    <n v="-1.1715576394055507"/>
    <n v="0"/>
    <n v="0"/>
    <n v="1"/>
    <n v="1"/>
    <n v="0"/>
  </r>
  <r>
    <s v="59000183-25b7-47ab-be72-d46eac177316"/>
    <s v="dd93eef1-66b1-42ac-8b4e-dca4e6552015"/>
    <d v="2025-05-08T00:00:00"/>
    <d v="1899-12-30T22:53:28"/>
    <n v="22"/>
    <n v="46"/>
    <s v="Gold"/>
    <s v="Monte Carlo"/>
    <s v="FLAGSHIP-PARIS"/>
    <s v="CELESTE-EYE-05"/>
    <s v="Serum"/>
    <n v="89.69"/>
    <x v="0"/>
    <n v="0"/>
    <s v="Desktop"/>
    <s v="214.67.70.235"/>
    <x v="1"/>
    <n v="226"/>
    <n v="-1.1757109172483782"/>
    <n v="0"/>
    <n v="0"/>
    <n v="1"/>
    <n v="1"/>
    <n v="0"/>
  </r>
  <r>
    <s v="1f585dd0-a643-40af-bc66-320a3a13e8e0"/>
    <s v="39a44f0b-4f88-4752-adb0-ddceb289b326"/>
    <d v="2025-06-10T00:00:00"/>
    <d v="1899-12-30T23:43:59"/>
    <n v="23"/>
    <n v="61"/>
    <s v="Bronze"/>
    <s v="Singapore"/>
    <s v="FLAGSHIP-PARIS"/>
    <s v="AURORA-LIP-01"/>
    <s v="Lipstick"/>
    <n v="89.46"/>
    <x v="1"/>
    <n v="0"/>
    <s v="Tablet"/>
    <s v="228.209.31.165"/>
    <x v="0"/>
    <n v="85"/>
    <n v="-1.1788950969278795"/>
    <n v="0"/>
    <n v="0"/>
    <n v="1"/>
    <n v="1"/>
    <n v="0"/>
  </r>
  <r>
    <s v="2d5369d1-90c1-4f25-9172-31241f47d52b"/>
    <s v="6662afa3-a529-492d-a00c-6d57e50d4052"/>
    <d v="2025-04-25T00:00:00"/>
    <d v="1899-12-30T15:36:56"/>
    <n v="15"/>
    <n v="31"/>
    <s v="Silver"/>
    <s v="Dubai"/>
    <s v="CONCESSION-LONDON"/>
    <s v="NEBULA-SERUM-07"/>
    <s v="Mascara"/>
    <n v="89.4"/>
    <x v="3"/>
    <n v="0"/>
    <s v="Mobile"/>
    <s v="117.42.130.217"/>
    <x v="0"/>
    <n v="491"/>
    <n v="-1.1797257524964451"/>
    <n v="0"/>
    <n v="0"/>
    <n v="0"/>
    <n v="0"/>
    <n v="0"/>
  </r>
  <r>
    <s v="2b5059c4-a693-4834-b133-3ac1e573adbe"/>
    <s v="0999caad-c56e-4067-aaec-dbc193472e16"/>
    <d v="2025-08-12T00:00:00"/>
    <d v="1899-12-30T07:43:44"/>
    <n v="7"/>
    <n v="41"/>
    <s v="VIP"/>
    <s v="Cannes"/>
    <s v="POPUP-TOKYO"/>
    <s v="LUNAR-MASC-02"/>
    <s v="Eyeliner"/>
    <n v="89.09"/>
    <x v="0"/>
    <n v="0"/>
    <s v="Tablet"/>
    <s v="164.178.247.92"/>
    <x v="0"/>
    <n v="483"/>
    <n v="-1.1840174729340336"/>
    <n v="0"/>
    <n v="0"/>
    <n v="0"/>
    <n v="0"/>
    <n v="0"/>
  </r>
  <r>
    <s v="c484c4fd-b32a-4416-878f-7e0dbc418ebd"/>
    <s v="f8c8f3e3-7656-4d5f-bfa3-01f66070f18d"/>
    <d v="2025-03-06T00:00:00"/>
    <d v="1899-12-30T18:11:34"/>
    <n v="18"/>
    <n v="19"/>
    <s v="Bronze"/>
    <s v="London"/>
    <s v="FLAGSHIP-LA"/>
    <s v="CELESTE-EYE-05"/>
    <s v="Foundation"/>
    <n v="89.06"/>
    <x v="3"/>
    <n v="0"/>
    <s v="Laptop"/>
    <s v="6.94.131.40"/>
    <x v="0"/>
    <n v="146"/>
    <n v="-1.1844328007183165"/>
    <n v="0"/>
    <n v="0"/>
    <n v="1"/>
    <n v="1"/>
    <n v="0"/>
  </r>
  <r>
    <s v="cd136549-5dfd-4de1-b299-9756bbfa7ab4"/>
    <s v="bd5dcae5-58a1-46b4-881e-f6bc8b89a4b3"/>
    <d v="2025-03-26T00:00:00"/>
    <d v="1899-12-30T22:56:36"/>
    <n v="22"/>
    <n v="43"/>
    <s v="Unknown"/>
    <s v="Rome"/>
    <s v="FLAGSHIP-LA"/>
    <s v="GALAXIA-SET-08"/>
    <s v="Highlighter"/>
    <n v="88.98"/>
    <x v="4"/>
    <n v="0"/>
    <s v="Tablet"/>
    <s v="189.131.37.48"/>
    <x v="0"/>
    <n v="274"/>
    <n v="-1.1855403414764039"/>
    <n v="0"/>
    <n v="0"/>
    <n v="0"/>
    <n v="0"/>
    <n v="0"/>
  </r>
  <r>
    <s v="8c515561-6219-4747-aa62-4f5bdc65973b"/>
    <s v="b5322aba-080d-43c5-b6eb-c960411979f6"/>
    <d v="2025-04-28T00:00:00"/>
    <d v="1899-12-30T20:38:04"/>
    <n v="20"/>
    <n v="53"/>
    <s v="Bronze"/>
    <s v="Milan"/>
    <s v="FLAGSHIP-ROME"/>
    <s v="ECLIPSE-EYE-10"/>
    <s v="Highlighter"/>
    <n v="88.98"/>
    <x v="0"/>
    <n v="0"/>
    <s v="Mobile"/>
    <s v="185.89.173.125"/>
    <x v="0"/>
    <n v="190"/>
    <n v="-1.1855403414764039"/>
    <n v="0"/>
    <n v="0"/>
    <n v="1"/>
    <n v="1"/>
    <n v="0"/>
  </r>
  <r>
    <s v="eee6ef6a-d7e5-4293-90a8-fcf43a3eab4b"/>
    <s v="6e8f9ee8-26b7-430c-80e7-d0ebd0d6f2dc"/>
    <d v="2025-04-02T00:00:00"/>
    <d v="1899-12-30T19:54:20"/>
    <n v="19"/>
    <n v="50"/>
    <s v="Gold"/>
    <s v="Rome"/>
    <s v="BOUTIQUE-SHANGHAI"/>
    <s v="CELESTE-EYE-05"/>
    <s v="Concealer"/>
    <n v="88.79"/>
    <x v="0"/>
    <n v="0"/>
    <s v="Mobile"/>
    <s v="146.208.73.161"/>
    <x v="0"/>
    <n v="401"/>
    <n v="-1.1881707507768613"/>
    <n v="0"/>
    <n v="0"/>
    <n v="0"/>
    <n v="0"/>
    <n v="0"/>
  </r>
  <r>
    <s v="ed49bd0f-ab2d-4e49-84d8-a7b0ae746f00"/>
    <s v="485f7e6a-4573-468c-8b01-2dd53a59ec06"/>
    <d v="2025-03-23T00:00:00"/>
    <d v="1899-12-30T13:08:16"/>
    <n v="13"/>
    <n v="18"/>
    <s v="Gold"/>
    <s v="Los Angeles"/>
    <s v="POPUP-MILAN"/>
    <s v="CELESTE-EYE-05"/>
    <s v="Mascara"/>
    <n v="88.64"/>
    <x v="3"/>
    <n v="0"/>
    <s v="Mobile"/>
    <s v="162.89.75.25"/>
    <x v="0"/>
    <n v="322"/>
    <n v="-1.1902473896982753"/>
    <n v="0"/>
    <n v="0"/>
    <n v="0"/>
    <n v="0"/>
    <n v="0"/>
  </r>
  <r>
    <s v="1431d07f-fd4d-4fde-b6c6-e1098d38097e"/>
    <s v="6a3962f3-5444-4091-9e3a-ff4906a2a564"/>
    <d v="2025-06-14T00:00:00"/>
    <d v="1899-12-30T05:36:48"/>
    <n v="5"/>
    <n v="55"/>
    <s v="VIP"/>
    <s v="Sydney"/>
    <s v="FLAGSHIP-ROME"/>
    <s v="COSMIC-HIGHLIGHT-06"/>
    <s v="Highlighter"/>
    <n v="88.6"/>
    <x v="1"/>
    <n v="0"/>
    <s v="Laptop"/>
    <s v="110.197.75.180"/>
    <x v="0"/>
    <n v="156"/>
    <n v="-1.1908011600773192"/>
    <n v="0"/>
    <n v="1"/>
    <n v="1"/>
    <n v="3"/>
    <n v="0"/>
  </r>
  <r>
    <s v="1e111286-5f4b-4725-bafe-09389a557786"/>
    <s v="de58cee1-f609-49d9-8ce1-5f24e2a0c5f6"/>
    <d v="2025-06-03T00:00:00"/>
    <d v="1899-12-30T20:27:20"/>
    <n v="20"/>
    <n v="30"/>
    <s v="Gold"/>
    <s v="Rome"/>
    <s v="FLAGSHIP-LA"/>
    <s v="STELLAR-FOUND-03"/>
    <s v="Concealer"/>
    <n v="88.57"/>
    <x v="4"/>
    <n v="0"/>
    <s v="Mobile"/>
    <s v="82.65.196.232"/>
    <x v="0"/>
    <n v="317"/>
    <n v="-1.1912164878616018"/>
    <n v="0"/>
    <n v="0"/>
    <n v="0"/>
    <n v="0"/>
    <n v="0"/>
  </r>
  <r>
    <s v="51175e91-b199-4b3e-9810-99b533492d2e"/>
    <s v="2d3c1dd3-6844-44f0-ae89-42e7b147b31d"/>
    <d v="2025-03-21T00:00:00"/>
    <d v="1899-12-30T18:08:33"/>
    <n v="18"/>
    <n v="56"/>
    <s v="Gold"/>
    <s v="Sydney"/>
    <s v="FLAGSHIP-ROME"/>
    <s v="STELLAR-FOUND-03"/>
    <s v="Serum"/>
    <n v="88.5"/>
    <x v="1"/>
    <n v="0"/>
    <s v="Mobile"/>
    <s v="170.76.231.149"/>
    <x v="0"/>
    <n v="166"/>
    <n v="-1.1921855860249282"/>
    <n v="0"/>
    <n v="0"/>
    <n v="1"/>
    <n v="1"/>
    <n v="0"/>
  </r>
  <r>
    <s v="8f4a30f4-b845-424c-b7bc-e716a854b0a1"/>
    <s v="425cd08a-a749-4093-a3f9-61aa670021f0"/>
    <d v="2025-07-10T00:00:00"/>
    <d v="1899-12-30T22:38:59"/>
    <n v="22"/>
    <n v="38"/>
    <s v="Silver"/>
    <s v="Los Angeles"/>
    <s v="POPUP-TOKYO"/>
    <s v="CELESTE-EYE-05"/>
    <s v="Eyeliner"/>
    <n v="88.42"/>
    <x v="0"/>
    <n v="0"/>
    <s v="Mobile"/>
    <s v="253.202.110.231"/>
    <x v="0"/>
    <n v="281"/>
    <n v="-1.1932931267830156"/>
    <n v="0"/>
    <n v="0"/>
    <n v="0"/>
    <n v="0"/>
    <n v="0"/>
  </r>
  <r>
    <s v="b057945d-9823-4236-8c2b-2c484f50538b"/>
    <s v="919954b4-b43b-4081-b034-d94a2b434c28"/>
    <d v="2025-04-11T00:00:00"/>
    <d v="1899-12-30T12:48:21"/>
    <n v="12"/>
    <n v="45"/>
    <s v="Silver"/>
    <s v="Cannes"/>
    <s v="BOUTIQUE-NYC"/>
    <s v="ECLIPSE-EYE-10"/>
    <s v="Foundation"/>
    <n v="88.4"/>
    <x v="1"/>
    <n v="0"/>
    <s v="Desktop"/>
    <s v="61.107.24.9"/>
    <x v="0"/>
    <n v="356"/>
    <n v="-1.1935700119725374"/>
    <n v="0"/>
    <n v="0"/>
    <n v="0"/>
    <n v="0"/>
    <n v="0"/>
  </r>
  <r>
    <s v="2a5bdc58-bd67-4cd0-9ecb-717cc04cd356"/>
    <s v="a99cd13a-462c-4e5d-b85d-44ca68452685"/>
    <d v="2025-03-19T00:00:00"/>
    <d v="1899-12-30T12:55:43"/>
    <n v="12"/>
    <n v="30"/>
    <s v="Bronze"/>
    <s v="New York"/>
    <s v="POPUP-MILAN"/>
    <s v="CELESTE-EYE-05"/>
    <s v="Foundation"/>
    <n v="87.84"/>
    <x v="4"/>
    <n v="0"/>
    <s v="Desktop"/>
    <s v="34.138.43.39"/>
    <x v="0"/>
    <n v="124"/>
    <n v="-1.2013227972791491"/>
    <n v="0"/>
    <n v="0"/>
    <n v="1"/>
    <n v="1"/>
    <n v="0"/>
  </r>
  <r>
    <s v="21c926d3-e551-4e72-9a0e-95646c0f3295"/>
    <s v="fa395f52-b87d-4fff-a987-71d58ba817aa"/>
    <d v="2025-05-26T00:00:00"/>
    <d v="1899-12-30T10:27:10"/>
    <n v="10"/>
    <n v="51"/>
    <s v="VIP"/>
    <s v="Monte Carlo"/>
    <s v="CONCESSION-SINGAPORE"/>
    <s v="COSMIC-HIGHLIGHT-06"/>
    <s v="Eyeliner"/>
    <n v="87.81"/>
    <x v="3"/>
    <n v="0"/>
    <s v="Mobile"/>
    <s v="211.224.63.221"/>
    <x v="0"/>
    <n v="368"/>
    <n v="-1.201738125063432"/>
    <n v="0"/>
    <n v="0"/>
    <n v="0"/>
    <n v="0"/>
    <n v="0"/>
  </r>
  <r>
    <s v="38414850-a235-4fd7-9a78-1c2eac9bdeca"/>
    <s v="f03c1c8a-12aa-453f-a3a9-a139ff70d2e4"/>
    <d v="2025-06-15T00:00:00"/>
    <d v="1899-12-30T19:38:30"/>
    <n v="19"/>
    <n v="42"/>
    <s v="Gold"/>
    <s v="New York"/>
    <s v="POPUP-MILAN"/>
    <s v="GALAXIA-SET-08"/>
    <s v="Foundation"/>
    <n v="87.77"/>
    <x v="0"/>
    <n v="0"/>
    <s v="Tablet"/>
    <s v="2.191.114.145"/>
    <x v="0"/>
    <n v="383"/>
    <n v="-1.2022918954424757"/>
    <n v="0"/>
    <n v="0"/>
    <n v="0"/>
    <n v="0"/>
    <n v="0"/>
  </r>
  <r>
    <s v="24ef8358-65cc-4e28-a130-9e09141e9625"/>
    <s v="17e81e30-2935-48ea-aa87-064e60e00d7b"/>
    <d v="2025-03-11T00:00:00"/>
    <d v="1899-12-30T14:29:16"/>
    <n v="14"/>
    <n v="41"/>
    <s v="Gold"/>
    <s v="Geneva"/>
    <s v="POPUP-TOKYO"/>
    <s v="COSMIC-HIGHLIGHT-06"/>
    <s v="Blush"/>
    <n v="87.09"/>
    <x v="4"/>
    <n v="0"/>
    <s v="Laptop"/>
    <s v="248.87.216.0"/>
    <x v="0"/>
    <n v="408"/>
    <n v="-1.2117059918862185"/>
    <n v="0"/>
    <n v="0"/>
    <n v="0"/>
    <n v="0"/>
    <n v="0"/>
  </r>
  <r>
    <s v="c29e1190-a155-4d1a-9ebf-d344df17ca97"/>
    <s v="6b311158-4b35-43f5-9564-ead149834043"/>
    <d v="2025-03-17T00:00:00"/>
    <d v="1899-12-30T22:50:02"/>
    <n v="22"/>
    <n v="25"/>
    <s v="Gold"/>
    <s v="Miami"/>
    <s v="FLAGSHIP-PARIS"/>
    <s v="LUNAR-MASC-02"/>
    <s v="Blush"/>
    <n v="87.03"/>
    <x v="3"/>
    <n v="0"/>
    <s v="Laptop"/>
    <s v="96.81.51.84"/>
    <x v="0"/>
    <n v="274"/>
    <n v="-1.2125366474547841"/>
    <n v="0"/>
    <n v="0"/>
    <n v="0"/>
    <n v="0"/>
    <n v="0"/>
  </r>
  <r>
    <s v="4d5d8ce3-fd55-43ce-87d4-aab6597e5c63"/>
    <s v="c970fca4-bc34-4749-9370-09ffc862091b"/>
    <d v="2025-03-20T00:00:00"/>
    <d v="1899-12-30T11:12:18"/>
    <n v="11"/>
    <n v="43"/>
    <s v="Gold"/>
    <s v="Dubai"/>
    <s v="FLAGSHIP-ROME"/>
    <s v="CELESTE-EYE-05"/>
    <s v="Eyeliner"/>
    <n v="86.84"/>
    <x v="1"/>
    <n v="0"/>
    <s v="Laptop"/>
    <s v="234.251.235.236"/>
    <x v="0"/>
    <n v="436"/>
    <n v="-1.2151670567552417"/>
    <n v="0"/>
    <n v="0"/>
    <n v="0"/>
    <n v="0"/>
    <n v="0"/>
  </r>
  <r>
    <s v="1ef1c412-e82b-494b-b0e7-636500d16dd3"/>
    <s v="2c3b8f17-217f-430c-9041-f09b8403ca31"/>
    <d v="2025-04-16T00:00:00"/>
    <d v="1899-12-30T23:56:21"/>
    <n v="23"/>
    <n v="33"/>
    <s v="Bronze"/>
    <s v="Shanghai"/>
    <s v="POPUP-MILAN"/>
    <s v="GALAXIA-SET-08"/>
    <s v="Serum"/>
    <n v="86.84"/>
    <x v="3"/>
    <n v="0"/>
    <s v="Laptop"/>
    <s v="29.45.174.96"/>
    <x v="0"/>
    <n v="57"/>
    <n v="-1.2151670567552417"/>
    <n v="0"/>
    <n v="0"/>
    <n v="1"/>
    <n v="1"/>
    <n v="0"/>
  </r>
  <r>
    <s v="1300223c-65a7-4e45-958e-503bd4dd05e5"/>
    <s v="d4880358-4d8e-401f-8722-63d706e57ead"/>
    <d v="2025-05-27T00:00:00"/>
    <d v="1899-12-30T14:58:03"/>
    <n v="14"/>
    <n v="52"/>
    <s v="Bronze"/>
    <s v="Shanghai"/>
    <s v="POPUP-MILAN"/>
    <s v="COSMIC-HIGHLIGHT-06"/>
    <s v="Lipstick"/>
    <n v="86.33"/>
    <x v="0"/>
    <n v="0"/>
    <s v="Tablet"/>
    <s v="25.219.176.182"/>
    <x v="0"/>
    <n v="379"/>
    <n v="-1.2222276290880489"/>
    <n v="0"/>
    <n v="0"/>
    <n v="0"/>
    <n v="0"/>
    <n v="0"/>
  </r>
  <r>
    <s v="1bf7a9c3-359f-485c-a890-44dbfa37b93e"/>
    <s v="241dd6a7-5abd-4589-a8ce-6d318ef75b00"/>
    <d v="2025-05-24T00:00:00"/>
    <d v="1899-12-30T02:59:28"/>
    <n v="2"/>
    <n v="35"/>
    <s v="Bronze"/>
    <s v="Los Angeles"/>
    <s v="POPUP-MILAN"/>
    <s v="LUNAR-MASC-02"/>
    <s v="Serum"/>
    <n v="86.28"/>
    <x v="4"/>
    <n v="0"/>
    <s v="Mobile"/>
    <s v="10.235.216.215"/>
    <x v="0"/>
    <n v="357"/>
    <n v="-1.2229198420618534"/>
    <n v="0"/>
    <n v="1"/>
    <n v="0"/>
    <n v="2"/>
    <n v="0"/>
  </r>
  <r>
    <s v="e5148f55-0afc-4e26-99d0-cd34013297e3"/>
    <s v="0b80ae33-ae60-4465-94e9-d8373b8a9fe6"/>
    <d v="2025-07-24T00:00:00"/>
    <d v="1899-12-30T23:32:19"/>
    <n v="23"/>
    <n v="64"/>
    <s v="VIP"/>
    <s v="San Francisco"/>
    <s v="BOUTIQUE-SHANGHAI"/>
    <s v="ECLIPSE-EYE-10"/>
    <s v="Foundation"/>
    <n v="86.27"/>
    <x v="1"/>
    <n v="0"/>
    <s v="Mobile"/>
    <s v="182.150.239.253"/>
    <x v="0"/>
    <n v="365"/>
    <n v="-1.2230582846566145"/>
    <n v="0"/>
    <n v="0"/>
    <n v="0"/>
    <n v="0"/>
    <n v="0"/>
  </r>
  <r>
    <s v="52b37161-d601-4635-ae3c-ba3a11d1d23e"/>
    <s v="76d93b6d-c64d-482f-9011-24e6951ccf4c"/>
    <d v="2025-07-18T00:00:00"/>
    <d v="1899-12-30T21:54:20"/>
    <n v="21"/>
    <n v="61"/>
    <s v="Unknown"/>
    <s v="Dubai"/>
    <s v="CONCESSION-SINGAPORE"/>
    <s v="AURORA-LIP-01"/>
    <s v="Eyeshadow Palette"/>
    <n v="86.21"/>
    <x v="4"/>
    <n v="0"/>
    <s v="Laptop"/>
    <s v="3.36.8.73"/>
    <x v="0"/>
    <n v="386"/>
    <n v="-1.22388894022518"/>
    <n v="0"/>
    <n v="0"/>
    <n v="0"/>
    <n v="0"/>
    <n v="0"/>
  </r>
  <r>
    <s v="2e64c346-36bc-4acf-bc2b-8b0fdf46abc5"/>
    <s v="299df086-26c4-4708-b6d7-fcaeceb14637"/>
    <d v="2025-03-14T00:00:00"/>
    <d v="1899-12-30T20:23:23"/>
    <n v="20"/>
    <n v="46"/>
    <s v="Platinum"/>
    <s v="Zurich"/>
    <s v="BOUTIQUE-SHANGHAI"/>
    <s v="STELLAR-FOUND-03"/>
    <s v="Lipstick"/>
    <n v="86.03"/>
    <x v="4"/>
    <n v="0"/>
    <s v="Tablet"/>
    <s v="84.49.227.90"/>
    <x v="0"/>
    <n v="406"/>
    <n v="-1.2263809069308766"/>
    <n v="0"/>
    <n v="0"/>
    <n v="0"/>
    <n v="0"/>
    <n v="0"/>
  </r>
  <r>
    <s v="83fe7f3a-3de1-4172-99f2-53b5aa055e78"/>
    <s v="aaceb042-308f-45a8-9f74-adfc28dd194f"/>
    <d v="2025-07-10T00:00:00"/>
    <d v="1899-12-30T02:34:03"/>
    <n v="2"/>
    <n v="36"/>
    <s v="Bronze"/>
    <s v="Zurich"/>
    <s v="BOUTIQUE-SHANGHAI"/>
    <s v="ORION-CONCEAL-09"/>
    <s v="Serum"/>
    <n v="85.77"/>
    <x v="4"/>
    <n v="0"/>
    <s v="Tablet"/>
    <s v="51.55.16.30"/>
    <x v="0"/>
    <n v="356"/>
    <n v="-1.2299804143946607"/>
    <n v="0"/>
    <n v="1"/>
    <n v="0"/>
    <n v="2"/>
    <n v="0"/>
  </r>
  <r>
    <s v="5e8d66ac-acf0-44a7-93d5-9b59b33748f2"/>
    <s v="4cf8851c-6b0b-4510-b5c1-cf91b28d70cf"/>
    <d v="2025-02-20T00:00:00"/>
    <d v="1899-12-30T19:04:30"/>
    <n v="19"/>
    <n v="30"/>
    <s v="Gold"/>
    <s v="Monte Carlo"/>
    <s v="FLAGSHIP-LA"/>
    <s v="ECLIPSE-EYE-10"/>
    <s v="Setting Spray"/>
    <n v="85.65"/>
    <x v="3"/>
    <n v="0"/>
    <s v="Desktop"/>
    <s v="187.6.51.193"/>
    <x v="0"/>
    <n v="157"/>
    <n v="-1.2316417255317917"/>
    <n v="0"/>
    <n v="0"/>
    <n v="1"/>
    <n v="1"/>
    <n v="0"/>
  </r>
  <r>
    <s v="8abc301c-5fc2-4c67-b331-7efdb2f4e21d"/>
    <s v="71a4ca01-a6e3-44c6-aca2-5fe64e98f2ea"/>
    <d v="2025-05-05T00:00:00"/>
    <d v="1899-12-30T02:18:52"/>
    <n v="2"/>
    <n v="62"/>
    <s v="Bronze"/>
    <s v="Zurich"/>
    <s v="BOUTIQUE-SHANGHAI"/>
    <s v="GALAXIA-SET-08"/>
    <s v="Serum"/>
    <n v="85.64"/>
    <x v="1"/>
    <n v="0"/>
    <s v="Tablet"/>
    <s v="95.5.61.59"/>
    <x v="0"/>
    <n v="99"/>
    <n v="-1.2317801681265528"/>
    <n v="0"/>
    <n v="1"/>
    <n v="1"/>
    <n v="3"/>
    <n v="0"/>
  </r>
  <r>
    <s v="eab81f2f-b919-49e3-a063-e8103f40e7d2"/>
    <s v="1d2db436-1f49-43c7-a331-a07a1d9fe6ae"/>
    <d v="2025-05-21T00:00:00"/>
    <d v="1899-12-30T16:41:10"/>
    <n v="16"/>
    <n v="24"/>
    <s v="Bronze"/>
    <s v="New York"/>
    <s v="CONCESSION-LONDON"/>
    <s v="ORION-CONCEAL-09"/>
    <s v="Lipstick"/>
    <n v="85.29"/>
    <x v="3"/>
    <n v="0"/>
    <s v="Desktop"/>
    <s v="122.134.74.222"/>
    <x v="0"/>
    <n v="204"/>
    <n v="-1.236625658943185"/>
    <n v="0"/>
    <n v="0"/>
    <n v="1"/>
    <n v="1"/>
    <n v="0"/>
  </r>
  <r>
    <s v="be8cecdf-479d-446f-98cc-e50aef9095c3"/>
    <s v="c887c240-91f5-4cf4-8386-306fbc1e06dc"/>
    <d v="2025-03-29T00:00:00"/>
    <d v="1899-12-30T08:55:41"/>
    <n v="8"/>
    <n v="42"/>
    <s v="Gold"/>
    <s v="New York"/>
    <s v="BOUTIQUE-NYC"/>
    <s v="STELLAR-FOUND-03"/>
    <s v="Mascara"/>
    <n v="85.15"/>
    <x v="3"/>
    <n v="0"/>
    <s v="Tablet"/>
    <s v="1.30.246.139"/>
    <x v="0"/>
    <n v="393"/>
    <n v="-1.2385638552698379"/>
    <n v="0"/>
    <n v="0"/>
    <n v="0"/>
    <n v="0"/>
    <n v="0"/>
  </r>
  <r>
    <s v="74f4ff32-32b0-4e0e-824b-74af9fc2dad4"/>
    <s v="6a71b0b5-da4f-4216-b608-a1afe7689b73"/>
    <d v="2025-05-04T00:00:00"/>
    <d v="1899-12-30T12:35:32"/>
    <n v="12"/>
    <n v="34"/>
    <s v="Silver"/>
    <s v="Monte Carlo"/>
    <s v="BOUTIQUE-SHANGHAI"/>
    <s v="ECLIPSE-EYE-10"/>
    <s v="Foundation"/>
    <n v="85.12"/>
    <x v="3"/>
    <n v="0"/>
    <s v="Mobile"/>
    <s v="141.178.34.22"/>
    <x v="0"/>
    <n v="460"/>
    <n v="-1.2389791830541208"/>
    <n v="0"/>
    <n v="0"/>
    <n v="0"/>
    <n v="0"/>
    <n v="0"/>
  </r>
  <r>
    <s v="42c5df96-bbbf-401a-94ff-4a3f69f0ccc0"/>
    <s v="72af4a40-970f-48d6-96d8-78b6889db3d0"/>
    <d v="2025-07-08T00:00:00"/>
    <d v="1899-12-30T19:38:43"/>
    <n v="19"/>
    <n v="42"/>
    <s v="Platinum"/>
    <s v="Geneva"/>
    <s v="POPUP-MILAN"/>
    <s v="AURORA-LIP-01"/>
    <s v="Highlighter"/>
    <n v="84.76"/>
    <x v="1"/>
    <n v="0"/>
    <s v="Laptop"/>
    <s v="156.229.86.115"/>
    <x v="0"/>
    <n v="415"/>
    <n v="-1.2439631164655141"/>
    <n v="0"/>
    <n v="0"/>
    <n v="0"/>
    <n v="0"/>
    <n v="0"/>
  </r>
  <r>
    <s v="003eb7b3-0fb8-4a7e-adb7-338394c3be75"/>
    <s v="1271ec03-142c-4872-8cfd-04a92e571c99"/>
    <d v="2025-04-25T00:00:00"/>
    <d v="1899-12-30T17:26:16"/>
    <n v="17"/>
    <n v="57"/>
    <s v="Gold"/>
    <s v="Milan"/>
    <s v="FLAGSHIP-LA"/>
    <s v="SOLAR-BLUSH-04"/>
    <s v="Serum"/>
    <n v="84.61"/>
    <x v="1"/>
    <n v="0"/>
    <s v="Laptop"/>
    <s v="142.116.31.132"/>
    <x v="0"/>
    <n v="254"/>
    <n v="-1.246039755386928"/>
    <n v="0"/>
    <n v="0"/>
    <n v="1"/>
    <n v="1"/>
    <n v="0"/>
  </r>
  <r>
    <s v="50d0df8f-d432-40bf-9dbd-36a4b7cf3a9b"/>
    <s v="1bf7abed-68ad-419e-908b-f953756dbc06"/>
    <d v="2025-05-27T00:00:00"/>
    <d v="1899-12-30T06:31:47"/>
    <n v="6"/>
    <n v="56"/>
    <s v="Bronze"/>
    <s v="San Francisco"/>
    <s v="POPUP-MILAN"/>
    <s v="ECLIPSE-EYE-10"/>
    <s v="Highlighter"/>
    <n v="84.3"/>
    <x v="2"/>
    <n v="1"/>
    <s v="Laptop"/>
    <s v="67.162.210.200"/>
    <x v="0"/>
    <n v="116"/>
    <n v="-1.2503314758245165"/>
    <n v="0"/>
    <n v="0"/>
    <n v="1"/>
    <n v="3"/>
    <n v="0"/>
  </r>
  <r>
    <s v="cc5ba302-3f8f-4f15-81e7-5dd5c7a4d8b2"/>
    <s v="ea23b3c8-d30d-4ed9-84cf-019bbfbb94ef"/>
    <d v="2025-06-20T00:00:00"/>
    <d v="1899-12-30T06:10:58"/>
    <n v="6"/>
    <n v="47"/>
    <s v="Silver"/>
    <s v="Rome"/>
    <s v="FLAGSHIP-ROME"/>
    <s v="NEBULA-SERUM-07"/>
    <s v="Blush"/>
    <n v="84.16"/>
    <x v="4"/>
    <n v="0"/>
    <s v="Tablet"/>
    <s v="61.185.1.104"/>
    <x v="0"/>
    <n v="456"/>
    <n v="-1.2522696721511695"/>
    <n v="0"/>
    <n v="0"/>
    <n v="0"/>
    <n v="0"/>
    <n v="0"/>
  </r>
  <r>
    <s v="c313fb34-2d9b-4b00-8947-4abcbec12119"/>
    <s v="e097cf0e-5317-489a-b056-1c8f21ad1974"/>
    <d v="2025-06-02T00:00:00"/>
    <d v="1899-12-30T01:08:32"/>
    <n v="1"/>
    <n v="26"/>
    <s v="Silver"/>
    <s v="Zurich"/>
    <s v="POPUP-TOKYO"/>
    <s v="AURORA-LIP-01"/>
    <s v="Eyeliner"/>
    <n v="84.06"/>
    <x v="0"/>
    <n v="0"/>
    <s v="Tablet"/>
    <s v="65.250.254.118"/>
    <x v="0"/>
    <n v="93"/>
    <n v="-1.2536540980987787"/>
    <n v="0"/>
    <n v="1"/>
    <n v="1"/>
    <n v="3"/>
    <n v="0"/>
  </r>
  <r>
    <s v="9d3803c3-65c5-465e-9fcd-274879227db1"/>
    <s v="abd418ef-b43b-4bc2-965e-3da7c956f267"/>
    <d v="2025-03-11T00:00:00"/>
    <d v="1899-12-30T02:24:40"/>
    <n v="2"/>
    <n v="48"/>
    <s v="Bronze"/>
    <s v="Hong Kong"/>
    <s v="POPUP-MILAN"/>
    <s v="AURORA-LIP-01"/>
    <s v="Mascara"/>
    <n v="84.03"/>
    <x v="0"/>
    <n v="0"/>
    <s v="Laptop"/>
    <s v="108.134.194.120"/>
    <x v="0"/>
    <n v="487"/>
    <n v="-1.2540694258830616"/>
    <n v="0"/>
    <n v="1"/>
    <n v="0"/>
    <n v="2"/>
    <n v="0"/>
  </r>
  <r>
    <s v="253ac82e-b16b-4a6c-8949-8b0ca1d45b3b"/>
    <s v="9f09c864-ab34-47ed-8832-3ec199b6b02c"/>
    <d v="2025-07-06T00:00:00"/>
    <d v="1899-12-30T08:57:23"/>
    <n v="8"/>
    <n v="62"/>
    <s v="Silver"/>
    <s v="Los Angeles"/>
    <s v="POPUP-TOKYO"/>
    <s v="ORION-CONCEAL-09"/>
    <s v="Eyeshadow Palette"/>
    <n v="83.81"/>
    <x v="0"/>
    <n v="0"/>
    <s v="Desktop"/>
    <s v="213.60.148.153"/>
    <x v="0"/>
    <n v="327"/>
    <n v="-1.2571151629678019"/>
    <n v="0"/>
    <n v="0"/>
    <n v="0"/>
    <n v="0"/>
    <n v="0"/>
  </r>
  <r>
    <s v="0edf5db9-661f-48d8-95c7-e51ed059f94e"/>
    <s v="8954c492-9899-4849-8b17-7ec7b1d31112"/>
    <d v="2025-07-20T00:00:00"/>
    <d v="1899-12-30T18:42:02"/>
    <n v="18"/>
    <n v="26"/>
    <s v="Gold"/>
    <s v="Singapore"/>
    <s v="FLAGSHIP-LA"/>
    <s v="COSMIC-HIGHLIGHT-06"/>
    <s v="Foundation"/>
    <n v="83.68"/>
    <x v="4"/>
    <n v="0"/>
    <s v="Laptop"/>
    <s v="130.195.154.202"/>
    <x v="0"/>
    <n v="217"/>
    <n v="-1.2589149166996938"/>
    <n v="0"/>
    <n v="0"/>
    <n v="1"/>
    <n v="1"/>
    <n v="0"/>
  </r>
  <r>
    <s v="14486825-a410-4fd6-9838-7ef942780e84"/>
    <s v="538ff26c-3cdd-4c48-a4af-25192ebf0058"/>
    <d v="2025-05-26T00:00:00"/>
    <d v="1899-12-30T21:27:53"/>
    <n v="21"/>
    <n v="20"/>
    <s v="Gold"/>
    <s v="Dubai"/>
    <s v="FLAGSHIP-LA"/>
    <s v="ORION-CONCEAL-09"/>
    <s v="Blush"/>
    <n v="83.66"/>
    <x v="3"/>
    <n v="0"/>
    <s v="Tablet"/>
    <s v="194.75.48.51"/>
    <x v="0"/>
    <n v="251"/>
    <n v="-1.2591918018892159"/>
    <n v="0"/>
    <n v="0"/>
    <n v="1"/>
    <n v="1"/>
    <n v="0"/>
  </r>
  <r>
    <s v="9205532a-cf92-44cf-95a7-cea08de1546d"/>
    <s v="cbd68c4b-4633-4cf1-a996-4e933cc320e6"/>
    <d v="2025-03-26T00:00:00"/>
    <d v="1899-12-30T07:09:03"/>
    <n v="7"/>
    <n v="37"/>
    <s v="Bronze"/>
    <s v="London"/>
    <s v="FLAGSHIP-ROME"/>
    <s v="AURORA-LIP-01"/>
    <s v="Serum"/>
    <n v="83.35"/>
    <x v="3"/>
    <n v="0"/>
    <s v="Mobile"/>
    <s v="85.247.145.153"/>
    <x v="0"/>
    <n v="156"/>
    <n v="-1.2634835223268044"/>
    <n v="0"/>
    <n v="0"/>
    <n v="1"/>
    <n v="1"/>
    <n v="0"/>
  </r>
  <r>
    <s v="d2da08af-339c-4aca-b394-7c0c7ea533e0"/>
    <s v="a762e7db-60bf-4686-933e-43c5f7607b8f"/>
    <d v="2025-08-05T00:00:00"/>
    <d v="1899-12-30T17:24:52"/>
    <n v="17"/>
    <n v="47"/>
    <s v="Gold"/>
    <s v="Hong Kong"/>
    <s v="CONCESSION-SINGAPORE"/>
    <s v="ORION-CONCEAL-09"/>
    <s v="Mascara"/>
    <n v="83.34"/>
    <x v="0"/>
    <n v="0"/>
    <s v="Desktop"/>
    <s v="84.252.59.197"/>
    <x v="0"/>
    <n v="407"/>
    <n v="-1.2636219649215652"/>
    <n v="0"/>
    <n v="0"/>
    <n v="0"/>
    <n v="0"/>
    <n v="0"/>
  </r>
  <r>
    <s v="68a22959-f627-45df-b998-0c98a47c3f75"/>
    <s v="2a264e4f-5075-44ad-a783-c62c5c9671e2"/>
    <d v="2025-07-31T00:00:00"/>
    <d v="1899-12-30T07:15:29"/>
    <n v="7"/>
    <n v="59"/>
    <s v="Silver"/>
    <s v="New York"/>
    <s v="BOUTIQUE-DUBAI"/>
    <s v="LUNAR-MASC-02"/>
    <s v="Lipstick"/>
    <n v="83.25"/>
    <x v="3"/>
    <n v="0"/>
    <s v="Mobile"/>
    <s v="73.233.159.227"/>
    <x v="0"/>
    <n v="184"/>
    <n v="-1.2648679482744136"/>
    <n v="0"/>
    <n v="0"/>
    <n v="1"/>
    <n v="1"/>
    <n v="0"/>
  </r>
  <r>
    <s v="ff8dd016-f250-45b2-a9e4-fef5041efb7a"/>
    <s v="4d0e26b4-5824-437b-b088-93db95d04e06"/>
    <d v="2025-06-19T00:00:00"/>
    <d v="1899-12-30T12:45:50"/>
    <n v="12"/>
    <n v="19"/>
    <s v="Unknown"/>
    <s v="Zurich"/>
    <s v="BOUTIQUE-SHANGHAI"/>
    <s v="COSMIC-HIGHLIGHT-06"/>
    <s v="Setting Spray"/>
    <n v="83.08"/>
    <x v="4"/>
    <n v="0"/>
    <s v="Tablet"/>
    <s v="117.137.2.168"/>
    <x v="0"/>
    <n v="276"/>
    <n v="-1.2672214723853494"/>
    <n v="0"/>
    <n v="0"/>
    <n v="0"/>
    <n v="0"/>
    <n v="0"/>
  </r>
  <r>
    <s v="cf578e65-e2bc-4360-9459-bd379d5acbd3"/>
    <s v="1cfb1bb9-42c6-4284-98da-6b32a50b4661"/>
    <d v="2025-03-20T00:00:00"/>
    <d v="1899-12-30T03:06:20"/>
    <n v="3"/>
    <n v="27"/>
    <s v="Bronze"/>
    <s v="San Francisco"/>
    <s v="BOUTIQUE-DUBAI"/>
    <s v="CELESTE-EYE-05"/>
    <s v="Mascara"/>
    <n v="83.04"/>
    <x v="3"/>
    <n v="0"/>
    <s v="Desktop"/>
    <s v="159.210.119.5"/>
    <x v="0"/>
    <n v="376"/>
    <n v="-1.2677752427643929"/>
    <n v="0"/>
    <n v="1"/>
    <n v="0"/>
    <n v="2"/>
    <n v="0"/>
  </r>
  <r>
    <s v="c3fc4004-a326-4a84-b25e-934e7429d31a"/>
    <s v="ebe896f4-e5e1-47ab-9cad-93b7fdab23ff"/>
    <d v="2025-05-10T00:00:00"/>
    <d v="1899-12-30T19:30:37"/>
    <n v="19"/>
    <n v="22"/>
    <s v="Platinum"/>
    <s v="Hong Kong"/>
    <s v="POPUP-MILAN"/>
    <s v="CELESTE-EYE-05"/>
    <s v="Lipstick"/>
    <n v="83"/>
    <x v="4"/>
    <n v="0"/>
    <s v="Desktop"/>
    <s v="228.242.59.253"/>
    <x v="0"/>
    <n v="109"/>
    <n v="-1.2683290131434368"/>
    <n v="0"/>
    <n v="0"/>
    <n v="1"/>
    <n v="1"/>
    <n v="0"/>
  </r>
  <r>
    <s v="14eb417e-565c-40b3-8e2c-de9acc0db51a"/>
    <s v="5748a7a1-973b-4830-9cc0-6b27e1846002"/>
    <d v="2025-06-06T00:00:00"/>
    <d v="1899-12-30T07:11:42"/>
    <n v="7"/>
    <n v="41"/>
    <s v="Bronze"/>
    <s v="Tokyo"/>
    <s v="POPUP-TOKYO"/>
    <s v="AURORA-LIP-01"/>
    <s v="Serum"/>
    <n v="82.72"/>
    <x v="0"/>
    <n v="0"/>
    <s v="Mobile"/>
    <s v="150.93.229.10"/>
    <x v="0"/>
    <n v="293"/>
    <n v="-1.2722054057967427"/>
    <n v="0"/>
    <n v="0"/>
    <n v="0"/>
    <n v="0"/>
    <n v="0"/>
  </r>
  <r>
    <s v="094c7ec6-626d-4ac6-a776-37158985193d"/>
    <s v="4b22d726-12d6-4c21-b373-880dcb798134"/>
    <d v="2025-05-02T00:00:00"/>
    <d v="1899-12-30T20:48:15"/>
    <n v="20"/>
    <n v="53"/>
    <s v="Bronze"/>
    <s v="Monaco"/>
    <s v="CONCESSION-LONDON"/>
    <s v="ECLIPSE-EYE-10"/>
    <s v="Serum"/>
    <n v="82.68"/>
    <x v="2"/>
    <n v="1"/>
    <s v="Mobile"/>
    <s v="24.58.50.86"/>
    <x v="0"/>
    <n v="121"/>
    <n v="-1.2727591761757862"/>
    <n v="0"/>
    <n v="0"/>
    <n v="1"/>
    <n v="3"/>
    <n v="0"/>
  </r>
  <r>
    <s v="4208630e-5fd0-4bc2-bf5c-84acb3c550ba"/>
    <s v="a1b62d3a-79d5-428c-a1cf-d46d5c983f61"/>
    <d v="2025-04-02T00:00:00"/>
    <d v="1899-12-30T20:18:05"/>
    <n v="20"/>
    <n v="64"/>
    <s v="Bronze"/>
    <s v="Tokyo"/>
    <s v="BOUTIQUE-SHANGHAI"/>
    <s v="LUNAR-MASC-02"/>
    <s v="Serum"/>
    <n v="82.66"/>
    <x v="1"/>
    <n v="0"/>
    <s v="Tablet"/>
    <s v="166.222.152.64"/>
    <x v="0"/>
    <n v="349"/>
    <n v="-1.2730360613653082"/>
    <n v="0"/>
    <n v="0"/>
    <n v="0"/>
    <n v="0"/>
    <n v="0"/>
  </r>
  <r>
    <s v="0171c8ad-9aa0-469c-b7ad-b86a40d5d6b1"/>
    <s v="42e25deb-f50c-4d54-a0b3-bb917dd5e6ab"/>
    <d v="2025-06-01T00:00:00"/>
    <d v="1899-12-30T04:28:10"/>
    <n v="4"/>
    <n v="44"/>
    <s v="Bronze"/>
    <s v="Tokyo"/>
    <s v="FLAGSHIP-ROME"/>
    <s v="GALAXIA-SET-08"/>
    <s v="Eyeshadow Palette"/>
    <n v="82.66"/>
    <x v="2"/>
    <n v="1"/>
    <s v="Mobile"/>
    <s v="128.115.179.220"/>
    <x v="0"/>
    <n v="259"/>
    <n v="-1.2730360613653082"/>
    <n v="0"/>
    <n v="1"/>
    <n v="1"/>
    <n v="5"/>
    <n v="1"/>
  </r>
  <r>
    <s v="45ac765b-7724-49fb-8023-caf0482fd190"/>
    <s v="7ef40c8f-824a-4f6c-aad9-955e005298c2"/>
    <d v="2025-03-22T00:00:00"/>
    <d v="1899-12-30T01:51:54"/>
    <n v="1"/>
    <n v="23"/>
    <s v="Bronze"/>
    <s v="Geneva"/>
    <s v="FLAGSHIP-PARIS"/>
    <s v="AURORA-LIP-01"/>
    <s v="Lipstick"/>
    <n v="82.65"/>
    <x v="1"/>
    <n v="0"/>
    <s v="Mobile"/>
    <s v="193.196.199.205"/>
    <x v="0"/>
    <n v="218"/>
    <n v="-1.273174503960069"/>
    <n v="0"/>
    <n v="1"/>
    <n v="1"/>
    <n v="3"/>
    <n v="0"/>
  </r>
  <r>
    <s v="03525454-d641-4682-b7f5-ef0d7731c89c"/>
    <s v="f5e857c5-a3a7-4908-90fa-49bb4492c269"/>
    <d v="2025-06-27T00:00:00"/>
    <d v="1899-12-30T19:03:49"/>
    <n v="19"/>
    <n v="32"/>
    <s v="Gold"/>
    <s v="Los Angeles"/>
    <s v="POPUP-TOKYO"/>
    <s v="NEBULA-SERUM-07"/>
    <s v="Lipstick"/>
    <n v="82.58"/>
    <x v="1"/>
    <n v="0"/>
    <s v="Mobile"/>
    <s v="244.229.209.230"/>
    <x v="0"/>
    <n v="302"/>
    <n v="-1.2741436021233956"/>
    <n v="0"/>
    <n v="0"/>
    <n v="0"/>
    <n v="0"/>
    <n v="0"/>
  </r>
  <r>
    <s v="a1471516-7689-4d87-b0b5-086cd04b2425"/>
    <s v="0a4c366b-5ee2-43ef-ac7e-7c776591f091"/>
    <d v="2025-07-26T00:00:00"/>
    <d v="1899-12-30T10:01:24"/>
    <n v="10"/>
    <n v="49"/>
    <s v="Unknown"/>
    <s v="Zurich"/>
    <s v="FLAGSHIP-ROME"/>
    <s v="ECLIPSE-EYE-10"/>
    <s v="Eyeshadow Palette"/>
    <n v="82.49"/>
    <x v="4"/>
    <n v="0"/>
    <s v="Mobile"/>
    <s v="151.213.141.158"/>
    <x v="0"/>
    <n v="449"/>
    <n v="-1.275389585476244"/>
    <n v="0"/>
    <n v="0"/>
    <n v="0"/>
    <n v="0"/>
    <n v="0"/>
  </r>
  <r>
    <s v="15a10107-6639-4873-8756-3a86d4bddea6"/>
    <s v="c58d54de-9e6f-4ff1-ad5c-03c5f965f1f2"/>
    <d v="2025-05-15T00:00:00"/>
    <d v="1899-12-30T23:40:33"/>
    <n v="23"/>
    <n v="35"/>
    <s v="Platinum"/>
    <s v="Geneva"/>
    <s v="FLAGSHIP-LA"/>
    <s v="STELLAR-FOUND-03"/>
    <s v="Setting Spray"/>
    <n v="82.35"/>
    <x v="0"/>
    <n v="0"/>
    <s v="Laptop"/>
    <s v="17.141.129.14"/>
    <x v="0"/>
    <n v="330"/>
    <n v="-1.277327781802897"/>
    <n v="0"/>
    <n v="0"/>
    <n v="0"/>
    <n v="0"/>
    <n v="0"/>
  </r>
  <r>
    <s v="c31ef0c8-0742-4554-9257-8fa30c66a14b"/>
    <s v="9f5cdadc-181e-4232-84f5-66319984a586"/>
    <d v="2025-07-30T00:00:00"/>
    <d v="1899-12-30T07:00:21"/>
    <n v="7"/>
    <n v="60"/>
    <s v="Bronze"/>
    <s v="Miami"/>
    <s v="BOUTIQUE-DUBAI"/>
    <s v="GALAXIA-SET-08"/>
    <s v="Highlighter"/>
    <n v="82.31"/>
    <x v="4"/>
    <n v="0"/>
    <s v="Tablet"/>
    <s v="203.191.162.171"/>
    <x v="0"/>
    <n v="93"/>
    <n v="-1.2778815521819404"/>
    <n v="0"/>
    <n v="0"/>
    <n v="1"/>
    <n v="1"/>
    <n v="0"/>
  </r>
  <r>
    <s v="061e631d-fa9d-4c3a-920d-4d3a80002db5"/>
    <s v="f11fa1af-0851-454c-bd4f-869ee5bd9d21"/>
    <d v="2025-08-06T00:00:00"/>
    <d v="1899-12-30T17:46:07"/>
    <n v="17"/>
    <n v="50"/>
    <s v="Gold"/>
    <s v="Tokyo"/>
    <s v="BOUTIQUE-NYC"/>
    <s v="AURORA-LIP-01"/>
    <s v="Blush"/>
    <n v="82.15"/>
    <x v="4"/>
    <n v="0"/>
    <s v="Desktop"/>
    <s v="234.208.23.193"/>
    <x v="0"/>
    <n v="203"/>
    <n v="-1.2800966336981152"/>
    <n v="0"/>
    <n v="0"/>
    <n v="1"/>
    <n v="1"/>
    <n v="0"/>
  </r>
  <r>
    <s v="6ba957cd-337a-45c4-a016-1cb4d8b11344"/>
    <s v="369a7978-8fe9-44d0-813a-a1de9d6bc647"/>
    <d v="2025-05-09T00:00:00"/>
    <d v="1899-12-30T13:06:16"/>
    <n v="13"/>
    <n v="54"/>
    <s v="Platinum"/>
    <s v="Zurich"/>
    <s v="POPUP-MILAN"/>
    <s v="AURORA-LIP-01"/>
    <s v="Eyeshadow Palette"/>
    <n v="82.13"/>
    <x v="0"/>
    <n v="0"/>
    <s v="Mobile"/>
    <s v="243.165.104.47"/>
    <x v="0"/>
    <n v="265"/>
    <n v="-1.2803735188876373"/>
    <n v="0"/>
    <n v="0"/>
    <n v="1"/>
    <n v="1"/>
    <n v="0"/>
  </r>
  <r>
    <s v="5e53ea63-e72f-413e-bf44-850bb46e4400"/>
    <s v="e7932d12-1d93-411e-8ef9-de33cac62714"/>
    <d v="2025-05-10T00:00:00"/>
    <d v="1899-12-30T02:33:45"/>
    <n v="2"/>
    <n v="25"/>
    <s v="VIP"/>
    <s v="Monaco"/>
    <s v="FLAGSHIP-LA"/>
    <s v="AURORA-LIP-01"/>
    <s v="Highlighter"/>
    <n v="82.09"/>
    <x v="3"/>
    <n v="0"/>
    <s v="Mobile"/>
    <s v="171.136.53.249"/>
    <x v="0"/>
    <n v="282"/>
    <n v="-1.2809272892666808"/>
    <n v="0"/>
    <n v="1"/>
    <n v="0"/>
    <n v="2"/>
    <n v="0"/>
  </r>
  <r>
    <s v="29b4a9a0-c02c-4c34-96f1-7f1fa0df58d3"/>
    <s v="84e9b4b2-6de0-41a3-b125-49b08be06a6d"/>
    <d v="2025-08-01T00:00:00"/>
    <d v="1899-12-30T17:08:41"/>
    <n v="17"/>
    <n v="57"/>
    <s v="Bronze"/>
    <s v="Sydney"/>
    <s v="FLAGSHIP-LA"/>
    <s v="NEBULA-SERUM-07"/>
    <s v="Setting Spray"/>
    <n v="82.07"/>
    <x v="1"/>
    <n v="0"/>
    <s v="Laptop"/>
    <s v="250.50.109.243"/>
    <x v="0"/>
    <n v="170"/>
    <n v="-1.2812041744562028"/>
    <n v="0"/>
    <n v="0"/>
    <n v="1"/>
    <n v="1"/>
    <n v="0"/>
  </r>
  <r>
    <s v="45ed8e9b-1b5f-4fb0-97e0-9a8683ee87fd"/>
    <s v="e98b83db-8f5b-45ea-8d73-5dc7cec68d94"/>
    <d v="2025-06-19T00:00:00"/>
    <d v="1899-12-30T15:54:31"/>
    <n v="15"/>
    <n v="43"/>
    <s v="Gold"/>
    <s v="San Francisco"/>
    <s v="FLAGSHIP-ROME"/>
    <s v="AURORA-LIP-01"/>
    <s v="Eyeliner"/>
    <n v="81.95"/>
    <x v="1"/>
    <n v="0"/>
    <s v="Laptop"/>
    <s v="4.77.234.75"/>
    <x v="0"/>
    <n v="109"/>
    <n v="-1.2828654855933339"/>
    <n v="0"/>
    <n v="0"/>
    <n v="1"/>
    <n v="1"/>
    <n v="0"/>
  </r>
  <r>
    <s v="50073a35-9ec5-4d1f-b4ed-29b76bc6164e"/>
    <s v="d3aa0d81-7f25-4d4d-90f6-7590a892ed01"/>
    <d v="2025-06-12T00:00:00"/>
    <d v="1899-12-30T22:52:17"/>
    <n v="22"/>
    <n v="41"/>
    <s v="Bronze"/>
    <s v="Paris"/>
    <s v="CONCESSION-LONDON"/>
    <s v="NEBULA-SERUM-07"/>
    <s v="Serum"/>
    <n v="81.94"/>
    <x v="1"/>
    <n v="0"/>
    <s v="Mobile"/>
    <s v="150.6.132.186"/>
    <x v="0"/>
    <n v="84"/>
    <n v="-1.2830039281880947"/>
    <n v="0"/>
    <n v="0"/>
    <n v="1"/>
    <n v="1"/>
    <n v="0"/>
  </r>
  <r>
    <s v="ba411241-04cc-4e6b-b77e-72c561c1acfc"/>
    <s v="16404a5a-1db9-48e3-815a-6f19bc762296"/>
    <d v="2025-04-12T00:00:00"/>
    <d v="1899-12-30T15:19:16"/>
    <n v="15"/>
    <n v="21"/>
    <s v="Gold"/>
    <s v="Rome"/>
    <s v="BOUTIQUE-NYC"/>
    <s v="NEBULA-SERUM-07"/>
    <s v="Concealer"/>
    <n v="81.84"/>
    <x v="0"/>
    <n v="0"/>
    <s v="Desktop"/>
    <s v="194.6.82.62"/>
    <x v="0"/>
    <n v="215"/>
    <n v="-1.284388354135704"/>
    <n v="0"/>
    <n v="0"/>
    <n v="1"/>
    <n v="1"/>
    <n v="0"/>
  </r>
  <r>
    <s v="0ae79acb-a107-491f-ae80-e265fb3dda1d"/>
    <s v="c0f8c0ee-a0fd-43d1-b26c-3f06244a928c"/>
    <d v="2025-04-19T00:00:00"/>
    <d v="1899-12-30T00:50:44"/>
    <n v="0"/>
    <n v="54"/>
    <s v="Gold"/>
    <s v="Monte Carlo"/>
    <s v="POPUP-MILAN"/>
    <s v="NEBULA-SERUM-07"/>
    <s v="Concealer"/>
    <n v="81.83"/>
    <x v="0"/>
    <n v="0"/>
    <s v="Laptop"/>
    <s v="236.189.127.214"/>
    <x v="0"/>
    <n v="398"/>
    <n v="-1.284526796730465"/>
    <n v="0"/>
    <n v="1"/>
    <n v="0"/>
    <n v="2"/>
    <n v="0"/>
  </r>
  <r>
    <s v="47cf89e0-cab2-4b72-a4ee-67c006191ca0"/>
    <s v="a29d8e6d-7500-45ce-b874-315e8d1435ab"/>
    <d v="2025-03-22T00:00:00"/>
    <d v="1899-12-30T16:53:32"/>
    <n v="16"/>
    <n v="26"/>
    <s v="Gold"/>
    <s v="Geneva"/>
    <s v="CONCESSION-LONDON"/>
    <s v="ECLIPSE-EYE-10"/>
    <s v="Highlighter"/>
    <n v="81.819999999999993"/>
    <x v="4"/>
    <n v="0"/>
    <s v="Desktop"/>
    <s v="37.138.230.210"/>
    <x v="0"/>
    <n v="323"/>
    <n v="-1.284665239325226"/>
    <n v="0"/>
    <n v="0"/>
    <n v="0"/>
    <n v="0"/>
    <n v="0"/>
  </r>
  <r>
    <s v="3847d997-34e1-46ac-b15d-8c3032f4a3ab"/>
    <s v="317491e8-e238-4621-b975-f7eb313fbae2"/>
    <d v="2025-04-22T00:00:00"/>
    <d v="1899-12-30T22:12:17"/>
    <n v="22"/>
    <n v="39"/>
    <s v="Silver"/>
    <s v="Singapore"/>
    <s v="POPUP-MILAN"/>
    <s v="COSMIC-HIGHLIGHT-06"/>
    <s v="Eyeshadow Palette"/>
    <n v="81.680000000000007"/>
    <x v="4"/>
    <n v="0"/>
    <s v="Desktop"/>
    <s v="246.55.10.64"/>
    <x v="0"/>
    <n v="435"/>
    <n v="-1.2866034356518787"/>
    <n v="0"/>
    <n v="0"/>
    <n v="0"/>
    <n v="0"/>
    <n v="0"/>
  </r>
  <r>
    <s v="c79770ed-bb16-48ec-ad18-bea61f716edc"/>
    <s v="613bd62f-3478-4417-90ce-0ef315523e08"/>
    <d v="2025-03-29T00:00:00"/>
    <d v="1899-12-30T15:01:05"/>
    <n v="15"/>
    <n v="41"/>
    <s v="Gold"/>
    <s v="Singapore"/>
    <s v="FLAGSHIP-ROME"/>
    <s v="LUNAR-MASC-02"/>
    <s v="Mascara"/>
    <n v="81.64"/>
    <x v="1"/>
    <n v="0"/>
    <s v="Tablet"/>
    <s v="137.174.41.235"/>
    <x v="0"/>
    <n v="136"/>
    <n v="-1.2871572060309224"/>
    <n v="0"/>
    <n v="0"/>
    <n v="1"/>
    <n v="1"/>
    <n v="0"/>
  </r>
  <r>
    <s v="971295ab-c6fc-4245-9485-e1abaf7d177f"/>
    <s v="701f5a10-4bd9-4cbd-b208-31ebe4ed7438"/>
    <d v="2025-08-05T00:00:00"/>
    <d v="1899-12-30T20:34:19"/>
    <n v="20"/>
    <n v="26"/>
    <s v="Platinum"/>
    <s v="Zurich"/>
    <s v="BOUTIQUE-NYC"/>
    <s v="COSMIC-HIGHLIGHT-06"/>
    <s v="Setting Spray"/>
    <n v="81.349999999999994"/>
    <x v="2"/>
    <n v="1"/>
    <s v="Tablet"/>
    <s v="163.1.159.140"/>
    <x v="0"/>
    <n v="55"/>
    <n v="-1.2911720412789893"/>
    <n v="0"/>
    <n v="0"/>
    <n v="1"/>
    <n v="3"/>
    <n v="0"/>
  </r>
  <r>
    <s v="303d2d7e-29da-4b45-ab6b-1b3f64dfa134"/>
    <s v="3c3a9ad6-a19c-4082-83b0-f370d5d6b651"/>
    <d v="2025-06-24T00:00:00"/>
    <d v="1899-12-30T08:41:20"/>
    <n v="8"/>
    <n v="32"/>
    <s v="Silver"/>
    <s v="Monaco"/>
    <s v="FLAGSHIP-LA"/>
    <s v="GALAXIA-SET-08"/>
    <s v="Blush"/>
    <n v="80.709999999999994"/>
    <x v="3"/>
    <n v="0"/>
    <s v="Mobile"/>
    <s v="164.109.163.16"/>
    <x v="0"/>
    <n v="308"/>
    <n v="-1.3000323673436887"/>
    <n v="0"/>
    <n v="0"/>
    <n v="0"/>
    <n v="0"/>
    <n v="0"/>
  </r>
  <r>
    <s v="27095acc-cc84-4959-93d4-f3f518fc32b2"/>
    <s v="2c54bbbb-44eb-4e99-a3c3-766311885bf2"/>
    <d v="2025-03-24T00:00:00"/>
    <d v="1899-12-30T15:34:51"/>
    <n v="15"/>
    <n v="46"/>
    <s v="Bronze"/>
    <s v="Singapore"/>
    <s v="POPUP-TOKYO"/>
    <s v="AURORA-LIP-01"/>
    <s v="Blush"/>
    <n v="80.7"/>
    <x v="1"/>
    <n v="0"/>
    <s v="Laptop"/>
    <s v="213.156.51.46"/>
    <x v="0"/>
    <n v="84"/>
    <n v="-1.3001708099384495"/>
    <n v="0"/>
    <n v="0"/>
    <n v="1"/>
    <n v="1"/>
    <n v="0"/>
  </r>
  <r>
    <s v="22a54241-290a-48ca-a3fa-c23e93271c4f"/>
    <s v="b0bd44ef-fdb4-40fe-9593-0fadbc806a50"/>
    <d v="2025-07-25T00:00:00"/>
    <d v="1899-12-30T04:45:41"/>
    <n v="4"/>
    <n v="42"/>
    <s v="Unknown"/>
    <s v="Singapore"/>
    <s v="POPUP-TOKYO"/>
    <s v="ECLIPSE-EYE-10"/>
    <s v="Mascara"/>
    <n v="80.680000000000007"/>
    <x v="4"/>
    <n v="0"/>
    <s v="Laptop"/>
    <s v="146.180.191.32"/>
    <x v="0"/>
    <n v="483"/>
    <n v="-1.3004476951279711"/>
    <n v="0"/>
    <n v="1"/>
    <n v="0"/>
    <n v="2"/>
    <n v="0"/>
  </r>
  <r>
    <s v="064a9803-b56c-46b7-bd76-932645e63271"/>
    <s v="fc0123cb-85f2-4c9a-aee2-1322056e37db"/>
    <d v="2025-06-02T00:00:00"/>
    <d v="1899-12-30T07:27:41"/>
    <n v="7"/>
    <n v="48"/>
    <s v="Silver"/>
    <s v="Singapore"/>
    <s v="BOUTIQUE-SHANGHAI"/>
    <s v="SOLAR-BLUSH-04"/>
    <s v="Lipstick"/>
    <n v="80.58"/>
    <x v="3"/>
    <n v="0"/>
    <s v="Mobile"/>
    <s v="111.12.171.128"/>
    <x v="0"/>
    <n v="269"/>
    <n v="-1.3018321210755806"/>
    <n v="0"/>
    <n v="0"/>
    <n v="1"/>
    <n v="1"/>
    <n v="0"/>
  </r>
  <r>
    <s v="a6ca0951-e7a6-4319-a27d-14096a238f8c"/>
    <s v="e22d1e2c-c259-4b67-a2b2-72cb9e941455"/>
    <d v="2025-06-21T00:00:00"/>
    <d v="1899-12-30T22:54:30"/>
    <n v="22"/>
    <n v="21"/>
    <s v="Gold"/>
    <s v="Dubai"/>
    <s v="BOUTIQUE-NYC"/>
    <s v="ORION-CONCEAL-09"/>
    <s v="Eyeliner"/>
    <n v="80.44"/>
    <x v="1"/>
    <n v="0"/>
    <s v="Desktop"/>
    <s v="132.160.191.42"/>
    <x v="0"/>
    <n v="101"/>
    <n v="-1.3037703174022335"/>
    <n v="0"/>
    <n v="0"/>
    <n v="1"/>
    <n v="1"/>
    <n v="0"/>
  </r>
  <r>
    <s v="2d010596-a259-4594-80f4-c39533a21f2a"/>
    <s v="cc76bae4-e525-4c98-a84d-7e6fa34ac128"/>
    <d v="2025-08-02T00:00:00"/>
    <d v="1899-12-30T16:02:25"/>
    <n v="16"/>
    <n v="41"/>
    <s v="Bronze"/>
    <s v="Sydney"/>
    <s v="POPUP-MILAN"/>
    <s v="NEBULA-SERUM-07"/>
    <s v="Mascara"/>
    <n v="80.39"/>
    <x v="3"/>
    <n v="0"/>
    <s v="Mobile"/>
    <s v="34.105.158.221"/>
    <x v="0"/>
    <n v="499"/>
    <n v="-1.304462530376038"/>
    <n v="0"/>
    <n v="0"/>
    <n v="0"/>
    <n v="0"/>
    <n v="0"/>
  </r>
  <r>
    <s v="5714b446-7839-42dd-b8d0-5bc3d2041332"/>
    <s v="2f628ed0-111d-45e5-8fe6-2c3a5f4955bf"/>
    <d v="2025-04-10T00:00:00"/>
    <d v="1899-12-30T00:29:31"/>
    <n v="0"/>
    <n v="52"/>
    <s v="Gold"/>
    <s v="Geneva"/>
    <s v="BOUTIQUE-SHANGHAI"/>
    <s v="ORION-CONCEAL-09"/>
    <s v="Lipstick"/>
    <n v="80.099999999999994"/>
    <x v="1"/>
    <n v="0"/>
    <s v="Mobile"/>
    <s v="86.180.116.162"/>
    <x v="0"/>
    <n v="82"/>
    <n v="-1.3084773656241049"/>
    <n v="0"/>
    <n v="1"/>
    <n v="1"/>
    <n v="3"/>
    <n v="0"/>
  </r>
  <r>
    <s v="3964fa5e-bed7-466c-8562-aa7dd3d41353"/>
    <s v="55791f1b-c937-431c-ba27-c4154d4f3142"/>
    <d v="2025-06-06T00:00:00"/>
    <d v="1899-12-30T15:08:32"/>
    <n v="15"/>
    <n v="43"/>
    <s v="Gold"/>
    <s v="Milan"/>
    <s v="FLAGSHIP-PARIS"/>
    <s v="NEBULA-SERUM-07"/>
    <s v="Lipstick"/>
    <n v="80.02"/>
    <x v="1"/>
    <n v="0"/>
    <s v="Laptop"/>
    <s v="149.17.197.24"/>
    <x v="0"/>
    <n v="465"/>
    <n v="-1.3095849063821923"/>
    <n v="0"/>
    <n v="0"/>
    <n v="0"/>
    <n v="0"/>
    <n v="0"/>
  </r>
  <r>
    <s v="7bb3b4c2-ab43-4391-95a8-92206c8ae383"/>
    <s v="d284ebf1-5490-4b9b-b9d0-7976be0ba194"/>
    <d v="2025-03-11T00:00:00"/>
    <d v="1899-12-30T02:07:45"/>
    <n v="2"/>
    <n v="53"/>
    <s v="Gold"/>
    <s v="Zurich"/>
    <s v="POPUP-MILAN"/>
    <s v="LUNAR-MASC-02"/>
    <s v="Lipstick"/>
    <n v="79.989999999999995"/>
    <x v="4"/>
    <n v="0"/>
    <s v="Laptop"/>
    <s v="4.51.248.124"/>
    <x v="0"/>
    <n v="72"/>
    <n v="-1.3100002341664752"/>
    <n v="0"/>
    <n v="1"/>
    <n v="1"/>
    <n v="3"/>
    <n v="0"/>
  </r>
  <r>
    <s v="59da09c5-c9b5-4337-b8f4-3447eb848266"/>
    <s v="2f6c163d-3747-42bb-8ab0-dbf00785d5d7"/>
    <d v="2025-04-17T00:00:00"/>
    <d v="1899-12-30T18:27:52"/>
    <n v="18"/>
    <n v="34"/>
    <s v="Silver"/>
    <s v="Zurich"/>
    <s v="FLAGSHIP-LA"/>
    <s v="ORION-CONCEAL-09"/>
    <s v="Serum"/>
    <n v="79.97"/>
    <x v="0"/>
    <n v="0"/>
    <s v="Mobile"/>
    <s v="185.101.125.217"/>
    <x v="0"/>
    <n v="175"/>
    <n v="-1.310277119355997"/>
    <n v="0"/>
    <n v="0"/>
    <n v="1"/>
    <n v="1"/>
    <n v="0"/>
  </r>
  <r>
    <s v="3f8015ae-1262-4a13-ac0d-d9cf2da481b4"/>
    <s v="9cdb0465-8dfb-4872-a650-33043062bf43"/>
    <d v="2025-03-23T00:00:00"/>
    <d v="1899-12-30T06:00:45"/>
    <n v="6"/>
    <n v="59"/>
    <s v="Gold"/>
    <s v="San Francisco"/>
    <s v="POPUP-MILAN"/>
    <s v="STELLAR-FOUND-03"/>
    <s v="Eyeshadow Palette"/>
    <n v="79.94"/>
    <x v="0"/>
    <n v="0"/>
    <s v="Mobile"/>
    <s v="250.131.8.180"/>
    <x v="0"/>
    <n v="453"/>
    <n v="-1.3106924471402797"/>
    <n v="0"/>
    <n v="0"/>
    <n v="0"/>
    <n v="0"/>
    <n v="0"/>
  </r>
  <r>
    <s v="dbb42cae-a085-4469-8dc1-d35cd13d80a1"/>
    <s v="f18297ef-4ac0-4f6f-9980-05f1f212d7e6"/>
    <d v="2025-07-25T00:00:00"/>
    <d v="1899-12-30T03:57:16"/>
    <n v="3"/>
    <n v="25"/>
    <s v="Silver"/>
    <s v="San Francisco"/>
    <s v="FLAGSHIP-PARIS"/>
    <s v="AURORA-LIP-01"/>
    <s v="Foundation"/>
    <n v="79.849999999999994"/>
    <x v="3"/>
    <n v="0"/>
    <s v="Desktop"/>
    <s v="75.82.77.237"/>
    <x v="0"/>
    <n v="119"/>
    <n v="-1.3119384304931281"/>
    <n v="0"/>
    <n v="1"/>
    <n v="1"/>
    <n v="3"/>
    <n v="0"/>
  </r>
  <r>
    <s v="3c86469e-c731-4b08-a8e0-5bb7928e5356"/>
    <s v="ce66b856-0645-4aa1-96b7-7abd56813368"/>
    <d v="2025-03-30T00:00:00"/>
    <d v="1899-12-30T20:13:44"/>
    <n v="20"/>
    <n v="20"/>
    <s v="Bronze"/>
    <s v="Dubai"/>
    <s v="BOUTIQUE-SHANGHAI"/>
    <s v="ORION-CONCEAL-09"/>
    <s v="Concealer"/>
    <n v="79.72"/>
    <x v="3"/>
    <n v="0"/>
    <s v="Tablet"/>
    <s v="84.190.212.36"/>
    <x v="0"/>
    <n v="478"/>
    <n v="-1.31373818422502"/>
    <n v="0"/>
    <n v="0"/>
    <n v="0"/>
    <n v="0"/>
    <n v="0"/>
  </r>
  <r>
    <s v="c0c44332-d0b5-4317-aba5-ca43c77dc448"/>
    <s v="6c0f8a1e-d6ef-4902-aa42-9dd36e45bb96"/>
    <d v="2025-03-16T00:00:00"/>
    <d v="1899-12-30T15:23:29"/>
    <n v="15"/>
    <n v="34"/>
    <s v="Bronze"/>
    <s v="Paris"/>
    <s v="FLAGSHIP-ROME"/>
    <s v="LUNAR-MASC-02"/>
    <s v="Foundation"/>
    <n v="79.67"/>
    <x v="1"/>
    <n v="0"/>
    <s v="Desktop"/>
    <s v="78.157.41.94"/>
    <x v="0"/>
    <n v="158"/>
    <n v="-1.3144303971988247"/>
    <n v="0"/>
    <n v="0"/>
    <n v="1"/>
    <n v="1"/>
    <n v="0"/>
  </r>
  <r>
    <s v="7b6c3894-3af8-42f7-a34b-245a30898269"/>
    <s v="120a4b7e-727e-4485-9055-95b0f3fc16f1"/>
    <d v="2025-02-16T00:00:00"/>
    <d v="1899-12-30T20:39:53"/>
    <n v="20"/>
    <n v="33"/>
    <s v="Gold"/>
    <s v="Zurich"/>
    <s v="FLAGSHIP-LA"/>
    <s v="ORION-CONCEAL-09"/>
    <s v="Concealer"/>
    <n v="79.599999999999994"/>
    <x v="4"/>
    <n v="0"/>
    <s v="Tablet"/>
    <s v="223.103.204.96"/>
    <x v="0"/>
    <n v="485"/>
    <n v="-1.3153994953621513"/>
    <n v="0"/>
    <n v="0"/>
    <n v="0"/>
    <n v="0"/>
    <n v="0"/>
  </r>
  <r>
    <s v="cb58efa1-5517-4f1a-8ea4-782f3774bbb4"/>
    <s v="1b911bac-0b5a-492d-9cbb-53346f06aeb8"/>
    <d v="2025-03-03T00:00:00"/>
    <d v="1899-12-30T13:18:09"/>
    <n v="13"/>
    <n v="44"/>
    <s v="Bronze"/>
    <s v="Miami"/>
    <s v="BOUTIQUE-SHANGHAI"/>
    <s v="ECLIPSE-EYE-10"/>
    <s v="Mascara"/>
    <n v="79.400000000000006"/>
    <x v="1"/>
    <n v="0"/>
    <s v="Laptop"/>
    <s v="15.42.160.152"/>
    <x v="0"/>
    <n v="54"/>
    <n v="-1.3181683472573695"/>
    <n v="0"/>
    <n v="0"/>
    <n v="1"/>
    <n v="1"/>
    <n v="0"/>
  </r>
  <r>
    <s v="a9f176dc-4fbb-4531-902a-ee3e9f0f67c4"/>
    <s v="1ff1a282-fb5b-4f17-872e-d7b5625482ee"/>
    <d v="2025-07-30T00:00:00"/>
    <d v="1899-12-30T17:00:44"/>
    <n v="17"/>
    <n v="62"/>
    <s v="Gold"/>
    <s v="Sydney"/>
    <s v="POPUP-MILAN"/>
    <s v="ECLIPSE-EYE-10"/>
    <s v="Eyeliner"/>
    <n v="79.39"/>
    <x v="3"/>
    <n v="0"/>
    <s v="Mobile"/>
    <s v="154.182.246.151"/>
    <x v="0"/>
    <n v="496"/>
    <n v="-1.3183067898521306"/>
    <n v="0"/>
    <n v="0"/>
    <n v="0"/>
    <n v="0"/>
    <n v="0"/>
  </r>
  <r>
    <s v="0f908ab8-1443-4346-b52c-332301441855"/>
    <s v="68594430-8906-4659-b3d5-a018ca79003f"/>
    <d v="2025-07-27T00:00:00"/>
    <d v="1899-12-30T06:48:39"/>
    <n v="6"/>
    <n v="21"/>
    <s v="Gold"/>
    <s v="Milan"/>
    <s v="POPUP-TOKYO"/>
    <s v="ECLIPSE-EYE-10"/>
    <s v="Eyeliner"/>
    <n v="79.37"/>
    <x v="0"/>
    <n v="0"/>
    <s v="Tablet"/>
    <s v="76.96.206.90"/>
    <x v="0"/>
    <n v="54"/>
    <n v="-1.3185836750416524"/>
    <n v="0"/>
    <n v="0"/>
    <n v="1"/>
    <n v="1"/>
    <n v="0"/>
  </r>
  <r>
    <s v="83e78291-f139-4575-99b1-d67f7fdd5e7c"/>
    <s v="86789768-8495-44ae-8d1a-45913bcf9d61"/>
    <d v="2025-06-06T00:00:00"/>
    <d v="1899-12-30T06:21:46"/>
    <n v="6"/>
    <n v="64"/>
    <s v="Silver"/>
    <s v="Rome"/>
    <s v="BOUTIQUE-NYC"/>
    <s v="STELLAR-FOUND-03"/>
    <s v="Mascara"/>
    <n v="79.28"/>
    <x v="1"/>
    <n v="0"/>
    <s v="Laptop"/>
    <s v="70.26.127.107"/>
    <x v="0"/>
    <n v="209"/>
    <n v="-1.3198296583945006"/>
    <n v="0"/>
    <n v="0"/>
    <n v="1"/>
    <n v="1"/>
    <n v="0"/>
  </r>
  <r>
    <s v="31ea30c5-f798-424f-a8b5-228d921c89c6"/>
    <s v="8dac6f35-507f-46d0-9490-0e60933f7a32"/>
    <d v="2025-02-20T00:00:00"/>
    <d v="1899-12-30T02:56:29"/>
    <n v="2"/>
    <n v="45"/>
    <s v="Bronze"/>
    <s v="Monte Carlo"/>
    <s v="POPUP-MILAN"/>
    <s v="NEBULA-SERUM-07"/>
    <s v="Blush"/>
    <n v="79.099999999999994"/>
    <x v="4"/>
    <n v="0"/>
    <s v="Mobile"/>
    <s v="210.243.81.158"/>
    <x v="0"/>
    <n v="143"/>
    <n v="-1.3223216251001975"/>
    <n v="0"/>
    <n v="1"/>
    <n v="1"/>
    <n v="3"/>
    <n v="0"/>
  </r>
  <r>
    <s v="17834909-01c9-4b5f-98a4-cb4cd4da48e6"/>
    <s v="33f65043-e076-49e5-9e99-85e451d9bcd6"/>
    <d v="2025-05-13T00:00:00"/>
    <d v="1899-12-30T19:57:30"/>
    <n v="19"/>
    <n v="59"/>
    <s v="VIP"/>
    <s v="New York"/>
    <s v="POPUP-MILAN"/>
    <s v="AURORA-LIP-01"/>
    <s v="Highlighter"/>
    <n v="79.099999999999994"/>
    <x v="1"/>
    <n v="0"/>
    <s v="Mobile"/>
    <s v="83.27.155.234"/>
    <x v="0"/>
    <n v="434"/>
    <n v="-1.3223216251001975"/>
    <n v="0"/>
    <n v="0"/>
    <n v="0"/>
    <n v="0"/>
    <n v="0"/>
  </r>
  <r>
    <s v="be46dadb-12c0-48ab-959e-c78357392d92"/>
    <s v="8d522892-9f23-4cfb-9409-4d10141a3b3d"/>
    <d v="2025-06-03T00:00:00"/>
    <d v="1899-12-30T18:33:10"/>
    <n v="18"/>
    <n v="22"/>
    <s v="Silver"/>
    <s v="Tokyo"/>
    <s v="FLAGSHIP-PARIS"/>
    <s v="ORION-CONCEAL-09"/>
    <s v="Setting Spray"/>
    <n v="79"/>
    <x v="0"/>
    <n v="0"/>
    <s v="Mobile"/>
    <s v="132.174.237.114"/>
    <x v="0"/>
    <n v="389"/>
    <n v="-1.3237060510478067"/>
    <n v="0"/>
    <n v="0"/>
    <n v="0"/>
    <n v="0"/>
    <n v="0"/>
  </r>
  <r>
    <s v="b3bbd1ac-e7c4-4edc-9602-088aa5c4da71"/>
    <s v="fd0b9687-2350-441e-a37c-605aa9117b06"/>
    <d v="2025-07-13T00:00:00"/>
    <d v="1899-12-30T02:11:11"/>
    <n v="2"/>
    <n v="47"/>
    <s v="Silver"/>
    <s v="Paris"/>
    <s v="FLAGSHIP-ROME"/>
    <s v="NEBULA-SERUM-07"/>
    <s v="Foundation"/>
    <n v="78.959999999999994"/>
    <x v="0"/>
    <n v="0"/>
    <s v="Desktop"/>
    <s v="83.247.115.47"/>
    <x v="0"/>
    <n v="481"/>
    <n v="-1.3242598214268504"/>
    <n v="0"/>
    <n v="1"/>
    <n v="0"/>
    <n v="2"/>
    <n v="0"/>
  </r>
  <r>
    <s v="5494d093-d876-472f-9ecb-43f87f52838c"/>
    <s v="5ed74140-0aca-4c48-b6e0-ca18374d31f5"/>
    <d v="2025-03-12T00:00:00"/>
    <d v="1899-12-30T04:02:27"/>
    <n v="4"/>
    <n v="40"/>
    <s v="Bronze"/>
    <s v="Singapore"/>
    <s v="CONCESSION-LONDON"/>
    <s v="NEBULA-SERUM-07"/>
    <s v="Blush"/>
    <n v="78.86"/>
    <x v="0"/>
    <n v="0"/>
    <s v="Laptop"/>
    <s v="71.5.50.193"/>
    <x v="0"/>
    <n v="422"/>
    <n v="-1.3256442473744596"/>
    <n v="0"/>
    <n v="1"/>
    <n v="0"/>
    <n v="2"/>
    <n v="0"/>
  </r>
  <r>
    <s v="176e361f-c629-4890-a084-9afe25df321e"/>
    <s v="aa4a9fdc-9749-46a7-bcc3-7d4929785fc6"/>
    <d v="2025-05-19T00:00:00"/>
    <d v="1899-12-30T06:52:16"/>
    <n v="6"/>
    <n v="65"/>
    <s v="Bronze"/>
    <s v="Singapore"/>
    <s v="BOUTIQUE-SHANGHAI"/>
    <s v="STELLAR-FOUND-03"/>
    <s v="Serum"/>
    <n v="78.819999999999993"/>
    <x v="4"/>
    <n v="0"/>
    <s v="Desktop"/>
    <s v="103.4.151.60"/>
    <x v="0"/>
    <n v="487"/>
    <n v="-1.3261980177535033"/>
    <n v="0"/>
    <n v="0"/>
    <n v="0"/>
    <n v="0"/>
    <n v="0"/>
  </r>
  <r>
    <s v="c9d5842c-2440-42bd-b168-2984f54e67bd"/>
    <s v="1b680ed6-795f-4d5d-a202-49229c2bcdc1"/>
    <d v="2025-07-26T00:00:00"/>
    <d v="1899-12-30T10:48:53"/>
    <n v="10"/>
    <n v="41"/>
    <s v="Bronze"/>
    <s v="Singapore"/>
    <s v="POPUP-MILAN"/>
    <s v="STELLAR-FOUND-03"/>
    <s v="Highlighter"/>
    <n v="78.790000000000006"/>
    <x v="1"/>
    <n v="0"/>
    <s v="Desktop"/>
    <s v="174.217.76.154"/>
    <x v="0"/>
    <n v="329"/>
    <n v="-1.326613345537786"/>
    <n v="0"/>
    <n v="0"/>
    <n v="0"/>
    <n v="0"/>
    <n v="0"/>
  </r>
  <r>
    <s v="45dcd1f1-8f56-49f8-9199-faefacead654"/>
    <s v="bf186992-d77b-4fc1-866e-cdd54c97e345"/>
    <d v="2025-04-11T00:00:00"/>
    <d v="1899-12-30T02:16:45"/>
    <n v="2"/>
    <n v="52"/>
    <s v="Silver"/>
    <s v="Rome"/>
    <s v="POPUP-TOKYO"/>
    <s v="STELLAR-FOUND-03"/>
    <s v="Lipstick"/>
    <n v="78.709999999999994"/>
    <x v="4"/>
    <n v="0"/>
    <s v="Tablet"/>
    <s v="186.107.242.119"/>
    <x v="0"/>
    <n v="66"/>
    <n v="-1.3277208862958736"/>
    <n v="0"/>
    <n v="1"/>
    <n v="1"/>
    <n v="3"/>
    <n v="0"/>
  </r>
  <r>
    <s v="0f907e3b-225c-4269-9660-02b6dd85ed9e"/>
    <s v="b433b250-62d1-4cba-8941-e2336eba9c54"/>
    <d v="2025-05-02T00:00:00"/>
    <d v="1899-12-30T05:40:31"/>
    <n v="5"/>
    <n v="43"/>
    <s v="Bronze"/>
    <s v="New York"/>
    <s v="POPUP-TOKYO"/>
    <s v="GALAXIA-SET-08"/>
    <s v="Concealer"/>
    <n v="78.7"/>
    <x v="4"/>
    <n v="0"/>
    <s v="Desktop"/>
    <s v="190.223.148.244"/>
    <x v="0"/>
    <n v="473"/>
    <n v="-1.3278593288906342"/>
    <n v="0"/>
    <n v="1"/>
    <n v="0"/>
    <n v="2"/>
    <n v="0"/>
  </r>
  <r>
    <s v="be6cc1bc-df07-4d18-9252-ff6caa148a5b"/>
    <s v="630c2a3f-fed3-4b82-a308-545baa1f94ad"/>
    <d v="2025-06-05T00:00:00"/>
    <d v="1899-12-30T03:22:30"/>
    <n v="3"/>
    <n v="25"/>
    <s v="Silver"/>
    <s v="Sydney"/>
    <s v="POPUP-TOKYO"/>
    <s v="CELESTE-EYE-05"/>
    <s v="Mascara"/>
    <n v="78.67"/>
    <x v="2"/>
    <n v="1"/>
    <s v="Mobile"/>
    <s v="39.210.162.239"/>
    <x v="0"/>
    <n v="483"/>
    <n v="-1.3282746566749171"/>
    <n v="0"/>
    <n v="1"/>
    <n v="0"/>
    <n v="4"/>
    <n v="0"/>
  </r>
  <r>
    <s v="204d77cb-59a8-47b5-9c70-b3ec13ed4402"/>
    <s v="b66f3655-9026-487e-b2b1-0c4ec7975ca7"/>
    <d v="2025-06-21T00:00:00"/>
    <d v="1899-12-30T10:05:53"/>
    <n v="10"/>
    <n v="62"/>
    <s v="Gold"/>
    <s v="Monte Carlo"/>
    <s v="CONCESSION-LONDON"/>
    <s v="NEBULA-SERUM-07"/>
    <s v="Setting Spray"/>
    <n v="78.22"/>
    <x v="0"/>
    <n v="0"/>
    <s v="Desktop"/>
    <s v="186.125.78.191"/>
    <x v="0"/>
    <n v="300"/>
    <n v="-1.3345045734391587"/>
    <n v="0"/>
    <n v="0"/>
    <n v="0"/>
    <n v="0"/>
    <n v="0"/>
  </r>
  <r>
    <s v="e2a5a714-3ff4-41f2-9364-1d955a473c75"/>
    <s v="096bb347-7f25-4579-b53f-4053439ac057"/>
    <d v="2025-07-04T00:00:00"/>
    <d v="1899-12-30T18:32:10"/>
    <n v="18"/>
    <n v="22"/>
    <s v="Platinum"/>
    <s v="New York"/>
    <s v="CONCESSION-SINGAPORE"/>
    <s v="ECLIPSE-EYE-10"/>
    <s v="Mascara"/>
    <n v="77.91"/>
    <x v="3"/>
    <n v="0"/>
    <s v="Desktop"/>
    <s v="76.235.73.215"/>
    <x v="0"/>
    <n v="110"/>
    <n v="-1.3387962938767475"/>
    <n v="0"/>
    <n v="0"/>
    <n v="1"/>
    <n v="1"/>
    <n v="0"/>
  </r>
  <r>
    <s v="6281cd8d-239b-439e-a49d-d2711cf06a50"/>
    <s v="aea68ceb-f08a-4f3c-aa7e-13286753abf4"/>
    <d v="2025-04-25T00:00:00"/>
    <d v="1899-12-30T23:36:46"/>
    <n v="23"/>
    <n v="22"/>
    <s v="Bronze"/>
    <s v="Dubai"/>
    <s v="FLAGSHIP-PARIS"/>
    <s v="COSMIC-HIGHLIGHT-06"/>
    <s v="Foundation"/>
    <n v="77.739999999999995"/>
    <x v="0"/>
    <n v="0"/>
    <s v="Tablet"/>
    <s v="14.108.11.216"/>
    <x v="0"/>
    <n v="321"/>
    <n v="-1.3411498179876831"/>
    <n v="0"/>
    <n v="0"/>
    <n v="0"/>
    <n v="0"/>
    <n v="0"/>
  </r>
  <r>
    <s v="67e5b44f-c243-472e-a235-c42b3aa091a5"/>
    <s v="67e2eee7-9b17-4f62-a30e-0a883725e528"/>
    <d v="2025-05-17T00:00:00"/>
    <d v="1899-12-30T15:11:59"/>
    <n v="15"/>
    <n v="41"/>
    <s v="Bronze"/>
    <s v="Miami"/>
    <s v="BOUTIQUE-SHANGHAI"/>
    <s v="ORION-CONCEAL-09"/>
    <s v="Lipstick"/>
    <n v="77.45"/>
    <x v="4"/>
    <n v="0"/>
    <s v="Desktop"/>
    <s v="159.82.146.93"/>
    <x v="0"/>
    <n v="477"/>
    <n v="-1.34516465323575"/>
    <n v="0"/>
    <n v="0"/>
    <n v="0"/>
    <n v="0"/>
    <n v="0"/>
  </r>
  <r>
    <s v="4e84d25a-f9a6-43b5-be91-9b13de79eba0"/>
    <s v="aa0d8067-12c3-4ae4-944e-649c96a85e5a"/>
    <d v="2025-05-28T00:00:00"/>
    <d v="1899-12-30T01:44:07"/>
    <n v="1"/>
    <n v="42"/>
    <s v="Gold"/>
    <s v="Monte Carlo"/>
    <s v="BOUTIQUE-SHANGHAI"/>
    <s v="ORION-CONCEAL-09"/>
    <s v="Eyeshadow Palette"/>
    <n v="77.319999999999993"/>
    <x v="4"/>
    <n v="0"/>
    <s v="Laptop"/>
    <s v="196.93.240.71"/>
    <x v="0"/>
    <n v="121"/>
    <n v="-1.3469644069676421"/>
    <n v="0"/>
    <n v="1"/>
    <n v="1"/>
    <n v="3"/>
    <n v="0"/>
  </r>
  <r>
    <s v="e01943d6-3265-4846-97d6-6759e8b27621"/>
    <s v="6e7504d4-dc99-4a27-9cb1-0999b33de792"/>
    <d v="2025-05-12T00:00:00"/>
    <d v="1899-12-30T07:47:18"/>
    <n v="7"/>
    <n v="37"/>
    <s v="Silver"/>
    <s v="London"/>
    <s v="FLAGSHIP-PARIS"/>
    <s v="STELLAR-FOUND-03"/>
    <s v="Foundation"/>
    <n v="77.05"/>
    <x v="0"/>
    <n v="0"/>
    <s v="Desktop"/>
    <s v="249.15.241.232"/>
    <x v="0"/>
    <n v="262"/>
    <n v="-1.3507023570261869"/>
    <n v="0"/>
    <n v="0"/>
    <n v="1"/>
    <n v="1"/>
    <n v="0"/>
  </r>
  <r>
    <s v="df7bc059-ea27-43d5-bf2a-115d8d806dc3"/>
    <s v="3f5fa859-e064-4372-8647-e8fa056b6ade"/>
    <d v="2025-05-06T00:00:00"/>
    <d v="1899-12-30T20:10:28"/>
    <n v="20"/>
    <n v="30"/>
    <s v="Platinum"/>
    <s v="Hong Kong"/>
    <s v="POPUP-TOKYO"/>
    <s v="COSMIC-HIGHLIGHT-06"/>
    <s v="Highlighter"/>
    <n v="77.040000000000006"/>
    <x v="3"/>
    <n v="0"/>
    <s v="Tablet"/>
    <s v="108.246.227.95"/>
    <x v="0"/>
    <n v="439"/>
    <n v="-1.3508407996209477"/>
    <n v="0"/>
    <n v="0"/>
    <n v="0"/>
    <n v="0"/>
    <n v="0"/>
  </r>
  <r>
    <s v="3aadcad3-52cf-4c44-a1e5-e3a47d7d348c"/>
    <s v="854368f9-6c52-4ab5-83e8-fd8066a139e8"/>
    <d v="2025-06-29T00:00:00"/>
    <d v="1899-12-30T10:01:13"/>
    <n v="10"/>
    <n v="41"/>
    <s v="None"/>
    <s v="Cannes"/>
    <s v="CONCESSION-SINGAPORE"/>
    <s v="AURORA-LIP-01"/>
    <s v="Eyeliner"/>
    <n v="76.69"/>
    <x v="4"/>
    <n v="0"/>
    <s v="Laptop"/>
    <s v="149.91.133.86"/>
    <x v="0"/>
    <n v="175"/>
    <n v="-1.3556862904375802"/>
    <n v="0"/>
    <n v="0"/>
    <n v="1"/>
    <n v="1"/>
    <n v="0"/>
  </r>
  <r>
    <s v="dd6fa321-44b1-4560-bf79-75e9e73ae0ff"/>
    <s v="9843bff7-8809-478d-a80e-b244b6691cb8"/>
    <d v="2025-06-24T00:00:00"/>
    <d v="1899-12-30T14:20:04"/>
    <n v="14"/>
    <n v="40"/>
    <s v="Bronze"/>
    <s v="Hong Kong"/>
    <s v="FLAGSHIP-PARIS"/>
    <s v="AURORA-LIP-01"/>
    <s v="Setting Spray"/>
    <n v="76.680000000000007"/>
    <x v="0"/>
    <n v="0"/>
    <s v="Laptop"/>
    <s v="96.212.184.125"/>
    <x v="0"/>
    <n v="372"/>
    <n v="-1.355824733032341"/>
    <n v="0"/>
    <n v="0"/>
    <n v="0"/>
    <n v="0"/>
    <n v="0"/>
  </r>
  <r>
    <s v="78188d99-efc7-4412-9adb-ded1900e4332"/>
    <s v="d2271037-5b5e-4952-956d-9d72cdddeb53"/>
    <d v="2025-06-17T00:00:00"/>
    <d v="1899-12-30T23:20:50"/>
    <n v="23"/>
    <n v="47"/>
    <s v="Bronze"/>
    <s v="New York"/>
    <s v="CONCESSION-LONDON"/>
    <s v="ORION-CONCEAL-09"/>
    <s v="Serum"/>
    <n v="76.63"/>
    <x v="0"/>
    <n v="0"/>
    <s v="Mobile"/>
    <s v="109.39.192.65"/>
    <x v="0"/>
    <n v="227"/>
    <n v="-1.3565169460061457"/>
    <n v="0"/>
    <n v="0"/>
    <n v="1"/>
    <n v="1"/>
    <n v="0"/>
  </r>
  <r>
    <s v="e413f966-bb01-43f0-9def-ba785c5f8e86"/>
    <s v="4d0c95a2-7c7c-437a-9650-1f17da4096e9"/>
    <d v="2025-03-12T00:00:00"/>
    <d v="1899-12-30T17:21:24"/>
    <n v="17"/>
    <n v="42"/>
    <s v="Silver"/>
    <s v="Dubai"/>
    <s v="BOUTIQUE-SHANGHAI"/>
    <s v="ORION-CONCEAL-09"/>
    <s v="Eyeliner"/>
    <n v="76.61"/>
    <x v="1"/>
    <n v="0"/>
    <s v="Mobile"/>
    <s v="232.134.135.160"/>
    <x v="0"/>
    <n v="477"/>
    <n v="-1.3567938311956675"/>
    <n v="0"/>
    <n v="0"/>
    <n v="0"/>
    <n v="0"/>
    <n v="0"/>
  </r>
  <r>
    <s v="f0a60ff6-f61e-4caa-940d-581fb77104d5"/>
    <s v="6c135d78-e331-4020-8196-7ca2458caae0"/>
    <d v="2025-03-21T00:00:00"/>
    <d v="1899-12-30T00:37:04"/>
    <n v="0"/>
    <n v="27"/>
    <s v="Silver"/>
    <s v="Los Angeles"/>
    <s v="POPUP-MILAN"/>
    <s v="CELESTE-EYE-05"/>
    <s v="Foundation"/>
    <n v="76.31"/>
    <x v="1"/>
    <n v="0"/>
    <s v="Mobile"/>
    <s v="37.66.97.98"/>
    <x v="0"/>
    <n v="308"/>
    <n v="-1.3609471090384953"/>
    <n v="0"/>
    <n v="1"/>
    <n v="0"/>
    <n v="2"/>
    <n v="0"/>
  </r>
  <r>
    <s v="75b2c034-160b-4c34-a9db-ad3f38b51064"/>
    <s v="c58d481e-48c8-4fab-806d-8a2f941f201e"/>
    <d v="2025-03-19T00:00:00"/>
    <d v="1899-12-30T17:05:38"/>
    <n v="17"/>
    <n v="60"/>
    <s v="Gold"/>
    <s v="Shanghai"/>
    <s v="FLAGSHIP-ROME"/>
    <s v="SOLAR-BLUSH-04"/>
    <s v="Serum"/>
    <n v="76.16"/>
    <x v="1"/>
    <n v="0"/>
    <s v="Desktop"/>
    <s v="189.158.67.183"/>
    <x v="0"/>
    <n v="449"/>
    <n v="-1.3630237479599092"/>
    <n v="0"/>
    <n v="0"/>
    <n v="0"/>
    <n v="0"/>
    <n v="0"/>
  </r>
  <r>
    <s v="2281723c-5840-4d8e-b955-cf4f84a9b2a5"/>
    <s v="dbeced8d-f643-418a-93a3-c7fed2b0cf28"/>
    <d v="2025-02-25T00:00:00"/>
    <d v="1899-12-30T14:35:35"/>
    <n v="14"/>
    <n v="59"/>
    <s v="Unknown"/>
    <s v="Rome"/>
    <s v="CONCESSION-SINGAPORE"/>
    <s v="COSMIC-HIGHLIGHT-06"/>
    <s v="Blush"/>
    <n v="76.12"/>
    <x v="0"/>
    <n v="0"/>
    <s v="Tablet"/>
    <s v="219.106.83.198"/>
    <x v="0"/>
    <n v="342"/>
    <n v="-1.3635775183389527"/>
    <n v="0"/>
    <n v="0"/>
    <n v="0"/>
    <n v="0"/>
    <n v="0"/>
  </r>
  <r>
    <s v="026ca1ba-0456-461f-a4fe-d4c189857429"/>
    <s v="7ca58759-782f-4c30-b0af-676507fc1b32"/>
    <d v="2025-07-18T00:00:00"/>
    <d v="1899-12-30T06:06:02"/>
    <n v="6"/>
    <n v="27"/>
    <s v="Bronze"/>
    <s v="Dubai"/>
    <s v="POPUP-MILAN"/>
    <s v="STELLAR-FOUND-03"/>
    <s v="Setting Spray"/>
    <n v="76.09"/>
    <x v="1"/>
    <n v="0"/>
    <s v="Tablet"/>
    <s v="25.202.111.108"/>
    <x v="0"/>
    <n v="449"/>
    <n v="-1.3639928461232356"/>
    <n v="0"/>
    <n v="0"/>
    <n v="0"/>
    <n v="0"/>
    <n v="0"/>
  </r>
  <r>
    <s v="84d5b38f-8d14-4b6c-8676-bad80b0089a5"/>
    <s v="4c4900b9-613d-43e2-b154-39f12cf69b51"/>
    <d v="2025-06-15T00:00:00"/>
    <d v="1899-12-30T01:18:26"/>
    <n v="1"/>
    <n v="49"/>
    <s v="VIP"/>
    <s v="New York"/>
    <s v="FLAGSHIP-PARIS"/>
    <s v="SOLAR-BLUSH-04"/>
    <s v="Serum"/>
    <n v="76"/>
    <x v="3"/>
    <n v="0"/>
    <s v="Mobile"/>
    <s v="17.154.5.49"/>
    <x v="0"/>
    <n v="127"/>
    <n v="-1.365238829476084"/>
    <n v="0"/>
    <n v="1"/>
    <n v="1"/>
    <n v="3"/>
    <n v="0"/>
  </r>
  <r>
    <s v="ee22f610-fc5d-43d8-a438-a77d93fdb84c"/>
    <s v="a2b347f0-db0c-4cd8-90a8-f48061d3c366"/>
    <d v="2025-02-25T00:00:00"/>
    <d v="1899-12-30T02:16:12"/>
    <n v="2"/>
    <n v="19"/>
    <s v="Platinum"/>
    <s v="Sydney"/>
    <s v="FLAGSHIP-LA"/>
    <s v="LUNAR-MASC-02"/>
    <s v="Lipstick"/>
    <n v="75.930000000000007"/>
    <x v="3"/>
    <n v="0"/>
    <s v="Mobile"/>
    <s v="148.176.27.135"/>
    <x v="0"/>
    <n v="98"/>
    <n v="-1.3662079276394103"/>
    <n v="0"/>
    <n v="1"/>
    <n v="1"/>
    <n v="3"/>
    <n v="0"/>
  </r>
  <r>
    <s v="d320d38f-5537-4142-bef8-bc0ed04d4199"/>
    <s v="b7a4bb3a-2e63-4524-89e8-d8073ae31839"/>
    <d v="2025-05-18T00:00:00"/>
    <d v="1899-12-30T10:04:35"/>
    <n v="10"/>
    <n v="49"/>
    <s v="Silver"/>
    <s v="Zurich"/>
    <s v="BOUTIQUE-NYC"/>
    <s v="STELLAR-FOUND-03"/>
    <s v="Eyeshadow Palette"/>
    <n v="75.900000000000006"/>
    <x v="0"/>
    <n v="0"/>
    <s v="Mobile"/>
    <s v="228.240.17.73"/>
    <x v="1"/>
    <n v="430"/>
    <n v="-1.3666232554236932"/>
    <n v="0"/>
    <n v="0"/>
    <n v="0"/>
    <n v="0"/>
    <n v="0"/>
  </r>
  <r>
    <s v="bf05d686-78fa-4817-a06e-9862c3a8257c"/>
    <s v="84672358-324d-4cf3-9cd2-bfa706587e40"/>
    <d v="2025-07-06T00:00:00"/>
    <d v="1899-12-30T05:29:07"/>
    <n v="5"/>
    <n v="35"/>
    <s v="Platinum"/>
    <s v="Cannes"/>
    <s v="POPUP-TOKYO"/>
    <s v="NEBULA-SERUM-07"/>
    <s v="Eyeshadow Palette"/>
    <n v="75.819999999999993"/>
    <x v="4"/>
    <n v="0"/>
    <s v="Laptop"/>
    <s v="19.212.10.7"/>
    <x v="0"/>
    <n v="94"/>
    <n v="-1.3677307961817806"/>
    <n v="0"/>
    <n v="1"/>
    <n v="1"/>
    <n v="3"/>
    <n v="0"/>
  </r>
  <r>
    <s v="5306571b-ea4f-49f0-8ecc-1d011b546b35"/>
    <s v="a8887b5a-eb11-4112-aaf9-e897ef8b13d8"/>
    <d v="2025-04-26T00:00:00"/>
    <d v="1899-12-30T14:51:35"/>
    <n v="14"/>
    <n v="59"/>
    <s v="Bronze"/>
    <s v="Paris"/>
    <s v="POPUP-TOKYO"/>
    <s v="NEBULA-SERUM-07"/>
    <s v="Blush"/>
    <n v="75.81"/>
    <x v="2"/>
    <n v="1"/>
    <s v="Desktop"/>
    <s v="134.45.125.241"/>
    <x v="0"/>
    <n v="408"/>
    <n v="-1.3678692387765414"/>
    <n v="0"/>
    <n v="0"/>
    <n v="0"/>
    <n v="2"/>
    <n v="0"/>
  </r>
  <r>
    <s v="5300316e-794a-4577-9dc6-a25dafe56f48"/>
    <s v="3d12205f-6306-43d7-a8ee-827927c1eb38"/>
    <d v="2025-08-08T00:00:00"/>
    <d v="1899-12-30T07:41:00"/>
    <n v="7"/>
    <n v="24"/>
    <s v="Silver"/>
    <s v="Paris"/>
    <s v="FLAGSHIP-ROME"/>
    <s v="CELESTE-EYE-05"/>
    <s v="Lipstick"/>
    <n v="75.599999999999994"/>
    <x v="4"/>
    <n v="0"/>
    <s v="Mobile"/>
    <s v="11.107.220.142"/>
    <x v="0"/>
    <n v="261"/>
    <n v="-1.3707765332665209"/>
    <n v="0"/>
    <n v="0"/>
    <n v="1"/>
    <n v="1"/>
    <n v="0"/>
  </r>
  <r>
    <s v="46e253c2-6431-4d70-af66-de0a5207cadf"/>
    <s v="5099feae-8e48-48e7-9b86-84edb88140f5"/>
    <d v="2025-04-12T00:00:00"/>
    <d v="1899-12-30T05:21:22"/>
    <n v="5"/>
    <n v="46"/>
    <s v="VIP"/>
    <s v="Las Vegas"/>
    <s v="CONCESSION-LONDON"/>
    <s v="STELLAR-FOUND-03"/>
    <s v="Setting Spray"/>
    <n v="75.489999999999995"/>
    <x v="0"/>
    <n v="0"/>
    <s v="Mobile"/>
    <s v="72.186.180.45"/>
    <x v="0"/>
    <n v="377"/>
    <n v="-1.3722994018088912"/>
    <n v="0"/>
    <n v="1"/>
    <n v="0"/>
    <n v="2"/>
    <n v="0"/>
  </r>
  <r>
    <s v="85d09a19-f822-4e16-9d29-f85f537f88ff"/>
    <s v="3fe77827-5df6-4406-8c72-cf602bf73e46"/>
    <d v="2025-03-03T00:00:00"/>
    <d v="1899-12-30T17:50:01"/>
    <n v="17"/>
    <n v="48"/>
    <s v="Silver"/>
    <s v="Rome"/>
    <s v="POPUP-TOKYO"/>
    <s v="AURORA-LIP-01"/>
    <s v="Mascara"/>
    <n v="75.48"/>
    <x v="4"/>
    <n v="0"/>
    <s v="Mobile"/>
    <s v="237.212.202.191"/>
    <x v="0"/>
    <n v="443"/>
    <n v="-1.372437844403652"/>
    <n v="0"/>
    <n v="0"/>
    <n v="0"/>
    <n v="0"/>
    <n v="0"/>
  </r>
  <r>
    <s v="cb7d9263-31e6-4619-b7e2-6bc13fd8121e"/>
    <s v="3d315ce5-b2da-4714-89dc-0b41566799c6"/>
    <d v="2025-06-09T00:00:00"/>
    <d v="1899-12-30T13:05:04"/>
    <n v="13"/>
    <n v="23"/>
    <s v="Gold"/>
    <s v="Paris"/>
    <s v="BOUTIQUE-DUBAI"/>
    <s v="ORION-CONCEAL-09"/>
    <s v="Highlighter"/>
    <n v="75.47"/>
    <x v="1"/>
    <n v="0"/>
    <s v="Mobile"/>
    <s v="223.17.220.12"/>
    <x v="0"/>
    <n v="389"/>
    <n v="-1.3725762869984131"/>
    <n v="0"/>
    <n v="0"/>
    <n v="0"/>
    <n v="0"/>
    <n v="0"/>
  </r>
  <r>
    <s v="c8ee04a5-be0d-44cc-bc9a-7d09ade15bf8"/>
    <s v="3b5b0db5-741b-43a9-9c87-1221305a3d6e"/>
    <d v="2025-03-13T00:00:00"/>
    <d v="1899-12-30T00:44:24"/>
    <n v="0"/>
    <n v="60"/>
    <s v="Silver"/>
    <s v="New York"/>
    <s v="FLAGSHIP-PARIS"/>
    <s v="GALAXIA-SET-08"/>
    <s v="Mascara"/>
    <n v="75.22"/>
    <x v="4"/>
    <n v="0"/>
    <s v="Desktop"/>
    <s v="187.74.252.220"/>
    <x v="0"/>
    <n v="413"/>
    <n v="-1.376037351867436"/>
    <n v="0"/>
    <n v="1"/>
    <n v="0"/>
    <n v="2"/>
    <n v="0"/>
  </r>
  <r>
    <s v="3cc947af-1ea8-4003-84cf-4231d9fa044e"/>
    <s v="4049c69b-cb29-4946-b9a7-2982717d45e2"/>
    <d v="2025-04-03T00:00:00"/>
    <d v="1899-12-30T08:51:19"/>
    <n v="8"/>
    <n v="32"/>
    <s v="Bronze"/>
    <s v="Sydney"/>
    <s v="BOUTIQUE-SHANGHAI"/>
    <s v="ECLIPSE-EYE-10"/>
    <s v="Concealer"/>
    <n v="75.069999999999993"/>
    <x v="3"/>
    <n v="0"/>
    <s v="Mobile"/>
    <s v="58.76.142.61"/>
    <x v="0"/>
    <n v="187"/>
    <n v="-1.37811399078885"/>
    <n v="0"/>
    <n v="0"/>
    <n v="1"/>
    <n v="1"/>
    <n v="0"/>
  </r>
  <r>
    <s v="b01f2f87-dc8f-44c8-9ea7-e464227bf41e"/>
    <s v="325d9892-5419-4712-99c4-45cc2c8d3205"/>
    <d v="2025-02-22T00:00:00"/>
    <d v="1899-12-30T21:00:30"/>
    <n v="21"/>
    <n v="53"/>
    <s v="Platinum"/>
    <s v="Paris"/>
    <s v="FLAGSHIP-ROME"/>
    <s v="ORION-CONCEAL-09"/>
    <s v="Mascara"/>
    <n v="74.87"/>
    <x v="0"/>
    <n v="0"/>
    <s v="Tablet"/>
    <s v="29.137.186.143"/>
    <x v="0"/>
    <n v="403"/>
    <n v="-1.3808828426840685"/>
    <n v="0"/>
    <n v="0"/>
    <n v="0"/>
    <n v="0"/>
    <n v="0"/>
  </r>
  <r>
    <s v="83fa0de9-28f0-481f-8e9f-0308e2c6bba0"/>
    <s v="b51d2d20-f8a1-4b76-875e-902ddc6c7a01"/>
    <d v="2025-04-28T00:00:00"/>
    <d v="1899-12-30T22:36:52"/>
    <n v="22"/>
    <n v="29"/>
    <s v="Bronze"/>
    <s v="Shanghai"/>
    <s v="POPUP-MILAN"/>
    <s v="CELESTE-EYE-05"/>
    <s v="Eyeliner"/>
    <n v="74.72"/>
    <x v="4"/>
    <n v="0"/>
    <s v="Desktop"/>
    <s v="164.75.142.68"/>
    <x v="0"/>
    <n v="238"/>
    <n v="-1.3829594816054822"/>
    <n v="0"/>
    <n v="0"/>
    <n v="1"/>
    <n v="1"/>
    <n v="0"/>
  </r>
  <r>
    <s v="29884233-3bff-42ec-93a3-947649ae9bf0"/>
    <s v="7049e828-752d-4313-a2ff-f0ed917aa67c"/>
    <d v="2025-07-18T00:00:00"/>
    <d v="1899-12-30T18:55:01"/>
    <n v="18"/>
    <n v="34"/>
    <s v="Bronze"/>
    <s v="Hong Kong"/>
    <s v="CONCESSION-LONDON"/>
    <s v="NEBULA-SERUM-07"/>
    <s v="Foundation"/>
    <n v="74.599999999999994"/>
    <x v="0"/>
    <n v="0"/>
    <s v="Laptop"/>
    <s v="1.222.34.251"/>
    <x v="0"/>
    <n v="50"/>
    <n v="-1.3846207927426135"/>
    <n v="0"/>
    <n v="0"/>
    <n v="1"/>
    <n v="1"/>
    <n v="0"/>
  </r>
  <r>
    <s v="11a4606e-ce07-4161-a5ac-248619dadf34"/>
    <s v="39b45ec2-585b-473d-be82-408677b978f9"/>
    <d v="2025-04-28T00:00:00"/>
    <d v="1899-12-30T18:35:22"/>
    <n v="18"/>
    <n v="36"/>
    <s v="VIP"/>
    <s v="London"/>
    <s v="FLAGSHIP-PARIS"/>
    <s v="AURORA-LIP-01"/>
    <s v="Eyeliner"/>
    <n v="74.53"/>
    <x v="1"/>
    <n v="0"/>
    <s v="Tablet"/>
    <s v="176.157.52.75"/>
    <x v="0"/>
    <n v="331"/>
    <n v="-1.3855898909059399"/>
    <n v="0"/>
    <n v="0"/>
    <n v="0"/>
    <n v="0"/>
    <n v="0"/>
  </r>
  <r>
    <s v="2a2481ce-2f27-42fa-bdd9-f98e3b669e5f"/>
    <s v="82836fac-747a-4f2e-9bf0-d8a8f959dcbe"/>
    <d v="2025-06-07T00:00:00"/>
    <d v="1899-12-30T16:02:57"/>
    <n v="16"/>
    <n v="60"/>
    <s v="Platinum"/>
    <s v="London"/>
    <s v="FLAGSHIP-LA"/>
    <s v="ORION-CONCEAL-09"/>
    <s v="Blush"/>
    <n v="74.430000000000007"/>
    <x v="1"/>
    <n v="0"/>
    <s v="Desktop"/>
    <s v="156.203.245.62"/>
    <x v="0"/>
    <n v="76"/>
    <n v="-1.3869743168535491"/>
    <n v="0"/>
    <n v="0"/>
    <n v="1"/>
    <n v="1"/>
    <n v="0"/>
  </r>
  <r>
    <s v="45bf2c78-0b0f-41e2-92e0-a3589159bf9e"/>
    <s v="11be9d6b-14e6-41a5-97f7-5d508b70e823"/>
    <d v="2025-06-23T00:00:00"/>
    <d v="1899-12-30T02:17:09"/>
    <n v="2"/>
    <n v="51"/>
    <s v="Gold"/>
    <s v="Monte Carlo"/>
    <s v="BOUTIQUE-NYC"/>
    <s v="LUNAR-MASC-02"/>
    <s v="Serum"/>
    <n v="74.290000000000006"/>
    <x v="0"/>
    <n v="0"/>
    <s v="Laptop"/>
    <s v="8.41.235.245"/>
    <x v="0"/>
    <n v="362"/>
    <n v="-1.388912513180202"/>
    <n v="0"/>
    <n v="1"/>
    <n v="0"/>
    <n v="2"/>
    <n v="0"/>
  </r>
  <r>
    <s v="c192ed16-ff19-4202-b0cc-a8b4d0df0f53"/>
    <s v="8aef5f5a-b382-43d7-9367-f60c91137fae"/>
    <d v="2025-06-15T00:00:00"/>
    <d v="1899-12-30T10:51:35"/>
    <n v="10"/>
    <n v="48"/>
    <s v="Unknown"/>
    <s v="New York"/>
    <s v="CONCESSION-LONDON"/>
    <s v="AURORA-LIP-01"/>
    <s v="Highlighter"/>
    <n v="73.989999999999995"/>
    <x v="4"/>
    <n v="0"/>
    <s v="Laptop"/>
    <s v="173.70.133.146"/>
    <x v="0"/>
    <n v="94"/>
    <n v="-1.39306579102303"/>
    <n v="0"/>
    <n v="0"/>
    <n v="1"/>
    <n v="1"/>
    <n v="0"/>
  </r>
  <r>
    <s v="640b744d-d300-4ac6-b20a-46d96909c004"/>
    <s v="c65fa13f-92e1-4b57-beb9-69e66bf6aedb"/>
    <d v="2025-02-21T00:00:00"/>
    <d v="1899-12-30T02:46:46"/>
    <n v="2"/>
    <n v="24"/>
    <s v="Bronze"/>
    <s v="Geneva"/>
    <s v="FLAGSHIP-ROME"/>
    <s v="ECLIPSE-EYE-10"/>
    <s v="Foundation"/>
    <n v="73.81"/>
    <x v="2"/>
    <n v="1"/>
    <s v="Desktop"/>
    <s v="151.195.244.19"/>
    <x v="0"/>
    <n v="192"/>
    <n v="-1.3955577577287264"/>
    <n v="0"/>
    <n v="1"/>
    <n v="1"/>
    <n v="5"/>
    <n v="1"/>
  </r>
  <r>
    <s v="e29268e2-7783-4f17-b1c8-2ea4e16e8324"/>
    <s v="a67ecfc0-ded0-41e8-a2d8-63e86c14e45b"/>
    <d v="2025-06-27T00:00:00"/>
    <d v="1899-12-30T17:36:09"/>
    <n v="17"/>
    <n v="33"/>
    <s v="Bronze"/>
    <s v="Miami"/>
    <s v="FLAGSHIP-PARIS"/>
    <s v="GALAXIA-SET-08"/>
    <s v="Setting Spray"/>
    <n v="73.77"/>
    <x v="4"/>
    <n v="0"/>
    <s v="Mobile"/>
    <s v="255.0.128.208"/>
    <x v="0"/>
    <n v="432"/>
    <n v="-1.3961115281077703"/>
    <n v="0"/>
    <n v="0"/>
    <n v="0"/>
    <n v="0"/>
    <n v="0"/>
  </r>
  <r>
    <s v="e8c74802-f25d-443d-8178-0c8e025ec6d2"/>
    <s v="146ca4b2-4edc-42fa-862d-5f2dbd0daa0c"/>
    <d v="2025-02-26T00:00:00"/>
    <d v="1899-12-30T18:56:47"/>
    <n v="18"/>
    <n v="50"/>
    <s v="Platinum"/>
    <s v="Zurich"/>
    <s v="FLAGSHIP-PARIS"/>
    <s v="COSMIC-HIGHLIGHT-06"/>
    <s v="Blush"/>
    <n v="73.72"/>
    <x v="0"/>
    <n v="0"/>
    <s v="Desktop"/>
    <s v="254.220.60.196"/>
    <x v="0"/>
    <n v="360"/>
    <n v="-1.3968037410815748"/>
    <n v="0"/>
    <n v="0"/>
    <n v="0"/>
    <n v="0"/>
    <n v="0"/>
  </r>
  <r>
    <s v="31328994-a27b-4262-be35-345c683aa755"/>
    <s v="708a2348-c9ed-4e0c-83ab-39e0ebddd25f"/>
    <d v="2025-08-05T00:00:00"/>
    <d v="1899-12-30T06:16:46"/>
    <n v="6"/>
    <n v="34"/>
    <s v="VIP"/>
    <s v="Cannes"/>
    <s v="BOUTIQUE-SHANGHAI"/>
    <s v="LUNAR-MASC-02"/>
    <s v="Concealer"/>
    <n v="73.67"/>
    <x v="1"/>
    <n v="0"/>
    <s v="Mobile"/>
    <s v="252.81.183.107"/>
    <x v="0"/>
    <n v="130"/>
    <n v="-1.3974959540553793"/>
    <n v="0"/>
    <n v="0"/>
    <n v="1"/>
    <n v="1"/>
    <n v="0"/>
  </r>
  <r>
    <s v="a4e1bf95-868a-4b3d-82cc-dd1ae418ffe6"/>
    <s v="b4c978ba-1ddc-4004-89f6-677301f80e3c"/>
    <d v="2025-06-20T00:00:00"/>
    <d v="1899-12-30T22:58:08"/>
    <n v="22"/>
    <n v="53"/>
    <s v="Silver"/>
    <s v="Shanghai"/>
    <s v="FLAGSHIP-ROME"/>
    <s v="NEBULA-SERUM-07"/>
    <s v="Foundation"/>
    <n v="73.540000000000006"/>
    <x v="0"/>
    <n v="0"/>
    <s v="Laptop"/>
    <s v="175.238.253.185"/>
    <x v="0"/>
    <n v="100"/>
    <n v="-1.3992957077872714"/>
    <n v="0"/>
    <n v="0"/>
    <n v="1"/>
    <n v="1"/>
    <n v="0"/>
  </r>
  <r>
    <s v="0d2685c2-feb1-4775-84f6-f3e5bfb139c9"/>
    <s v="caf7de7d-b491-4e83-b066-5cb3373f5c8c"/>
    <d v="2025-04-06T00:00:00"/>
    <d v="1899-12-30T09:13:33"/>
    <n v="9"/>
    <n v="27"/>
    <s v="VIP"/>
    <s v="Shanghai"/>
    <s v="POPUP-TOKYO"/>
    <s v="ECLIPSE-EYE-10"/>
    <s v="Eyeshadow Palette"/>
    <n v="73.489999999999995"/>
    <x v="0"/>
    <n v="0"/>
    <s v="Desktop"/>
    <s v="237.148.2.123"/>
    <x v="0"/>
    <n v="191"/>
    <n v="-1.3999879207610761"/>
    <n v="0"/>
    <n v="0"/>
    <n v="1"/>
    <n v="1"/>
    <n v="0"/>
  </r>
  <r>
    <s v="ef08cab6-6227-4ea6-933d-765275a2675c"/>
    <s v="3558f701-b2a8-48f4-bf60-d0cd40ef5095"/>
    <d v="2025-04-03T00:00:00"/>
    <d v="1899-12-30T21:45:55"/>
    <n v="21"/>
    <n v="41"/>
    <s v="Bronze"/>
    <s v="Shanghai"/>
    <s v="FLAGSHIP-LA"/>
    <s v="NEBULA-SERUM-07"/>
    <s v="Eyeliner"/>
    <n v="73.48"/>
    <x v="3"/>
    <n v="0"/>
    <s v="Tablet"/>
    <s v="215.217.255.142"/>
    <x v="0"/>
    <n v="326"/>
    <n v="-1.400126363355837"/>
    <n v="0"/>
    <n v="0"/>
    <n v="0"/>
    <n v="0"/>
    <n v="0"/>
  </r>
  <r>
    <s v="588a195d-e0ff-47dd-a0bf-8fac48f2434f"/>
    <s v="a6b8806c-0a42-4231-a243-71b9073452c5"/>
    <d v="2025-06-10T00:00:00"/>
    <d v="1899-12-30T04:36:54"/>
    <n v="4"/>
    <n v="64"/>
    <s v="Silver"/>
    <s v="Geneva"/>
    <s v="FLAGSHIP-PARIS"/>
    <s v="CELESTE-EYE-05"/>
    <s v="Eyeliner"/>
    <n v="73.36"/>
    <x v="1"/>
    <n v="0"/>
    <s v="Tablet"/>
    <s v="146.252.87.99"/>
    <x v="0"/>
    <n v="260"/>
    <n v="-1.401787674492968"/>
    <n v="0"/>
    <n v="1"/>
    <n v="1"/>
    <n v="3"/>
    <n v="0"/>
  </r>
  <r>
    <s v="0b5f788d-b402-4c7c-b05f-a8ece3b71973"/>
    <s v="4e5d45c3-6b5f-465a-a24f-a5d1fe872e05"/>
    <d v="2025-05-01T00:00:00"/>
    <d v="1899-12-30T11:00:31"/>
    <n v="11"/>
    <n v="41"/>
    <s v="Gold"/>
    <s v="Dubai"/>
    <s v="FLAGSHIP-PARIS"/>
    <s v="LUNAR-MASC-02"/>
    <s v="Serum"/>
    <n v="73.14"/>
    <x v="1"/>
    <n v="0"/>
    <s v="Mobile"/>
    <s v="228.145.110.93"/>
    <x v="1"/>
    <n v="337"/>
    <n v="-1.4048334115777084"/>
    <n v="0"/>
    <n v="0"/>
    <n v="0"/>
    <n v="0"/>
    <n v="0"/>
  </r>
  <r>
    <s v="5a82d33e-fe3e-44eb-92cb-ba62f640d79b"/>
    <s v="443c6d20-348a-40ae-b50f-11c99d6a7bde"/>
    <d v="2025-05-24T00:00:00"/>
    <d v="1899-12-30T02:33:16"/>
    <n v="2"/>
    <n v="59"/>
    <s v="Bronze"/>
    <s v="London"/>
    <s v="CONCESSION-SINGAPORE"/>
    <s v="ECLIPSE-EYE-10"/>
    <s v="Blush"/>
    <n v="73.11"/>
    <x v="0"/>
    <n v="0"/>
    <s v="Desktop"/>
    <s v="228.30.71.104"/>
    <x v="0"/>
    <n v="477"/>
    <n v="-1.4052487393619912"/>
    <n v="0"/>
    <n v="1"/>
    <n v="0"/>
    <n v="2"/>
    <n v="0"/>
  </r>
  <r>
    <s v="0504e473-7ff6-4381-8314-91fc5713d82b"/>
    <s v="a671c0e7-867f-4c8e-945f-1e986c37e13f"/>
    <d v="2025-06-25T00:00:00"/>
    <d v="1899-12-30T07:48:53"/>
    <n v="7"/>
    <n v="34"/>
    <s v="Bronze"/>
    <s v="Cannes"/>
    <s v="BOUTIQUE-NYC"/>
    <s v="AURORA-LIP-01"/>
    <s v="Serum"/>
    <n v="73.02"/>
    <x v="0"/>
    <n v="0"/>
    <s v="Desktop"/>
    <s v="102.62.71.143"/>
    <x v="0"/>
    <n v="407"/>
    <n v="-1.4064947227148394"/>
    <n v="0"/>
    <n v="0"/>
    <n v="0"/>
    <n v="0"/>
    <n v="0"/>
  </r>
  <r>
    <s v="28f7b222-fe8c-4764-af96-72c2de3c49d9"/>
    <s v="3041c630-5c6c-4929-a878-625b81297ed0"/>
    <d v="2025-05-26T00:00:00"/>
    <d v="1899-12-30T05:49:37"/>
    <n v="5"/>
    <n v="28"/>
    <s v="VIP"/>
    <s v="Miami"/>
    <s v="BOUTIQUE-DUBAI"/>
    <s v="SOLAR-BLUSH-04"/>
    <s v="Mascara"/>
    <n v="72.88"/>
    <x v="0"/>
    <n v="0"/>
    <s v="Laptop"/>
    <s v="198.241.118.224"/>
    <x v="0"/>
    <n v="430"/>
    <n v="-1.4084329190414924"/>
    <n v="0"/>
    <n v="1"/>
    <n v="0"/>
    <n v="2"/>
    <n v="0"/>
  </r>
  <r>
    <s v="6bacac37-386e-4cc8-8e80-b1611910e20a"/>
    <s v="1c362b7c-9182-4336-b6cd-2f43dce5cf71"/>
    <d v="2025-04-15T00:00:00"/>
    <d v="1899-12-30T05:20:53"/>
    <n v="5"/>
    <n v="19"/>
    <s v="Bronze"/>
    <s v="Sydney"/>
    <s v="FLAGSHIP-PARIS"/>
    <s v="ORION-CONCEAL-09"/>
    <s v="Lipstick"/>
    <n v="72.849999999999994"/>
    <x v="3"/>
    <n v="0"/>
    <s v="Laptop"/>
    <s v="196.86.80.51"/>
    <x v="0"/>
    <n v="211"/>
    <n v="-1.4088482468257753"/>
    <n v="0"/>
    <n v="1"/>
    <n v="1"/>
    <n v="3"/>
    <n v="0"/>
  </r>
  <r>
    <s v="90f29389-1de3-4e3b-83b0-912904e1cfb5"/>
    <s v="cf571e04-95a8-47f7-84f0-0aeb4dbdfdd9"/>
    <d v="2025-07-26T00:00:00"/>
    <d v="1899-12-30T15:56:19"/>
    <n v="15"/>
    <n v="64"/>
    <s v="Unknown"/>
    <s v="Monte Carlo"/>
    <s v="BOUTIQUE-NYC"/>
    <s v="AURORA-LIP-01"/>
    <s v="Eyeshadow Palette"/>
    <n v="72.400000000000006"/>
    <x v="4"/>
    <n v="0"/>
    <s v="Desktop"/>
    <s v="103.28.46.187"/>
    <x v="0"/>
    <n v="371"/>
    <n v="-1.4150781635900167"/>
    <n v="0"/>
    <n v="0"/>
    <n v="0"/>
    <n v="0"/>
    <n v="0"/>
  </r>
  <r>
    <s v="681b9a9d-bc74-4e0f-ba51-c8892c7ca492"/>
    <s v="9f5eb3dc-23af-4f17-a97c-80504d4451f0"/>
    <d v="2025-06-09T00:00:00"/>
    <d v="1899-12-30T02:35:59"/>
    <n v="2"/>
    <n v="60"/>
    <s v="Bronze"/>
    <s v="Zurich"/>
    <s v="POPUP-MILAN"/>
    <s v="COSMIC-HIGHLIGHT-06"/>
    <s v="Concealer"/>
    <n v="71.989999999999995"/>
    <x v="0"/>
    <n v="0"/>
    <s v="Laptop"/>
    <s v="119.163.58.177"/>
    <x v="0"/>
    <n v="463"/>
    <n v="-1.4207543099752147"/>
    <n v="0"/>
    <n v="1"/>
    <n v="0"/>
    <n v="2"/>
    <n v="0"/>
  </r>
  <r>
    <s v="10758e07-97a7-4ddb-804a-70b8f91a4a16"/>
    <s v="784613d1-fbe6-4291-8a88-be3397894985"/>
    <d v="2025-04-27T00:00:00"/>
    <d v="1899-12-30T07:16:38"/>
    <n v="7"/>
    <n v="41"/>
    <s v="Bronze"/>
    <s v="Zurich"/>
    <s v="BOUTIQUE-DUBAI"/>
    <s v="GALAXIA-SET-08"/>
    <s v="Foundation"/>
    <n v="71.97"/>
    <x v="4"/>
    <n v="0"/>
    <s v="Tablet"/>
    <s v="1.26.164.108"/>
    <x v="0"/>
    <n v="137"/>
    <n v="-1.4210311951647365"/>
    <n v="0"/>
    <n v="0"/>
    <n v="1"/>
    <n v="1"/>
    <n v="0"/>
  </r>
  <r>
    <s v="a7c2d628-dc7e-45b5-a287-2cbefd748ea5"/>
    <s v="fe8061a0-94b9-4255-8b1f-e83a834d9876"/>
    <d v="2025-03-11T00:00:00"/>
    <d v="1899-12-30T19:12:12"/>
    <n v="19"/>
    <n v="25"/>
    <s v="Silver"/>
    <s v="Geneva"/>
    <s v="FLAGSHIP-LA"/>
    <s v="NEBULA-SERUM-07"/>
    <s v="Setting Spray"/>
    <n v="71.930000000000007"/>
    <x v="3"/>
    <n v="0"/>
    <s v="Tablet"/>
    <s v="24.13.223.5"/>
    <x v="0"/>
    <n v="297"/>
    <n v="-1.4215849655437802"/>
    <n v="0"/>
    <n v="0"/>
    <n v="0"/>
    <n v="0"/>
    <n v="0"/>
  </r>
  <r>
    <s v="72a30af4-4b59-4b83-87e5-b3aeb8ae4403"/>
    <s v="89fc1692-3742-4071-8320-0688cead5c48"/>
    <d v="2025-02-27T00:00:00"/>
    <d v="1899-12-30T15:36:38"/>
    <n v="15"/>
    <n v="34"/>
    <s v="Gold"/>
    <s v="Tokyo"/>
    <s v="FLAGSHIP-PARIS"/>
    <s v="LUNAR-MASC-02"/>
    <s v="Mascara"/>
    <n v="71.86"/>
    <x v="0"/>
    <n v="0"/>
    <s v="Laptop"/>
    <s v="132.63.207.7"/>
    <x v="0"/>
    <n v="437"/>
    <n v="-1.4225540637071068"/>
    <n v="0"/>
    <n v="0"/>
    <n v="0"/>
    <n v="0"/>
    <n v="0"/>
  </r>
  <r>
    <s v="517c9f96-d0c6-4fe2-9daf-21f5a1c447d3"/>
    <s v="d317ba68-40c4-42d6-b08c-44ecdcf1aec5"/>
    <d v="2025-02-19T00:00:00"/>
    <d v="1899-12-30T13:26:02"/>
    <n v="13"/>
    <n v="19"/>
    <s v="Bronze"/>
    <s v="Singapore"/>
    <s v="BOUTIQUE-SHANGHAI"/>
    <s v="STELLAR-FOUND-03"/>
    <s v="Mascara"/>
    <n v="71.459999999999994"/>
    <x v="1"/>
    <n v="0"/>
    <s v="Tablet"/>
    <s v="59.179.41.173"/>
    <x v="0"/>
    <n v="219"/>
    <n v="-1.4280917674975437"/>
    <n v="0"/>
    <n v="0"/>
    <n v="1"/>
    <n v="1"/>
    <n v="0"/>
  </r>
  <r>
    <s v="f25f58b6-d12b-43fc-9a62-daff8afeaec1"/>
    <s v="bfd30d60-fcf4-4744-8594-7a15c9012b2d"/>
    <d v="2025-05-23T00:00:00"/>
    <d v="1899-12-30T00:27:12"/>
    <n v="0"/>
    <n v="38"/>
    <s v="Gold"/>
    <s v="Singapore"/>
    <s v="FLAGSHIP-PARIS"/>
    <s v="GALAXIA-SET-08"/>
    <s v="Serum"/>
    <n v="71.41"/>
    <x v="0"/>
    <n v="0"/>
    <s v="Tablet"/>
    <s v="111.208.140.62"/>
    <x v="0"/>
    <n v="307"/>
    <n v="-1.4287839804713485"/>
    <n v="0"/>
    <n v="1"/>
    <n v="0"/>
    <n v="2"/>
    <n v="0"/>
  </r>
  <r>
    <s v="d28643d1-9123-40de-9ce9-8e253584c89b"/>
    <s v="ae88a2ca-877f-4aa1-bc5f-ec9e9bb52a1f"/>
    <d v="2025-08-01T00:00:00"/>
    <d v="1899-12-30T20:33:34"/>
    <n v="20"/>
    <n v="31"/>
    <s v="Silver"/>
    <s v="Monaco"/>
    <s v="BOUTIQUE-DUBAI"/>
    <s v="GALAXIA-SET-08"/>
    <s v="Lipstick"/>
    <n v="71.239999999999995"/>
    <x v="4"/>
    <n v="0"/>
    <s v="Mobile"/>
    <s v="182.247.41.53"/>
    <x v="0"/>
    <n v="461"/>
    <n v="-1.4311375045822841"/>
    <n v="0"/>
    <n v="0"/>
    <n v="0"/>
    <n v="0"/>
    <n v="0"/>
  </r>
  <r>
    <s v="e5550cd7-9f89-44d2-b3d5-7cba8f0cf769"/>
    <s v="990768c6-2e14-4ac4-8904-9c9af61ce594"/>
    <d v="2025-03-20T00:00:00"/>
    <d v="1899-12-30T00:45:55"/>
    <n v="0"/>
    <n v="46"/>
    <s v="VIP"/>
    <s v="Dubai"/>
    <s v="CONCESSION-SINGAPORE"/>
    <s v="GALAXIA-SET-08"/>
    <s v="Setting Spray"/>
    <n v="71.16"/>
    <x v="3"/>
    <n v="0"/>
    <s v="Laptop"/>
    <s v="253.194.31.185"/>
    <x v="0"/>
    <n v="307"/>
    <n v="-1.4322450453403714"/>
    <n v="0"/>
    <n v="1"/>
    <n v="0"/>
    <n v="2"/>
    <n v="0"/>
  </r>
  <r>
    <s v="6bed0005-11dd-4bc4-bf34-0e8d18bfd021"/>
    <s v="244d493c-4018-45d6-a024-78e73be76f2d"/>
    <d v="2025-06-29T00:00:00"/>
    <d v="1899-12-30T05:42:51"/>
    <n v="5"/>
    <n v="64"/>
    <s v="Bronze"/>
    <s v="Tokyo"/>
    <s v="FLAGSHIP-ROME"/>
    <s v="ORION-CONCEAL-09"/>
    <s v="Blush"/>
    <n v="71.16"/>
    <x v="4"/>
    <n v="0"/>
    <s v="Mobile"/>
    <s v="14.201.64.206"/>
    <x v="0"/>
    <n v="235"/>
    <n v="-1.4322450453403714"/>
    <n v="0"/>
    <n v="1"/>
    <n v="1"/>
    <n v="3"/>
    <n v="0"/>
  </r>
  <r>
    <s v="98571a7f-bf64-42e1-8d1d-7033ba0d680f"/>
    <s v="5626db45-8ba7-447b-9f4b-e21859a3dabe"/>
    <d v="2025-07-28T00:00:00"/>
    <d v="1899-12-30T09:20:05"/>
    <n v="9"/>
    <n v="45"/>
    <s v="Unknown"/>
    <s v="Tokyo"/>
    <s v="CONCESSION-SINGAPORE"/>
    <s v="COSMIC-HIGHLIGHT-06"/>
    <s v="Lipstick"/>
    <n v="71.069999999999993"/>
    <x v="3"/>
    <n v="0"/>
    <s v="Tablet"/>
    <s v="52.3.73.228"/>
    <x v="0"/>
    <n v="344"/>
    <n v="-1.4334910286932199"/>
    <n v="0"/>
    <n v="0"/>
    <n v="0"/>
    <n v="0"/>
    <n v="0"/>
  </r>
  <r>
    <s v="97ec2b31-4df6-4fce-842a-cfd9632a75de"/>
    <s v="4d4ee4a7-28db-42c1-a63e-091968aa481b"/>
    <d v="2025-07-18T00:00:00"/>
    <d v="1899-12-30T22:14:22"/>
    <n v="22"/>
    <n v="26"/>
    <s v="Silver"/>
    <s v="Monte Carlo"/>
    <s v="FLAGSHIP-PARIS"/>
    <s v="ORION-CONCEAL-09"/>
    <s v="Highlighter"/>
    <n v="70.59"/>
    <x v="3"/>
    <n v="0"/>
    <s v="Tablet"/>
    <s v="193.211.196.121"/>
    <x v="0"/>
    <n v="265"/>
    <n v="-1.440136273241744"/>
    <n v="0"/>
    <n v="0"/>
    <n v="1"/>
    <n v="1"/>
    <n v="0"/>
  </r>
  <r>
    <s v="0a780253-2847-4803-b394-a7c30ddb713d"/>
    <s v="73e0ac53-ccd7-40d1-86ad-9fcb0bcee03e"/>
    <d v="2025-04-27T00:00:00"/>
    <d v="1899-12-30T18:32:05"/>
    <n v="18"/>
    <n v="22"/>
    <s v="Bronze"/>
    <s v="Zurich"/>
    <s v="CONCESSION-LONDON"/>
    <s v="SOLAR-BLUSH-04"/>
    <s v="Foundation"/>
    <n v="70.569999999999993"/>
    <x v="2"/>
    <n v="1"/>
    <s v="Tablet"/>
    <s v="251.93.249.3"/>
    <x v="0"/>
    <n v="333"/>
    <n v="-1.440413158431266"/>
    <n v="0"/>
    <n v="0"/>
    <n v="0"/>
    <n v="2"/>
    <n v="0"/>
  </r>
  <r>
    <s v="1c120307-f93a-4230-bc5b-83f1e8e67c7a"/>
    <s v="eee46ac3-98e0-4962-bfd8-99153dea126e"/>
    <d v="2025-03-26T00:00:00"/>
    <d v="1899-12-30T18:46:24"/>
    <n v="18"/>
    <n v="46"/>
    <s v="Bronze"/>
    <s v="Zurich"/>
    <s v="CONCESSION-LONDON"/>
    <s v="GALAXIA-SET-08"/>
    <s v="Blush"/>
    <n v="70.47"/>
    <x v="2"/>
    <n v="1"/>
    <s v="Tablet"/>
    <s v="51.102.103.35"/>
    <x v="0"/>
    <n v="419"/>
    <n v="-1.4417975843788753"/>
    <n v="0"/>
    <n v="0"/>
    <n v="0"/>
    <n v="2"/>
    <n v="0"/>
  </r>
  <r>
    <s v="5d607dd7-b7f9-41b3-b640-6b72678673a7"/>
    <s v="df1eeb16-d266-4c57-ad76-a5ba562135f1"/>
    <d v="2025-04-04T00:00:00"/>
    <d v="1899-12-30T00:30:06"/>
    <n v="0"/>
    <n v="43"/>
    <s v="Silver"/>
    <s v="Shanghai"/>
    <s v="BOUTIQUE-DUBAI"/>
    <s v="SOLAR-BLUSH-04"/>
    <s v="Eyeliner"/>
    <n v="70.37"/>
    <x v="4"/>
    <n v="0"/>
    <s v="Desktop"/>
    <s v="211.21.53.85"/>
    <x v="0"/>
    <n v="366"/>
    <n v="-1.4431820103264845"/>
    <n v="0"/>
    <n v="1"/>
    <n v="0"/>
    <n v="2"/>
    <n v="0"/>
  </r>
  <r>
    <s v="f04c7cf1-14d9-4881-bf7b-ef0ca9dcf162"/>
    <s v="58353284-f948-41e1-b13b-cd1416b510d4"/>
    <d v="2025-02-24T00:00:00"/>
    <d v="1899-12-30T22:12:30"/>
    <n v="22"/>
    <n v="43"/>
    <s v="Bronze"/>
    <s v="Paris"/>
    <s v="FLAGSHIP-ROME"/>
    <s v="ORION-CONCEAL-09"/>
    <s v="Serum"/>
    <n v="70.36"/>
    <x v="3"/>
    <n v="0"/>
    <s v="Desktop"/>
    <s v="118.207.249.155"/>
    <x v="0"/>
    <n v="136"/>
    <n v="-1.4433204529212453"/>
    <n v="0"/>
    <n v="0"/>
    <n v="1"/>
    <n v="1"/>
    <n v="0"/>
  </r>
  <r>
    <s v="91373c6e-6937-4197-a8af-8f004f7a6564"/>
    <s v="2c33c4ec-d88b-4857-97cf-28ffdfbca9a1"/>
    <d v="2025-06-12T00:00:00"/>
    <d v="1899-12-30T08:35:16"/>
    <n v="8"/>
    <n v="49"/>
    <s v="Silver"/>
    <s v="Geneva"/>
    <s v="CONCESSION-SINGAPORE"/>
    <s v="NEBULA-SERUM-07"/>
    <s v="Blush"/>
    <n v="70.08"/>
    <x v="3"/>
    <n v="0"/>
    <s v="Desktop"/>
    <s v="20.253.30.108"/>
    <x v="0"/>
    <n v="183"/>
    <n v="-1.4471968455745514"/>
    <n v="0"/>
    <n v="0"/>
    <n v="1"/>
    <n v="1"/>
    <n v="0"/>
  </r>
  <r>
    <s v="98bdfd20-8677-48ce-800a-ba788ec583e7"/>
    <s v="5bc60b19-ad20-44fb-9baf-fe56fb6fbc2f"/>
    <d v="2025-02-26T00:00:00"/>
    <d v="1899-12-30T21:54:38"/>
    <n v="21"/>
    <n v="54"/>
    <s v="Bronze"/>
    <s v="Las Vegas"/>
    <s v="CONCESSION-SINGAPORE"/>
    <s v="STELLAR-FOUND-03"/>
    <s v="Eyeshadow Palette"/>
    <n v="70.02"/>
    <x v="0"/>
    <n v="0"/>
    <s v="Mobile"/>
    <s v="52.65.18.240"/>
    <x v="1"/>
    <n v="489"/>
    <n v="-1.448027501143117"/>
    <n v="0"/>
    <n v="0"/>
    <n v="0"/>
    <n v="0"/>
    <n v="0"/>
  </r>
  <r>
    <s v="62e1b914-d6e0-4485-af1b-b21ec9c5a33b"/>
    <s v="842f6e00-addb-4247-9126-83ab11463e62"/>
    <d v="2025-04-05T00:00:00"/>
    <d v="1899-12-30T19:38:18"/>
    <n v="19"/>
    <n v="19"/>
    <s v="Silver"/>
    <s v="Dubai"/>
    <s v="FLAGSHIP-PARIS"/>
    <s v="LUNAR-MASC-02"/>
    <s v="Blush"/>
    <n v="69.900000000000006"/>
    <x v="3"/>
    <n v="0"/>
    <s v="Desktop"/>
    <s v="78.242.103.78"/>
    <x v="0"/>
    <n v="75"/>
    <n v="-1.4496888122802478"/>
    <n v="0"/>
    <n v="0"/>
    <n v="1"/>
    <n v="1"/>
    <n v="0"/>
  </r>
  <r>
    <s v="98151d27-0a5c-4c9b-a915-265af993d337"/>
    <s v="41a6ae7f-51ce-4a09-bae8-50f062452bbc"/>
    <d v="2025-07-06T00:00:00"/>
    <d v="1899-12-30T06:51:48"/>
    <n v="6"/>
    <n v="50"/>
    <s v="Silver"/>
    <s v="San Francisco"/>
    <s v="FLAGSHIP-LA"/>
    <s v="AURORA-LIP-01"/>
    <s v="Eyeshadow Palette"/>
    <n v="69.78"/>
    <x v="4"/>
    <n v="0"/>
    <s v="Desktop"/>
    <s v="94.223.103.254"/>
    <x v="0"/>
    <n v="440"/>
    <n v="-1.4513501234173789"/>
    <n v="0"/>
    <n v="0"/>
    <n v="0"/>
    <n v="0"/>
    <n v="0"/>
  </r>
  <r>
    <s v="141545f8-b314-45a4-ae83-0d1addf0458d"/>
    <s v="fa42eec7-0027-4e95-b1a3-06e6230b3cf5"/>
    <d v="2025-07-31T00:00:00"/>
    <d v="1899-12-30T03:47:03"/>
    <n v="3"/>
    <n v="41"/>
    <s v="Platinum"/>
    <s v="Dubai"/>
    <s v="CONCESSION-SINGAPORE"/>
    <s v="NEBULA-SERUM-07"/>
    <s v="Mascara"/>
    <n v="69.510000000000005"/>
    <x v="0"/>
    <n v="0"/>
    <s v="Laptop"/>
    <s v="147.102.45.224"/>
    <x v="0"/>
    <n v="301"/>
    <n v="-1.4550880734759239"/>
    <n v="0"/>
    <n v="1"/>
    <n v="0"/>
    <n v="2"/>
    <n v="0"/>
  </r>
  <r>
    <s v="9cbab0c9-16a8-4a75-b9cd-b453d6df58f0"/>
    <s v="f827c179-ade6-4b0b-b4ff-0a30b1e6b410"/>
    <d v="2025-03-12T00:00:00"/>
    <d v="1899-12-30T18:38:34"/>
    <n v="18"/>
    <n v="29"/>
    <s v="Bronze"/>
    <s v="Singapore"/>
    <s v="FLAGSHIP-PARIS"/>
    <s v="ORION-CONCEAL-09"/>
    <s v="Lipstick"/>
    <n v="69.459999999999994"/>
    <x v="4"/>
    <n v="0"/>
    <s v="Tablet"/>
    <s v="188.181.77.24"/>
    <x v="0"/>
    <n v="259"/>
    <n v="-1.4557802864497287"/>
    <n v="0"/>
    <n v="0"/>
    <n v="1"/>
    <n v="1"/>
    <n v="0"/>
  </r>
  <r>
    <s v="ae70bead-90a2-440f-9c47-da7078561655"/>
    <s v="4a6ea917-39ed-4eee-a8ad-c06128518e07"/>
    <d v="2025-05-06T00:00:00"/>
    <d v="1899-12-30T19:44:56"/>
    <n v="19"/>
    <n v="38"/>
    <s v="Bronze"/>
    <s v="Cannes"/>
    <s v="CONCESSION-LONDON"/>
    <s v="GALAXIA-SET-08"/>
    <s v="Mascara"/>
    <n v="69.400000000000006"/>
    <x v="3"/>
    <n v="0"/>
    <s v="Tablet"/>
    <s v="124.102.47.178"/>
    <x v="0"/>
    <n v="224"/>
    <n v="-1.456610942018294"/>
    <n v="0"/>
    <n v="0"/>
    <n v="1"/>
    <n v="1"/>
    <n v="0"/>
  </r>
  <r>
    <s v="489d1729-87b5-4ff7-8dd0-e7c652d469c9"/>
    <s v="02a6258f-6f4f-4475-9a8d-c793e9dac632"/>
    <d v="2025-03-30T00:00:00"/>
    <d v="1899-12-30T08:12:39"/>
    <n v="8"/>
    <n v="37"/>
    <s v="Unknown"/>
    <s v="Hong Kong"/>
    <s v="BOUTIQUE-NYC"/>
    <s v="ORION-CONCEAL-09"/>
    <s v="Serum"/>
    <n v="69.260000000000005"/>
    <x v="3"/>
    <n v="0"/>
    <s v="Mobile"/>
    <s v="186.188.2.26"/>
    <x v="0"/>
    <n v="258"/>
    <n v="-1.4585491383449469"/>
    <n v="0"/>
    <n v="0"/>
    <n v="1"/>
    <n v="1"/>
    <n v="0"/>
  </r>
  <r>
    <s v="c232106f-3ae5-448c-abf5-c80ef49f0b39"/>
    <s v="95e74e18-43b6-45d4-be45-a09e2aa4d316"/>
    <d v="2025-03-25T00:00:00"/>
    <d v="1899-12-30T18:41:53"/>
    <n v="18"/>
    <n v="58"/>
    <s v="Silver"/>
    <s v="Sydney"/>
    <s v="CONCESSION-SINGAPORE"/>
    <s v="ORION-CONCEAL-09"/>
    <s v="Eyeshadow Palette"/>
    <n v="68.790000000000006"/>
    <x v="3"/>
    <n v="0"/>
    <s v="Tablet"/>
    <s v="254.56.148.91"/>
    <x v="0"/>
    <n v="254"/>
    <n v="-1.4650559402987104"/>
    <n v="0"/>
    <n v="0"/>
    <n v="1"/>
    <n v="1"/>
    <n v="0"/>
  </r>
  <r>
    <s v="dd5e7be2-4c26-42e3-a33b-42b139c2d0c3"/>
    <s v="55b87e6d-7c58-4ef9-b226-1d62b1230618"/>
    <d v="2025-03-28T00:00:00"/>
    <d v="1899-12-30T17:04:18"/>
    <n v="17"/>
    <n v="28"/>
    <s v="Silver"/>
    <s v="Paris"/>
    <s v="POPUP-MILAN"/>
    <s v="AURORA-LIP-01"/>
    <s v="Lipstick"/>
    <n v="68.599999999999994"/>
    <x v="3"/>
    <n v="0"/>
    <s v="Desktop"/>
    <s v="70.54.170.49"/>
    <x v="0"/>
    <n v="74"/>
    <n v="-1.4676863495991681"/>
    <n v="0"/>
    <n v="0"/>
    <n v="1"/>
    <n v="1"/>
    <n v="0"/>
  </r>
  <r>
    <s v="65fe3d45-1be1-4cbf-bd1a-38109fd9efeb"/>
    <s v="8064de64-7b51-4723-b289-5eb81e7dda97"/>
    <d v="2025-05-09T00:00:00"/>
    <d v="1899-12-30T16:28:51"/>
    <n v="16"/>
    <n v="26"/>
    <s v="Platinum"/>
    <s v="Shanghai"/>
    <s v="FLAGSHIP-ROME"/>
    <s v="NEBULA-SERUM-07"/>
    <s v="Concealer"/>
    <n v="68.39"/>
    <x v="3"/>
    <n v="0"/>
    <s v="Desktop"/>
    <s v="204.58.213.235"/>
    <x v="0"/>
    <n v="137"/>
    <n v="-1.4705936440891476"/>
    <n v="0"/>
    <n v="0"/>
    <n v="1"/>
    <n v="1"/>
    <n v="0"/>
  </r>
  <r>
    <s v="c5686096-2e0e-4ad9-a846-2725d23c8764"/>
    <s v="59b067c5-3c68-41cd-83e0-76adad2b8c88"/>
    <d v="2025-03-21T00:00:00"/>
    <d v="1899-12-30T18:19:30"/>
    <n v="18"/>
    <n v="29"/>
    <s v="Silver"/>
    <s v="New York"/>
    <s v="POPUP-MILAN"/>
    <s v="LUNAR-MASC-02"/>
    <s v="Serum"/>
    <n v="68.260000000000005"/>
    <x v="2"/>
    <n v="1"/>
    <s v="Tablet"/>
    <s v="184.255.45.154"/>
    <x v="0"/>
    <n v="394"/>
    <n v="-1.4723933978210395"/>
    <n v="0"/>
    <n v="0"/>
    <n v="0"/>
    <n v="2"/>
    <n v="0"/>
  </r>
  <r>
    <s v="4d7e0582-e931-43b3-bc75-07a23a35c7e2"/>
    <s v="7d5304ae-efe2-42d9-af6b-f4f8c7b6633a"/>
    <d v="2025-03-15T00:00:00"/>
    <d v="1899-12-30T14:39:17"/>
    <n v="14"/>
    <n v="55"/>
    <s v="Silver"/>
    <s v="Singapore"/>
    <s v="FLAGSHIP-PARIS"/>
    <s v="LUNAR-MASC-02"/>
    <s v="Eyeliner"/>
    <n v="68.260000000000005"/>
    <x v="4"/>
    <n v="0"/>
    <s v="Laptop"/>
    <s v="19.91.235.132"/>
    <x v="0"/>
    <n v="141"/>
    <n v="-1.4723933978210395"/>
    <n v="0"/>
    <n v="0"/>
    <n v="1"/>
    <n v="1"/>
    <n v="0"/>
  </r>
  <r>
    <s v="e0d2d25d-3b50-48c5-a974-7770f0e5a088"/>
    <s v="b0a2ae6b-0379-425b-86e6-303400ec5c30"/>
    <d v="2025-03-05T00:00:00"/>
    <d v="1899-12-30T17:23:29"/>
    <n v="17"/>
    <n v="49"/>
    <s v="Platinum"/>
    <s v="Shanghai"/>
    <s v="POPUP-TOKYO"/>
    <s v="GALAXIA-SET-08"/>
    <s v="Eyeshadow Palette"/>
    <n v="68.23"/>
    <x v="0"/>
    <n v="0"/>
    <s v="Mobile"/>
    <s v="105.106.9.212"/>
    <x v="0"/>
    <n v="445"/>
    <n v="-1.4728087256053222"/>
    <n v="0"/>
    <n v="0"/>
    <n v="0"/>
    <n v="0"/>
    <n v="0"/>
  </r>
  <r>
    <s v="c4ca782d-cf1a-4221-95a1-029de4adfd36"/>
    <s v="21f28c29-d0f6-49b8-a811-80aeffce6884"/>
    <d v="2025-05-31T00:00:00"/>
    <d v="1899-12-30T20:43:41"/>
    <n v="20"/>
    <n v="18"/>
    <s v="Gold"/>
    <s v="San Francisco"/>
    <s v="FLAGSHIP-ROME"/>
    <s v="NEBULA-SERUM-07"/>
    <s v="Mascara"/>
    <n v="67.989999999999995"/>
    <x v="0"/>
    <n v="0"/>
    <s v="Mobile"/>
    <s v="79.217.193.80"/>
    <x v="0"/>
    <n v="215"/>
    <n v="-1.4761313478795846"/>
    <n v="0"/>
    <n v="0"/>
    <n v="1"/>
    <n v="1"/>
    <n v="0"/>
  </r>
  <r>
    <s v="f657d9fa-8a0a-49d6-b0d5-12054af7ba18"/>
    <s v="e9a87de5-96d2-4d27-9d85-e5153dd12e83"/>
    <d v="2025-04-19T00:00:00"/>
    <d v="1899-12-30T03:13:33"/>
    <n v="3"/>
    <n v="65"/>
    <s v="Platinum"/>
    <s v="Monte Carlo"/>
    <s v="POPUP-MILAN"/>
    <s v="ORION-CONCEAL-09"/>
    <s v="Highlighter"/>
    <n v="67.97"/>
    <x v="0"/>
    <n v="0"/>
    <s v="Desktop"/>
    <s v="102.19.5.128"/>
    <x v="0"/>
    <n v="436"/>
    <n v="-1.4764082330691064"/>
    <n v="0"/>
    <n v="1"/>
    <n v="0"/>
    <n v="2"/>
    <n v="0"/>
  </r>
  <r>
    <s v="bb25c4b6-3221-4fea-a31f-9882fce414f9"/>
    <s v="9ea524f1-9c57-40a1-8a04-13d15ee4dc89"/>
    <d v="2025-02-25T00:00:00"/>
    <d v="1899-12-30T02:50:34"/>
    <n v="2"/>
    <n v="24"/>
    <s v="Bronze"/>
    <s v="Hong Kong"/>
    <s v="FLAGSHIP-LA"/>
    <s v="CELESTE-EYE-05"/>
    <s v="Highlighter"/>
    <n v="67.92"/>
    <x v="0"/>
    <n v="0"/>
    <s v="Desktop"/>
    <s v="57.10.143.183"/>
    <x v="1"/>
    <n v="55"/>
    <n v="-1.4771004460429109"/>
    <n v="0"/>
    <n v="1"/>
    <n v="1"/>
    <n v="3"/>
    <n v="0"/>
  </r>
  <r>
    <s v="857614b6-ec46-4118-82a7-8c0840bcc344"/>
    <s v="ffc8877a-3f91-4513-a43a-1908cb0b503a"/>
    <d v="2025-05-30T00:00:00"/>
    <d v="1899-12-30T00:48:01"/>
    <n v="0"/>
    <n v="42"/>
    <s v="Unknown"/>
    <s v="Cannes"/>
    <s v="CONCESSION-LONDON"/>
    <s v="NEBULA-SERUM-07"/>
    <s v="Highlighter"/>
    <n v="67.86"/>
    <x v="0"/>
    <n v="0"/>
    <s v="Mobile"/>
    <s v="195.160.63.238"/>
    <x v="0"/>
    <n v="205"/>
    <n v="-1.4779311016114764"/>
    <n v="0"/>
    <n v="1"/>
    <n v="1"/>
    <n v="3"/>
    <n v="0"/>
  </r>
  <r>
    <s v="a4f37ff6-417e-4875-858c-51b292fa456c"/>
    <s v="9d959130-cf10-4068-9ad5-1ccaee3843e2"/>
    <d v="2025-06-06T00:00:00"/>
    <d v="1899-12-30T17:20:49"/>
    <n v="17"/>
    <n v="61"/>
    <s v="Bronze"/>
    <s v="Las Vegas"/>
    <s v="FLAGSHIP-LA"/>
    <s v="CELESTE-EYE-05"/>
    <s v="Concealer"/>
    <n v="67.849999999999994"/>
    <x v="1"/>
    <n v="0"/>
    <s v="Tablet"/>
    <s v="236.89.179.236"/>
    <x v="0"/>
    <n v="68"/>
    <n v="-1.4780695442062375"/>
    <n v="0"/>
    <n v="0"/>
    <n v="1"/>
    <n v="1"/>
    <n v="0"/>
  </r>
  <r>
    <s v="e6a759cf-c800-442f-a164-34c421055d93"/>
    <s v="e229ccaf-ae17-4dc9-8014-499a7142d906"/>
    <d v="2025-06-14T00:00:00"/>
    <d v="1899-12-30T23:15:14"/>
    <n v="23"/>
    <n v="52"/>
    <s v="Silver"/>
    <s v="Cannes"/>
    <s v="BOUTIQUE-DUBAI"/>
    <s v="CELESTE-EYE-05"/>
    <s v="Serum"/>
    <n v="67.75"/>
    <x v="1"/>
    <n v="0"/>
    <s v="Mobile"/>
    <s v="208.39.1.76"/>
    <x v="0"/>
    <n v="258"/>
    <n v="-1.4794539701538467"/>
    <n v="0"/>
    <n v="0"/>
    <n v="1"/>
    <n v="1"/>
    <n v="0"/>
  </r>
  <r>
    <s v="1ddb4eb5-1be3-4168-8206-a9e98a7ffa2d"/>
    <s v="7eb895e4-0862-4464-adee-853926c15488"/>
    <d v="2025-03-12T00:00:00"/>
    <d v="1899-12-30T07:35:27"/>
    <n v="7"/>
    <n v="22"/>
    <s v="Bronze"/>
    <s v="Milan"/>
    <s v="FLAGSHIP-LA"/>
    <s v="AURORA-LIP-01"/>
    <s v="Foundation"/>
    <n v="67.67"/>
    <x v="4"/>
    <n v="0"/>
    <s v="Mobile"/>
    <s v="16.252.129.210"/>
    <x v="0"/>
    <n v="261"/>
    <n v="-1.4805615109119341"/>
    <n v="0"/>
    <n v="0"/>
    <n v="1"/>
    <n v="1"/>
    <n v="0"/>
  </r>
  <r>
    <s v="90d786a4-bea6-431d-8f89-766801eb292e"/>
    <s v="efae7c73-db62-4f43-8088-e502101ae072"/>
    <d v="2025-05-02T00:00:00"/>
    <d v="1899-12-30T03:49:51"/>
    <n v="3"/>
    <n v="41"/>
    <s v="Bronze"/>
    <s v="Las Vegas"/>
    <s v="POPUP-MILAN"/>
    <s v="ORION-CONCEAL-09"/>
    <s v="Concealer"/>
    <n v="67.56"/>
    <x v="4"/>
    <n v="0"/>
    <s v="Mobile"/>
    <s v="158.166.92.13"/>
    <x v="0"/>
    <n v="384"/>
    <n v="-1.4820843794543042"/>
    <n v="0"/>
    <n v="1"/>
    <n v="0"/>
    <n v="2"/>
    <n v="0"/>
  </r>
  <r>
    <s v="03aebb03-302f-4908-8ae1-5fafc7857381"/>
    <s v="078c1475-3366-4f87-82aa-e57d38492463"/>
    <d v="2025-05-11T00:00:00"/>
    <d v="1899-12-30T05:44:37"/>
    <n v="5"/>
    <n v="63"/>
    <s v="Gold"/>
    <s v="Monaco"/>
    <s v="FLAGSHIP-PARIS"/>
    <s v="CELESTE-EYE-05"/>
    <s v="Lipstick"/>
    <n v="67.510000000000005"/>
    <x v="0"/>
    <n v="0"/>
    <s v="Desktop"/>
    <s v="125.39.107.214"/>
    <x v="0"/>
    <n v="394"/>
    <n v="-1.4827765924281089"/>
    <n v="0"/>
    <n v="1"/>
    <n v="0"/>
    <n v="2"/>
    <n v="0"/>
  </r>
  <r>
    <s v="2330cd10-882d-4222-b0c4-1d34e3f8e0f7"/>
    <s v="f6fb3eec-1928-435c-8d86-26427dbda5a9"/>
    <d v="2025-05-22T00:00:00"/>
    <d v="1899-12-30T11:32:51"/>
    <n v="11"/>
    <n v="51"/>
    <s v="Gold"/>
    <s v="Las Vegas"/>
    <s v="FLAGSHIP-LA"/>
    <s v="CELESTE-EYE-05"/>
    <s v="Concealer"/>
    <n v="67.45"/>
    <x v="0"/>
    <n v="0"/>
    <s v="Mobile"/>
    <s v="219.122.87.161"/>
    <x v="0"/>
    <n v="186"/>
    <n v="-1.4836072479966744"/>
    <n v="0"/>
    <n v="0"/>
    <n v="1"/>
    <n v="1"/>
    <n v="0"/>
  </r>
  <r>
    <s v="deb80104-7f3d-4b2c-8a37-ca5434711a93"/>
    <s v="9896d65a-bae1-49f7-81f6-aed5b45e07d4"/>
    <d v="2025-07-25T00:00:00"/>
    <d v="1899-12-30T06:36:34"/>
    <n v="6"/>
    <n v="39"/>
    <s v="VIP"/>
    <s v="Paris"/>
    <s v="FLAGSHIP-ROME"/>
    <s v="GALAXIA-SET-08"/>
    <s v="Highlighter"/>
    <n v="67.44"/>
    <x v="3"/>
    <n v="0"/>
    <s v="Tablet"/>
    <s v="70.185.49.180"/>
    <x v="0"/>
    <n v="484"/>
    <n v="-1.4837456905914355"/>
    <n v="0"/>
    <n v="0"/>
    <n v="0"/>
    <n v="0"/>
    <n v="0"/>
  </r>
  <r>
    <s v="e15b13b3-b268-492e-8241-4194cfa0baa3"/>
    <s v="ee662c34-d683-4a0a-952b-6e70cffd5d56"/>
    <d v="2025-05-03T00:00:00"/>
    <d v="1899-12-30T08:26:12"/>
    <n v="8"/>
    <n v="32"/>
    <s v="Bronze"/>
    <s v="San Francisco"/>
    <s v="FLAGSHIP-LA"/>
    <s v="SOLAR-BLUSH-04"/>
    <s v="Serum"/>
    <n v="67.42"/>
    <x v="0"/>
    <n v="0"/>
    <s v="Mobile"/>
    <s v="87.51.95.183"/>
    <x v="0"/>
    <n v="142"/>
    <n v="-1.4840225757809571"/>
    <n v="0"/>
    <n v="0"/>
    <n v="1"/>
    <n v="1"/>
    <n v="0"/>
  </r>
  <r>
    <s v="7bbb9fd0-5ad5-4ca3-b050-b027a194eac1"/>
    <s v="69e7db01-8238-4469-acc8-7c95b4bd583c"/>
    <d v="2025-07-06T00:00:00"/>
    <d v="1899-12-30T22:42:40"/>
    <n v="22"/>
    <n v="40"/>
    <s v="Silver"/>
    <s v="Milan"/>
    <s v="FLAGSHIP-LA"/>
    <s v="AURORA-LIP-01"/>
    <s v="Blush"/>
    <n v="67.28"/>
    <x v="3"/>
    <n v="0"/>
    <s v="Mobile"/>
    <s v="67.59.148.44"/>
    <x v="0"/>
    <n v="147"/>
    <n v="-1.4859607721076102"/>
    <n v="0"/>
    <n v="0"/>
    <n v="1"/>
    <n v="1"/>
    <n v="0"/>
  </r>
  <r>
    <s v="15cd5734-94b8-42b9-bb62-d66d3aacb81c"/>
    <s v="b6be6ee0-f3bd-4f1a-9301-8d982806aabe"/>
    <d v="2025-07-31T00:00:00"/>
    <d v="1899-12-30T11:42:57"/>
    <n v="11"/>
    <n v="62"/>
    <s v="Bronze"/>
    <s v="Los Angeles"/>
    <s v="FLAGSHIP-ROME"/>
    <s v="NEBULA-SERUM-07"/>
    <s v="Highlighter"/>
    <n v="67.25"/>
    <x v="4"/>
    <n v="0"/>
    <s v="Laptop"/>
    <s v="21.12.115.216"/>
    <x v="0"/>
    <n v="328"/>
    <n v="-1.4863760998918929"/>
    <n v="0"/>
    <n v="0"/>
    <n v="0"/>
    <n v="0"/>
    <n v="0"/>
  </r>
  <r>
    <s v="08a015c7-f1a5-4de4-83ae-af676617af8f"/>
    <s v="617fc5fe-a1a5-401d-a5cd-550cf8298280"/>
    <d v="2025-07-18T00:00:00"/>
    <d v="1899-12-30T10:22:38"/>
    <n v="10"/>
    <n v="46"/>
    <s v="Gold"/>
    <s v="Singapore"/>
    <s v="POPUP-TOKYO"/>
    <s v="LUNAR-MASC-02"/>
    <s v="Foundation"/>
    <n v="67.13"/>
    <x v="4"/>
    <n v="0"/>
    <s v="Mobile"/>
    <s v="205.110.225.140"/>
    <x v="0"/>
    <n v="147"/>
    <n v="-1.488037411029024"/>
    <n v="0"/>
    <n v="0"/>
    <n v="1"/>
    <n v="1"/>
    <n v="0"/>
  </r>
  <r>
    <s v="b1920c1b-b80d-46b9-842f-47c7ea5e74ea"/>
    <s v="394c8f0a-7ca8-4efd-925e-48615802e973"/>
    <d v="2025-04-30T00:00:00"/>
    <d v="1899-12-30T18:03:09"/>
    <n v="18"/>
    <n v="52"/>
    <s v="Bronze"/>
    <s v="Hong Kong"/>
    <s v="BOUTIQUE-DUBAI"/>
    <s v="CELESTE-EYE-05"/>
    <s v="Lipstick"/>
    <n v="67.09"/>
    <x v="0"/>
    <n v="0"/>
    <s v="Tablet"/>
    <s v="169.227.71.251"/>
    <x v="0"/>
    <n v="491"/>
    <n v="-1.4885911814080677"/>
    <n v="0"/>
    <n v="0"/>
    <n v="0"/>
    <n v="0"/>
    <n v="0"/>
  </r>
  <r>
    <s v="9001ba9e-ad9e-4f00-8800-ee60cb97c09e"/>
    <s v="01741a26-634f-4183-a1bd-99ff5c69748d"/>
    <d v="2025-06-07T00:00:00"/>
    <d v="1899-12-30T15:34:00"/>
    <n v="15"/>
    <n v="45"/>
    <s v="Unknown"/>
    <s v="Shanghai"/>
    <s v="CONCESSION-LONDON"/>
    <s v="ECLIPSE-EYE-10"/>
    <s v="Blush"/>
    <n v="67.069999999999993"/>
    <x v="1"/>
    <n v="0"/>
    <s v="Tablet"/>
    <s v="14.194.146.91"/>
    <x v="0"/>
    <n v="172"/>
    <n v="-1.4888680665975897"/>
    <n v="0"/>
    <n v="0"/>
    <n v="1"/>
    <n v="1"/>
    <n v="0"/>
  </r>
  <r>
    <s v="7314a2fb-0777-44cd-87ce-139fcffe43b7"/>
    <s v="74718074-e19b-4a53-a629-f008e5123385"/>
    <d v="2025-08-10T00:00:00"/>
    <d v="1899-12-30T06:55:08"/>
    <n v="6"/>
    <n v="39"/>
    <s v="Silver"/>
    <s v="Zurich"/>
    <s v="CONCESSION-LONDON"/>
    <s v="SOLAR-BLUSH-04"/>
    <s v="Concealer"/>
    <n v="67.06"/>
    <x v="3"/>
    <n v="0"/>
    <s v="Desktop"/>
    <s v="211.80.214.88"/>
    <x v="0"/>
    <n v="50"/>
    <n v="-1.4890065091923506"/>
    <n v="0"/>
    <n v="0"/>
    <n v="1"/>
    <n v="1"/>
    <n v="0"/>
  </r>
  <r>
    <s v="50f08e79-ec5d-4475-a712-07594286f96b"/>
    <s v="2a69c4bf-37ef-43e3-8cb1-7abdbb2fa82c"/>
    <d v="2025-07-07T00:00:00"/>
    <d v="1899-12-30T09:08:29"/>
    <n v="9"/>
    <n v="63"/>
    <s v="Bronze"/>
    <s v="Cannes"/>
    <s v="FLAGSHIP-LA"/>
    <s v="NEBULA-SERUM-07"/>
    <s v="Eyeshadow Palette"/>
    <n v="66.98"/>
    <x v="1"/>
    <n v="0"/>
    <s v="Tablet"/>
    <s v="16.128.58.19"/>
    <x v="0"/>
    <n v="283"/>
    <n v="-1.4901140499504379"/>
    <n v="0"/>
    <n v="0"/>
    <n v="0"/>
    <n v="0"/>
    <n v="0"/>
  </r>
  <r>
    <s v="33a5ad8b-08a2-4139-b378-dbc0059bd01d"/>
    <s v="9ba2c56e-fa63-4b51-8484-c28aa4f3e070"/>
    <d v="2025-06-23T00:00:00"/>
    <d v="1899-12-30T10:22:56"/>
    <n v="10"/>
    <n v="44"/>
    <s v="Silver"/>
    <s v="Los Angeles"/>
    <s v="BOUTIQUE-DUBAI"/>
    <s v="NEBULA-SERUM-07"/>
    <s v="Serum"/>
    <n v="66.89"/>
    <x v="3"/>
    <n v="0"/>
    <s v="Mobile"/>
    <s v="134.155.31.106"/>
    <x v="0"/>
    <n v="212"/>
    <n v="-1.4913600333032861"/>
    <n v="0"/>
    <n v="0"/>
    <n v="1"/>
    <n v="1"/>
    <n v="0"/>
  </r>
  <r>
    <s v="432111e8-d59d-4411-bd7c-6d6b6419d164"/>
    <s v="cd3fabe1-37e3-432d-aa4b-a620cacba236"/>
    <d v="2025-06-10T00:00:00"/>
    <d v="1899-12-30T04:20:55"/>
    <n v="4"/>
    <n v="27"/>
    <s v="Bronze"/>
    <s v="Milan"/>
    <s v="CONCESSION-SINGAPORE"/>
    <s v="GALAXIA-SET-08"/>
    <s v="Setting Spray"/>
    <n v="66.8"/>
    <x v="4"/>
    <n v="0"/>
    <s v="Desktop"/>
    <s v="86.30.132.135"/>
    <x v="1"/>
    <n v="449"/>
    <n v="-1.4926060166561346"/>
    <n v="0"/>
    <n v="1"/>
    <n v="0"/>
    <n v="2"/>
    <n v="0"/>
  </r>
  <r>
    <s v="57eef46a-84ee-455c-945c-749981574904"/>
    <s v="62c74792-49ae-45b1-9d84-f65cee1b424f"/>
    <d v="2025-08-06T00:00:00"/>
    <d v="1899-12-30T07:43:01"/>
    <n v="7"/>
    <n v="55"/>
    <s v="Gold"/>
    <s v="Los Angeles"/>
    <s v="CONCESSION-LONDON"/>
    <s v="COSMIC-HIGHLIGHT-06"/>
    <s v="Mascara"/>
    <n v="66.77"/>
    <x v="4"/>
    <n v="0"/>
    <s v="Tablet"/>
    <s v="182.236.136.67"/>
    <x v="0"/>
    <n v="374"/>
    <n v="-1.4930213444404175"/>
    <n v="0"/>
    <n v="0"/>
    <n v="0"/>
    <n v="0"/>
    <n v="0"/>
  </r>
  <r>
    <s v="1f3c9ada-84af-44da-ae6b-417c80b08240"/>
    <s v="c59b9f3d-d57f-4fef-b355-02303d9031f6"/>
    <d v="2025-04-23T00:00:00"/>
    <d v="1899-12-30T10:35:23"/>
    <n v="10"/>
    <n v="34"/>
    <s v="Bronze"/>
    <s v="Rome"/>
    <s v="POPUP-TOKYO"/>
    <s v="AURORA-LIP-01"/>
    <s v="Setting Spray"/>
    <n v="66.599999999999994"/>
    <x v="1"/>
    <n v="0"/>
    <s v="Desktop"/>
    <s v="110.172.205.166"/>
    <x v="0"/>
    <n v="354"/>
    <n v="-1.495374868551353"/>
    <n v="0"/>
    <n v="0"/>
    <n v="0"/>
    <n v="0"/>
    <n v="0"/>
  </r>
  <r>
    <s v="4c353f11-d6a3-4192-905b-951f2a0e76a5"/>
    <s v="0bcc0cf2-98cd-4a48-bc46-b92a5fce3646"/>
    <d v="2025-04-13T00:00:00"/>
    <d v="1899-12-30T20:19:30"/>
    <n v="20"/>
    <n v="59"/>
    <s v="Bronze"/>
    <s v="Milan"/>
    <s v="BOUTIQUE-DUBAI"/>
    <s v="CELESTE-EYE-05"/>
    <s v="Eyeliner"/>
    <n v="66.48"/>
    <x v="1"/>
    <n v="0"/>
    <s v="Laptop"/>
    <s v="241.111.62.61"/>
    <x v="0"/>
    <n v="484"/>
    <n v="-1.4970361796884841"/>
    <n v="0"/>
    <n v="0"/>
    <n v="0"/>
    <n v="0"/>
    <n v="0"/>
  </r>
  <r>
    <s v="d1c021d6-39a0-41f0-aa54-5f7e05f960e2"/>
    <s v="074de392-93c6-42ce-bfcb-f68d110007f2"/>
    <d v="2025-04-18T00:00:00"/>
    <d v="1899-12-30T10:44:15"/>
    <n v="10"/>
    <n v="20"/>
    <s v="Silver"/>
    <s v="London"/>
    <s v="BOUTIQUE-DUBAI"/>
    <s v="ORION-CONCEAL-09"/>
    <s v="Setting Spray"/>
    <n v="66.28"/>
    <x v="3"/>
    <n v="0"/>
    <s v="Tablet"/>
    <s v="127.194.87.191"/>
    <x v="0"/>
    <n v="306"/>
    <n v="-1.4998050315837026"/>
    <n v="0"/>
    <n v="0"/>
    <n v="0"/>
    <n v="0"/>
    <n v="0"/>
  </r>
  <r>
    <s v="6590aeea-81a1-4411-9d9c-691b8c2e8133"/>
    <s v="e6d5dfb1-090b-4c4e-904e-0d879a9fd5e3"/>
    <d v="2025-05-28T00:00:00"/>
    <d v="1899-12-30T01:51:42"/>
    <n v="1"/>
    <n v="43"/>
    <s v="Unknown"/>
    <s v="New York"/>
    <s v="FLAGSHIP-LA"/>
    <s v="LUNAR-MASC-02"/>
    <s v="Setting Spray"/>
    <n v="66.25"/>
    <x v="3"/>
    <n v="0"/>
    <s v="Mobile"/>
    <s v="102.224.43.61"/>
    <x v="0"/>
    <n v="94"/>
    <n v="-1.5002203593679855"/>
    <n v="0"/>
    <n v="1"/>
    <n v="1"/>
    <n v="3"/>
    <n v="0"/>
  </r>
  <r>
    <s v="0a50c819-9b4a-4ddb-9585-eac7fc00b431"/>
    <s v="0440cc8f-d6ae-4ade-b29c-bdbb8f3f13ae"/>
    <d v="2025-07-30T00:00:00"/>
    <d v="1899-12-30T16:08:40"/>
    <n v="16"/>
    <n v="64"/>
    <s v="Bronze"/>
    <s v="Monte Carlo"/>
    <s v="FLAGSHIP-LA"/>
    <s v="COSMIC-HIGHLIGHT-06"/>
    <s v="Lipstick"/>
    <n v="66.22"/>
    <x v="1"/>
    <n v="0"/>
    <s v="Tablet"/>
    <s v="113.183.91.110"/>
    <x v="0"/>
    <n v="437"/>
    <n v="-1.5006356871522681"/>
    <n v="0"/>
    <n v="0"/>
    <n v="0"/>
    <n v="0"/>
    <n v="0"/>
  </r>
  <r>
    <s v="c1facc90-bfab-4aa4-8e01-0c4e68da552c"/>
    <s v="4f612b7b-f761-4bb1-8d29-a06b06b073ea"/>
    <d v="2025-05-07T00:00:00"/>
    <d v="1899-12-30T17:30:11"/>
    <n v="17"/>
    <n v="41"/>
    <s v="VIP"/>
    <s v="Monaco"/>
    <s v="CONCESSION-LONDON"/>
    <s v="CELESTE-EYE-05"/>
    <s v="Highlighter"/>
    <n v="66.08"/>
    <x v="1"/>
    <n v="0"/>
    <s v="Tablet"/>
    <s v="196.40.39.114"/>
    <x v="0"/>
    <n v="79"/>
    <n v="-1.5025738834789211"/>
    <n v="0"/>
    <n v="0"/>
    <n v="1"/>
    <n v="1"/>
    <n v="0"/>
  </r>
  <r>
    <s v="3c27ad51-8efa-4bbe-b441-24994007f643"/>
    <s v="91d2583b-b1d0-442c-a823-39e7ae23546b"/>
    <d v="2025-03-04T00:00:00"/>
    <d v="1899-12-30T02:41:54"/>
    <n v="2"/>
    <n v="57"/>
    <s v="Bronze"/>
    <s v="Singapore"/>
    <s v="FLAGSHIP-LA"/>
    <s v="LUNAR-MASC-02"/>
    <s v="Concealer"/>
    <n v="65.98"/>
    <x v="1"/>
    <n v="0"/>
    <s v="Mobile"/>
    <s v="4.222.232.253"/>
    <x v="0"/>
    <n v="157"/>
    <n v="-1.5039583094265303"/>
    <n v="0"/>
    <n v="1"/>
    <n v="1"/>
    <n v="3"/>
    <n v="0"/>
  </r>
  <r>
    <s v="1b106f8a-5d69-4e24-89a8-f97f8c973fed"/>
    <s v="052d844e-2d09-446c-a7d9-8aeb7e86084b"/>
    <d v="2025-07-25T00:00:00"/>
    <d v="1899-12-30T09:20:23"/>
    <n v="9"/>
    <n v="41"/>
    <s v="None"/>
    <s v="Miami"/>
    <s v="BOUTIQUE-DUBAI"/>
    <s v="CELESTE-EYE-05"/>
    <s v="Eyeshadow Palette"/>
    <n v="65.75"/>
    <x v="1"/>
    <n v="0"/>
    <s v="Desktop"/>
    <s v="82.182.39.68"/>
    <x v="0"/>
    <n v="170"/>
    <n v="-1.5071424891060317"/>
    <n v="0"/>
    <n v="0"/>
    <n v="1"/>
    <n v="1"/>
    <n v="0"/>
  </r>
  <r>
    <s v="f03978b0-12a3-4bb3-9288-ddf8fa737536"/>
    <s v="838edf77-5d7f-4b3c-804a-e7dbc10e79a3"/>
    <d v="2025-03-27T00:00:00"/>
    <d v="1899-12-30T14:35:47"/>
    <n v="14"/>
    <n v="65"/>
    <s v="Bronze"/>
    <s v="Cannes"/>
    <s v="BOUTIQUE-SHANGHAI"/>
    <s v="GALAXIA-SET-08"/>
    <s v="Eyeliner"/>
    <n v="65.72"/>
    <x v="4"/>
    <n v="0"/>
    <s v="Tablet"/>
    <s v="189.219.124.40"/>
    <x v="0"/>
    <n v="97"/>
    <n v="-1.5075578168903143"/>
    <n v="0"/>
    <n v="0"/>
    <n v="1"/>
    <n v="1"/>
    <n v="0"/>
  </r>
  <r>
    <s v="adb8b8a1-743c-4d6c-8d19-4210d3667911"/>
    <s v="0f93560b-5005-474e-966b-f9743b90335c"/>
    <d v="2025-03-06T00:00:00"/>
    <d v="1899-12-30T21:25:19"/>
    <n v="21"/>
    <n v="46"/>
    <s v="Platinum"/>
    <s v="Shanghai"/>
    <s v="FLAGSHIP-ROME"/>
    <s v="ECLIPSE-EYE-10"/>
    <s v="Mascara"/>
    <n v="65.53"/>
    <x v="1"/>
    <n v="0"/>
    <s v="Desktop"/>
    <s v="230.56.94.129"/>
    <x v="0"/>
    <n v="461"/>
    <n v="-1.510188226190772"/>
    <n v="0"/>
    <n v="0"/>
    <n v="0"/>
    <n v="0"/>
    <n v="0"/>
  </r>
  <r>
    <s v="0fa61520-2101-4b37-9956-c04c8e9c1481"/>
    <s v="a014e8bc-a69d-4a07-b77d-46d928a0fdbf"/>
    <d v="2025-03-05T00:00:00"/>
    <d v="1899-12-30T03:15:31"/>
    <n v="3"/>
    <n v="21"/>
    <s v="Silver"/>
    <s v="Monte Carlo"/>
    <s v="BOUTIQUE-DUBAI"/>
    <s v="ORION-CONCEAL-09"/>
    <s v="Serum"/>
    <n v="65.290000000000006"/>
    <x v="3"/>
    <n v="0"/>
    <s v="Mobile"/>
    <s v="73.89.112.134"/>
    <x v="0"/>
    <n v="306"/>
    <n v="-1.5135108484650341"/>
    <n v="0"/>
    <n v="1"/>
    <n v="0"/>
    <n v="2"/>
    <n v="0"/>
  </r>
  <r>
    <s v="36db8cae-4b60-4249-abe7-cf7c257a5fee"/>
    <s v="346e59ce-3ca7-4b36-8ae0-f6355f7c5b6f"/>
    <d v="2025-03-19T00:00:00"/>
    <d v="1899-12-30T17:09:07"/>
    <n v="17"/>
    <n v="40"/>
    <s v="Bronze"/>
    <s v="Zurich"/>
    <s v="POPUP-TOKYO"/>
    <s v="ORION-CONCEAL-09"/>
    <s v="Lipstick"/>
    <n v="65.14"/>
    <x v="4"/>
    <n v="0"/>
    <s v="Tablet"/>
    <s v="175.102.128.69"/>
    <x v="0"/>
    <n v="310"/>
    <n v="-1.5155874873864481"/>
    <n v="0"/>
    <n v="0"/>
    <n v="0"/>
    <n v="0"/>
    <n v="0"/>
  </r>
  <r>
    <s v="4c80f66a-6fdf-4884-8143-93a3f65bcd20"/>
    <s v="07de319e-26bc-405a-bcde-701bbbe15d13"/>
    <d v="2025-08-01T00:00:00"/>
    <d v="1899-12-30T16:09:22"/>
    <n v="16"/>
    <n v="43"/>
    <s v="Silver"/>
    <s v="Geneva"/>
    <s v="CONCESSION-LONDON"/>
    <s v="COSMIC-HIGHLIGHT-06"/>
    <s v="Eyeliner"/>
    <n v="65.06"/>
    <x v="1"/>
    <n v="0"/>
    <s v="Tablet"/>
    <s v="247.56.54.52"/>
    <x v="0"/>
    <n v="389"/>
    <n v="-1.5166950281445353"/>
    <n v="0"/>
    <n v="0"/>
    <n v="0"/>
    <n v="0"/>
    <n v="0"/>
  </r>
  <r>
    <s v="bc2f9f69-d1cf-486d-88e9-5d5361fe49f0"/>
    <s v="c59a8d69-251f-4260-90a1-cf17e1040b70"/>
    <d v="2025-07-19T00:00:00"/>
    <d v="1899-12-30T22:21:02"/>
    <n v="22"/>
    <n v="20"/>
    <s v="VIP"/>
    <s v="Las Vegas"/>
    <s v="BOUTIQUE-SHANGHAI"/>
    <s v="COSMIC-HIGHLIGHT-06"/>
    <s v="Lipstick"/>
    <n v="64.98"/>
    <x v="1"/>
    <n v="0"/>
    <s v="Mobile"/>
    <s v="176.10.75.210"/>
    <x v="0"/>
    <n v="201"/>
    <n v="-1.5178025689026227"/>
    <n v="0"/>
    <n v="0"/>
    <n v="1"/>
    <n v="1"/>
    <n v="0"/>
  </r>
  <r>
    <s v="88bd1145-2ef4-4784-a261-3aa99fcd678c"/>
    <s v="caf64c43-3bcf-4a63-99a2-e251249ed93a"/>
    <d v="2025-03-15T00:00:00"/>
    <d v="1899-12-30T16:47:22"/>
    <n v="16"/>
    <n v="24"/>
    <s v="Bronze"/>
    <s v="Singapore"/>
    <s v="FLAGSHIP-LA"/>
    <s v="ECLIPSE-EYE-10"/>
    <s v="Highlighter"/>
    <n v="64.97"/>
    <x v="0"/>
    <n v="0"/>
    <s v="Mobile"/>
    <s v="49.76.27.117"/>
    <x v="0"/>
    <n v="108"/>
    <n v="-1.5179410114973837"/>
    <n v="0"/>
    <n v="0"/>
    <n v="1"/>
    <n v="1"/>
    <n v="0"/>
  </r>
  <r>
    <s v="85082af9-2572-4cea-b2fa-68d706983246"/>
    <s v="7d89c156-1f3b-496e-a82f-ff9823ab3b28"/>
    <d v="2025-07-02T00:00:00"/>
    <d v="1899-12-30T17:20:25"/>
    <n v="17"/>
    <n v="58"/>
    <s v="Bronze"/>
    <s v="London"/>
    <s v="FLAGSHIP-ROME"/>
    <s v="GALAXIA-SET-08"/>
    <s v="Serum"/>
    <n v="64.930000000000007"/>
    <x v="0"/>
    <n v="0"/>
    <s v="Desktop"/>
    <s v="54.112.103.231"/>
    <x v="0"/>
    <n v="93"/>
    <n v="-1.5184947818764274"/>
    <n v="0"/>
    <n v="0"/>
    <n v="1"/>
    <n v="1"/>
    <n v="0"/>
  </r>
  <r>
    <s v="e703fcab-009b-48b0-8639-d0eecbb99106"/>
    <s v="f0a2806f-ea0c-40ad-94cb-73e2eee8917a"/>
    <d v="2025-03-24T00:00:00"/>
    <d v="1899-12-30T16:42:15"/>
    <n v="16"/>
    <n v="34"/>
    <s v="Bronze"/>
    <s v="Cannes"/>
    <s v="FLAGSHIP-ROME"/>
    <s v="GALAXIA-SET-08"/>
    <s v="Blush"/>
    <n v="64.75"/>
    <x v="4"/>
    <n v="0"/>
    <s v="Desktop"/>
    <s v="148.236.235.125"/>
    <x v="0"/>
    <n v="293"/>
    <n v="-1.520986748582124"/>
    <n v="0"/>
    <n v="0"/>
    <n v="0"/>
    <n v="0"/>
    <n v="0"/>
  </r>
  <r>
    <s v="143c4f8b-8901-4a49-b95b-694e212e71a7"/>
    <s v="103b7fdb-df89-4ab2-9891-939d39b86d33"/>
    <d v="2025-04-04T00:00:00"/>
    <d v="1899-12-30T11:00:27"/>
    <n v="11"/>
    <n v="43"/>
    <s v="Gold"/>
    <s v="San Francisco"/>
    <s v="FLAGSHIP-PARIS"/>
    <s v="LUNAR-MASC-02"/>
    <s v="Mascara"/>
    <n v="64.64"/>
    <x v="3"/>
    <n v="0"/>
    <s v="Mobile"/>
    <s v="222.195.140.227"/>
    <x v="0"/>
    <n v="290"/>
    <n v="-1.5225096171244943"/>
    <n v="0"/>
    <n v="0"/>
    <n v="0"/>
    <n v="0"/>
    <n v="0"/>
  </r>
  <r>
    <s v="ea38bbec-f852-4966-9f12-7976e3bc14ee"/>
    <s v="55a780f2-8d99-44ca-b03c-b414c744dd49"/>
    <d v="2025-07-03T00:00:00"/>
    <d v="1899-12-30T09:36:46"/>
    <n v="9"/>
    <n v="18"/>
    <s v="Silver"/>
    <s v="Miami"/>
    <s v="FLAGSHIP-LA"/>
    <s v="ORION-CONCEAL-09"/>
    <s v="Highlighter"/>
    <n v="64.36"/>
    <x v="0"/>
    <n v="0"/>
    <s v="Laptop"/>
    <s v="83.69.229.101"/>
    <x v="0"/>
    <n v="316"/>
    <n v="-1.5263860097778001"/>
    <n v="0"/>
    <n v="0"/>
    <n v="0"/>
    <n v="0"/>
    <n v="0"/>
  </r>
  <r>
    <s v="66ca51e7-d9ee-4b4c-98e0-5753da426b11"/>
    <s v="5db391ad-b3a7-4dd4-97fa-199a547b77ba"/>
    <d v="2025-02-24T00:00:00"/>
    <d v="1899-12-30T20:18:31"/>
    <n v="20"/>
    <n v="21"/>
    <s v="Bronze"/>
    <s v="Geneva"/>
    <s v="POPUP-TOKYO"/>
    <s v="ORION-CONCEAL-09"/>
    <s v="Eyeliner"/>
    <n v="64.23"/>
    <x v="0"/>
    <n v="0"/>
    <s v="Tablet"/>
    <s v="142.89.131.194"/>
    <x v="0"/>
    <n v="473"/>
    <n v="-1.528185763509692"/>
    <n v="0"/>
    <n v="0"/>
    <n v="0"/>
    <n v="0"/>
    <n v="0"/>
  </r>
  <r>
    <s v="d542524c-51fe-4ce4-84ff-fb3179168775"/>
    <s v="8359b93e-e63d-4ad7-902b-41e4035b13ae"/>
    <d v="2025-02-14T00:00:00"/>
    <d v="1899-12-30T15:13:12"/>
    <n v="15"/>
    <n v="30"/>
    <s v="Silver"/>
    <s v="Singapore"/>
    <s v="POPUP-MILAN"/>
    <s v="ORION-CONCEAL-09"/>
    <s v="Blush"/>
    <n v="64.180000000000007"/>
    <x v="4"/>
    <n v="0"/>
    <s v="Laptop"/>
    <s v="228.26.56.196"/>
    <x v="0"/>
    <n v="165"/>
    <n v="-1.5288779764834968"/>
    <n v="0"/>
    <n v="0"/>
    <n v="1"/>
    <n v="1"/>
    <n v="0"/>
  </r>
  <r>
    <s v="b5c6f350-c1d8-4f46-b8d8-e1fabae2a358"/>
    <s v="4429a4d1-f102-405a-9415-63a83da2f3fb"/>
    <d v="2025-04-22T00:00:00"/>
    <d v="1899-12-30T05:40:42"/>
    <n v="5"/>
    <n v="22"/>
    <s v="Silver"/>
    <s v="Cannes"/>
    <s v="FLAGSHIP-PARIS"/>
    <s v="CELESTE-EYE-05"/>
    <s v="Eyeliner"/>
    <n v="64.02"/>
    <x v="3"/>
    <n v="0"/>
    <s v="Laptop"/>
    <s v="3.143.75.206"/>
    <x v="0"/>
    <n v="407"/>
    <n v="-1.5310930579996715"/>
    <n v="0"/>
    <n v="1"/>
    <n v="0"/>
    <n v="2"/>
    <n v="0"/>
  </r>
  <r>
    <s v="04d2e622-7f64-4dec-a085-b5e964580670"/>
    <s v="2def35a3-eea4-4046-90b3-5f5105ddee18"/>
    <d v="2025-03-06T00:00:00"/>
    <d v="1899-12-30T20:34:33"/>
    <n v="20"/>
    <n v="26"/>
    <s v="Gold"/>
    <s v="Zurich"/>
    <s v="BOUTIQUE-SHANGHAI"/>
    <s v="CELESTE-EYE-05"/>
    <s v="Mascara"/>
    <n v="63.89"/>
    <x v="3"/>
    <n v="0"/>
    <s v="Tablet"/>
    <s v="96.229.83.154"/>
    <x v="0"/>
    <n v="401"/>
    <n v="-1.5328928117315637"/>
    <n v="0"/>
    <n v="0"/>
    <n v="0"/>
    <n v="0"/>
    <n v="0"/>
  </r>
  <r>
    <s v="94779a97-0556-4ebd-a0d9-7991d35e963c"/>
    <s v="a61945cb-7d0c-48e4-b6fb-17f6dd664375"/>
    <d v="2025-06-20T00:00:00"/>
    <d v="1899-12-30T09:35:33"/>
    <n v="9"/>
    <n v="61"/>
    <s v="Bronze"/>
    <s v="Los Angeles"/>
    <s v="FLAGSHIP-LA"/>
    <s v="COSMIC-HIGHLIGHT-06"/>
    <s v="Mascara"/>
    <n v="63.7"/>
    <x v="0"/>
    <n v="0"/>
    <s v="Laptop"/>
    <s v="50.201.26.219"/>
    <x v="0"/>
    <n v="57"/>
    <n v="-1.5355232210320211"/>
    <n v="0"/>
    <n v="0"/>
    <n v="1"/>
    <n v="1"/>
    <n v="0"/>
  </r>
  <r>
    <s v="80414387-2bf3-4aee-bad8-d78e2b50f75c"/>
    <s v="ea19b049-f6f9-490f-9c9b-e45271ed5b76"/>
    <d v="2025-02-28T00:00:00"/>
    <d v="1899-12-30T01:44:50"/>
    <n v="1"/>
    <n v="23"/>
    <s v="Bronze"/>
    <s v="Singapore"/>
    <s v="BOUTIQUE-SHANGHAI"/>
    <s v="NEBULA-SERUM-07"/>
    <s v="Blush"/>
    <n v="63.59"/>
    <x v="3"/>
    <n v="0"/>
    <s v="Desktop"/>
    <s v="154.167.196.121"/>
    <x v="0"/>
    <n v="64"/>
    <n v="-1.5370460895743914"/>
    <n v="0"/>
    <n v="1"/>
    <n v="1"/>
    <n v="3"/>
    <n v="0"/>
  </r>
  <r>
    <s v="22952db1-4b91-447e-a1e4-b0c448a67645"/>
    <s v="ad056aa2-fd30-4285-9d25-7ec07f5b9f69"/>
    <d v="2025-08-03T00:00:00"/>
    <d v="1899-12-30T20:47:34"/>
    <n v="20"/>
    <n v="41"/>
    <s v="Silver"/>
    <s v="Shanghai"/>
    <s v="BOUTIQUE-NYC"/>
    <s v="ORION-CONCEAL-09"/>
    <s v="Eyeshadow Palette"/>
    <n v="63.47"/>
    <x v="1"/>
    <n v="0"/>
    <s v="Desktop"/>
    <s v="41.215.243.171"/>
    <x v="0"/>
    <n v="466"/>
    <n v="-1.5387074007115225"/>
    <n v="0"/>
    <n v="0"/>
    <n v="0"/>
    <n v="0"/>
    <n v="0"/>
  </r>
  <r>
    <s v="265d0125-6475-4e04-aee3-07f87323c3d7"/>
    <s v="9ef95be2-3bdf-4f3a-bd40-84d46d14fe8e"/>
    <d v="2025-06-08T00:00:00"/>
    <d v="1899-12-30T01:24:28"/>
    <n v="1"/>
    <n v="21"/>
    <s v="Bronze"/>
    <s v="Singapore"/>
    <s v="POPUP-TOKYO"/>
    <s v="LUNAR-MASC-02"/>
    <s v="Blush"/>
    <n v="63.35"/>
    <x v="4"/>
    <n v="0"/>
    <s v="Desktop"/>
    <s v="205.64.113.54"/>
    <x v="0"/>
    <n v="409"/>
    <n v="-1.5403687118486535"/>
    <n v="0"/>
    <n v="1"/>
    <n v="0"/>
    <n v="2"/>
    <n v="0"/>
  </r>
  <r>
    <s v="45a68e19-1ae8-4a54-9d3e-e13d896fe073"/>
    <s v="bdcf96fd-30d4-4b13-91b0-39c316167b8b"/>
    <d v="2025-03-26T00:00:00"/>
    <d v="1899-12-30T08:47:53"/>
    <n v="8"/>
    <n v="47"/>
    <s v="Bronze"/>
    <s v="Las Vegas"/>
    <s v="FLAGSHIP-LA"/>
    <s v="SOLAR-BLUSH-04"/>
    <s v="Eyeliner"/>
    <n v="63.34"/>
    <x v="2"/>
    <n v="1"/>
    <s v="Tablet"/>
    <s v="181.52.92.96"/>
    <x v="0"/>
    <n v="179"/>
    <n v="-1.5405071544434144"/>
    <n v="0"/>
    <n v="0"/>
    <n v="1"/>
    <n v="3"/>
    <n v="0"/>
  </r>
  <r>
    <s v="03aa53bd-c241-4c3b-aa63-89ffa931e230"/>
    <s v="91b7d8ce-6083-4132-9103-f60491ae6b10"/>
    <d v="2025-06-07T00:00:00"/>
    <d v="1899-12-30T20:36:22"/>
    <n v="20"/>
    <n v="43"/>
    <s v="Platinum"/>
    <s v="Monaco"/>
    <s v="FLAGSHIP-ROME"/>
    <s v="STELLAR-FOUND-03"/>
    <s v="Concealer"/>
    <n v="63.33"/>
    <x v="3"/>
    <n v="0"/>
    <s v="Laptop"/>
    <s v="185.35.3.16"/>
    <x v="0"/>
    <n v="213"/>
    <n v="-1.5406455970381754"/>
    <n v="0"/>
    <n v="0"/>
    <n v="1"/>
    <n v="1"/>
    <n v="0"/>
  </r>
  <r>
    <s v="a0ae2573-519e-471e-8f0f-ee01c1ce75f9"/>
    <s v="6273e661-19e3-4767-985a-025ff71a0b11"/>
    <d v="2025-05-13T00:00:00"/>
    <d v="1899-12-30T13:56:35"/>
    <n v="13"/>
    <n v="18"/>
    <s v="Gold"/>
    <s v="Dubai"/>
    <s v="FLAGSHIP-PARIS"/>
    <s v="ORION-CONCEAL-09"/>
    <s v="Serum"/>
    <n v="63.12"/>
    <x v="1"/>
    <n v="0"/>
    <s v="Desktop"/>
    <s v="119.156.232.145"/>
    <x v="0"/>
    <n v="409"/>
    <n v="-1.5435528915281547"/>
    <n v="0"/>
    <n v="0"/>
    <n v="0"/>
    <n v="0"/>
    <n v="0"/>
  </r>
  <r>
    <s v="caa0f363-9f4b-488b-835a-f549db067b43"/>
    <s v="5f1e9433-7373-4a86-9254-4042f43608d4"/>
    <d v="2025-02-15T00:00:00"/>
    <d v="1899-12-30T04:39:56"/>
    <n v="4"/>
    <n v="45"/>
    <s v="Silver"/>
    <s v="Singapore"/>
    <s v="POPUP-TOKYO"/>
    <s v="LUNAR-MASC-02"/>
    <s v="Highlighter"/>
    <n v="63.02"/>
    <x v="1"/>
    <n v="0"/>
    <s v="Mobile"/>
    <s v="162.39.159.27"/>
    <x v="0"/>
    <n v="426"/>
    <n v="-1.5449373174757639"/>
    <n v="0"/>
    <n v="1"/>
    <n v="0"/>
    <n v="2"/>
    <n v="0"/>
  </r>
  <r>
    <s v="fa71c1eb-7d36-4a78-8c71-ac5ab2450548"/>
    <s v="9f00c495-c121-47c5-8c8e-974e4a7243e3"/>
    <d v="2025-04-27T00:00:00"/>
    <d v="1899-12-30T20:23:11"/>
    <n v="20"/>
    <n v="32"/>
    <s v="Gold"/>
    <s v="Zurich"/>
    <s v="BOUTIQUE-NYC"/>
    <s v="LUNAR-MASC-02"/>
    <s v="Highlighter"/>
    <n v="62.95"/>
    <x v="3"/>
    <n v="0"/>
    <s v="Tablet"/>
    <s v="37.17.121.82"/>
    <x v="0"/>
    <n v="494"/>
    <n v="-1.5459064156390905"/>
    <n v="0"/>
    <n v="0"/>
    <n v="0"/>
    <n v="0"/>
    <n v="0"/>
  </r>
  <r>
    <s v="258bf941-300f-49b7-8820-0aec8562b0e8"/>
    <s v="d71384f6-6ce9-42bb-85cc-d8e0c5a4209b"/>
    <d v="2025-03-23T00:00:00"/>
    <d v="1899-12-30T14:40:42"/>
    <n v="14"/>
    <n v="29"/>
    <s v="Silver"/>
    <s v="Singapore"/>
    <s v="FLAGSHIP-PARIS"/>
    <s v="CELESTE-EYE-05"/>
    <s v="Eyeshadow Palette"/>
    <n v="62.63"/>
    <x v="4"/>
    <n v="0"/>
    <s v="Tablet"/>
    <s v="215.4.63.236"/>
    <x v="0"/>
    <n v="232"/>
    <n v="-1.55033657867144"/>
    <n v="0"/>
    <n v="0"/>
    <n v="1"/>
    <n v="1"/>
    <n v="0"/>
  </r>
  <r>
    <s v="b52f7e41-9007-488e-80ce-0f8abc2762e4"/>
    <s v="3f717cbb-9786-418b-af24-76b45d8e8421"/>
    <d v="2025-03-11T00:00:00"/>
    <d v="1899-12-30T06:59:56"/>
    <n v="6"/>
    <n v="24"/>
    <s v="VIP"/>
    <s v="Tokyo"/>
    <s v="CONCESSION-LONDON"/>
    <s v="ORION-CONCEAL-09"/>
    <s v="Serum"/>
    <n v="62.45"/>
    <x v="4"/>
    <n v="0"/>
    <s v="Tablet"/>
    <s v="49.35.243.188"/>
    <x v="0"/>
    <n v="147"/>
    <n v="-1.5528285453771367"/>
    <n v="0"/>
    <n v="0"/>
    <n v="1"/>
    <n v="1"/>
    <n v="0"/>
  </r>
  <r>
    <s v="71e4bcb2-c5c1-42b2-ae18-634fb7bcec17"/>
    <s v="46137430-34df-4ed9-aec5-7e5c80993fb5"/>
    <d v="2025-04-29T00:00:00"/>
    <d v="1899-12-30T15:13:21"/>
    <n v="15"/>
    <n v="22"/>
    <s v="Gold"/>
    <s v="Geneva"/>
    <s v="FLAGSHIP-LA"/>
    <s v="ECLIPSE-EYE-10"/>
    <s v="Mascara"/>
    <n v="62.45"/>
    <x v="0"/>
    <n v="0"/>
    <s v="Mobile"/>
    <s v="102.84.235.0"/>
    <x v="0"/>
    <n v="74"/>
    <n v="-1.5528285453771367"/>
    <n v="0"/>
    <n v="0"/>
    <n v="1"/>
    <n v="1"/>
    <n v="0"/>
  </r>
  <r>
    <s v="172ea724-abb4-452d-8070-6b10c6034abc"/>
    <s v="36264b88-2a3c-4cff-9999-324cefdf8bd4"/>
    <d v="2025-08-02T00:00:00"/>
    <d v="1899-12-30T17:05:59"/>
    <n v="17"/>
    <n v="42"/>
    <s v="Silver"/>
    <s v="Milan"/>
    <s v="CONCESSION-SINGAPORE"/>
    <s v="STELLAR-FOUND-03"/>
    <s v="Mascara"/>
    <n v="62.37"/>
    <x v="0"/>
    <n v="0"/>
    <s v="Laptop"/>
    <s v="33.180.106.207"/>
    <x v="0"/>
    <n v="281"/>
    <n v="-1.553936086135224"/>
    <n v="0"/>
    <n v="0"/>
    <n v="0"/>
    <n v="0"/>
    <n v="0"/>
  </r>
  <r>
    <s v="65720cfe-5e24-48de-84e8-dbf5cdaa2a09"/>
    <s v="234a74a6-9347-4433-8cec-8cb68e18fd81"/>
    <d v="2025-05-30T00:00:00"/>
    <d v="1899-12-30T18:58:10"/>
    <n v="18"/>
    <n v="57"/>
    <s v="Bronze"/>
    <s v="San Francisco"/>
    <s v="POPUP-MILAN"/>
    <s v="SOLAR-BLUSH-04"/>
    <s v="Eyeshadow Palette"/>
    <n v="62.26"/>
    <x v="1"/>
    <n v="0"/>
    <s v="Desktop"/>
    <s v="8.13.169.14"/>
    <x v="0"/>
    <n v="411"/>
    <n v="-1.5554589546775943"/>
    <n v="0"/>
    <n v="0"/>
    <n v="0"/>
    <n v="0"/>
    <n v="0"/>
  </r>
  <r>
    <s v="8a8ef429-ebbf-4d7e-b263-10663c966a0f"/>
    <s v="27f8feed-96f9-4cd0-acd3-e8d185c0cd97"/>
    <d v="2025-04-01T00:00:00"/>
    <d v="1899-12-30T11:47:37"/>
    <n v="11"/>
    <n v="62"/>
    <s v="Bronze"/>
    <s v="Geneva"/>
    <s v="POPUP-MILAN"/>
    <s v="GALAXIA-SET-08"/>
    <s v="Eyeliner"/>
    <n v="62.21"/>
    <x v="4"/>
    <n v="0"/>
    <s v="Tablet"/>
    <s v="97.197.242.181"/>
    <x v="0"/>
    <n v="469"/>
    <n v="-1.5561511676513988"/>
    <n v="0"/>
    <n v="0"/>
    <n v="0"/>
    <n v="0"/>
    <n v="0"/>
  </r>
  <r>
    <s v="7376228f-3bb6-4e01-87a4-9168f62ce7f5"/>
    <s v="fdcc8bc4-99b1-4fc1-b2c1-4e28c0da1051"/>
    <d v="2025-06-03T00:00:00"/>
    <d v="1899-12-30T14:55:13"/>
    <n v="14"/>
    <n v="44"/>
    <s v="Silver"/>
    <s v="Monaco"/>
    <s v="FLAGSHIP-ROME"/>
    <s v="NEBULA-SERUM-07"/>
    <s v="Highlighter"/>
    <n v="62.14"/>
    <x v="4"/>
    <n v="0"/>
    <s v="Tablet"/>
    <s v="80.175.149.188"/>
    <x v="0"/>
    <n v="307"/>
    <n v="-1.5571202658147254"/>
    <n v="0"/>
    <n v="0"/>
    <n v="0"/>
    <n v="0"/>
    <n v="0"/>
  </r>
  <r>
    <s v="7a7be10d-b2ca-4ae7-a3f1-430d1eaf61fe"/>
    <s v="2dba69e9-e8cc-4cf1-a809-fab0ea8568f3"/>
    <d v="2025-07-15T00:00:00"/>
    <d v="1899-12-30T12:58:35"/>
    <n v="12"/>
    <n v="41"/>
    <s v="Bronze"/>
    <s v="Las Vegas"/>
    <s v="POPUP-TOKYO"/>
    <s v="ECLIPSE-EYE-10"/>
    <s v="Concealer"/>
    <n v="62.07"/>
    <x v="4"/>
    <n v="0"/>
    <s v="Tablet"/>
    <s v="219.150.31.189"/>
    <x v="1"/>
    <n v="384"/>
    <n v="-1.558089363978052"/>
    <n v="0"/>
    <n v="0"/>
    <n v="0"/>
    <n v="0"/>
    <n v="0"/>
  </r>
  <r>
    <s v="1dd4077a-879a-4da4-804b-5fb146bda7df"/>
    <s v="00bdc439-e5dc-4ca3-a3da-b1eccbfecce4"/>
    <d v="2025-06-11T00:00:00"/>
    <d v="1899-12-30T14:00:12"/>
    <n v="14"/>
    <n v="58"/>
    <s v="Silver"/>
    <s v="Zurich"/>
    <s v="FLAGSHIP-LA"/>
    <s v="AURORA-LIP-01"/>
    <s v="Eyeliner"/>
    <n v="62"/>
    <x v="4"/>
    <n v="0"/>
    <s v="Tablet"/>
    <s v="180.68.93.42"/>
    <x v="0"/>
    <n v="269"/>
    <n v="-1.5590584621413783"/>
    <n v="0"/>
    <n v="0"/>
    <n v="1"/>
    <n v="1"/>
    <n v="0"/>
  </r>
  <r>
    <s v="35d6515e-6141-45a5-ba35-471567290751"/>
    <s v="b3bfe4fe-a53a-44e6-a924-264ff16507f5"/>
    <d v="2025-04-26T00:00:00"/>
    <d v="1899-12-30T21:24:54"/>
    <n v="21"/>
    <n v="30"/>
    <s v="Bronze"/>
    <s v="Zurich"/>
    <s v="BOUTIQUE-DUBAI"/>
    <s v="COSMIC-HIGHLIGHT-06"/>
    <s v="Eyeshadow Palette"/>
    <n v="61.9"/>
    <x v="3"/>
    <n v="0"/>
    <s v="Desktop"/>
    <s v="119.13.37.236"/>
    <x v="0"/>
    <n v="92"/>
    <n v="-1.5604428880889876"/>
    <n v="0"/>
    <n v="0"/>
    <n v="1"/>
    <n v="1"/>
    <n v="0"/>
  </r>
  <r>
    <s v="1ce26827-513a-475c-8341-2004c25669b8"/>
    <s v="c06793f6-855b-4712-ae92-a4d2c84d80b5"/>
    <d v="2025-03-09T00:00:00"/>
    <d v="1899-12-30T13:31:56"/>
    <n v="13"/>
    <n v="21"/>
    <s v="Silver"/>
    <s v="Zurich"/>
    <s v="FLAGSHIP-PARIS"/>
    <s v="NEBULA-SERUM-07"/>
    <s v="Eyeliner"/>
    <n v="61.85"/>
    <x v="0"/>
    <n v="0"/>
    <s v="Mobile"/>
    <s v="38.151.112.255"/>
    <x v="0"/>
    <n v="137"/>
    <n v="-1.5611351010627923"/>
    <n v="0"/>
    <n v="0"/>
    <n v="1"/>
    <n v="1"/>
    <n v="0"/>
  </r>
  <r>
    <s v="cc5c7552-45db-443e-93e4-0190afc7421b"/>
    <s v="8ea990df-6ab1-41ac-a645-c17e1cd1312a"/>
    <d v="2025-03-03T00:00:00"/>
    <d v="1899-12-30T21:33:49"/>
    <n v="21"/>
    <n v="25"/>
    <s v="Silver"/>
    <s v="Geneva"/>
    <s v="BOUTIQUE-NYC"/>
    <s v="NEBULA-SERUM-07"/>
    <s v="Serum"/>
    <n v="61.62"/>
    <x v="4"/>
    <n v="0"/>
    <s v="Tablet"/>
    <s v="203.220.242.109"/>
    <x v="0"/>
    <n v="437"/>
    <n v="-1.5643192807422934"/>
    <n v="0"/>
    <n v="0"/>
    <n v="0"/>
    <n v="0"/>
    <n v="0"/>
  </r>
  <r>
    <s v="0d513764-1131-4a84-a189-f57385bccd65"/>
    <s v="564fca9f-671a-4134-914a-099ea3965fde"/>
    <d v="2025-03-01T00:00:00"/>
    <d v="1899-12-30T02:19:44"/>
    <n v="2"/>
    <n v="20"/>
    <s v="Bronze"/>
    <s v="Dubai"/>
    <s v="BOUTIQUE-NYC"/>
    <s v="ECLIPSE-EYE-10"/>
    <s v="Mascara"/>
    <n v="61.51"/>
    <x v="3"/>
    <n v="0"/>
    <s v="Mobile"/>
    <s v="240.191.130.43"/>
    <x v="0"/>
    <n v="79"/>
    <n v="-1.5658421492846637"/>
    <n v="0"/>
    <n v="1"/>
    <n v="1"/>
    <n v="3"/>
    <n v="0"/>
  </r>
  <r>
    <s v="ec6fe28b-0320-46ce-a8f4-db94fc4dca26"/>
    <s v="25b2b9e9-70a0-4e4a-af4d-c5c288ec1b38"/>
    <d v="2025-05-11T00:00:00"/>
    <d v="1899-12-30T18:17:11"/>
    <n v="18"/>
    <n v="40"/>
    <s v="Gold"/>
    <s v="Los Angeles"/>
    <s v="BOUTIQUE-SHANGHAI"/>
    <s v="STELLAR-FOUND-03"/>
    <s v="Eyeshadow Palette"/>
    <n v="61.37"/>
    <x v="0"/>
    <n v="0"/>
    <s v="Laptop"/>
    <s v="8.148.137.110"/>
    <x v="0"/>
    <n v="245"/>
    <n v="-1.5677803456113164"/>
    <n v="0"/>
    <n v="0"/>
    <n v="1"/>
    <n v="1"/>
    <n v="0"/>
  </r>
  <r>
    <s v="edadc863-edc3-4964-866b-56e41aac52cd"/>
    <s v="37eea743-b7d8-4ba2-a152-7b12560069d0"/>
    <d v="2025-06-16T00:00:00"/>
    <d v="1899-12-30T14:06:51"/>
    <n v="14"/>
    <n v="39"/>
    <s v="Platinum"/>
    <s v="Shanghai"/>
    <s v="FLAGSHIP-PARIS"/>
    <s v="LUNAR-MASC-02"/>
    <s v="Eyeshadow Palette"/>
    <n v="61.26"/>
    <x v="0"/>
    <n v="0"/>
    <s v="Desktop"/>
    <s v="69.146.82.131"/>
    <x v="0"/>
    <n v="275"/>
    <n v="-1.5693032141536869"/>
    <n v="0"/>
    <n v="0"/>
    <n v="0"/>
    <n v="0"/>
    <n v="0"/>
  </r>
  <r>
    <s v="e47460ff-2087-4b5d-be59-145f85fa544d"/>
    <s v="6d12d531-af32-45c2-b6fe-1bd7230b0576"/>
    <d v="2025-07-14T00:00:00"/>
    <d v="1899-12-30T06:42:21"/>
    <n v="6"/>
    <n v="47"/>
    <s v="Bronze"/>
    <s v="Dubai"/>
    <s v="CONCESSION-SINGAPORE"/>
    <s v="COSMIC-HIGHLIGHT-06"/>
    <s v="Eyeshadow Palette"/>
    <n v="61.23"/>
    <x v="4"/>
    <n v="0"/>
    <s v="Tablet"/>
    <s v="113.139.189.50"/>
    <x v="0"/>
    <n v="197"/>
    <n v="-1.5697185419379696"/>
    <n v="0"/>
    <n v="0"/>
    <n v="1"/>
    <n v="1"/>
    <n v="0"/>
  </r>
  <r>
    <s v="1077cdcc-a9f8-44d9-963a-135ff7c4ad8d"/>
    <s v="626903fd-c9c1-402d-a018-2c5e37bb7bee"/>
    <d v="2025-06-02T00:00:00"/>
    <d v="1899-12-30T21:38:38"/>
    <n v="21"/>
    <n v="58"/>
    <s v="Gold"/>
    <s v="Dubai"/>
    <s v="POPUP-TOKYO"/>
    <s v="COSMIC-HIGHLIGHT-06"/>
    <s v="Eyeliner"/>
    <n v="61.12"/>
    <x v="1"/>
    <n v="0"/>
    <s v="Tablet"/>
    <s v="177.105.172.254"/>
    <x v="0"/>
    <n v="490"/>
    <n v="-1.5712414104803396"/>
    <n v="0"/>
    <n v="0"/>
    <n v="0"/>
    <n v="0"/>
    <n v="0"/>
  </r>
  <r>
    <s v="0ca462f0-2032-45c3-9ae4-7f6af08cdd24"/>
    <s v="0a3b60d8-e016-4eb7-a0e0-d7ca847f21a0"/>
    <d v="2025-04-16T00:00:00"/>
    <d v="1899-12-30T23:04:15"/>
    <n v="23"/>
    <n v="65"/>
    <s v="Silver"/>
    <s v="Monte Carlo"/>
    <s v="POPUP-MILAN"/>
    <s v="ECLIPSE-EYE-10"/>
    <s v="Highlighter"/>
    <n v="61.05"/>
    <x v="3"/>
    <n v="0"/>
    <s v="Mobile"/>
    <s v="204.170.114.33"/>
    <x v="0"/>
    <n v="284"/>
    <n v="-1.5722105086436662"/>
    <n v="0"/>
    <n v="0"/>
    <n v="0"/>
    <n v="0"/>
    <n v="0"/>
  </r>
  <r>
    <s v="27bdd263-469e-4c33-b4f0-07ee3d36b73c"/>
    <s v="4bdddf4d-b416-4165-ad86-50d2f912b0e6"/>
    <d v="2025-04-24T00:00:00"/>
    <d v="1899-12-30T19:38:25"/>
    <n v="19"/>
    <n v="18"/>
    <s v="Silver"/>
    <s v="London"/>
    <s v="BOUTIQUE-DUBAI"/>
    <s v="SOLAR-BLUSH-04"/>
    <s v="Blush"/>
    <n v="60.94"/>
    <x v="0"/>
    <n v="0"/>
    <s v="Laptop"/>
    <s v="92.248.234.252"/>
    <x v="0"/>
    <n v="330"/>
    <n v="-1.5737333771860365"/>
    <n v="0"/>
    <n v="0"/>
    <n v="0"/>
    <n v="0"/>
    <n v="0"/>
  </r>
  <r>
    <s v="0287eebd-c2ad-415b-9e0e-c7cb515cdf41"/>
    <s v="6274cc74-f685-4334-975d-a617e0596c06"/>
    <d v="2025-07-08T00:00:00"/>
    <d v="1899-12-30T21:03:59"/>
    <n v="21"/>
    <n v="24"/>
    <s v="Bronze"/>
    <s v="Las Vegas"/>
    <s v="BOUTIQUE-NYC"/>
    <s v="STELLAR-FOUND-03"/>
    <s v="Serum"/>
    <n v="60.9"/>
    <x v="4"/>
    <n v="0"/>
    <s v="Tablet"/>
    <s v="218.62.191.52"/>
    <x v="0"/>
    <n v="209"/>
    <n v="-1.5742871475650799"/>
    <n v="0"/>
    <n v="0"/>
    <n v="1"/>
    <n v="1"/>
    <n v="0"/>
  </r>
  <r>
    <s v="f380cddb-80d1-4987-b2cb-82b249648780"/>
    <s v="6b22aeb6-f944-4dd2-83a0-90d3cb1fb2fb"/>
    <d v="2025-04-24T00:00:00"/>
    <d v="1899-12-30T09:34:00"/>
    <n v="9"/>
    <n v="41"/>
    <s v="Bronze"/>
    <s v="Cannes"/>
    <s v="BOUTIQUE-NYC"/>
    <s v="GALAXIA-SET-08"/>
    <s v="Highlighter"/>
    <n v="60.78"/>
    <x v="4"/>
    <n v="0"/>
    <s v="Desktop"/>
    <s v="185.122.250.199"/>
    <x v="0"/>
    <n v="96"/>
    <n v="-1.575948458702211"/>
    <n v="0"/>
    <n v="0"/>
    <n v="1"/>
    <n v="1"/>
    <n v="0"/>
  </r>
  <r>
    <s v="008324a5-81e0-4f89-8dc7-a868972a839e"/>
    <s v="4494c23b-be4f-4221-bfe5-0187107f78c7"/>
    <d v="2025-03-25T00:00:00"/>
    <d v="1899-12-30T08:53:24"/>
    <n v="8"/>
    <n v="50"/>
    <s v="Gold"/>
    <s v="Monte Carlo"/>
    <s v="POPUP-MILAN"/>
    <s v="COSMIC-HIGHLIGHT-06"/>
    <s v="Highlighter"/>
    <n v="60.75"/>
    <x v="0"/>
    <n v="0"/>
    <s v="Desktop"/>
    <s v="105.66.225.187"/>
    <x v="0"/>
    <n v="255"/>
    <n v="-1.5763637864864939"/>
    <n v="0"/>
    <n v="0"/>
    <n v="1"/>
    <n v="1"/>
    <n v="0"/>
  </r>
  <r>
    <s v="d59489d4-0382-4896-be32-4bc33db70a6b"/>
    <s v="995a7044-4df6-4db1-a276-29a4d52c51b7"/>
    <d v="2025-03-07T00:00:00"/>
    <d v="1899-12-30T04:39:36"/>
    <n v="4"/>
    <n v="25"/>
    <s v="Bronze"/>
    <s v="Sydney"/>
    <s v="CONCESSION-LONDON"/>
    <s v="GALAXIA-SET-08"/>
    <s v="Lipstick"/>
    <n v="60.63"/>
    <x v="1"/>
    <n v="0"/>
    <s v="Desktop"/>
    <s v="136.211.82.99"/>
    <x v="0"/>
    <n v="70"/>
    <n v="-1.578025097623625"/>
    <n v="0"/>
    <n v="1"/>
    <n v="1"/>
    <n v="3"/>
    <n v="0"/>
  </r>
  <r>
    <s v="d85017de-0b4d-43ff-9174-d593fe4d8a5a"/>
    <s v="4d67e2a5-6969-4da0-b2ab-168f64216be2"/>
    <d v="2025-05-26T00:00:00"/>
    <d v="1899-12-30T11:08:43"/>
    <n v="11"/>
    <n v="41"/>
    <s v="Gold"/>
    <s v="San Francisco"/>
    <s v="CONCESSION-SINGAPORE"/>
    <s v="ECLIPSE-EYE-10"/>
    <s v="Mascara"/>
    <n v="60.62"/>
    <x v="4"/>
    <n v="0"/>
    <s v="Tablet"/>
    <s v="171.51.252.188"/>
    <x v="0"/>
    <n v="212"/>
    <n v="-1.5781635402183858"/>
    <n v="0"/>
    <n v="0"/>
    <n v="1"/>
    <n v="1"/>
    <n v="0"/>
  </r>
  <r>
    <s v="0607ce6b-96e3-48dd-8445-4f443e95bd41"/>
    <s v="9745fc4e-e345-4076-8009-0054b4b00089"/>
    <d v="2025-05-04T00:00:00"/>
    <d v="1899-12-30T23:54:05"/>
    <n v="23"/>
    <n v="61"/>
    <s v="Gold"/>
    <s v="Miami"/>
    <s v="POPUP-MILAN"/>
    <s v="LUNAR-MASC-02"/>
    <s v="Blush"/>
    <n v="60.22"/>
    <x v="1"/>
    <n v="0"/>
    <s v="Desktop"/>
    <s v="212.77.77.153"/>
    <x v="0"/>
    <n v="100"/>
    <n v="-1.583701244008823"/>
    <n v="0"/>
    <n v="0"/>
    <n v="1"/>
    <n v="1"/>
    <n v="0"/>
  </r>
  <r>
    <s v="9e2d89d7-57b9-47bf-8d68-261ff99d595b"/>
    <s v="c15ca7ae-5ef6-415c-a86f-e2b009ce95f3"/>
    <d v="2025-06-06T00:00:00"/>
    <d v="1899-12-30T12:03:19"/>
    <n v="12"/>
    <n v="38"/>
    <s v="Bronze"/>
    <s v="Monaco"/>
    <s v="FLAGSHIP-PARIS"/>
    <s v="AURORA-LIP-01"/>
    <s v="Eyeliner"/>
    <n v="59.79"/>
    <x v="0"/>
    <n v="0"/>
    <s v="Mobile"/>
    <s v="146.4.220.57"/>
    <x v="0"/>
    <n v="487"/>
    <n v="-1.5896542755835428"/>
    <n v="0"/>
    <n v="0"/>
    <n v="0"/>
    <n v="0"/>
    <n v="0"/>
  </r>
  <r>
    <s v="a7d22d69-1060-4a55-9380-dbdbb1cf14f4"/>
    <s v="613d4f6c-2f51-4060-9f0d-3dbb1dba3341"/>
    <d v="2025-06-02T00:00:00"/>
    <d v="1899-12-30T22:01:27"/>
    <n v="22"/>
    <n v="41"/>
    <s v="Bronze"/>
    <s v="Milan"/>
    <s v="BOUTIQUE-DUBAI"/>
    <s v="ORION-CONCEAL-09"/>
    <s v="Highlighter"/>
    <n v="59.72"/>
    <x v="1"/>
    <n v="0"/>
    <s v="Desktop"/>
    <s v="168.83.70.226"/>
    <x v="0"/>
    <n v="356"/>
    <n v="-1.5906233737468691"/>
    <n v="0"/>
    <n v="0"/>
    <n v="0"/>
    <n v="0"/>
    <n v="0"/>
  </r>
  <r>
    <s v="73cc1faa-86ce-4694-8c31-166bd7afe1d1"/>
    <s v="0899bae2-5a82-44b0-acb5-d1934ffcf499"/>
    <d v="2025-03-10T00:00:00"/>
    <d v="1899-12-30T21:42:55"/>
    <n v="21"/>
    <n v="35"/>
    <s v="Silver"/>
    <s v="Milan"/>
    <s v="POPUP-MILAN"/>
    <s v="GALAXIA-SET-08"/>
    <s v="Highlighter"/>
    <n v="59.65"/>
    <x v="1"/>
    <n v="0"/>
    <s v="Mobile"/>
    <s v="247.144.87.2"/>
    <x v="0"/>
    <n v="83"/>
    <n v="-1.5915924719101955"/>
    <n v="0"/>
    <n v="0"/>
    <n v="1"/>
    <n v="1"/>
    <n v="0"/>
  </r>
  <r>
    <s v="5f2008a2-42b9-43ce-94b0-f9395bf3c11f"/>
    <s v="707d722e-db5a-49e1-b308-06c92024d94d"/>
    <d v="2025-05-12T00:00:00"/>
    <d v="1899-12-30T17:24:27"/>
    <n v="17"/>
    <n v="31"/>
    <s v="Gold"/>
    <s v="Las Vegas"/>
    <s v="BOUTIQUE-SHANGHAI"/>
    <s v="LUNAR-MASC-02"/>
    <s v="Setting Spray"/>
    <n v="59.61"/>
    <x v="0"/>
    <n v="0"/>
    <s v="Tablet"/>
    <s v="150.2.92.213"/>
    <x v="0"/>
    <n v="286"/>
    <n v="-1.5921462422892394"/>
    <n v="0"/>
    <n v="0"/>
    <n v="0"/>
    <n v="0"/>
    <n v="0"/>
  </r>
  <r>
    <s v="71bbee14-5b06-42e4-9c6e-01b7995a4018"/>
    <s v="d58a74bf-be25-4054-ac0a-64d0d254521b"/>
    <d v="2025-08-08T00:00:00"/>
    <d v="1899-12-30T06:58:11"/>
    <n v="6"/>
    <n v="63"/>
    <s v="Silver"/>
    <s v="Cannes"/>
    <s v="FLAGSHIP-LA"/>
    <s v="ORION-CONCEAL-09"/>
    <s v="Blush"/>
    <n v="59.61"/>
    <x v="0"/>
    <n v="0"/>
    <s v="Laptop"/>
    <s v="102.193.85.241"/>
    <x v="0"/>
    <n v="332"/>
    <n v="-1.5921462422892394"/>
    <n v="0"/>
    <n v="0"/>
    <n v="0"/>
    <n v="0"/>
    <n v="0"/>
  </r>
  <r>
    <s v="fd0ed22c-77de-47d2-a3a2-17b076882ab1"/>
    <s v="d522893f-70cb-4596-a867-96df4a2e9604"/>
    <d v="2025-02-22T00:00:00"/>
    <d v="1899-12-30T04:19:43"/>
    <n v="4"/>
    <n v="27"/>
    <s v="Gold"/>
    <s v="Miami"/>
    <s v="FLAGSHIP-LA"/>
    <s v="NEBULA-SERUM-07"/>
    <s v="Blush"/>
    <n v="59.58"/>
    <x v="1"/>
    <n v="0"/>
    <s v="Tablet"/>
    <s v="109.204.50.133"/>
    <x v="0"/>
    <n v="93"/>
    <n v="-1.5925615700735221"/>
    <n v="0"/>
    <n v="1"/>
    <n v="1"/>
    <n v="3"/>
    <n v="0"/>
  </r>
  <r>
    <s v="a9a4171a-6e53-4a0f-b7cb-9aec6446b3bb"/>
    <s v="d59a2643-dab5-4008-a460-f6f491514801"/>
    <d v="2025-05-27T00:00:00"/>
    <d v="1899-12-30T18:37:48"/>
    <n v="18"/>
    <n v="34"/>
    <s v="Silver"/>
    <s v="Paris"/>
    <s v="BOUTIQUE-NYC"/>
    <s v="NEBULA-SERUM-07"/>
    <s v="Lipstick"/>
    <n v="59.3"/>
    <x v="1"/>
    <n v="0"/>
    <s v="Mobile"/>
    <s v="163.44.156.208"/>
    <x v="0"/>
    <n v="342"/>
    <n v="-1.5964379627268279"/>
    <n v="0"/>
    <n v="0"/>
    <n v="0"/>
    <n v="0"/>
    <n v="0"/>
  </r>
  <r>
    <s v="5a3b7063-3f79-4964-b73f-f1564a9bf447"/>
    <s v="6a5fe1d3-2d7e-4587-9748-b4c57aa8e617"/>
    <d v="2025-07-12T00:00:00"/>
    <d v="1899-12-30T01:00:41"/>
    <n v="1"/>
    <n v="53"/>
    <s v="Gold"/>
    <s v="New York"/>
    <s v="POPUP-TOKYO"/>
    <s v="LUNAR-MASC-02"/>
    <s v="Blush"/>
    <n v="59.19"/>
    <x v="0"/>
    <n v="0"/>
    <s v="Laptop"/>
    <s v="234.199.5.101"/>
    <x v="0"/>
    <n v="185"/>
    <n v="-1.5979608312691982"/>
    <n v="0"/>
    <n v="1"/>
    <n v="1"/>
    <n v="3"/>
    <n v="0"/>
  </r>
  <r>
    <s v="6754a8e0-4c7a-468f-ad84-e254f225c457"/>
    <s v="64938e46-1ca4-4476-8d1a-08aeb2945592"/>
    <d v="2025-05-08T00:00:00"/>
    <d v="1899-12-30T17:05:19"/>
    <n v="17"/>
    <n v="65"/>
    <s v="Bronze"/>
    <s v="Hong Kong"/>
    <s v="POPUP-MILAN"/>
    <s v="GALAXIA-SET-08"/>
    <s v="Mascara"/>
    <n v="59.17"/>
    <x v="2"/>
    <n v="1"/>
    <s v="Mobile"/>
    <s v="97.223.49.70"/>
    <x v="0"/>
    <n v="437"/>
    <n v="-1.59823771645872"/>
    <n v="0"/>
    <n v="0"/>
    <n v="0"/>
    <n v="2"/>
    <n v="0"/>
  </r>
  <r>
    <s v="a6e8a556-64ff-4e18-8322-26f4bdd23f92"/>
    <s v="5ebbffbd-dcf6-4fdd-8c04-3c51632fe163"/>
    <d v="2025-05-17T00:00:00"/>
    <d v="1899-12-30T07:20:35"/>
    <n v="7"/>
    <n v="59"/>
    <s v="Silver"/>
    <s v="Shanghai"/>
    <s v="CONCESSION-LONDON"/>
    <s v="COSMIC-HIGHLIGHT-06"/>
    <s v="Setting Spray"/>
    <n v="58.9"/>
    <x v="0"/>
    <n v="0"/>
    <s v="Mobile"/>
    <s v="84.152.18.57"/>
    <x v="0"/>
    <n v="218"/>
    <n v="-1.6019756665172649"/>
    <n v="0"/>
    <n v="0"/>
    <n v="1"/>
    <n v="1"/>
    <n v="0"/>
  </r>
  <r>
    <s v="453ea24b-28dd-4798-a5cc-a56026dd5d61"/>
    <s v="d2c5c34d-5923-4499-a285-74e25db07802"/>
    <d v="2025-06-05T00:00:00"/>
    <d v="1899-12-30T18:10:23"/>
    <n v="18"/>
    <n v="41"/>
    <s v="Gold"/>
    <s v="Monaco"/>
    <s v="POPUP-TOKYO"/>
    <s v="ECLIPSE-EYE-10"/>
    <s v="Blush"/>
    <n v="58.69"/>
    <x v="4"/>
    <n v="0"/>
    <s v="Desktop"/>
    <s v="116.15.191.71"/>
    <x v="0"/>
    <n v="62"/>
    <n v="-1.6048829610072444"/>
    <n v="0"/>
    <n v="0"/>
    <n v="1"/>
    <n v="1"/>
    <n v="0"/>
  </r>
  <r>
    <s v="25877e8d-d177-4aed-8cb8-e5ea7176b748"/>
    <s v="a2d121ae-13dd-4362-b7e3-73286f56518a"/>
    <d v="2025-05-30T00:00:00"/>
    <d v="1899-12-30T15:39:21"/>
    <n v="15"/>
    <n v="61"/>
    <s v="Silver"/>
    <s v="Zurich"/>
    <s v="BOUTIQUE-NYC"/>
    <s v="SOLAR-BLUSH-04"/>
    <s v="Setting Spray"/>
    <n v="58.52"/>
    <x v="3"/>
    <n v="0"/>
    <s v="Tablet"/>
    <s v="233.125.195.8"/>
    <x v="0"/>
    <n v="410"/>
    <n v="-1.60723648511818"/>
    <n v="0"/>
    <n v="0"/>
    <n v="0"/>
    <n v="0"/>
    <n v="0"/>
  </r>
  <r>
    <s v="42f3dac7-6c13-450f-b23a-c5a0a7bbe3d9"/>
    <s v="b0c70795-30da-4cfe-8e1c-e5f218448f18"/>
    <d v="2025-06-20T00:00:00"/>
    <d v="1899-12-30T10:08:10"/>
    <n v="10"/>
    <n v="34"/>
    <s v="Gold"/>
    <s v="New York"/>
    <s v="FLAGSHIP-PARIS"/>
    <s v="NEBULA-SERUM-07"/>
    <s v="Highlighter"/>
    <n v="58.51"/>
    <x v="0"/>
    <n v="0"/>
    <s v="Tablet"/>
    <s v="223.205.71.13"/>
    <x v="0"/>
    <n v="243"/>
    <n v="-1.6073749277129412"/>
    <n v="0"/>
    <n v="0"/>
    <n v="1"/>
    <n v="1"/>
    <n v="0"/>
  </r>
  <r>
    <s v="3ca28c33-f5dd-4fed-a904-4e70f212c210"/>
    <s v="40ff6d0e-0733-4d98-84bf-ba6bd286b0e2"/>
    <d v="2025-06-15T00:00:00"/>
    <d v="1899-12-30T06:31:17"/>
    <n v="6"/>
    <n v="31"/>
    <s v="Bronze"/>
    <s v="Geneva"/>
    <s v="FLAGSHIP-ROME"/>
    <s v="STELLAR-FOUND-03"/>
    <s v="Foundation"/>
    <n v="58.49"/>
    <x v="1"/>
    <n v="0"/>
    <s v="Tablet"/>
    <s v="60.252.185.18"/>
    <x v="0"/>
    <n v="481"/>
    <n v="-1.6076518129024626"/>
    <n v="0"/>
    <n v="0"/>
    <n v="0"/>
    <n v="0"/>
    <n v="0"/>
  </r>
  <r>
    <s v="222c00c8-1522-45c3-a96b-6cd009b2b0f6"/>
    <s v="5a5bd7eb-3f93-4923-bad0-77ce10ad570f"/>
    <d v="2025-04-14T00:00:00"/>
    <d v="1899-12-30T23:58:48"/>
    <n v="23"/>
    <n v="57"/>
    <s v="Silver"/>
    <s v="San Francisco"/>
    <s v="FLAGSHIP-PARIS"/>
    <s v="STELLAR-FOUND-03"/>
    <s v="Foundation"/>
    <n v="58.31"/>
    <x v="4"/>
    <n v="0"/>
    <s v="Mobile"/>
    <s v="47.132.141.132"/>
    <x v="0"/>
    <n v="230"/>
    <n v="-1.6101437796081595"/>
    <n v="0"/>
    <n v="0"/>
    <n v="1"/>
    <n v="1"/>
    <n v="0"/>
  </r>
  <r>
    <s v="2084d0dd-c229-4ddd-99f5-f4528a2f5101"/>
    <s v="60db4c6b-4ce2-4501-8904-2a3a3895e5fe"/>
    <d v="2025-07-29T00:00:00"/>
    <d v="1899-12-30T13:26:59"/>
    <n v="13"/>
    <n v="20"/>
    <s v="Platinum"/>
    <s v="Dubai"/>
    <s v="BOUTIQUE-NYC"/>
    <s v="NEBULA-SERUM-07"/>
    <s v="Highlighter"/>
    <n v="58.23"/>
    <x v="1"/>
    <n v="0"/>
    <s v="Mobile"/>
    <s v="59.124.244.237"/>
    <x v="0"/>
    <n v="214"/>
    <n v="-1.6112513203662471"/>
    <n v="0"/>
    <n v="0"/>
    <n v="1"/>
    <n v="1"/>
    <n v="0"/>
  </r>
  <r>
    <s v="949f9afc-9707-4da9-a8ac-af88ccca29f5"/>
    <s v="ebb329b1-911d-4342-ab40-867fcd0cdd74"/>
    <d v="2025-06-27T00:00:00"/>
    <d v="1899-12-30T18:05:43"/>
    <n v="18"/>
    <n v="29"/>
    <s v="Bronze"/>
    <s v="Sydney"/>
    <s v="BOUTIQUE-NYC"/>
    <s v="NEBULA-SERUM-07"/>
    <s v="Eyeliner"/>
    <n v="58.16"/>
    <x v="1"/>
    <n v="0"/>
    <s v="Mobile"/>
    <s v="228.66.243.109"/>
    <x v="0"/>
    <n v="133"/>
    <n v="-1.6122204185295734"/>
    <n v="0"/>
    <n v="0"/>
    <n v="1"/>
    <n v="1"/>
    <n v="0"/>
  </r>
  <r>
    <s v="f06e2c5a-8704-4f58-9947-bae6d8d666f3"/>
    <s v="3453c358-ca03-46d7-b72b-d78c35576fd6"/>
    <d v="2025-06-13T00:00:00"/>
    <d v="1899-12-30T09:29:43"/>
    <n v="9"/>
    <n v="40"/>
    <s v="Bronze"/>
    <s v="Los Angeles"/>
    <s v="BOUTIQUE-SHANGHAI"/>
    <s v="COSMIC-HIGHLIGHT-06"/>
    <s v="Blush"/>
    <n v="58.12"/>
    <x v="4"/>
    <n v="0"/>
    <s v="Laptop"/>
    <s v="29.69.253.184"/>
    <x v="0"/>
    <n v="323"/>
    <n v="-1.6127741889086169"/>
    <n v="0"/>
    <n v="0"/>
    <n v="0"/>
    <n v="0"/>
    <n v="0"/>
  </r>
  <r>
    <s v="a130e9c2-eadc-45a7-9b82-8d9bd3f00928"/>
    <s v="158936ed-19a0-4f67-80d2-d6d9609362ed"/>
    <d v="2025-04-27T00:00:00"/>
    <d v="1899-12-30T23:41:24"/>
    <n v="23"/>
    <n v="32"/>
    <s v="Gold"/>
    <s v="Cannes"/>
    <s v="POPUP-MILAN"/>
    <s v="ECLIPSE-EYE-10"/>
    <s v="Lipstick"/>
    <n v="58.09"/>
    <x v="0"/>
    <n v="0"/>
    <s v="Desktop"/>
    <s v="180.137.46.107"/>
    <x v="0"/>
    <n v="125"/>
    <n v="-1.6131895166928998"/>
    <n v="0"/>
    <n v="0"/>
    <n v="1"/>
    <n v="1"/>
    <n v="0"/>
  </r>
  <r>
    <s v="e640ae08-1fa6-4dea-b241-d22727b439b0"/>
    <s v="079a6319-2c4b-424d-a790-66185bbae2aa"/>
    <d v="2025-02-21T00:00:00"/>
    <d v="1899-12-30T23:15:33"/>
    <n v="23"/>
    <n v="48"/>
    <s v="Gold"/>
    <s v="Milan"/>
    <s v="POPUP-MILAN"/>
    <s v="AURORA-LIP-01"/>
    <s v="Setting Spray"/>
    <n v="58"/>
    <x v="0"/>
    <n v="0"/>
    <s v="Laptop"/>
    <s v="22.173.161.205"/>
    <x v="0"/>
    <n v="183"/>
    <n v="-1.6144355000457482"/>
    <n v="0"/>
    <n v="0"/>
    <n v="1"/>
    <n v="1"/>
    <n v="0"/>
  </r>
  <r>
    <s v="9cc3ff28-9a0b-430e-9280-397c5af311bf"/>
    <s v="09c2af40-5430-450c-be1b-962840cd17e5"/>
    <d v="2025-04-24T00:00:00"/>
    <d v="1899-12-30T07:51:05"/>
    <n v="7"/>
    <n v="31"/>
    <s v="Bronze"/>
    <s v="Tokyo"/>
    <s v="BOUTIQUE-NYC"/>
    <s v="STELLAR-FOUND-03"/>
    <s v="Mascara"/>
    <n v="57.95"/>
    <x v="1"/>
    <n v="0"/>
    <s v="Mobile"/>
    <s v="120.44.237.45"/>
    <x v="0"/>
    <n v="468"/>
    <n v="-1.6151277130195527"/>
    <n v="0"/>
    <n v="0"/>
    <n v="0"/>
    <n v="0"/>
    <n v="0"/>
  </r>
  <r>
    <s v="f90cf3ca-e3f8-4837-b197-7299864bffde"/>
    <s v="193fb6dd-8610-4134-b1fa-63439126d0da"/>
    <d v="2025-04-28T00:00:00"/>
    <d v="1899-12-30T08:28:11"/>
    <n v="8"/>
    <n v="47"/>
    <s v="Gold"/>
    <s v="Los Angeles"/>
    <s v="BOUTIQUE-SHANGHAI"/>
    <s v="CELESTE-EYE-05"/>
    <s v="Highlighter"/>
    <n v="57.78"/>
    <x v="3"/>
    <n v="0"/>
    <s v="Laptop"/>
    <s v="165.159.170.73"/>
    <x v="0"/>
    <n v="425"/>
    <n v="-1.6174812371304885"/>
    <n v="0"/>
    <n v="0"/>
    <n v="0"/>
    <n v="0"/>
    <n v="0"/>
  </r>
  <r>
    <s v="5490a283-0962-4b16-97c9-197fb66491a9"/>
    <s v="e17f0a6d-63d4-408e-a2cf-b472f44470dd"/>
    <d v="2025-04-12T00:00:00"/>
    <d v="1899-12-30T10:37:00"/>
    <n v="10"/>
    <n v="58"/>
    <s v="Silver"/>
    <s v="Milan"/>
    <s v="BOUTIQUE-SHANGHAI"/>
    <s v="ORION-CONCEAL-09"/>
    <s v="Lipstick"/>
    <n v="57.77"/>
    <x v="1"/>
    <n v="0"/>
    <s v="Laptop"/>
    <s v="173.63.180.192"/>
    <x v="0"/>
    <n v="402"/>
    <n v="-1.6176196797252493"/>
    <n v="0"/>
    <n v="0"/>
    <n v="0"/>
    <n v="0"/>
    <n v="0"/>
  </r>
  <r>
    <s v="0be7cf2c-ae54-4a2b-8312-01e9ef3a5020"/>
    <s v="e167eaf0-49f4-4795-aebc-b80b7376b91c"/>
    <d v="2025-06-05T00:00:00"/>
    <d v="1899-12-30T23:03:48"/>
    <n v="23"/>
    <n v="65"/>
    <s v="Silver"/>
    <s v="Milan"/>
    <s v="POPUP-MILAN"/>
    <s v="ORION-CONCEAL-09"/>
    <s v="Foundation"/>
    <n v="57.77"/>
    <x v="0"/>
    <n v="0"/>
    <s v="Mobile"/>
    <s v="43.218.129.154"/>
    <x v="0"/>
    <n v="495"/>
    <n v="-1.6176196797252493"/>
    <n v="0"/>
    <n v="0"/>
    <n v="0"/>
    <n v="0"/>
    <n v="0"/>
  </r>
  <r>
    <s v="9cdf6583-398a-459b-9294-1f3358b6a1f1"/>
    <s v="8b6a82a0-94f7-4913-8b2f-8ff10f38b5cd"/>
    <d v="2025-02-28T00:00:00"/>
    <d v="1899-12-30T17:41:22"/>
    <n v="17"/>
    <n v="65"/>
    <s v="Bronze"/>
    <s v="Cannes"/>
    <s v="BOUTIQUE-DUBAI"/>
    <s v="COSMIC-HIGHLIGHT-06"/>
    <s v="Mascara"/>
    <n v="57.65"/>
    <x v="1"/>
    <n v="0"/>
    <s v="Desktop"/>
    <s v="119.75.123.77"/>
    <x v="0"/>
    <n v="168"/>
    <n v="-1.6192809908623804"/>
    <n v="0"/>
    <n v="0"/>
    <n v="1"/>
    <n v="1"/>
    <n v="0"/>
  </r>
  <r>
    <s v="bc75c352-0d90-451a-82de-aae3266c0b37"/>
    <s v="9f05a9fd-4b80-4e3e-8cdd-b7999ecd7d99"/>
    <d v="2025-07-03T00:00:00"/>
    <d v="1899-12-30T09:05:13"/>
    <n v="9"/>
    <n v="57"/>
    <s v="Platinum"/>
    <s v="New York"/>
    <s v="BOUTIQUE-SHANGHAI"/>
    <s v="SOLAR-BLUSH-04"/>
    <s v="Setting Spray"/>
    <n v="57.64"/>
    <x v="0"/>
    <n v="0"/>
    <s v="Tablet"/>
    <s v="72.40.104.70"/>
    <x v="0"/>
    <n v="161"/>
    <n v="-1.6194194334571415"/>
    <n v="0"/>
    <n v="0"/>
    <n v="1"/>
    <n v="1"/>
    <n v="0"/>
  </r>
  <r>
    <s v="104d296a-1717-4ac3-bf25-c99356db5c1c"/>
    <s v="8392b2ea-ab17-4e25-bece-bfe291a8cad5"/>
    <d v="2025-05-11T00:00:00"/>
    <d v="1899-12-30T22:17:38"/>
    <n v="22"/>
    <n v="25"/>
    <s v="Gold"/>
    <s v="Sydney"/>
    <s v="BOUTIQUE-SHANGHAI"/>
    <s v="ORION-CONCEAL-09"/>
    <s v="Blush"/>
    <n v="57.54"/>
    <x v="3"/>
    <n v="0"/>
    <s v="Desktop"/>
    <s v="230.26.70.225"/>
    <x v="0"/>
    <n v="62"/>
    <n v="-1.6208038594047507"/>
    <n v="0"/>
    <n v="0"/>
    <n v="1"/>
    <n v="1"/>
    <n v="0"/>
  </r>
  <r>
    <s v="ccfbe04b-c63c-48df-bd4c-e9f79f8791a0"/>
    <s v="7436bb95-5626-42e7-a4ad-fa64acfbbf6e"/>
    <d v="2025-02-15T00:00:00"/>
    <d v="1899-12-30T22:50:02"/>
    <n v="22"/>
    <n v="57"/>
    <s v="Platinum"/>
    <s v="Miami"/>
    <s v="BOUTIQUE-NYC"/>
    <s v="NEBULA-SERUM-07"/>
    <s v="Setting Spray"/>
    <n v="57.25"/>
    <x v="1"/>
    <n v="0"/>
    <s v="Desktop"/>
    <s v="61.104.223.46"/>
    <x v="0"/>
    <n v="230"/>
    <n v="-1.6248186946528176"/>
    <n v="0"/>
    <n v="0"/>
    <n v="1"/>
    <n v="1"/>
    <n v="0"/>
  </r>
  <r>
    <s v="19d413c9-1024-44ee-86b6-b01950051e26"/>
    <s v="a918f2f7-d782-4eaf-b0e8-d070a25c1cce"/>
    <d v="2025-03-06T00:00:00"/>
    <d v="1899-12-30T14:53:14"/>
    <n v="14"/>
    <n v="39"/>
    <s v="Bronze"/>
    <s v="Shanghai"/>
    <s v="CONCESSION-LONDON"/>
    <s v="CELESTE-EYE-05"/>
    <s v="Concealer"/>
    <n v="57.12"/>
    <x v="4"/>
    <n v="0"/>
    <s v="Laptop"/>
    <s v="67.22.56.24"/>
    <x v="1"/>
    <n v="182"/>
    <n v="-1.6266184483847095"/>
    <n v="0"/>
    <n v="0"/>
    <n v="1"/>
    <n v="1"/>
    <n v="0"/>
  </r>
  <r>
    <s v="2c88df1f-c481-4b44-a2a5-c80f7ee39f95"/>
    <s v="f11a7e2a-da73-44cb-bcc4-6029c42e41fb"/>
    <d v="2025-03-09T00:00:00"/>
    <d v="1899-12-30T07:48:36"/>
    <n v="7"/>
    <n v="59"/>
    <s v="Unknown"/>
    <s v="Sydney"/>
    <s v="FLAGSHIP-LA"/>
    <s v="CELESTE-EYE-05"/>
    <s v="Blush"/>
    <n v="57.08"/>
    <x v="0"/>
    <n v="0"/>
    <s v="Laptop"/>
    <s v="203.248.21.80"/>
    <x v="0"/>
    <n v="141"/>
    <n v="-1.6271722187637532"/>
    <n v="0"/>
    <n v="0"/>
    <n v="1"/>
    <n v="1"/>
    <n v="0"/>
  </r>
  <r>
    <s v="521d9d39-a8f2-44f9-9a02-8eee5f8a823f"/>
    <s v="51f57bf7-5839-464a-9464-52d98bd15c71"/>
    <d v="2025-02-21T00:00:00"/>
    <d v="1899-12-30T10:26:40"/>
    <n v="10"/>
    <n v="30"/>
    <s v="Bronze"/>
    <s v="San Francisco"/>
    <s v="CONCESSION-LONDON"/>
    <s v="AURORA-LIP-01"/>
    <s v="Eyeshadow Palette"/>
    <n v="56.56"/>
    <x v="4"/>
    <n v="0"/>
    <s v="Tablet"/>
    <s v="33.196.169.141"/>
    <x v="0"/>
    <n v="455"/>
    <n v="-1.6343712336913212"/>
    <n v="0"/>
    <n v="0"/>
    <n v="0"/>
    <n v="0"/>
    <n v="0"/>
  </r>
  <r>
    <s v="9fba866a-87ed-445d-b4d0-f27d49cec83c"/>
    <s v="acd95b35-b603-4035-9ed3-c71aaa991ffb"/>
    <d v="2025-03-06T00:00:00"/>
    <d v="1899-12-30T18:37:09"/>
    <n v="18"/>
    <n v="61"/>
    <s v="Bronze"/>
    <s v="Cannes"/>
    <s v="CONCESSION-SINGAPORE"/>
    <s v="NEBULA-SERUM-07"/>
    <s v="Blush"/>
    <n v="56.39"/>
    <x v="1"/>
    <n v="0"/>
    <s v="Desktop"/>
    <s v="4.147.229.195"/>
    <x v="0"/>
    <n v="104"/>
    <n v="-1.636724757802257"/>
    <n v="0"/>
    <n v="0"/>
    <n v="1"/>
    <n v="1"/>
    <n v="0"/>
  </r>
  <r>
    <s v="44ba5311-29a0-40d5-8b4e-e049081732d4"/>
    <s v="76de80cb-86af-49fa-a369-7274ef4b638c"/>
    <d v="2025-06-16T00:00:00"/>
    <d v="1899-12-30T17:53:10"/>
    <n v="17"/>
    <n v="48"/>
    <s v="Bronze"/>
    <s v="Cannes"/>
    <s v="BOUTIQUE-SHANGHAI"/>
    <s v="STELLAR-FOUND-03"/>
    <s v="Highlighter"/>
    <n v="56.33"/>
    <x v="4"/>
    <n v="0"/>
    <s v="Mobile"/>
    <s v="165.160.24.14"/>
    <x v="0"/>
    <n v="398"/>
    <n v="-1.6375554133708226"/>
    <n v="0"/>
    <n v="0"/>
    <n v="0"/>
    <n v="0"/>
    <n v="0"/>
  </r>
  <r>
    <s v="edf46203-6702-429e-a4a7-b823aff255bd"/>
    <s v="b3397281-f375-4b00-b1b7-5e57fd5ebb22"/>
    <d v="2025-06-17T00:00:00"/>
    <d v="1899-12-30T07:19:54"/>
    <n v="7"/>
    <n v="65"/>
    <s v="Silver"/>
    <s v="Cannes"/>
    <s v="FLAGSHIP-ROME"/>
    <s v="NEBULA-SERUM-07"/>
    <s v="Highlighter"/>
    <n v="56.25"/>
    <x v="4"/>
    <n v="0"/>
    <s v="Desktop"/>
    <s v="8.23.65.187"/>
    <x v="0"/>
    <n v="421"/>
    <n v="-1.6386629541289099"/>
    <n v="0"/>
    <n v="0"/>
    <n v="0"/>
    <n v="0"/>
    <n v="0"/>
  </r>
  <r>
    <s v="6c094d8f-52e1-4cd1-b0d6-406acb126554"/>
    <s v="cd10c56e-af0c-44a8-8db6-a06743ed5e31"/>
    <d v="2025-06-23T00:00:00"/>
    <d v="1899-12-30T15:06:43"/>
    <n v="15"/>
    <n v="45"/>
    <s v="Bronze"/>
    <s v="London"/>
    <s v="FLAGSHIP-LA"/>
    <s v="STELLAR-FOUND-03"/>
    <s v="Serum"/>
    <n v="56.04"/>
    <x v="1"/>
    <n v="0"/>
    <s v="Laptop"/>
    <s v="205.33.96.234"/>
    <x v="0"/>
    <n v="265"/>
    <n v="-1.6415702486188894"/>
    <n v="0"/>
    <n v="0"/>
    <n v="1"/>
    <n v="1"/>
    <n v="0"/>
  </r>
  <r>
    <s v="45c6e00b-c73a-4c74-bdee-b71d8377836c"/>
    <s v="2f5dc2ca-8519-4c90-88fd-b91f783a484e"/>
    <d v="2025-06-05T00:00:00"/>
    <d v="1899-12-30T18:36:42"/>
    <n v="18"/>
    <n v="24"/>
    <s v="Bronze"/>
    <s v="Rome"/>
    <s v="POPUP-TOKYO"/>
    <s v="SOLAR-BLUSH-04"/>
    <s v="Serum"/>
    <n v="56.04"/>
    <x v="3"/>
    <n v="0"/>
    <s v="Laptop"/>
    <s v="92.125.37.110"/>
    <x v="0"/>
    <n v="109"/>
    <n v="-1.6415702486188894"/>
    <n v="0"/>
    <n v="0"/>
    <n v="1"/>
    <n v="1"/>
    <n v="0"/>
  </r>
  <r>
    <s v="6c27a8ce-5430-436e-b3a3-a32a7bef38f8"/>
    <s v="62e08181-94f4-4d6c-86d6-d84f318ca282"/>
    <d v="2025-02-19T00:00:00"/>
    <d v="1899-12-30T21:47:42"/>
    <n v="21"/>
    <n v="23"/>
    <s v="Silver"/>
    <s v="Miami"/>
    <s v="FLAGSHIP-PARIS"/>
    <s v="CELESTE-EYE-05"/>
    <s v="Highlighter"/>
    <n v="56.03"/>
    <x v="4"/>
    <n v="0"/>
    <s v="Desktop"/>
    <s v="98.12.91.226"/>
    <x v="0"/>
    <n v="408"/>
    <n v="-1.6417086912136503"/>
    <n v="0"/>
    <n v="0"/>
    <n v="0"/>
    <n v="0"/>
    <n v="0"/>
  </r>
  <r>
    <s v="50248aca-e437-4efd-b7e6-d196b6b53484"/>
    <s v="eece1030-beec-4e29-aa05-31409921df91"/>
    <d v="2025-03-09T00:00:00"/>
    <d v="1899-12-30T15:35:03"/>
    <n v="15"/>
    <n v="22"/>
    <s v="Bronze"/>
    <s v="Rome"/>
    <s v="CONCESSION-SINGAPORE"/>
    <s v="CELESTE-EYE-05"/>
    <s v="Highlighter"/>
    <n v="56.03"/>
    <x v="4"/>
    <n v="0"/>
    <s v="Desktop"/>
    <s v="51.226.184.99"/>
    <x v="0"/>
    <n v="463"/>
    <n v="-1.6417086912136503"/>
    <n v="0"/>
    <n v="0"/>
    <n v="0"/>
    <n v="0"/>
    <n v="0"/>
  </r>
  <r>
    <s v="253ba57b-4ede-4888-8472-af061c43b9fa"/>
    <s v="aa3b43e3-7eaa-4db7-85d4-8aaefcbeaaa8"/>
    <d v="2025-04-16T00:00:00"/>
    <d v="1899-12-30T09:56:02"/>
    <n v="9"/>
    <n v="56"/>
    <s v="Bronze"/>
    <s v="Las Vegas"/>
    <s v="CONCESSION-SINGAPORE"/>
    <s v="LUNAR-MASC-02"/>
    <s v="Serum"/>
    <n v="55.94"/>
    <x v="0"/>
    <n v="0"/>
    <s v="Laptop"/>
    <s v="61.59.21.162"/>
    <x v="0"/>
    <n v="420"/>
    <n v="-1.6429546745664987"/>
    <n v="0"/>
    <n v="0"/>
    <n v="0"/>
    <n v="0"/>
    <n v="0"/>
  </r>
  <r>
    <s v="bb01f3e2-9d2c-42df-a255-0176de16136e"/>
    <s v="58ba3332-7559-4580-bb1d-5fc47947d2f4"/>
    <d v="2025-05-10T00:00:00"/>
    <d v="1899-12-30T07:05:29"/>
    <n v="7"/>
    <n v="41"/>
    <s v="Gold"/>
    <s v="London"/>
    <s v="FLAGSHIP-LA"/>
    <s v="AURORA-LIP-01"/>
    <s v="Eyeshadow Palette"/>
    <n v="55.82"/>
    <x v="1"/>
    <n v="0"/>
    <s v="Mobile"/>
    <s v="54.97.7.189"/>
    <x v="0"/>
    <n v="274"/>
    <n v="-1.6446159857036298"/>
    <n v="0"/>
    <n v="0"/>
    <n v="0"/>
    <n v="0"/>
    <n v="0"/>
  </r>
  <r>
    <s v="1aafc670-f354-4b85-8520-c8d9209042f3"/>
    <s v="235252b6-f827-44d4-a8cb-4da61016fad2"/>
    <d v="2025-07-02T00:00:00"/>
    <d v="1899-12-30T10:45:47"/>
    <n v="10"/>
    <n v="26"/>
    <s v="Silver"/>
    <s v="Los Angeles"/>
    <s v="POPUP-MILAN"/>
    <s v="ECLIPSE-EYE-10"/>
    <s v="Serum"/>
    <n v="55.62"/>
    <x v="4"/>
    <n v="0"/>
    <s v="Desktop"/>
    <s v="45.101.143.201"/>
    <x v="1"/>
    <n v="386"/>
    <n v="-1.647384837598848"/>
    <n v="0"/>
    <n v="0"/>
    <n v="0"/>
    <n v="0"/>
    <n v="0"/>
  </r>
  <r>
    <s v="a7539ea1-542a-4de6-b240-8e8c3475de95"/>
    <s v="879563bb-cb51-4657-bddb-e2776d25bcd2"/>
    <d v="2025-07-29T00:00:00"/>
    <d v="1899-12-30T11:09:17"/>
    <n v="11"/>
    <n v="52"/>
    <s v="Bronze"/>
    <s v="Miami"/>
    <s v="BOUTIQUE-NYC"/>
    <s v="SOLAR-BLUSH-04"/>
    <s v="Setting Spray"/>
    <n v="55.59"/>
    <x v="1"/>
    <n v="0"/>
    <s v="Laptop"/>
    <s v="58.208.148.219"/>
    <x v="0"/>
    <n v="478"/>
    <n v="-1.6478001653831309"/>
    <n v="0"/>
    <n v="0"/>
    <n v="0"/>
    <n v="0"/>
    <n v="0"/>
  </r>
  <r>
    <s v="ab5df119-4148-451b-8566-8a7b02450282"/>
    <s v="5307ff07-e0e3-4888-bf54-251461834025"/>
    <d v="2025-08-12T00:00:00"/>
    <d v="1899-12-30T22:40:11"/>
    <n v="22"/>
    <n v="50"/>
    <s v="Gold"/>
    <s v="Zurich"/>
    <s v="BOUTIQUE-DUBAI"/>
    <s v="STELLAR-FOUND-03"/>
    <s v="Foundation"/>
    <n v="55.12"/>
    <x v="1"/>
    <n v="0"/>
    <s v="Desktop"/>
    <s v="91.115.95.217"/>
    <x v="0"/>
    <n v="353"/>
    <n v="-1.6543069673368944"/>
    <n v="0"/>
    <n v="0"/>
    <n v="0"/>
    <n v="0"/>
    <n v="0"/>
  </r>
  <r>
    <s v="682dc40f-f827-4485-b04a-0c211e222ef8"/>
    <s v="cd2b20d4-19d5-435d-b72d-4ce3cb2d6562"/>
    <d v="2025-07-01T00:00:00"/>
    <d v="1899-12-30T18:19:50"/>
    <n v="18"/>
    <n v="65"/>
    <s v="Bronze"/>
    <s v="San Francisco"/>
    <s v="BOUTIQUE-SHANGHAI"/>
    <s v="ORION-CONCEAL-09"/>
    <s v="Highlighter"/>
    <n v="55.01"/>
    <x v="3"/>
    <n v="0"/>
    <s v="Mobile"/>
    <s v="221.112.237.106"/>
    <x v="0"/>
    <n v="350"/>
    <n v="-1.6558298358792647"/>
    <n v="0"/>
    <n v="0"/>
    <n v="0"/>
    <n v="0"/>
    <n v="0"/>
  </r>
  <r>
    <s v="0842aa18-d0af-481c-b73e-e694469af32d"/>
    <s v="c6aa7407-bc05-44ac-8d3b-aa55521e81b5"/>
    <d v="2025-07-31T00:00:00"/>
    <d v="1899-12-30T13:22:33"/>
    <n v="13"/>
    <n v="61"/>
    <s v="Gold"/>
    <s v="Rome"/>
    <s v="BOUTIQUE-DUBAI"/>
    <s v="STELLAR-FOUND-03"/>
    <s v="Mascara"/>
    <n v="54.93"/>
    <x v="0"/>
    <n v="0"/>
    <s v="Mobile"/>
    <s v="172.248.250.200"/>
    <x v="0"/>
    <n v="184"/>
    <n v="-1.6569373766373519"/>
    <n v="0"/>
    <n v="0"/>
    <n v="1"/>
    <n v="1"/>
    <n v="0"/>
  </r>
  <r>
    <s v="809af322-fc07-4652-9cf6-324ec45f146d"/>
    <s v="cb290f16-ad6e-4b80-ba34-bd3d130ddeb0"/>
    <d v="2025-06-08T00:00:00"/>
    <d v="1899-12-30T22:58:42"/>
    <n v="22"/>
    <n v="40"/>
    <s v="Bronze"/>
    <s v="Las Vegas"/>
    <s v="FLAGSHIP-LA"/>
    <s v="COSMIC-HIGHLIGHT-06"/>
    <s v="Foundation"/>
    <n v="54.91"/>
    <x v="3"/>
    <n v="0"/>
    <s v="Laptop"/>
    <s v="56.172.80.196"/>
    <x v="0"/>
    <n v="245"/>
    <n v="-1.6572142618268739"/>
    <n v="0"/>
    <n v="0"/>
    <n v="1"/>
    <n v="1"/>
    <n v="0"/>
  </r>
  <r>
    <s v="8f1d0184-9a42-45e8-9c2a-eba74faec8ec"/>
    <s v="3c155b04-55ee-46f4-a9a9-a25daa256025"/>
    <d v="2025-07-21T00:00:00"/>
    <d v="1899-12-30T23:44:22"/>
    <n v="23"/>
    <n v="38"/>
    <s v="Unknown"/>
    <s v="Hong Kong"/>
    <s v="BOUTIQUE-SHANGHAI"/>
    <s v="AURORA-LIP-01"/>
    <s v="Blush"/>
    <n v="54.83"/>
    <x v="4"/>
    <n v="0"/>
    <s v="Desktop"/>
    <s v="253.86.251.0"/>
    <x v="0"/>
    <n v="173"/>
    <n v="-1.6583218025849613"/>
    <n v="0"/>
    <n v="0"/>
    <n v="1"/>
    <n v="1"/>
    <n v="0"/>
  </r>
  <r>
    <s v="b8c7a1e3-e21f-4586-b607-d08fba25e9e7"/>
    <s v="87e6181c-c592-4c2a-b9f4-9efac9051903"/>
    <d v="2025-06-28T00:00:00"/>
    <d v="1899-12-30T05:23:56"/>
    <n v="5"/>
    <n v="34"/>
    <s v="Bronze"/>
    <s v="Milan"/>
    <s v="POPUP-TOKYO"/>
    <s v="ECLIPSE-EYE-10"/>
    <s v="Eyeshadow Palette"/>
    <n v="54.77"/>
    <x v="1"/>
    <n v="0"/>
    <s v="Laptop"/>
    <s v="33.105.82.44"/>
    <x v="0"/>
    <n v="288"/>
    <n v="-1.6591524581535266"/>
    <n v="0"/>
    <n v="1"/>
    <n v="0"/>
    <n v="2"/>
    <n v="0"/>
  </r>
  <r>
    <s v="202a9ed2-b01a-44c2-8ec1-c0f991aaf5eb"/>
    <s v="24b957a5-b7b3-4b16-914a-ad79345cf50a"/>
    <d v="2025-03-17T00:00:00"/>
    <d v="1899-12-30T08:15:17"/>
    <n v="8"/>
    <n v="46"/>
    <s v="Bronze"/>
    <s v="Dubai"/>
    <s v="FLAGSHIP-LA"/>
    <s v="SOLAR-BLUSH-04"/>
    <s v="Mascara"/>
    <n v="54.77"/>
    <x v="0"/>
    <n v="0"/>
    <s v="Mobile"/>
    <s v="144.142.247.145"/>
    <x v="0"/>
    <n v="448"/>
    <n v="-1.6591524581535266"/>
    <n v="0"/>
    <n v="0"/>
    <n v="0"/>
    <n v="0"/>
    <n v="0"/>
  </r>
  <r>
    <s v="f552c40a-a2d2-4031-90e9-afb168417406"/>
    <s v="deb857b1-a3df-41ce-8c69-076c68371715"/>
    <d v="2025-02-27T00:00:00"/>
    <d v="1899-12-30T16:29:58"/>
    <n v="16"/>
    <n v="42"/>
    <s v="Bronze"/>
    <s v="Los Angeles"/>
    <s v="FLAGSHIP-PARIS"/>
    <s v="NEBULA-SERUM-07"/>
    <s v="Eyeliner"/>
    <n v="54.72"/>
    <x v="4"/>
    <n v="0"/>
    <s v="Tablet"/>
    <s v="37.193.136.27"/>
    <x v="0"/>
    <n v="499"/>
    <n v="-1.6598446711273314"/>
    <n v="0"/>
    <n v="0"/>
    <n v="0"/>
    <n v="0"/>
    <n v="0"/>
  </r>
  <r>
    <s v="b43b3c31-e0e8-4072-ac62-fa6524ad6e54"/>
    <s v="33d66452-9999-4fe4-88b9-3b057bf60154"/>
    <d v="2025-06-21T00:00:00"/>
    <d v="1899-12-30T02:04:03"/>
    <n v="2"/>
    <n v="50"/>
    <s v="Silver"/>
    <s v="Los Angeles"/>
    <s v="CONCESSION-SINGAPORE"/>
    <s v="ECLIPSE-EYE-10"/>
    <s v="Eyeshadow Palette"/>
    <n v="54.7"/>
    <x v="3"/>
    <n v="0"/>
    <s v="Laptop"/>
    <s v="220.112.72.182"/>
    <x v="0"/>
    <n v="434"/>
    <n v="-1.6601215563168532"/>
    <n v="0"/>
    <n v="1"/>
    <n v="0"/>
    <n v="2"/>
    <n v="0"/>
  </r>
  <r>
    <s v="cfa344d0-9cef-469d-8e93-a32d73940218"/>
    <s v="05a011ab-e73e-4f44-9083-3bc131f0e8ea"/>
    <d v="2025-06-11T00:00:00"/>
    <d v="1899-12-30T03:33:09"/>
    <n v="3"/>
    <n v="40"/>
    <s v="Gold"/>
    <s v="Miami"/>
    <s v="BOUTIQUE-NYC"/>
    <s v="CELESTE-EYE-05"/>
    <s v="Setting Spray"/>
    <n v="54.64"/>
    <x v="4"/>
    <n v="0"/>
    <s v="Desktop"/>
    <s v="176.167.144.101"/>
    <x v="0"/>
    <n v="81"/>
    <n v="-1.6609522118854188"/>
    <n v="0"/>
    <n v="1"/>
    <n v="1"/>
    <n v="3"/>
    <n v="0"/>
  </r>
  <r>
    <s v="66f52184-2113-46f4-b1f7-9d64a6d76644"/>
    <s v="a6ea42f7-d8c9-48fe-b0a9-a27618da5cd8"/>
    <d v="2025-06-07T00:00:00"/>
    <d v="1899-12-30T02:12:28"/>
    <n v="2"/>
    <n v="57"/>
    <s v="Bronze"/>
    <s v="Shanghai"/>
    <s v="BOUTIQUE-NYC"/>
    <s v="LUNAR-MASC-02"/>
    <s v="Blush"/>
    <n v="54.64"/>
    <x v="1"/>
    <n v="0"/>
    <s v="Mobile"/>
    <s v="106.63.249.3"/>
    <x v="0"/>
    <n v="266"/>
    <n v="-1.6609522118854188"/>
    <n v="0"/>
    <n v="1"/>
    <n v="1"/>
    <n v="3"/>
    <n v="0"/>
  </r>
  <r>
    <s v="3c687adc-64ab-4f78-ac3c-1567b8828d84"/>
    <s v="7ce853c8-c410-4339-9410-12fa2e9a3c8f"/>
    <d v="2025-06-18T00:00:00"/>
    <d v="1899-12-30T17:13:30"/>
    <n v="17"/>
    <n v="50"/>
    <s v="Silver"/>
    <s v="London"/>
    <s v="POPUP-TOKYO"/>
    <s v="NEBULA-SERUM-07"/>
    <s v="Lipstick"/>
    <n v="54.61"/>
    <x v="0"/>
    <n v="0"/>
    <s v="Laptop"/>
    <s v="68.24.152.205"/>
    <x v="1"/>
    <n v="472"/>
    <n v="-1.6613675396697016"/>
    <n v="0"/>
    <n v="0"/>
    <n v="0"/>
    <n v="0"/>
    <n v="0"/>
  </r>
  <r>
    <s v="ce6d2d30-26d6-4b0b-91c5-b6757a21df2d"/>
    <s v="93f6da9e-5d7d-4f92-8812-8b6c832823e7"/>
    <d v="2025-07-06T00:00:00"/>
    <d v="1899-12-30T00:20:15"/>
    <n v="0"/>
    <n v="61"/>
    <s v="Bronze"/>
    <s v="San Francisco"/>
    <s v="BOUTIQUE-NYC"/>
    <s v="ECLIPSE-EYE-10"/>
    <s v="Mascara"/>
    <n v="54.57"/>
    <x v="1"/>
    <n v="0"/>
    <s v="Mobile"/>
    <s v="38.11.94.72"/>
    <x v="0"/>
    <n v="61"/>
    <n v="-1.6619213100487453"/>
    <n v="0"/>
    <n v="1"/>
    <n v="1"/>
    <n v="3"/>
    <n v="0"/>
  </r>
  <r>
    <s v="4719c0d9-d7a7-4b27-8bce-c4e81ba1c656"/>
    <s v="1958c130-d68e-48a2-b9ee-c2b3c4538d83"/>
    <d v="2025-04-30T00:00:00"/>
    <d v="1899-12-30T04:18:02"/>
    <n v="4"/>
    <n v="32"/>
    <s v="Unknown"/>
    <s v="Paris"/>
    <s v="FLAGSHIP-ROME"/>
    <s v="ECLIPSE-EYE-10"/>
    <s v="Concealer"/>
    <n v="54.47"/>
    <x v="1"/>
    <n v="0"/>
    <s v="Laptop"/>
    <s v="221.36.197.170"/>
    <x v="0"/>
    <n v="185"/>
    <n v="-1.6633057359963546"/>
    <n v="0"/>
    <n v="1"/>
    <n v="1"/>
    <n v="3"/>
    <n v="0"/>
  </r>
  <r>
    <s v="f7d2b48d-4d4d-457e-8c3f-e47428c612e1"/>
    <s v="edce973a-7b86-4b44-9d36-81202a32570c"/>
    <d v="2025-03-04T00:00:00"/>
    <d v="1899-12-30T18:49:06"/>
    <n v="18"/>
    <n v="39"/>
    <s v="Bronze"/>
    <s v="Geneva"/>
    <s v="FLAGSHIP-LA"/>
    <s v="CELESTE-EYE-05"/>
    <s v="Mascara"/>
    <n v="54.37"/>
    <x v="0"/>
    <n v="0"/>
    <s v="Laptop"/>
    <s v="20.122.47.84"/>
    <x v="0"/>
    <n v="242"/>
    <n v="-1.6646901619439636"/>
    <n v="0"/>
    <n v="0"/>
    <n v="1"/>
    <n v="1"/>
    <n v="0"/>
  </r>
  <r>
    <s v="c4541843-ce39-4e0a-a5c6-0f20d466192c"/>
    <s v="10d63c77-bab7-4119-9971-9ed8ab8768e1"/>
    <d v="2025-03-25T00:00:00"/>
    <d v="1899-12-30T05:37:38"/>
    <n v="5"/>
    <n v="55"/>
    <s v="Bronze"/>
    <s v="Sydney"/>
    <s v="BOUTIQUE-SHANGHAI"/>
    <s v="COSMIC-HIGHLIGHT-06"/>
    <s v="Eyeliner"/>
    <n v="54.33"/>
    <x v="3"/>
    <n v="0"/>
    <s v="Laptop"/>
    <s v="215.31.33.98"/>
    <x v="0"/>
    <n v="450"/>
    <n v="-1.6652439323230075"/>
    <n v="0"/>
    <n v="1"/>
    <n v="0"/>
    <n v="2"/>
    <n v="0"/>
  </r>
  <r>
    <s v="23e09955-6d2a-4066-8519-c987679cf309"/>
    <s v="47852fdb-d265-40b9-9dc4-e6358f0d98d2"/>
    <d v="2025-04-30T00:00:00"/>
    <d v="1899-12-30T16:17:51"/>
    <n v="16"/>
    <n v="42"/>
    <s v="Silver"/>
    <s v="Monte Carlo"/>
    <s v="BOUTIQUE-NYC"/>
    <s v="CELESTE-EYE-05"/>
    <s v="Blush"/>
    <n v="54.29"/>
    <x v="3"/>
    <n v="0"/>
    <s v="Desktop"/>
    <s v="24.89.62.83"/>
    <x v="0"/>
    <n v="105"/>
    <n v="-1.6657977027020512"/>
    <n v="0"/>
    <n v="0"/>
    <n v="1"/>
    <n v="1"/>
    <n v="0"/>
  </r>
  <r>
    <s v="2c24d961-7108-465f-831f-4b8a8b8e87e5"/>
    <s v="cf7f6da8-a3c7-4e0c-a571-a8c51a55cd98"/>
    <d v="2025-07-03T00:00:00"/>
    <d v="1899-12-30T11:32:14"/>
    <n v="11"/>
    <n v="29"/>
    <s v="Gold"/>
    <s v="Dubai"/>
    <s v="BOUTIQUE-NYC"/>
    <s v="ORION-CONCEAL-09"/>
    <s v="Blush"/>
    <n v="54.2"/>
    <x v="1"/>
    <n v="0"/>
    <s v="Laptop"/>
    <s v="155.3.255.121"/>
    <x v="0"/>
    <n v="354"/>
    <n v="-1.6670436860548994"/>
    <n v="0"/>
    <n v="0"/>
    <n v="0"/>
    <n v="0"/>
    <n v="0"/>
  </r>
  <r>
    <s v="15d19d7b-b0b4-4b7a-bae9-46a0ba3edf03"/>
    <s v="e59d39e2-db5a-49ea-8b54-1fc34ec47155"/>
    <d v="2025-07-11T00:00:00"/>
    <d v="1899-12-30T20:12:20"/>
    <n v="20"/>
    <n v="45"/>
    <s v="Bronze"/>
    <s v="Sydney"/>
    <s v="BOUTIQUE-NYC"/>
    <s v="NEBULA-SERUM-07"/>
    <s v="Setting Spray"/>
    <n v="53.97"/>
    <x v="2"/>
    <n v="1"/>
    <s v="Mobile"/>
    <s v="171.242.219.171"/>
    <x v="0"/>
    <n v="329"/>
    <n v="-1.6702278657344007"/>
    <n v="0"/>
    <n v="0"/>
    <n v="0"/>
    <n v="2"/>
    <n v="0"/>
  </r>
  <r>
    <s v="a968aed8-65d8-44d1-9499-71f491034590"/>
    <s v="c5a923cb-6cc3-426c-8eca-7abd29a7bc99"/>
    <d v="2025-05-23T00:00:00"/>
    <d v="1899-12-30T14:37:57"/>
    <n v="14"/>
    <n v="29"/>
    <s v="Silver"/>
    <s v="Miami"/>
    <s v="FLAGSHIP-ROME"/>
    <s v="LUNAR-MASC-02"/>
    <s v="Highlighter"/>
    <n v="53.94"/>
    <x v="2"/>
    <n v="1"/>
    <s v="Desktop"/>
    <s v="110.86.249.149"/>
    <x v="0"/>
    <n v="466"/>
    <n v="-1.6706431935186836"/>
    <n v="0"/>
    <n v="0"/>
    <n v="0"/>
    <n v="2"/>
    <n v="0"/>
  </r>
  <r>
    <s v="b106dd3c-c3b3-47b1-b900-f67b7c4b26c4"/>
    <s v="cdf3d1dc-be97-4474-9d53-4766187c0fb9"/>
    <d v="2025-06-12T00:00:00"/>
    <d v="1899-12-30T08:53:01"/>
    <n v="8"/>
    <n v="40"/>
    <s v="Platinum"/>
    <s v="Shanghai"/>
    <s v="BOUTIQUE-SHANGHAI"/>
    <s v="ECLIPSE-EYE-10"/>
    <s v="Blush"/>
    <n v="53.93"/>
    <x v="0"/>
    <n v="0"/>
    <s v="Laptop"/>
    <s v="255.147.28.21"/>
    <x v="0"/>
    <n v="132"/>
    <n v="-1.6707816361134444"/>
    <n v="0"/>
    <n v="0"/>
    <n v="1"/>
    <n v="1"/>
    <n v="0"/>
  </r>
  <r>
    <s v="bfb92872-2d3b-4de6-a127-fa48a8fc450a"/>
    <s v="28b39e98-fdaf-40c7-a0aa-523aef15016b"/>
    <d v="2025-04-04T00:00:00"/>
    <d v="1899-12-30T14:01:07"/>
    <n v="14"/>
    <n v="29"/>
    <s v="Gold"/>
    <s v="Hong Kong"/>
    <s v="POPUP-TOKYO"/>
    <s v="NEBULA-SERUM-07"/>
    <s v="Foundation"/>
    <n v="53.92"/>
    <x v="4"/>
    <n v="0"/>
    <s v="Tablet"/>
    <s v="218.11.129.232"/>
    <x v="0"/>
    <n v="426"/>
    <n v="-1.6709200787082052"/>
    <n v="0"/>
    <n v="0"/>
    <n v="0"/>
    <n v="0"/>
    <n v="0"/>
  </r>
  <r>
    <s v="b6e1304c-84ad-420a-99a2-560dc22bba10"/>
    <s v="19df1b7c-77f1-4604-873d-2c31b3249617"/>
    <d v="2025-07-11T00:00:00"/>
    <d v="1899-12-30T13:53:35"/>
    <n v="13"/>
    <n v="53"/>
    <s v="Gold"/>
    <s v="Hong Kong"/>
    <s v="BOUTIQUE-NYC"/>
    <s v="STELLAR-FOUND-03"/>
    <s v="Serum"/>
    <n v="53.9"/>
    <x v="3"/>
    <n v="0"/>
    <s v="Laptop"/>
    <s v="252.243.160.53"/>
    <x v="0"/>
    <n v="276"/>
    <n v="-1.6711969638977271"/>
    <n v="0"/>
    <n v="0"/>
    <n v="0"/>
    <n v="0"/>
    <n v="0"/>
  </r>
  <r>
    <s v="b0ee9ac8-939f-4c03-9e9c-0c44420ad16c"/>
    <s v="bef502ad-0d81-4d27-8229-9fc6ebc880fe"/>
    <d v="2025-07-02T00:00:00"/>
    <d v="1899-12-30T18:04:02"/>
    <n v="18"/>
    <n v="43"/>
    <s v="Bronze"/>
    <s v="Tokyo"/>
    <s v="BOUTIQUE-SHANGHAI"/>
    <s v="COSMIC-HIGHLIGHT-06"/>
    <s v="Mascara"/>
    <n v="53.72"/>
    <x v="3"/>
    <n v="0"/>
    <s v="Desktop"/>
    <s v="109.57.39.9"/>
    <x v="0"/>
    <n v="296"/>
    <n v="-1.6736889306034239"/>
    <n v="0"/>
    <n v="0"/>
    <n v="0"/>
    <n v="0"/>
    <n v="0"/>
  </r>
  <r>
    <s v="526b07f3-23ff-4505-a0b4-404e56a0ca8b"/>
    <s v="6d82d29d-30dc-435c-b4a9-4961d06b5bab"/>
    <d v="2025-05-31T00:00:00"/>
    <d v="1899-12-30T20:28:05"/>
    <n v="20"/>
    <n v="59"/>
    <s v="Bronze"/>
    <s v="Shanghai"/>
    <s v="CONCESSION-LONDON"/>
    <s v="SOLAR-BLUSH-04"/>
    <s v="Highlighter"/>
    <n v="53.68"/>
    <x v="1"/>
    <n v="0"/>
    <s v="Tablet"/>
    <s v="37.141.167.5"/>
    <x v="0"/>
    <n v="136"/>
    <n v="-1.6742427009824674"/>
    <n v="0"/>
    <n v="0"/>
    <n v="1"/>
    <n v="1"/>
    <n v="0"/>
  </r>
  <r>
    <s v="d04cf822-f96e-4343-844b-36576d41c7e6"/>
    <s v="7238c8c0-320a-4db2-9638-d5791f32dbea"/>
    <d v="2025-04-01T00:00:00"/>
    <d v="1899-12-30T23:39:15"/>
    <n v="23"/>
    <n v="45"/>
    <s v="Silver"/>
    <s v="Sydney"/>
    <s v="BOUTIQUE-DUBAI"/>
    <s v="LUNAR-MASC-02"/>
    <s v="Serum"/>
    <n v="53.56"/>
    <x v="3"/>
    <n v="0"/>
    <s v="Tablet"/>
    <s v="166.233.177.152"/>
    <x v="0"/>
    <n v="467"/>
    <n v="-1.6759040121195985"/>
    <n v="0"/>
    <n v="0"/>
    <n v="0"/>
    <n v="0"/>
    <n v="0"/>
  </r>
  <r>
    <s v="f52c4257-ce3c-4bc9-8fbc-274570a612be"/>
    <s v="ef14654a-732e-42c5-b318-800c1c2471f9"/>
    <d v="2025-07-24T00:00:00"/>
    <d v="1899-12-30T16:12:47"/>
    <n v="16"/>
    <n v="41"/>
    <s v="Bronze"/>
    <s v="Los Angeles"/>
    <s v="FLAGSHIP-LA"/>
    <s v="ORION-CONCEAL-09"/>
    <s v="Mascara"/>
    <n v="53.32"/>
    <x v="4"/>
    <n v="0"/>
    <s v="Mobile"/>
    <s v="3.37.183.15"/>
    <x v="0"/>
    <n v="326"/>
    <n v="-1.6792266343938609"/>
    <n v="0"/>
    <n v="0"/>
    <n v="0"/>
    <n v="0"/>
    <n v="0"/>
  </r>
  <r>
    <s v="680127a5-ec67-4770-b887-667a83356723"/>
    <s v="3c68e8af-e43f-44bb-9538-c8a2dfd32c3a"/>
    <d v="2025-04-25T00:00:00"/>
    <d v="1899-12-30T21:16:05"/>
    <n v="21"/>
    <n v="60"/>
    <s v="Bronze"/>
    <s v="Rome"/>
    <s v="POPUP-TOKYO"/>
    <s v="GALAXIA-SET-08"/>
    <s v="Lipstick"/>
    <n v="53.31"/>
    <x v="3"/>
    <n v="0"/>
    <s v="Laptop"/>
    <s v="47.92.2.228"/>
    <x v="0"/>
    <n v="242"/>
    <n v="-1.6793650769886217"/>
    <n v="0"/>
    <n v="0"/>
    <n v="1"/>
    <n v="1"/>
    <n v="0"/>
  </r>
  <r>
    <s v="261ad8da-3374-4169-9b23-29c6c9973ebf"/>
    <s v="c8ada695-24f8-4956-b0df-6484e7f2b72a"/>
    <d v="2025-08-02T00:00:00"/>
    <d v="1899-12-30T02:46:24"/>
    <n v="2"/>
    <n v="41"/>
    <s v="Gold"/>
    <s v="Cannes"/>
    <s v="FLAGSHIP-ROME"/>
    <s v="SOLAR-BLUSH-04"/>
    <s v="Serum"/>
    <n v="53.1"/>
    <x v="3"/>
    <n v="0"/>
    <s v="Laptop"/>
    <s v="103.51.181.184"/>
    <x v="0"/>
    <n v="418"/>
    <n v="-1.6822723714786012"/>
    <n v="0"/>
    <n v="1"/>
    <n v="0"/>
    <n v="2"/>
    <n v="0"/>
  </r>
  <r>
    <s v="642b48f7-1138-414f-a311-39d2001f319b"/>
    <s v="8f541be6-d89e-4cf4-8e93-db65280da047"/>
    <d v="2025-02-18T00:00:00"/>
    <d v="1899-12-30T08:05:02"/>
    <n v="8"/>
    <n v="63"/>
    <s v="Bronze"/>
    <s v="New York"/>
    <s v="BOUTIQUE-NYC"/>
    <s v="ORION-CONCEAL-09"/>
    <s v="Foundation"/>
    <n v="52.98"/>
    <x v="3"/>
    <n v="0"/>
    <s v="Laptop"/>
    <s v="141.124.224.71"/>
    <x v="0"/>
    <n v="145"/>
    <n v="-1.6839336826157325"/>
    <n v="0"/>
    <n v="0"/>
    <n v="1"/>
    <n v="1"/>
    <n v="0"/>
  </r>
  <r>
    <s v="c380b046-1bd1-43ef-be05-ee8cf321a9e7"/>
    <s v="7ce94efe-c27d-4277-9e83-c1cc13e92ea6"/>
    <d v="2025-05-09T00:00:00"/>
    <d v="1899-12-30T06:51:09"/>
    <n v="6"/>
    <n v="25"/>
    <s v="Bronze"/>
    <s v="Sydney"/>
    <s v="FLAGSHIP-LA"/>
    <s v="SOLAR-BLUSH-04"/>
    <s v="Blush"/>
    <n v="52.76"/>
    <x v="0"/>
    <n v="0"/>
    <s v="Tablet"/>
    <s v="122.137.205.18"/>
    <x v="1"/>
    <n v="205"/>
    <n v="-1.6869794197004728"/>
    <n v="0"/>
    <n v="0"/>
    <n v="1"/>
    <n v="1"/>
    <n v="0"/>
  </r>
  <r>
    <s v="7791aa8c-a675-4b47-bb66-a680f1dc654b"/>
    <s v="25564864-a8c8-4c27-8634-e92eb80940f2"/>
    <d v="2025-06-19T00:00:00"/>
    <d v="1899-12-30T00:20:38"/>
    <n v="0"/>
    <n v="29"/>
    <s v="Bronze"/>
    <s v="Paris"/>
    <s v="BOUTIQUE-SHANGHAI"/>
    <s v="GALAXIA-SET-08"/>
    <s v="Lipstick"/>
    <n v="52.59"/>
    <x v="0"/>
    <n v="0"/>
    <s v="Desktop"/>
    <s v="238.217.126.124"/>
    <x v="0"/>
    <n v="485"/>
    <n v="-1.6893329438114082"/>
    <n v="0"/>
    <n v="1"/>
    <n v="0"/>
    <n v="2"/>
    <n v="0"/>
  </r>
  <r>
    <s v="de823a8b-4938-4c31-b6c1-2b2482b46cf0"/>
    <s v="2498ece2-4140-42b2-b902-9f8a1357d18c"/>
    <d v="2025-04-26T00:00:00"/>
    <d v="1899-12-30T06:33:30"/>
    <n v="6"/>
    <n v="50"/>
    <s v="Bronze"/>
    <s v="Zurich"/>
    <s v="POPUP-MILAN"/>
    <s v="NEBULA-SERUM-07"/>
    <s v="Lipstick"/>
    <n v="52.52"/>
    <x v="4"/>
    <n v="0"/>
    <s v="Tablet"/>
    <s v="113.212.3.125"/>
    <x v="0"/>
    <n v="304"/>
    <n v="-1.6903020419747345"/>
    <n v="0"/>
    <n v="0"/>
    <n v="0"/>
    <n v="0"/>
    <n v="0"/>
  </r>
  <r>
    <s v="46183b5f-84ed-4652-b41c-a15edcceaed9"/>
    <s v="502a4f6f-f003-44c2-8531-5b45ec664d80"/>
    <d v="2025-06-29T00:00:00"/>
    <d v="1899-12-30T22:16:39"/>
    <n v="22"/>
    <n v="43"/>
    <s v="Bronze"/>
    <s v="Monte Carlo"/>
    <s v="FLAGSHIP-LA"/>
    <s v="AURORA-LIP-01"/>
    <s v="Blush"/>
    <n v="52.47"/>
    <x v="4"/>
    <n v="0"/>
    <s v="Desktop"/>
    <s v="84.222.113.76"/>
    <x v="0"/>
    <n v="340"/>
    <n v="-1.6909942549485395"/>
    <n v="0"/>
    <n v="0"/>
    <n v="0"/>
    <n v="0"/>
    <n v="0"/>
  </r>
  <r>
    <s v="f9cb60e2-538a-44d4-8632-4ee2c8b6e6c0"/>
    <s v="d25f81e8-21f7-4411-a7e3-3f2b2d384417"/>
    <d v="2025-05-29T00:00:00"/>
    <d v="1899-12-30T12:09:08"/>
    <n v="12"/>
    <n v="18"/>
    <s v="Silver"/>
    <s v="London"/>
    <s v="CONCESSION-LONDON"/>
    <s v="GALAXIA-SET-08"/>
    <s v="Mascara"/>
    <n v="52.28"/>
    <x v="4"/>
    <n v="0"/>
    <s v="Desktop"/>
    <s v="46.33.221.155"/>
    <x v="0"/>
    <n v="465"/>
    <n v="-1.6936246642489969"/>
    <n v="0"/>
    <n v="0"/>
    <n v="0"/>
    <n v="0"/>
    <n v="0"/>
  </r>
  <r>
    <s v="13695dd2-8416-445a-bb4e-6e186a7619d4"/>
    <s v="0421f481-0525-4b32-8346-f1127b2fbd7f"/>
    <d v="2025-06-03T00:00:00"/>
    <d v="1899-12-30T15:16:41"/>
    <n v="15"/>
    <n v="54"/>
    <s v="Bronze"/>
    <s v="Sydney"/>
    <s v="BOUTIQUE-SHANGHAI"/>
    <s v="GALAXIA-SET-08"/>
    <s v="Highlighter"/>
    <n v="52.21"/>
    <x v="2"/>
    <n v="1"/>
    <s v="Mobile"/>
    <s v="46.81.22.27"/>
    <x v="0"/>
    <n v="176"/>
    <n v="-1.6945937624123233"/>
    <n v="0"/>
    <n v="0"/>
    <n v="1"/>
    <n v="3"/>
    <n v="0"/>
  </r>
  <r>
    <s v="5b0ae6ff-8f43-4482-aeaf-e14da006b951"/>
    <s v="357f151c-7681-4efd-af33-c293e1ed93f2"/>
    <d v="2025-03-27T00:00:00"/>
    <d v="1899-12-30T20:08:37"/>
    <n v="20"/>
    <n v="32"/>
    <s v="Platinum"/>
    <s v="Tokyo"/>
    <s v="FLAGSHIP-ROME"/>
    <s v="ORION-CONCEAL-09"/>
    <s v="Highlighter"/>
    <n v="52.05"/>
    <x v="4"/>
    <n v="0"/>
    <s v="Desktop"/>
    <s v="196.19.31.107"/>
    <x v="0"/>
    <n v="240"/>
    <n v="-1.6968088439284983"/>
    <n v="0"/>
    <n v="0"/>
    <n v="1"/>
    <n v="1"/>
    <n v="0"/>
  </r>
  <r>
    <s v="644f7f88-b489-489d-a6dd-0bd4595306f4"/>
    <s v="c739ce61-b92b-4ed8-9254-ff23190b0e3a"/>
    <d v="2025-07-15T00:00:00"/>
    <d v="1899-12-30T02:57:54"/>
    <n v="2"/>
    <n v="27"/>
    <s v="Platinum"/>
    <s v="Monaco"/>
    <s v="FLAGSHIP-ROME"/>
    <s v="NEBULA-SERUM-07"/>
    <s v="Highlighter"/>
    <n v="52.02"/>
    <x v="0"/>
    <n v="0"/>
    <s v="Desktop"/>
    <s v="241.104.64.46"/>
    <x v="0"/>
    <n v="79"/>
    <n v="-1.6972241717127809"/>
    <n v="0"/>
    <n v="1"/>
    <n v="1"/>
    <n v="3"/>
    <n v="0"/>
  </r>
  <r>
    <s v="ba2c4a18-4a76-44da-a9a6-402336da8083"/>
    <s v="9890a402-c0f7-4f81-a7c0-4c133fee04cc"/>
    <d v="2025-07-25T00:00:00"/>
    <d v="1899-12-30T13:49:44"/>
    <n v="13"/>
    <n v="42"/>
    <s v="Silver"/>
    <s v="San Francisco"/>
    <s v="BOUTIQUE-NYC"/>
    <s v="CELESTE-EYE-05"/>
    <s v="Lipstick"/>
    <n v="51.95"/>
    <x v="3"/>
    <n v="0"/>
    <s v="Laptop"/>
    <s v="83.80.98.202"/>
    <x v="0"/>
    <n v="335"/>
    <n v="-1.6981932698761075"/>
    <n v="0"/>
    <n v="0"/>
    <n v="0"/>
    <n v="0"/>
    <n v="0"/>
  </r>
  <r>
    <s v="d175801d-07dd-4682-ab9f-3c699f862086"/>
    <s v="5bfde3b4-3197-41ef-9058-6c605045109d"/>
    <d v="2025-03-14T00:00:00"/>
    <d v="1899-12-30T01:53:25"/>
    <n v="1"/>
    <n v="30"/>
    <s v="Platinum"/>
    <s v="Monte Carlo"/>
    <s v="CONCESSION-LONDON"/>
    <s v="LUNAR-MASC-02"/>
    <s v="Lipstick"/>
    <n v="51.62"/>
    <x v="2"/>
    <n v="1"/>
    <s v="Desktop"/>
    <s v="91.145.233.85"/>
    <x v="0"/>
    <n v="328"/>
    <n v="-1.7027618755032179"/>
    <n v="0"/>
    <n v="1"/>
    <n v="0"/>
    <n v="4"/>
    <n v="0"/>
  </r>
  <r>
    <s v="a6899f32-907e-48c2-9db1-f1c36a3a2aa2"/>
    <s v="105cb472-85d3-4b59-ab82-d0e71399a519"/>
    <d v="2025-07-02T00:00:00"/>
    <d v="1899-12-30T18:33:07"/>
    <n v="18"/>
    <n v="56"/>
    <s v="Platinum"/>
    <s v="Milan"/>
    <s v="POPUP-MILAN"/>
    <s v="ORION-CONCEAL-09"/>
    <s v="Mascara"/>
    <n v="51.52"/>
    <x v="0"/>
    <n v="0"/>
    <s v="Desktop"/>
    <s v="28.39.227.57"/>
    <x v="0"/>
    <n v="202"/>
    <n v="-1.7041463014508271"/>
    <n v="0"/>
    <n v="0"/>
    <n v="1"/>
    <n v="1"/>
    <n v="0"/>
  </r>
  <r>
    <s v="16a8bd3d-216a-47b0-9018-c70508195279"/>
    <s v="0c18dcf1-30c2-481a-b31a-4e93e842cd17"/>
    <d v="2025-06-12T00:00:00"/>
    <d v="1899-12-30T19:30:45"/>
    <n v="19"/>
    <n v="63"/>
    <s v="Bronze"/>
    <s v="Hong Kong"/>
    <s v="BOUTIQUE-DUBAI"/>
    <s v="GALAXIA-SET-08"/>
    <s v="Lipstick"/>
    <n v="51.42"/>
    <x v="0"/>
    <n v="0"/>
    <s v="Desktop"/>
    <s v="204.101.93.7"/>
    <x v="0"/>
    <n v="194"/>
    <n v="-1.7055307273984364"/>
    <n v="0"/>
    <n v="0"/>
    <n v="1"/>
    <n v="1"/>
    <n v="0"/>
  </r>
  <r>
    <s v="30159e60-d3c5-446a-ad4c-2cf6a3b11f64"/>
    <s v="2e8a3880-d1a4-4e4d-a67b-5678b87e5702"/>
    <d v="2025-07-12T00:00:00"/>
    <d v="1899-12-30T17:32:35"/>
    <n v="17"/>
    <n v="21"/>
    <s v="Silver"/>
    <s v="Las Vegas"/>
    <s v="BOUTIQUE-SHANGHAI"/>
    <s v="STELLAR-FOUND-03"/>
    <s v="Lipstick"/>
    <n v="51.24"/>
    <x v="2"/>
    <n v="1"/>
    <s v="Tablet"/>
    <s v="185.207.244.87"/>
    <x v="0"/>
    <n v="54"/>
    <n v="-1.708022694104133"/>
    <n v="0"/>
    <n v="0"/>
    <n v="1"/>
    <n v="3"/>
    <n v="0"/>
  </r>
  <r>
    <s v="5a3fd084-198c-4b54-bee0-e17f66929275"/>
    <s v="556130c8-d425-419f-811c-e6bf1f904455"/>
    <d v="2025-04-28T00:00:00"/>
    <d v="1899-12-30T01:49:10"/>
    <n v="1"/>
    <n v="35"/>
    <s v="Bronze"/>
    <s v="Paris"/>
    <s v="BOUTIQUE-NYC"/>
    <s v="ORION-CONCEAL-09"/>
    <s v="Highlighter"/>
    <n v="50.93"/>
    <x v="4"/>
    <n v="0"/>
    <s v="Laptop"/>
    <s v="209.201.20.177"/>
    <x v="0"/>
    <n v="204"/>
    <n v="-1.7123144145417217"/>
    <n v="0"/>
    <n v="1"/>
    <n v="1"/>
    <n v="3"/>
    <n v="0"/>
  </r>
  <r>
    <s v="784c25a0-e30d-43dc-a3fc-94731346fb01"/>
    <s v="db9f9b26-2d6b-4bc9-8645-0bc7cb0628d2"/>
    <d v="2025-06-12T00:00:00"/>
    <d v="1899-12-30T20:00:19"/>
    <n v="20"/>
    <n v="57"/>
    <s v="Gold"/>
    <s v="Paris"/>
    <s v="CONCESSION-SINGAPORE"/>
    <s v="LUNAR-MASC-02"/>
    <s v="Setting Spray"/>
    <n v="50.88"/>
    <x v="0"/>
    <n v="0"/>
    <s v="Mobile"/>
    <s v="3.202.216.232"/>
    <x v="0"/>
    <n v="145"/>
    <n v="-1.7130066275155265"/>
    <n v="0"/>
    <n v="0"/>
    <n v="1"/>
    <n v="1"/>
    <n v="0"/>
  </r>
  <r>
    <s v="ceb91753-808b-4837-b17d-2f75b7df47bd"/>
    <s v="1c61d30f-35ca-446f-88b4-04912a33fd24"/>
    <d v="2025-02-28T00:00:00"/>
    <d v="1899-12-30T12:32:28"/>
    <n v="12"/>
    <n v="18"/>
    <s v="VIP"/>
    <s v="Monaco"/>
    <s v="FLAGSHIP-PARIS"/>
    <s v="ECLIPSE-EYE-10"/>
    <s v="Highlighter"/>
    <n v="50.79"/>
    <x v="1"/>
    <n v="0"/>
    <s v="Laptop"/>
    <s v="121.23.124.66"/>
    <x v="0"/>
    <n v="261"/>
    <n v="-1.7142526108683749"/>
    <n v="0"/>
    <n v="0"/>
    <n v="1"/>
    <n v="1"/>
    <n v="0"/>
  </r>
  <r>
    <s v="031fa87f-f5c8-4938-ad37-3d26d7ede5b0"/>
    <s v="c32e0291-87fc-41b0-a36f-d97ea794c3c5"/>
    <d v="2025-06-05T00:00:00"/>
    <d v="1899-12-30T13:24:00"/>
    <n v="13"/>
    <n v="41"/>
    <s v="Gold"/>
    <s v="Monte Carlo"/>
    <s v="CONCESSION-LONDON"/>
    <s v="ECLIPSE-EYE-10"/>
    <s v="Eyeshadow Palette"/>
    <n v="50.74"/>
    <x v="1"/>
    <n v="0"/>
    <s v="Desktop"/>
    <s v="186.64.145.109"/>
    <x v="0"/>
    <n v="184"/>
    <n v="-1.7149448238421792"/>
    <n v="0"/>
    <n v="0"/>
    <n v="1"/>
    <n v="1"/>
    <n v="0"/>
  </r>
  <r>
    <s v="ee657432-9d38-4d5a-b489-bd904c097d56"/>
    <s v="f54663dc-b4fc-43ae-9c33-e9e4a6a464e7"/>
    <d v="2025-08-11T00:00:00"/>
    <d v="1899-12-30T18:01:50"/>
    <n v="18"/>
    <n v="27"/>
    <s v="Silver"/>
    <s v="London"/>
    <s v="CONCESSION-LONDON"/>
    <s v="COSMIC-HIGHLIGHT-06"/>
    <s v="Blush"/>
    <n v="50.67"/>
    <x v="1"/>
    <n v="0"/>
    <s v="Tablet"/>
    <s v="222.166.45.209"/>
    <x v="0"/>
    <n v="407"/>
    <n v="-1.7159139220055057"/>
    <n v="0"/>
    <n v="0"/>
    <n v="0"/>
    <n v="0"/>
    <n v="0"/>
  </r>
  <r>
    <s v="f6d27b76-6eae-4335-adef-03a660b934f5"/>
    <s v="c5febd70-fbd9-4cb7-88bb-373cb8d2f042"/>
    <d v="2025-03-16T00:00:00"/>
    <d v="1899-12-30T15:46:41"/>
    <n v="15"/>
    <n v="64"/>
    <s v="Silver"/>
    <s v="Paris"/>
    <s v="FLAGSHIP-PARIS"/>
    <s v="AURORA-LIP-01"/>
    <s v="Serum"/>
    <n v="50.55"/>
    <x v="0"/>
    <n v="0"/>
    <s v="Mobile"/>
    <s v="207.120.216.111"/>
    <x v="0"/>
    <n v="189"/>
    <n v="-1.717575233142637"/>
    <n v="0"/>
    <n v="0"/>
    <n v="1"/>
    <n v="1"/>
    <n v="0"/>
  </r>
  <r>
    <s v="2526853e-9a4b-462f-892e-1ca8545cb453"/>
    <s v="fe5fe4e1-6bbb-4c33-90c7-f714bc9838fe"/>
    <d v="2025-04-20T00:00:00"/>
    <d v="1899-12-30T01:53:08"/>
    <n v="1"/>
    <n v="36"/>
    <s v="Bronze"/>
    <s v="Los Angeles"/>
    <s v="CONCESSION-LONDON"/>
    <s v="STELLAR-FOUND-03"/>
    <s v="Serum"/>
    <n v="50.34"/>
    <x v="4"/>
    <n v="0"/>
    <s v="Mobile"/>
    <s v="145.220.212.11"/>
    <x v="0"/>
    <n v="106"/>
    <n v="-1.7204825276326163"/>
    <n v="0"/>
    <n v="1"/>
    <n v="1"/>
    <n v="3"/>
    <n v="0"/>
  </r>
  <r>
    <s v="a2424da0-43e4-4adb-8947-732154094cab"/>
    <s v="7a04c725-4198-4d08-abf4-1acb5ca61869"/>
    <d v="2025-04-28T00:00:00"/>
    <d v="1899-12-30T00:15:56"/>
    <n v="0"/>
    <n v="38"/>
    <s v="Silver"/>
    <s v="Miami"/>
    <s v="BOUTIQUE-SHANGHAI"/>
    <s v="ECLIPSE-EYE-10"/>
    <s v="Blush"/>
    <n v="50.33"/>
    <x v="3"/>
    <n v="0"/>
    <s v="Desktop"/>
    <s v="29.97.158.151"/>
    <x v="1"/>
    <n v="196"/>
    <n v="-1.7206209702273774"/>
    <n v="0"/>
    <n v="1"/>
    <n v="1"/>
    <n v="3"/>
    <n v="0"/>
  </r>
  <r>
    <s v="2e628fc5-a4fb-4d00-838b-110ce836a643"/>
    <s v="b3487786-9247-45c3-b8f2-2297a2eed3d2"/>
    <d v="2025-07-09T00:00:00"/>
    <d v="1899-12-30T04:37:45"/>
    <n v="4"/>
    <n v="55"/>
    <s v="Gold"/>
    <s v="Monaco"/>
    <s v="BOUTIQUE-SHANGHAI"/>
    <s v="AURORA-LIP-01"/>
    <s v="Eyeliner"/>
    <n v="50.27"/>
    <x v="4"/>
    <n v="0"/>
    <s v="Tablet"/>
    <s v="155.136.248.242"/>
    <x v="1"/>
    <n v="241"/>
    <n v="-1.7214516257959427"/>
    <n v="0"/>
    <n v="1"/>
    <n v="1"/>
    <n v="3"/>
    <n v="0"/>
  </r>
  <r>
    <s v="152955a2-b19a-4670-a9dc-71d7f87930c7"/>
    <s v="2b019bf7-67ca-4a5e-b09a-5b899e4e20bf"/>
    <d v="2025-06-02T00:00:00"/>
    <d v="1899-12-30T03:16:49"/>
    <n v="3"/>
    <n v="53"/>
    <s v="Gold"/>
    <s v="Sydney"/>
    <s v="BOUTIQUE-SHANGHAI"/>
    <s v="CELESTE-EYE-05"/>
    <s v="Setting Spray"/>
    <n v="50.26"/>
    <x v="4"/>
    <n v="0"/>
    <s v="Tablet"/>
    <s v="231.27.0.183"/>
    <x v="0"/>
    <n v="63"/>
    <n v="-1.7215900683907039"/>
    <n v="0"/>
    <n v="1"/>
    <n v="1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92E3A-7EB1-4D06-AEAF-23FE5C3C4A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4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6" baseField="12" baseItem="0"/>
    <dataField name="Count of Fraud_Flag2" fld="16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D87CE-7546-4B6E-AB01-EA50FC601CC4}" name="Table1" displayName="Table1" ref="A1:Y2134" totalsRowShown="0">
  <autoFilter ref="A1:Y2134" xr:uid="{0E3ADB95-10FF-4FD3-A481-1C4043AF4F21}"/>
  <sortState xmlns:xlrd2="http://schemas.microsoft.com/office/spreadsheetml/2017/richdata2" ref="A2:T2134">
    <sortCondition descending="1" ref="S1:S2134"/>
  </sortState>
  <tableColumns count="25">
    <tableColumn id="1" xr3:uid="{003FF363-B99E-4913-9344-D13777C4D4B4}" name="Transaction_ID"/>
    <tableColumn id="2" xr3:uid="{B7D29226-41C5-405D-BD90-10CE0A850B38}" name="Customer_ID"/>
    <tableColumn id="3" xr3:uid="{1B18345B-FC98-4CD7-B7AD-83F03C764280}" name="Transaction_Date" dataDxfId="10"/>
    <tableColumn id="4" xr3:uid="{A48DED22-83B4-4B1A-809D-49D015F4E1F6}" name="Transaction_Time" dataDxfId="9"/>
    <tableColumn id="17" xr3:uid="{A7A48829-398A-4B72-8978-3D2B92504D24}" name="Hours" dataDxfId="8">
      <calculatedColumnFormula>HOUR(D2)</calculatedColumnFormula>
    </tableColumn>
    <tableColumn id="5" xr3:uid="{D0E80D37-1DA6-4671-ABF2-1B9224EB86BA}" name="Customer_Age"/>
    <tableColumn id="6" xr3:uid="{C88461E0-B5D1-47E9-B266-14EA18A2D624}" name="Customer_Loyalty_Tier"/>
    <tableColumn id="7" xr3:uid="{F5D5F4EA-682C-446E-9D3E-E36BBEFAEDB8}" name="Location"/>
    <tableColumn id="8" xr3:uid="{C6BB2EC8-0D65-438A-8900-C2381BF30042}" name="Store_ID"/>
    <tableColumn id="9" xr3:uid="{C4603A84-E41C-4F6A-AB02-AE96CED2190F}" name="Product_SKU"/>
    <tableColumn id="10" xr3:uid="{7DB52857-3B04-4752-9B9D-1B14CFA0D811}" name="Product_Category"/>
    <tableColumn id="11" xr3:uid="{4B981CF7-DD4A-4B25-863A-680A46B94B49}" name="Purchase_Amount"/>
    <tableColumn id="12" xr3:uid="{EFB349F5-F751-4E90-9D71-5DEB06623617}" name="Payment_Method"/>
    <tableColumn id="25" xr3:uid="{D3BAC8DE-A2C6-49DD-B39D-DBC36B2B3918}" name="Unknown_payment_Flag" dataDxfId="7">
      <calculatedColumnFormula>IF(M2="Unknown",1,0)</calculatedColumnFormula>
    </tableColumn>
    <tableColumn id="13" xr3:uid="{FCE77E0A-D491-423F-8CB4-0FC3BC2806C9}" name="Device_Type"/>
    <tableColumn id="14" xr3:uid="{978CA5E1-10BA-4DB6-9D72-6421AF51DEEE}" name="IP_Address"/>
    <tableColumn id="15" xr3:uid="{A3281FA2-C774-4A68-82AE-F02E7E0EB350}" name="Fraud_Flag"/>
    <tableColumn id="16" xr3:uid="{BBF7EEA8-4E9B-4D5F-A86B-9F28329E9A9C}" name="Footfall_Count"/>
    <tableColumn id="21" xr3:uid="{5281F4B2-3F3F-488C-9992-06D38ABD6605}" name="Z-Score" dataDxfId="6">
      <calculatedColumnFormula>(L2-$P$2137)/$P$2138</calculatedColumnFormula>
    </tableColumn>
    <tableColumn id="22" xr3:uid="{281F1BC5-38EF-4500-BA4B-1391E1EA5F8D}" name="High_Amount_Flag" dataDxfId="5">
      <calculatedColumnFormula>IF(ABS(Z2)&gt;3,1,0)</calculatedColumnFormula>
    </tableColumn>
    <tableColumn id="23" xr3:uid="{4A6CC992-AA0E-4B09-B159-8F0F218D56E4}" name="Odd_Hour_Flag" dataDxfId="4">
      <calculatedColumnFormula>IF(AND(E2&gt;=0,E2&lt;=5),1,0)</calculatedColumnFormula>
    </tableColumn>
    <tableColumn id="24" xr3:uid="{71F3FFDB-2BEB-477C-A02C-B05D1A301295}" name="Flag" dataDxfId="3">
      <calculatedColumnFormula>IF(R2&lt;AVERAGE($R:$R),1,0)</calculatedColumnFormula>
    </tableColumn>
    <tableColumn id="26" xr3:uid="{47DC0AC2-A526-40CD-B644-3E85EFDCDE4A}" name="Risk_Score" dataDxfId="2">
      <calculatedColumnFormula>T2*3+U2*2+V2*1+N2*2</calculatedColumnFormula>
    </tableColumn>
    <tableColumn id="27" xr3:uid="{36F68813-933D-4C66-88D1-35868B55CD56}" name="Predicted_Fraud" dataDxfId="1">
      <calculatedColumnFormula>IF(W2&gt;=5,1,0)</calculatedColumnFormula>
    </tableColumn>
    <tableColumn id="28" xr3:uid="{0DFB913D-AB2E-4D13-B867-CEBFD18431B6}" name="Risky_Payment_Flag" dataDxfId="0">
      <calculatedColumnFormula>IF(M2="Unknown",1,0)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A928-F0BB-456F-9588-D394B3753B11}">
  <dimension ref="A3:E9"/>
  <sheetViews>
    <sheetView workbookViewId="0">
      <selection activeCell="E3" sqref="E3"/>
    </sheetView>
  </sheetViews>
  <sheetFormatPr defaultRowHeight="14.4" x14ac:dyDescent="0.3"/>
  <cols>
    <col min="1" max="1" width="14.33203125" bestFit="1" customWidth="1"/>
    <col min="2" max="2" width="16.6640625" bestFit="1" customWidth="1"/>
    <col min="3" max="3" width="19.109375" bestFit="1" customWidth="1"/>
    <col min="4" max="4" width="14.21875" bestFit="1" customWidth="1"/>
  </cols>
  <sheetData>
    <row r="3" spans="1:5" x14ac:dyDescent="0.3">
      <c r="A3" s="5" t="s">
        <v>6488</v>
      </c>
      <c r="B3" t="s">
        <v>6490</v>
      </c>
      <c r="C3" t="s">
        <v>6491</v>
      </c>
      <c r="D3" t="s">
        <v>6492</v>
      </c>
      <c r="E3" s="7"/>
    </row>
    <row r="4" spans="1:5" x14ac:dyDescent="0.3">
      <c r="A4" s="6" t="s">
        <v>33</v>
      </c>
      <c r="B4">
        <v>14</v>
      </c>
      <c r="C4">
        <v>491</v>
      </c>
      <c r="D4" s="7">
        <f>B4/C4</f>
        <v>2.8513238289205704E-2</v>
      </c>
    </row>
    <row r="5" spans="1:5" x14ac:dyDescent="0.3">
      <c r="A5" s="6" t="s">
        <v>115</v>
      </c>
      <c r="B5">
        <v>17</v>
      </c>
      <c r="C5">
        <v>522</v>
      </c>
      <c r="D5" s="7">
        <f t="shared" ref="D5:D8" si="0">B5/C5</f>
        <v>3.2567049808429116E-2</v>
      </c>
    </row>
    <row r="6" spans="1:5" x14ac:dyDescent="0.3">
      <c r="A6" s="6" t="s">
        <v>42</v>
      </c>
      <c r="B6">
        <v>16</v>
      </c>
      <c r="C6">
        <v>514</v>
      </c>
      <c r="D6" s="7">
        <f t="shared" si="0"/>
        <v>3.1128404669260701E-2</v>
      </c>
    </row>
    <row r="7" spans="1:5" x14ac:dyDescent="0.3">
      <c r="A7" s="6" t="s">
        <v>23</v>
      </c>
      <c r="B7">
        <v>15</v>
      </c>
      <c r="C7">
        <v>500</v>
      </c>
      <c r="D7" s="7">
        <f t="shared" si="0"/>
        <v>0.03</v>
      </c>
    </row>
    <row r="8" spans="1:5" x14ac:dyDescent="0.3">
      <c r="A8" s="6" t="s">
        <v>6479</v>
      </c>
      <c r="B8">
        <v>4</v>
      </c>
      <c r="C8">
        <v>106</v>
      </c>
      <c r="D8" s="7">
        <f t="shared" si="0"/>
        <v>3.7735849056603772E-2</v>
      </c>
    </row>
    <row r="9" spans="1:5" x14ac:dyDescent="0.3">
      <c r="A9" s="6" t="s">
        <v>6489</v>
      </c>
      <c r="B9">
        <v>66</v>
      </c>
      <c r="C9">
        <v>2133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DB95-10FF-4FD3-A481-1C4043AF4F21}">
  <dimension ref="A1:Y2138"/>
  <sheetViews>
    <sheetView tabSelected="1" topLeftCell="Q1" zoomScale="90" zoomScaleNormal="90" workbookViewId="0">
      <selection activeCell="Y1" sqref="Y1"/>
    </sheetView>
  </sheetViews>
  <sheetFormatPr defaultRowHeight="14.4" x14ac:dyDescent="0.3"/>
  <cols>
    <col min="1" max="1" width="18.109375" customWidth="1"/>
    <col min="2" max="2" width="19.88671875" customWidth="1"/>
    <col min="3" max="3" width="22.77734375" customWidth="1"/>
    <col min="4" max="4" width="17.88671875" style="3" customWidth="1"/>
    <col min="5" max="5" width="17.88671875" customWidth="1"/>
    <col min="6" max="6" width="15.21875" style="4" customWidth="1"/>
    <col min="7" max="7" width="22.21875" customWidth="1"/>
    <col min="8" max="8" width="14.109375" customWidth="1"/>
    <col min="9" max="9" width="10.109375" customWidth="1"/>
    <col min="10" max="10" width="14" customWidth="1"/>
    <col min="11" max="11" width="18.109375" customWidth="1"/>
    <col min="12" max="12" width="18.44140625" customWidth="1"/>
    <col min="13" max="14" width="18.21875" customWidth="1"/>
    <col min="15" max="15" width="13.5546875" customWidth="1"/>
    <col min="16" max="16" width="12.21875" customWidth="1"/>
    <col min="17" max="17" width="12" customWidth="1"/>
    <col min="18" max="18" width="15.33203125" customWidth="1"/>
    <col min="23" max="23" width="13.6640625" customWidth="1"/>
  </cols>
  <sheetData>
    <row r="1" spans="1:25" x14ac:dyDescent="0.3">
      <c r="A1" t="s">
        <v>0</v>
      </c>
      <c r="B1" t="s">
        <v>1</v>
      </c>
      <c r="C1" t="s">
        <v>2</v>
      </c>
      <c r="D1" s="3" t="s">
        <v>3</v>
      </c>
      <c r="E1" t="s">
        <v>6480</v>
      </c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6485</v>
      </c>
      <c r="O1" t="s">
        <v>12</v>
      </c>
      <c r="P1" t="s">
        <v>13</v>
      </c>
      <c r="Q1" t="s">
        <v>14</v>
      </c>
      <c r="R1" t="s">
        <v>15</v>
      </c>
      <c r="S1" t="s">
        <v>6481</v>
      </c>
      <c r="T1" t="s">
        <v>6482</v>
      </c>
      <c r="U1" t="s">
        <v>6483</v>
      </c>
      <c r="V1" t="s">
        <v>6484</v>
      </c>
      <c r="W1" t="s">
        <v>6486</v>
      </c>
      <c r="X1" t="s">
        <v>6487</v>
      </c>
      <c r="Y1" t="s">
        <v>6493</v>
      </c>
    </row>
    <row r="2" spans="1:25" x14ac:dyDescent="0.3">
      <c r="A2" t="s">
        <v>1076</v>
      </c>
      <c r="B2" t="s">
        <v>1077</v>
      </c>
      <c r="C2" s="1">
        <v>45874</v>
      </c>
      <c r="D2" s="3">
        <v>0.31359953703703702</v>
      </c>
      <c r="E2">
        <f t="shared" ref="E2:E65" si="0">HOUR(D2)</f>
        <v>7</v>
      </c>
      <c r="F2">
        <v>47</v>
      </c>
      <c r="G2" t="s">
        <v>18</v>
      </c>
      <c r="H2" t="s">
        <v>312</v>
      </c>
      <c r="I2" t="s">
        <v>39</v>
      </c>
      <c r="J2" t="s">
        <v>40</v>
      </c>
      <c r="K2" t="s">
        <v>95</v>
      </c>
      <c r="L2">
        <v>299.91000000000003</v>
      </c>
      <c r="M2" t="s">
        <v>23</v>
      </c>
      <c r="N2">
        <f t="shared" ref="N2:N65" si="1">IF(M2="Unknown",1,0)</f>
        <v>0</v>
      </c>
      <c r="O2" t="s">
        <v>34</v>
      </c>
      <c r="P2" t="s">
        <v>1078</v>
      </c>
      <c r="Q2">
        <v>0</v>
      </c>
      <c r="R2">
        <v>89</v>
      </c>
      <c r="S2">
        <f t="shared" ref="S2:S65" si="2">(L2-$P$2137)/$P$2138</f>
        <v>1.7346293098157779</v>
      </c>
      <c r="T2">
        <f t="shared" ref="T2:T65" si="3">IF(ABS(Z2)&gt;3,1,0)</f>
        <v>0</v>
      </c>
      <c r="U2">
        <f t="shared" ref="U2:U65" si="4">IF(AND(E2&gt;=0,E2&lt;=5),1,0)</f>
        <v>0</v>
      </c>
      <c r="V2">
        <f t="shared" ref="V2:V65" si="5">IF(R2&lt;AVERAGE($R:$R),1,0)</f>
        <v>1</v>
      </c>
      <c r="W2">
        <f t="shared" ref="W2:W65" si="6">T2*3+U2*2+V2*1+N2*2</f>
        <v>1</v>
      </c>
      <c r="X2">
        <f t="shared" ref="X2:X65" si="7">IF(W2&gt;=5,1,0)</f>
        <v>0</v>
      </c>
      <c r="Y2">
        <f t="shared" ref="Y2:Y65" si="8">IF(M2="Unknown",1,0)</f>
        <v>0</v>
      </c>
    </row>
    <row r="3" spans="1:25" x14ac:dyDescent="0.3">
      <c r="A3" t="s">
        <v>1382</v>
      </c>
      <c r="B3" t="s">
        <v>1383</v>
      </c>
      <c r="C3" s="1">
        <v>45851</v>
      </c>
      <c r="D3" s="3">
        <v>0.58759259259259256</v>
      </c>
      <c r="E3">
        <f t="shared" si="0"/>
        <v>14</v>
      </c>
      <c r="F3">
        <v>33</v>
      </c>
      <c r="G3" t="s">
        <v>18</v>
      </c>
      <c r="H3" t="s">
        <v>100</v>
      </c>
      <c r="I3" t="s">
        <v>20</v>
      </c>
      <c r="J3" t="s">
        <v>127</v>
      </c>
      <c r="K3" t="s">
        <v>120</v>
      </c>
      <c r="L3">
        <v>299.83</v>
      </c>
      <c r="M3" t="s">
        <v>23</v>
      </c>
      <c r="N3">
        <f t="shared" si="1"/>
        <v>0</v>
      </c>
      <c r="O3" t="s">
        <v>34</v>
      </c>
      <c r="P3" t="s">
        <v>1384</v>
      </c>
      <c r="Q3">
        <v>0</v>
      </c>
      <c r="R3">
        <v>52</v>
      </c>
      <c r="S3">
        <f t="shared" si="2"/>
        <v>1.7335217690576898</v>
      </c>
      <c r="T3">
        <f t="shared" si="3"/>
        <v>0</v>
      </c>
      <c r="U3">
        <f t="shared" si="4"/>
        <v>0</v>
      </c>
      <c r="V3">
        <f t="shared" si="5"/>
        <v>1</v>
      </c>
      <c r="W3">
        <f t="shared" si="6"/>
        <v>1</v>
      </c>
      <c r="X3">
        <f t="shared" si="7"/>
        <v>0</v>
      </c>
      <c r="Y3">
        <f t="shared" si="8"/>
        <v>0</v>
      </c>
    </row>
    <row r="4" spans="1:25" x14ac:dyDescent="0.3">
      <c r="A4" t="s">
        <v>4265</v>
      </c>
      <c r="B4" t="s">
        <v>4266</v>
      </c>
      <c r="C4" s="1">
        <v>45859</v>
      </c>
      <c r="D4" s="3">
        <v>0.96354166666666663</v>
      </c>
      <c r="E4">
        <f t="shared" si="0"/>
        <v>23</v>
      </c>
      <c r="F4">
        <v>62</v>
      </c>
      <c r="G4" t="s">
        <v>60</v>
      </c>
      <c r="H4" t="s">
        <v>55</v>
      </c>
      <c r="I4" t="s">
        <v>105</v>
      </c>
      <c r="J4" t="s">
        <v>40</v>
      </c>
      <c r="K4" t="s">
        <v>168</v>
      </c>
      <c r="L4">
        <v>299.77</v>
      </c>
      <c r="M4" t="s">
        <v>42</v>
      </c>
      <c r="N4">
        <f t="shared" si="1"/>
        <v>0</v>
      </c>
      <c r="O4" t="s">
        <v>34</v>
      </c>
      <c r="P4" t="s">
        <v>4267</v>
      </c>
      <c r="Q4">
        <v>0</v>
      </c>
      <c r="R4">
        <v>211</v>
      </c>
      <c r="S4">
        <f t="shared" si="2"/>
        <v>1.7326911134891243</v>
      </c>
      <c r="T4">
        <f t="shared" si="3"/>
        <v>0</v>
      </c>
      <c r="U4">
        <f t="shared" si="4"/>
        <v>0</v>
      </c>
      <c r="V4">
        <f t="shared" si="5"/>
        <v>1</v>
      </c>
      <c r="W4">
        <f t="shared" si="6"/>
        <v>1</v>
      </c>
      <c r="X4">
        <f t="shared" si="7"/>
        <v>0</v>
      </c>
      <c r="Y4">
        <f t="shared" si="8"/>
        <v>0</v>
      </c>
    </row>
    <row r="5" spans="1:25" x14ac:dyDescent="0.3">
      <c r="A5" t="s">
        <v>2396</v>
      </c>
      <c r="B5" t="s">
        <v>2397</v>
      </c>
      <c r="C5" s="1">
        <v>45880</v>
      </c>
      <c r="D5" s="3">
        <v>1.7164351851851851E-2</v>
      </c>
      <c r="E5">
        <f t="shared" si="0"/>
        <v>0</v>
      </c>
      <c r="F5">
        <v>31</v>
      </c>
      <c r="G5" t="s">
        <v>46</v>
      </c>
      <c r="H5" t="s">
        <v>90</v>
      </c>
      <c r="I5" t="s">
        <v>66</v>
      </c>
      <c r="J5" t="s">
        <v>31</v>
      </c>
      <c r="K5" t="s">
        <v>101</v>
      </c>
      <c r="L5">
        <v>299.49</v>
      </c>
      <c r="M5" t="s">
        <v>6479</v>
      </c>
      <c r="N5">
        <f t="shared" si="1"/>
        <v>1</v>
      </c>
      <c r="O5" t="s">
        <v>34</v>
      </c>
      <c r="P5" t="s">
        <v>2398</v>
      </c>
      <c r="Q5">
        <v>0</v>
      </c>
      <c r="R5">
        <v>103</v>
      </c>
      <c r="S5">
        <f t="shared" si="2"/>
        <v>1.7288147208358189</v>
      </c>
      <c r="T5">
        <f t="shared" si="3"/>
        <v>0</v>
      </c>
      <c r="U5">
        <f t="shared" si="4"/>
        <v>1</v>
      </c>
      <c r="V5">
        <f t="shared" si="5"/>
        <v>1</v>
      </c>
      <c r="W5">
        <f t="shared" si="6"/>
        <v>5</v>
      </c>
      <c r="X5">
        <f t="shared" si="7"/>
        <v>1</v>
      </c>
      <c r="Y5">
        <f t="shared" si="8"/>
        <v>1</v>
      </c>
    </row>
    <row r="6" spans="1:25" x14ac:dyDescent="0.3">
      <c r="A6" t="s">
        <v>3269</v>
      </c>
      <c r="B6" t="s">
        <v>3270</v>
      </c>
      <c r="C6" s="1">
        <v>45724</v>
      </c>
      <c r="D6" s="3">
        <v>0.53935185185185186</v>
      </c>
      <c r="E6">
        <f t="shared" si="0"/>
        <v>12</v>
      </c>
      <c r="F6">
        <v>43</v>
      </c>
      <c r="G6" t="s">
        <v>18</v>
      </c>
      <c r="H6" t="s">
        <v>90</v>
      </c>
      <c r="I6" t="s">
        <v>105</v>
      </c>
      <c r="J6" t="s">
        <v>72</v>
      </c>
      <c r="K6" t="s">
        <v>168</v>
      </c>
      <c r="L6">
        <v>299.39</v>
      </c>
      <c r="M6" t="s">
        <v>115</v>
      </c>
      <c r="N6">
        <f t="shared" si="1"/>
        <v>0</v>
      </c>
      <c r="O6" t="s">
        <v>86</v>
      </c>
      <c r="P6" t="s">
        <v>3271</v>
      </c>
      <c r="Q6">
        <v>0</v>
      </c>
      <c r="R6">
        <v>133</v>
      </c>
      <c r="S6">
        <f t="shared" si="2"/>
        <v>1.7274302948882092</v>
      </c>
      <c r="T6">
        <f t="shared" si="3"/>
        <v>0</v>
      </c>
      <c r="U6">
        <f t="shared" si="4"/>
        <v>0</v>
      </c>
      <c r="V6">
        <f t="shared" si="5"/>
        <v>1</v>
      </c>
      <c r="W6">
        <f t="shared" si="6"/>
        <v>1</v>
      </c>
      <c r="X6">
        <f t="shared" si="7"/>
        <v>0</v>
      </c>
      <c r="Y6">
        <f t="shared" si="8"/>
        <v>0</v>
      </c>
    </row>
    <row r="7" spans="1:25" x14ac:dyDescent="0.3">
      <c r="A7" t="s">
        <v>461</v>
      </c>
      <c r="B7" s="2" t="s">
        <v>462</v>
      </c>
      <c r="C7" s="1">
        <v>45758</v>
      </c>
      <c r="D7" s="3">
        <v>0.86572916666666666</v>
      </c>
      <c r="E7">
        <f t="shared" si="0"/>
        <v>20</v>
      </c>
      <c r="F7">
        <v>39</v>
      </c>
      <c r="G7" t="s">
        <v>18</v>
      </c>
      <c r="H7" t="s">
        <v>70</v>
      </c>
      <c r="I7" t="s">
        <v>66</v>
      </c>
      <c r="J7" t="s">
        <v>94</v>
      </c>
      <c r="K7" t="s">
        <v>120</v>
      </c>
      <c r="L7">
        <v>299.31</v>
      </c>
      <c r="M7" t="s">
        <v>42</v>
      </c>
      <c r="N7">
        <f t="shared" si="1"/>
        <v>0</v>
      </c>
      <c r="O7" t="s">
        <v>34</v>
      </c>
      <c r="P7" t="s">
        <v>463</v>
      </c>
      <c r="Q7">
        <v>0</v>
      </c>
      <c r="R7">
        <v>238</v>
      </c>
      <c r="S7">
        <f t="shared" si="2"/>
        <v>1.726322754130122</v>
      </c>
      <c r="T7">
        <f t="shared" si="3"/>
        <v>0</v>
      </c>
      <c r="U7">
        <f t="shared" si="4"/>
        <v>0</v>
      </c>
      <c r="V7">
        <f t="shared" si="5"/>
        <v>1</v>
      </c>
      <c r="W7">
        <f t="shared" si="6"/>
        <v>1</v>
      </c>
      <c r="X7">
        <f t="shared" si="7"/>
        <v>0</v>
      </c>
      <c r="Y7">
        <f t="shared" si="8"/>
        <v>0</v>
      </c>
    </row>
    <row r="8" spans="1:25" x14ac:dyDescent="0.3">
      <c r="A8" t="s">
        <v>4163</v>
      </c>
      <c r="B8" t="s">
        <v>4164</v>
      </c>
      <c r="C8" s="1">
        <v>45858</v>
      </c>
      <c r="D8" s="3">
        <v>0.51634259259259263</v>
      </c>
      <c r="E8">
        <f t="shared" si="0"/>
        <v>12</v>
      </c>
      <c r="F8">
        <v>43</v>
      </c>
      <c r="G8" t="s">
        <v>60</v>
      </c>
      <c r="H8" t="s">
        <v>100</v>
      </c>
      <c r="I8" t="s">
        <v>105</v>
      </c>
      <c r="J8" t="s">
        <v>56</v>
      </c>
      <c r="K8" t="s">
        <v>22</v>
      </c>
      <c r="L8">
        <v>299.3</v>
      </c>
      <c r="M8" t="s">
        <v>42</v>
      </c>
      <c r="N8">
        <f t="shared" si="1"/>
        <v>0</v>
      </c>
      <c r="O8" t="s">
        <v>86</v>
      </c>
      <c r="P8" t="s">
        <v>4165</v>
      </c>
      <c r="Q8">
        <v>0</v>
      </c>
      <c r="R8">
        <v>270</v>
      </c>
      <c r="S8">
        <f t="shared" si="2"/>
        <v>1.7261843115353612</v>
      </c>
      <c r="T8">
        <f t="shared" si="3"/>
        <v>0</v>
      </c>
      <c r="U8">
        <f t="shared" si="4"/>
        <v>0</v>
      </c>
      <c r="V8">
        <f t="shared" si="5"/>
        <v>1</v>
      </c>
      <c r="W8">
        <f t="shared" si="6"/>
        <v>1</v>
      </c>
      <c r="X8">
        <f t="shared" si="7"/>
        <v>0</v>
      </c>
      <c r="Y8">
        <f t="shared" si="8"/>
        <v>0</v>
      </c>
    </row>
    <row r="9" spans="1:25" x14ac:dyDescent="0.3">
      <c r="A9" t="s">
        <v>935</v>
      </c>
      <c r="B9" t="s">
        <v>936</v>
      </c>
      <c r="C9" s="1">
        <v>45868</v>
      </c>
      <c r="D9" s="3">
        <v>0.2366087962962963</v>
      </c>
      <c r="E9">
        <f t="shared" si="0"/>
        <v>5</v>
      </c>
      <c r="F9">
        <v>41</v>
      </c>
      <c r="G9" t="s">
        <v>18</v>
      </c>
      <c r="H9" t="s">
        <v>100</v>
      </c>
      <c r="I9" t="s">
        <v>119</v>
      </c>
      <c r="J9" t="s">
        <v>49</v>
      </c>
      <c r="K9" t="s">
        <v>22</v>
      </c>
      <c r="L9">
        <v>299.20999999999998</v>
      </c>
      <c r="M9" t="s">
        <v>23</v>
      </c>
      <c r="N9">
        <f t="shared" si="1"/>
        <v>0</v>
      </c>
      <c r="O9" t="s">
        <v>34</v>
      </c>
      <c r="P9" t="s">
        <v>937</v>
      </c>
      <c r="Q9">
        <v>0</v>
      </c>
      <c r="R9">
        <v>348</v>
      </c>
      <c r="S9">
        <f t="shared" si="2"/>
        <v>1.7249383281825126</v>
      </c>
      <c r="T9">
        <f t="shared" si="3"/>
        <v>0</v>
      </c>
      <c r="U9">
        <f t="shared" si="4"/>
        <v>1</v>
      </c>
      <c r="V9">
        <f t="shared" si="5"/>
        <v>0</v>
      </c>
      <c r="W9">
        <f t="shared" si="6"/>
        <v>2</v>
      </c>
      <c r="X9">
        <f t="shared" si="7"/>
        <v>0</v>
      </c>
      <c r="Y9">
        <f t="shared" si="8"/>
        <v>0</v>
      </c>
    </row>
    <row r="10" spans="1:25" x14ac:dyDescent="0.3">
      <c r="A10" t="s">
        <v>4484</v>
      </c>
      <c r="B10" t="s">
        <v>4485</v>
      </c>
      <c r="C10" s="1">
        <v>45833</v>
      </c>
      <c r="D10" s="3">
        <v>0.52777777777777779</v>
      </c>
      <c r="E10">
        <f t="shared" si="0"/>
        <v>12</v>
      </c>
      <c r="F10">
        <v>40</v>
      </c>
      <c r="G10" t="s">
        <v>46</v>
      </c>
      <c r="H10" t="s">
        <v>239</v>
      </c>
      <c r="I10" t="s">
        <v>85</v>
      </c>
      <c r="J10" t="s">
        <v>21</v>
      </c>
      <c r="K10" t="s">
        <v>22</v>
      </c>
      <c r="L10">
        <v>298.89</v>
      </c>
      <c r="M10" t="s">
        <v>115</v>
      </c>
      <c r="N10">
        <f t="shared" si="1"/>
        <v>0</v>
      </c>
      <c r="O10" t="s">
        <v>86</v>
      </c>
      <c r="P10" t="s">
        <v>4486</v>
      </c>
      <c r="Q10">
        <v>0</v>
      </c>
      <c r="R10">
        <v>416</v>
      </c>
      <c r="S10">
        <f t="shared" si="2"/>
        <v>1.720508165150163</v>
      </c>
      <c r="T10">
        <f t="shared" si="3"/>
        <v>0</v>
      </c>
      <c r="U10">
        <f t="shared" si="4"/>
        <v>0</v>
      </c>
      <c r="V10">
        <f t="shared" si="5"/>
        <v>0</v>
      </c>
      <c r="W10">
        <f t="shared" si="6"/>
        <v>0</v>
      </c>
      <c r="X10">
        <f t="shared" si="7"/>
        <v>0</v>
      </c>
      <c r="Y10">
        <f t="shared" si="8"/>
        <v>0</v>
      </c>
    </row>
    <row r="11" spans="1:25" x14ac:dyDescent="0.3">
      <c r="A11" t="s">
        <v>3998</v>
      </c>
      <c r="B11" t="s">
        <v>3999</v>
      </c>
      <c r="C11" s="1">
        <v>45814</v>
      </c>
      <c r="D11" s="3">
        <v>0.72129629629629632</v>
      </c>
      <c r="E11">
        <f t="shared" si="0"/>
        <v>17</v>
      </c>
      <c r="F11">
        <v>24</v>
      </c>
      <c r="G11" t="s">
        <v>28</v>
      </c>
      <c r="H11" t="s">
        <v>61</v>
      </c>
      <c r="I11" t="s">
        <v>85</v>
      </c>
      <c r="J11" t="s">
        <v>132</v>
      </c>
      <c r="K11" t="s">
        <v>41</v>
      </c>
      <c r="L11">
        <v>298.61</v>
      </c>
      <c r="M11" t="s">
        <v>33</v>
      </c>
      <c r="N11">
        <f t="shared" si="1"/>
        <v>0</v>
      </c>
      <c r="O11" t="s">
        <v>34</v>
      </c>
      <c r="P11" t="s">
        <v>4000</v>
      </c>
      <c r="Q11">
        <v>0</v>
      </c>
      <c r="R11">
        <v>282</v>
      </c>
      <c r="S11">
        <f t="shared" si="2"/>
        <v>1.7166317724968576</v>
      </c>
      <c r="T11">
        <f t="shared" si="3"/>
        <v>0</v>
      </c>
      <c r="U11">
        <f t="shared" si="4"/>
        <v>0</v>
      </c>
      <c r="V11">
        <f t="shared" si="5"/>
        <v>0</v>
      </c>
      <c r="W11">
        <f t="shared" si="6"/>
        <v>0</v>
      </c>
      <c r="X11">
        <f t="shared" si="7"/>
        <v>0</v>
      </c>
      <c r="Y11">
        <f t="shared" si="8"/>
        <v>0</v>
      </c>
    </row>
    <row r="12" spans="1:25" x14ac:dyDescent="0.3">
      <c r="A12" t="s">
        <v>1793</v>
      </c>
      <c r="B12" t="s">
        <v>1794</v>
      </c>
      <c r="C12" s="1">
        <v>45774</v>
      </c>
      <c r="D12" s="3">
        <v>0.93116898148148153</v>
      </c>
      <c r="E12">
        <f t="shared" si="0"/>
        <v>22</v>
      </c>
      <c r="F12">
        <v>47</v>
      </c>
      <c r="G12" t="s">
        <v>28</v>
      </c>
      <c r="H12" t="s">
        <v>38</v>
      </c>
      <c r="I12" t="s">
        <v>66</v>
      </c>
      <c r="J12" t="s">
        <v>127</v>
      </c>
      <c r="K12" t="s">
        <v>168</v>
      </c>
      <c r="L12">
        <v>298.41000000000003</v>
      </c>
      <c r="M12" t="s">
        <v>23</v>
      </c>
      <c r="N12">
        <f t="shared" si="1"/>
        <v>0</v>
      </c>
      <c r="O12" t="s">
        <v>34</v>
      </c>
      <c r="P12" t="s">
        <v>1795</v>
      </c>
      <c r="Q12">
        <v>0</v>
      </c>
      <c r="R12">
        <v>499</v>
      </c>
      <c r="S12">
        <f t="shared" si="2"/>
        <v>1.7138629206016391</v>
      </c>
      <c r="T12">
        <f t="shared" si="3"/>
        <v>0</v>
      </c>
      <c r="U12">
        <f t="shared" si="4"/>
        <v>0</v>
      </c>
      <c r="V12">
        <f t="shared" si="5"/>
        <v>0</v>
      </c>
      <c r="W12">
        <f t="shared" si="6"/>
        <v>0</v>
      </c>
      <c r="X12">
        <f t="shared" si="7"/>
        <v>0</v>
      </c>
      <c r="Y12">
        <f t="shared" si="8"/>
        <v>0</v>
      </c>
    </row>
    <row r="13" spans="1:25" x14ac:dyDescent="0.3">
      <c r="A13" t="s">
        <v>4907</v>
      </c>
      <c r="B13" t="s">
        <v>4908</v>
      </c>
      <c r="C13" s="1">
        <v>45798</v>
      </c>
      <c r="D13" s="3">
        <v>0.1365625</v>
      </c>
      <c r="E13">
        <f t="shared" si="0"/>
        <v>3</v>
      </c>
      <c r="F13">
        <v>40</v>
      </c>
      <c r="G13" t="s">
        <v>46</v>
      </c>
      <c r="H13" t="s">
        <v>80</v>
      </c>
      <c r="I13" t="s">
        <v>30</v>
      </c>
      <c r="J13" t="s">
        <v>40</v>
      </c>
      <c r="K13" t="s">
        <v>101</v>
      </c>
      <c r="L13">
        <v>298.35000000000002</v>
      </c>
      <c r="M13" t="s">
        <v>23</v>
      </c>
      <c r="N13">
        <f t="shared" si="1"/>
        <v>0</v>
      </c>
      <c r="O13" t="s">
        <v>86</v>
      </c>
      <c r="P13" t="s">
        <v>4909</v>
      </c>
      <c r="Q13">
        <v>0</v>
      </c>
      <c r="R13">
        <v>479</v>
      </c>
      <c r="S13">
        <f t="shared" si="2"/>
        <v>1.7130322650330736</v>
      </c>
      <c r="T13">
        <f t="shared" si="3"/>
        <v>0</v>
      </c>
      <c r="U13">
        <f t="shared" si="4"/>
        <v>1</v>
      </c>
      <c r="V13">
        <f t="shared" si="5"/>
        <v>0</v>
      </c>
      <c r="W13">
        <f t="shared" si="6"/>
        <v>2</v>
      </c>
      <c r="X13">
        <f t="shared" si="7"/>
        <v>0</v>
      </c>
      <c r="Y13">
        <f t="shared" si="8"/>
        <v>0</v>
      </c>
    </row>
    <row r="14" spans="1:25" x14ac:dyDescent="0.3">
      <c r="A14" t="s">
        <v>2066</v>
      </c>
      <c r="B14" t="s">
        <v>2067</v>
      </c>
      <c r="C14" s="1">
        <v>45821</v>
      </c>
      <c r="D14" s="3">
        <v>0.77833333333333332</v>
      </c>
      <c r="E14">
        <f t="shared" si="0"/>
        <v>18</v>
      </c>
      <c r="F14">
        <v>56</v>
      </c>
      <c r="G14" t="s">
        <v>6479</v>
      </c>
      <c r="H14" t="s">
        <v>185</v>
      </c>
      <c r="I14" t="s">
        <v>48</v>
      </c>
      <c r="J14" t="s">
        <v>56</v>
      </c>
      <c r="K14" t="s">
        <v>22</v>
      </c>
      <c r="L14">
        <v>298.22000000000003</v>
      </c>
      <c r="M14" t="s">
        <v>115</v>
      </c>
      <c r="N14">
        <f t="shared" si="1"/>
        <v>0</v>
      </c>
      <c r="O14" t="s">
        <v>34</v>
      </c>
      <c r="P14" t="s">
        <v>2068</v>
      </c>
      <c r="Q14">
        <v>0</v>
      </c>
      <c r="R14">
        <v>130</v>
      </c>
      <c r="S14">
        <f t="shared" si="2"/>
        <v>1.7112325113011817</v>
      </c>
      <c r="T14">
        <f t="shared" si="3"/>
        <v>0</v>
      </c>
      <c r="U14">
        <f t="shared" si="4"/>
        <v>0</v>
      </c>
      <c r="V14">
        <f t="shared" si="5"/>
        <v>1</v>
      </c>
      <c r="W14">
        <f t="shared" si="6"/>
        <v>1</v>
      </c>
      <c r="X14">
        <f t="shared" si="7"/>
        <v>0</v>
      </c>
      <c r="Y14">
        <f t="shared" si="8"/>
        <v>0</v>
      </c>
    </row>
    <row r="15" spans="1:25" x14ac:dyDescent="0.3">
      <c r="A15" t="s">
        <v>3785</v>
      </c>
      <c r="B15" t="s">
        <v>3786</v>
      </c>
      <c r="C15" s="1">
        <v>45860</v>
      </c>
      <c r="D15" s="3">
        <v>0.77415509259259263</v>
      </c>
      <c r="E15">
        <f t="shared" si="0"/>
        <v>18</v>
      </c>
      <c r="F15">
        <v>24</v>
      </c>
      <c r="G15" t="s">
        <v>46</v>
      </c>
      <c r="H15" t="s">
        <v>61</v>
      </c>
      <c r="I15" t="s">
        <v>71</v>
      </c>
      <c r="J15" t="s">
        <v>94</v>
      </c>
      <c r="K15" t="s">
        <v>41</v>
      </c>
      <c r="L15">
        <v>298.06</v>
      </c>
      <c r="M15" t="s">
        <v>115</v>
      </c>
      <c r="N15">
        <f t="shared" si="1"/>
        <v>0</v>
      </c>
      <c r="O15" t="s">
        <v>34</v>
      </c>
      <c r="P15" t="s">
        <v>3787</v>
      </c>
      <c r="Q15">
        <v>0</v>
      </c>
      <c r="R15">
        <v>146</v>
      </c>
      <c r="S15">
        <f t="shared" si="2"/>
        <v>1.7090174297850065</v>
      </c>
      <c r="T15">
        <f t="shared" si="3"/>
        <v>0</v>
      </c>
      <c r="U15">
        <f t="shared" si="4"/>
        <v>0</v>
      </c>
      <c r="V15">
        <f t="shared" si="5"/>
        <v>1</v>
      </c>
      <c r="W15">
        <f t="shared" si="6"/>
        <v>1</v>
      </c>
      <c r="X15">
        <f t="shared" si="7"/>
        <v>0</v>
      </c>
      <c r="Y15">
        <f t="shared" si="8"/>
        <v>0</v>
      </c>
    </row>
    <row r="16" spans="1:25" x14ac:dyDescent="0.3">
      <c r="A16" t="s">
        <v>332</v>
      </c>
      <c r="B16" t="s">
        <v>333</v>
      </c>
      <c r="C16" s="1">
        <v>45857</v>
      </c>
      <c r="D16" s="3">
        <v>0.64755787037037038</v>
      </c>
      <c r="E16">
        <f t="shared" si="0"/>
        <v>15</v>
      </c>
      <c r="F16">
        <v>35</v>
      </c>
      <c r="G16" t="s">
        <v>46</v>
      </c>
      <c r="H16" t="s">
        <v>189</v>
      </c>
      <c r="I16" t="s">
        <v>48</v>
      </c>
      <c r="J16" t="s">
        <v>76</v>
      </c>
      <c r="K16" t="s">
        <v>50</v>
      </c>
      <c r="L16">
        <v>298.02999999999997</v>
      </c>
      <c r="M16" t="s">
        <v>115</v>
      </c>
      <c r="N16">
        <f t="shared" si="1"/>
        <v>0</v>
      </c>
      <c r="O16" t="s">
        <v>24</v>
      </c>
      <c r="P16" t="s">
        <v>334</v>
      </c>
      <c r="Q16">
        <v>0</v>
      </c>
      <c r="R16">
        <v>365</v>
      </c>
      <c r="S16">
        <f t="shared" si="2"/>
        <v>1.7086021020007234</v>
      </c>
      <c r="T16">
        <f t="shared" si="3"/>
        <v>0</v>
      </c>
      <c r="U16">
        <f t="shared" si="4"/>
        <v>0</v>
      </c>
      <c r="V16">
        <f t="shared" si="5"/>
        <v>0</v>
      </c>
      <c r="W16">
        <f t="shared" si="6"/>
        <v>0</v>
      </c>
      <c r="X16">
        <f t="shared" si="7"/>
        <v>0</v>
      </c>
      <c r="Y16">
        <f t="shared" si="8"/>
        <v>0</v>
      </c>
    </row>
    <row r="17" spans="1:25" x14ac:dyDescent="0.3">
      <c r="A17" t="s">
        <v>836</v>
      </c>
      <c r="B17" t="s">
        <v>837</v>
      </c>
      <c r="C17" s="1">
        <v>45726</v>
      </c>
      <c r="D17" s="3">
        <v>0.51672453703703702</v>
      </c>
      <c r="E17">
        <f t="shared" si="0"/>
        <v>12</v>
      </c>
      <c r="F17">
        <v>56</v>
      </c>
      <c r="G17" t="s">
        <v>18</v>
      </c>
      <c r="H17" t="s">
        <v>175</v>
      </c>
      <c r="I17" t="s">
        <v>20</v>
      </c>
      <c r="J17" t="s">
        <v>76</v>
      </c>
      <c r="K17" t="s">
        <v>120</v>
      </c>
      <c r="L17">
        <v>297.97000000000003</v>
      </c>
      <c r="M17" t="s">
        <v>33</v>
      </c>
      <c r="N17">
        <f t="shared" si="1"/>
        <v>0</v>
      </c>
      <c r="O17" t="s">
        <v>51</v>
      </c>
      <c r="P17" t="s">
        <v>838</v>
      </c>
      <c r="Q17">
        <v>0</v>
      </c>
      <c r="R17">
        <v>235</v>
      </c>
      <c r="S17">
        <f t="shared" si="2"/>
        <v>1.7077714464321585</v>
      </c>
      <c r="T17">
        <f t="shared" si="3"/>
        <v>0</v>
      </c>
      <c r="U17">
        <f t="shared" si="4"/>
        <v>0</v>
      </c>
      <c r="V17">
        <f t="shared" si="5"/>
        <v>1</v>
      </c>
      <c r="W17">
        <f t="shared" si="6"/>
        <v>1</v>
      </c>
      <c r="X17">
        <f t="shared" si="7"/>
        <v>0</v>
      </c>
      <c r="Y17">
        <f t="shared" si="8"/>
        <v>0</v>
      </c>
    </row>
    <row r="18" spans="1:25" x14ac:dyDescent="0.3">
      <c r="A18" t="s">
        <v>6428</v>
      </c>
      <c r="B18" t="s">
        <v>6429</v>
      </c>
      <c r="C18" s="1">
        <v>45772</v>
      </c>
      <c r="D18" s="3">
        <v>0.62094907407407407</v>
      </c>
      <c r="E18">
        <f t="shared" si="0"/>
        <v>14</v>
      </c>
      <c r="F18">
        <v>38</v>
      </c>
      <c r="G18" t="s">
        <v>60</v>
      </c>
      <c r="H18" t="s">
        <v>100</v>
      </c>
      <c r="I18" t="s">
        <v>20</v>
      </c>
      <c r="J18" t="s">
        <v>76</v>
      </c>
      <c r="K18" t="s">
        <v>62</v>
      </c>
      <c r="L18">
        <v>297.93</v>
      </c>
      <c r="M18" t="s">
        <v>42</v>
      </c>
      <c r="N18">
        <f t="shared" si="1"/>
        <v>0</v>
      </c>
      <c r="O18" t="s">
        <v>86</v>
      </c>
      <c r="P18" t="s">
        <v>6430</v>
      </c>
      <c r="Q18">
        <v>0</v>
      </c>
      <c r="R18">
        <v>89</v>
      </c>
      <c r="S18">
        <f t="shared" si="2"/>
        <v>1.7072176760531146</v>
      </c>
      <c r="T18">
        <f t="shared" si="3"/>
        <v>0</v>
      </c>
      <c r="U18">
        <f t="shared" si="4"/>
        <v>0</v>
      </c>
      <c r="V18">
        <f t="shared" si="5"/>
        <v>1</v>
      </c>
      <c r="W18">
        <f t="shared" si="6"/>
        <v>1</v>
      </c>
      <c r="X18">
        <f t="shared" si="7"/>
        <v>0</v>
      </c>
      <c r="Y18">
        <f t="shared" si="8"/>
        <v>0</v>
      </c>
    </row>
    <row r="19" spans="1:25" x14ac:dyDescent="0.3">
      <c r="A19" t="s">
        <v>2945</v>
      </c>
      <c r="B19" t="s">
        <v>2946</v>
      </c>
      <c r="C19" s="1">
        <v>45755</v>
      </c>
      <c r="D19" s="3">
        <v>0.28684027777777776</v>
      </c>
      <c r="E19">
        <f t="shared" si="0"/>
        <v>6</v>
      </c>
      <c r="F19">
        <v>23</v>
      </c>
      <c r="G19" t="s">
        <v>46</v>
      </c>
      <c r="H19" t="s">
        <v>239</v>
      </c>
      <c r="I19" t="s">
        <v>119</v>
      </c>
      <c r="J19" t="s">
        <v>72</v>
      </c>
      <c r="K19" t="s">
        <v>32</v>
      </c>
      <c r="L19">
        <v>297.64999999999998</v>
      </c>
      <c r="M19" t="s">
        <v>115</v>
      </c>
      <c r="N19">
        <f t="shared" si="1"/>
        <v>0</v>
      </c>
      <c r="O19" t="s">
        <v>24</v>
      </c>
      <c r="P19" t="s">
        <v>2947</v>
      </c>
      <c r="Q19">
        <v>0</v>
      </c>
      <c r="R19">
        <v>226</v>
      </c>
      <c r="S19">
        <f t="shared" si="2"/>
        <v>1.7033412833998083</v>
      </c>
      <c r="T19">
        <f t="shared" si="3"/>
        <v>0</v>
      </c>
      <c r="U19">
        <f t="shared" si="4"/>
        <v>0</v>
      </c>
      <c r="V19">
        <f t="shared" si="5"/>
        <v>1</v>
      </c>
      <c r="W19">
        <f t="shared" si="6"/>
        <v>1</v>
      </c>
      <c r="X19">
        <f t="shared" si="7"/>
        <v>0</v>
      </c>
      <c r="Y19">
        <f t="shared" si="8"/>
        <v>0</v>
      </c>
    </row>
    <row r="20" spans="1:25" x14ac:dyDescent="0.3">
      <c r="A20" t="s">
        <v>1385</v>
      </c>
      <c r="B20" t="s">
        <v>1386</v>
      </c>
      <c r="C20" s="1">
        <v>45843</v>
      </c>
      <c r="D20" s="3">
        <v>0.37528935185185186</v>
      </c>
      <c r="E20">
        <f t="shared" si="0"/>
        <v>9</v>
      </c>
      <c r="F20">
        <v>30</v>
      </c>
      <c r="G20" t="s">
        <v>46</v>
      </c>
      <c r="H20" t="s">
        <v>189</v>
      </c>
      <c r="I20" t="s">
        <v>39</v>
      </c>
      <c r="J20" t="s">
        <v>56</v>
      </c>
      <c r="K20" t="s">
        <v>114</v>
      </c>
      <c r="L20">
        <v>297.57</v>
      </c>
      <c r="M20" t="s">
        <v>23</v>
      </c>
      <c r="N20">
        <f t="shared" si="1"/>
        <v>0</v>
      </c>
      <c r="O20" t="s">
        <v>51</v>
      </c>
      <c r="P20" t="s">
        <v>1387</v>
      </c>
      <c r="Q20">
        <v>0</v>
      </c>
      <c r="R20">
        <v>86</v>
      </c>
      <c r="S20">
        <f t="shared" si="2"/>
        <v>1.7022337426417211</v>
      </c>
      <c r="T20">
        <f t="shared" si="3"/>
        <v>0</v>
      </c>
      <c r="U20">
        <f t="shared" si="4"/>
        <v>0</v>
      </c>
      <c r="V20">
        <f t="shared" si="5"/>
        <v>1</v>
      </c>
      <c r="W20">
        <f t="shared" si="6"/>
        <v>1</v>
      </c>
      <c r="X20">
        <f t="shared" si="7"/>
        <v>0</v>
      </c>
      <c r="Y20">
        <f t="shared" si="8"/>
        <v>0</v>
      </c>
    </row>
    <row r="21" spans="1:25" x14ac:dyDescent="0.3">
      <c r="A21" t="s">
        <v>5546</v>
      </c>
      <c r="B21" t="s">
        <v>5547</v>
      </c>
      <c r="C21" s="1">
        <v>45844</v>
      </c>
      <c r="D21" s="3">
        <v>0.30212962962962964</v>
      </c>
      <c r="E21">
        <f t="shared" si="0"/>
        <v>7</v>
      </c>
      <c r="F21">
        <v>33</v>
      </c>
      <c r="G21" t="s">
        <v>18</v>
      </c>
      <c r="H21" t="s">
        <v>189</v>
      </c>
      <c r="I21" t="s">
        <v>105</v>
      </c>
      <c r="J21" t="s">
        <v>76</v>
      </c>
      <c r="K21" t="s">
        <v>41</v>
      </c>
      <c r="L21">
        <v>297.56</v>
      </c>
      <c r="M21" t="s">
        <v>23</v>
      </c>
      <c r="N21">
        <f t="shared" si="1"/>
        <v>0</v>
      </c>
      <c r="O21" t="s">
        <v>24</v>
      </c>
      <c r="P21" t="s">
        <v>5548</v>
      </c>
      <c r="Q21">
        <v>0</v>
      </c>
      <c r="R21">
        <v>265</v>
      </c>
      <c r="S21">
        <f t="shared" si="2"/>
        <v>1.7020953000469603</v>
      </c>
      <c r="T21">
        <f t="shared" si="3"/>
        <v>0</v>
      </c>
      <c r="U21">
        <f t="shared" si="4"/>
        <v>0</v>
      </c>
      <c r="V21">
        <f t="shared" si="5"/>
        <v>1</v>
      </c>
      <c r="W21">
        <f t="shared" si="6"/>
        <v>1</v>
      </c>
      <c r="X21">
        <f t="shared" si="7"/>
        <v>0</v>
      </c>
      <c r="Y21">
        <f t="shared" si="8"/>
        <v>0</v>
      </c>
    </row>
    <row r="22" spans="1:25" x14ac:dyDescent="0.3">
      <c r="A22" t="s">
        <v>5681</v>
      </c>
      <c r="B22" t="s">
        <v>5682</v>
      </c>
      <c r="C22" s="1">
        <v>45751</v>
      </c>
      <c r="D22" s="3">
        <v>0.68010416666666662</v>
      </c>
      <c r="E22">
        <f t="shared" si="0"/>
        <v>16</v>
      </c>
      <c r="F22">
        <v>48</v>
      </c>
      <c r="G22" t="s">
        <v>60</v>
      </c>
      <c r="H22" t="s">
        <v>19</v>
      </c>
      <c r="I22" t="s">
        <v>119</v>
      </c>
      <c r="J22" t="s">
        <v>76</v>
      </c>
      <c r="K22" t="s">
        <v>101</v>
      </c>
      <c r="L22">
        <v>297.29000000000002</v>
      </c>
      <c r="M22" t="s">
        <v>115</v>
      </c>
      <c r="N22">
        <f t="shared" si="1"/>
        <v>0</v>
      </c>
      <c r="O22" t="s">
        <v>86</v>
      </c>
      <c r="P22" t="s">
        <v>5683</v>
      </c>
      <c r="Q22">
        <v>0</v>
      </c>
      <c r="R22">
        <v>444</v>
      </c>
      <c r="S22">
        <f t="shared" si="2"/>
        <v>1.6983573499884157</v>
      </c>
      <c r="T22">
        <f t="shared" si="3"/>
        <v>0</v>
      </c>
      <c r="U22">
        <f t="shared" si="4"/>
        <v>0</v>
      </c>
      <c r="V22">
        <f t="shared" si="5"/>
        <v>0</v>
      </c>
      <c r="W22">
        <f t="shared" si="6"/>
        <v>0</v>
      </c>
      <c r="X22">
        <f t="shared" si="7"/>
        <v>0</v>
      </c>
      <c r="Y22">
        <f t="shared" si="8"/>
        <v>0</v>
      </c>
    </row>
    <row r="23" spans="1:25" x14ac:dyDescent="0.3">
      <c r="A23" t="s">
        <v>6311</v>
      </c>
      <c r="B23" t="s">
        <v>6312</v>
      </c>
      <c r="C23" s="1">
        <v>45813</v>
      </c>
      <c r="D23" s="3">
        <v>0.26402777777777775</v>
      </c>
      <c r="E23">
        <f t="shared" si="0"/>
        <v>6</v>
      </c>
      <c r="F23">
        <v>32</v>
      </c>
      <c r="G23" t="s">
        <v>99</v>
      </c>
      <c r="H23" t="s">
        <v>185</v>
      </c>
      <c r="I23" t="s">
        <v>48</v>
      </c>
      <c r="J23" t="s">
        <v>127</v>
      </c>
      <c r="K23" t="s">
        <v>120</v>
      </c>
      <c r="L23">
        <v>297.20999999999998</v>
      </c>
      <c r="M23" t="s">
        <v>33</v>
      </c>
      <c r="N23">
        <f t="shared" si="1"/>
        <v>0</v>
      </c>
      <c r="O23" t="s">
        <v>51</v>
      </c>
      <c r="P23" t="s">
        <v>6313</v>
      </c>
      <c r="Q23">
        <v>0</v>
      </c>
      <c r="R23">
        <v>207</v>
      </c>
      <c r="S23">
        <f t="shared" si="2"/>
        <v>1.6972498092303276</v>
      </c>
      <c r="T23">
        <f t="shared" si="3"/>
        <v>0</v>
      </c>
      <c r="U23">
        <f t="shared" si="4"/>
        <v>0</v>
      </c>
      <c r="V23">
        <f t="shared" si="5"/>
        <v>1</v>
      </c>
      <c r="W23">
        <f t="shared" si="6"/>
        <v>1</v>
      </c>
      <c r="X23">
        <f t="shared" si="7"/>
        <v>0</v>
      </c>
      <c r="Y23">
        <f t="shared" si="8"/>
        <v>0</v>
      </c>
    </row>
    <row r="24" spans="1:25" x14ac:dyDescent="0.3">
      <c r="A24" t="s">
        <v>4361</v>
      </c>
      <c r="B24" t="s">
        <v>4362</v>
      </c>
      <c r="C24" s="1">
        <v>45764</v>
      </c>
      <c r="D24" s="3">
        <v>0.88121527777777775</v>
      </c>
      <c r="E24">
        <f t="shared" si="0"/>
        <v>21</v>
      </c>
      <c r="F24" s="4">
        <v>41</v>
      </c>
      <c r="G24" t="s">
        <v>18</v>
      </c>
      <c r="H24" t="s">
        <v>19</v>
      </c>
      <c r="I24" t="s">
        <v>39</v>
      </c>
      <c r="J24" t="s">
        <v>21</v>
      </c>
      <c r="K24" t="s">
        <v>50</v>
      </c>
      <c r="L24">
        <v>297.17</v>
      </c>
      <c r="M24" t="s">
        <v>115</v>
      </c>
      <c r="N24">
        <f t="shared" si="1"/>
        <v>0</v>
      </c>
      <c r="O24" t="s">
        <v>24</v>
      </c>
      <c r="P24" t="s">
        <v>4363</v>
      </c>
      <c r="Q24">
        <v>0</v>
      </c>
      <c r="R24">
        <v>340</v>
      </c>
      <c r="S24">
        <f t="shared" si="2"/>
        <v>1.6966960388512844</v>
      </c>
      <c r="T24">
        <f t="shared" si="3"/>
        <v>0</v>
      </c>
      <c r="U24">
        <f t="shared" si="4"/>
        <v>0</v>
      </c>
      <c r="V24">
        <f t="shared" si="5"/>
        <v>0</v>
      </c>
      <c r="W24">
        <f t="shared" si="6"/>
        <v>0</v>
      </c>
      <c r="X24">
        <f t="shared" si="7"/>
        <v>0</v>
      </c>
      <c r="Y24">
        <f t="shared" si="8"/>
        <v>0</v>
      </c>
    </row>
    <row r="25" spans="1:25" x14ac:dyDescent="0.3">
      <c r="A25" t="s">
        <v>3197</v>
      </c>
      <c r="B25" t="s">
        <v>3198</v>
      </c>
      <c r="C25" s="1">
        <v>45748</v>
      </c>
      <c r="D25" s="3">
        <v>0.50002314814814819</v>
      </c>
      <c r="E25">
        <f t="shared" si="0"/>
        <v>12</v>
      </c>
      <c r="F25">
        <v>61</v>
      </c>
      <c r="G25" t="s">
        <v>46</v>
      </c>
      <c r="H25" t="s">
        <v>239</v>
      </c>
      <c r="I25" t="s">
        <v>48</v>
      </c>
      <c r="J25" t="s">
        <v>132</v>
      </c>
      <c r="K25" t="s">
        <v>62</v>
      </c>
      <c r="L25">
        <v>297</v>
      </c>
      <c r="M25" t="s">
        <v>42</v>
      </c>
      <c r="N25">
        <f t="shared" si="1"/>
        <v>0</v>
      </c>
      <c r="O25" t="s">
        <v>34</v>
      </c>
      <c r="P25" t="s">
        <v>3199</v>
      </c>
      <c r="Q25">
        <v>0</v>
      </c>
      <c r="R25">
        <v>81</v>
      </c>
      <c r="S25">
        <f t="shared" si="2"/>
        <v>1.6943425147403486</v>
      </c>
      <c r="T25">
        <f t="shared" si="3"/>
        <v>0</v>
      </c>
      <c r="U25">
        <f t="shared" si="4"/>
        <v>0</v>
      </c>
      <c r="V25">
        <f t="shared" si="5"/>
        <v>1</v>
      </c>
      <c r="W25">
        <f t="shared" si="6"/>
        <v>1</v>
      </c>
      <c r="X25">
        <f t="shared" si="7"/>
        <v>0</v>
      </c>
      <c r="Y25">
        <f t="shared" si="8"/>
        <v>0</v>
      </c>
    </row>
    <row r="26" spans="1:25" x14ac:dyDescent="0.3">
      <c r="A26" t="s">
        <v>2378</v>
      </c>
      <c r="B26" t="s">
        <v>2379</v>
      </c>
      <c r="C26" s="1">
        <v>45721</v>
      </c>
      <c r="D26" s="3">
        <v>0.61884259259259256</v>
      </c>
      <c r="E26">
        <f t="shared" si="0"/>
        <v>14</v>
      </c>
      <c r="F26">
        <v>54</v>
      </c>
      <c r="G26" t="s">
        <v>46</v>
      </c>
      <c r="H26" t="s">
        <v>61</v>
      </c>
      <c r="I26" t="s">
        <v>39</v>
      </c>
      <c r="J26" t="s">
        <v>72</v>
      </c>
      <c r="K26" t="s">
        <v>22</v>
      </c>
      <c r="L26">
        <v>296.99</v>
      </c>
      <c r="M26" t="s">
        <v>33</v>
      </c>
      <c r="N26">
        <f t="shared" si="1"/>
        <v>0</v>
      </c>
      <c r="O26" t="s">
        <v>24</v>
      </c>
      <c r="P26" t="s">
        <v>2380</v>
      </c>
      <c r="Q26">
        <v>0</v>
      </c>
      <c r="R26">
        <v>125</v>
      </c>
      <c r="S26">
        <f t="shared" si="2"/>
        <v>1.6942040721455878</v>
      </c>
      <c r="T26">
        <f t="shared" si="3"/>
        <v>0</v>
      </c>
      <c r="U26">
        <f t="shared" si="4"/>
        <v>0</v>
      </c>
      <c r="V26">
        <f t="shared" si="5"/>
        <v>1</v>
      </c>
      <c r="W26">
        <f t="shared" si="6"/>
        <v>1</v>
      </c>
      <c r="X26">
        <f t="shared" si="7"/>
        <v>0</v>
      </c>
      <c r="Y26">
        <f t="shared" si="8"/>
        <v>0</v>
      </c>
    </row>
    <row r="27" spans="1:25" x14ac:dyDescent="0.3">
      <c r="A27" t="s">
        <v>2690</v>
      </c>
      <c r="B27" t="s">
        <v>2691</v>
      </c>
      <c r="C27" s="1">
        <v>45771</v>
      </c>
      <c r="D27" s="3">
        <v>0.98212962962962957</v>
      </c>
      <c r="E27">
        <f t="shared" si="0"/>
        <v>23</v>
      </c>
      <c r="F27">
        <v>29</v>
      </c>
      <c r="G27" t="s">
        <v>60</v>
      </c>
      <c r="H27" t="s">
        <v>47</v>
      </c>
      <c r="I27" t="s">
        <v>110</v>
      </c>
      <c r="J27" t="s">
        <v>127</v>
      </c>
      <c r="K27" t="s">
        <v>62</v>
      </c>
      <c r="L27">
        <v>296.92</v>
      </c>
      <c r="M27" t="s">
        <v>115</v>
      </c>
      <c r="N27">
        <f t="shared" si="1"/>
        <v>0</v>
      </c>
      <c r="O27" t="s">
        <v>24</v>
      </c>
      <c r="P27" t="s">
        <v>2692</v>
      </c>
      <c r="Q27">
        <v>0</v>
      </c>
      <c r="R27">
        <v>454</v>
      </c>
      <c r="S27">
        <f t="shared" si="2"/>
        <v>1.6932349739822614</v>
      </c>
      <c r="T27">
        <f t="shared" si="3"/>
        <v>0</v>
      </c>
      <c r="U27">
        <f t="shared" si="4"/>
        <v>0</v>
      </c>
      <c r="V27">
        <f t="shared" si="5"/>
        <v>0</v>
      </c>
      <c r="W27">
        <f t="shared" si="6"/>
        <v>0</v>
      </c>
      <c r="X27">
        <f t="shared" si="7"/>
        <v>0</v>
      </c>
      <c r="Y27">
        <f t="shared" si="8"/>
        <v>0</v>
      </c>
    </row>
    <row r="28" spans="1:25" x14ac:dyDescent="0.3">
      <c r="A28" t="s">
        <v>4757</v>
      </c>
      <c r="B28" t="s">
        <v>4758</v>
      </c>
      <c r="C28" s="1">
        <v>45781</v>
      </c>
      <c r="D28" s="3">
        <v>0.8853240740740741</v>
      </c>
      <c r="E28">
        <f t="shared" si="0"/>
        <v>21</v>
      </c>
      <c r="F28">
        <v>56</v>
      </c>
      <c r="G28" t="s">
        <v>18</v>
      </c>
      <c r="H28" t="s">
        <v>189</v>
      </c>
      <c r="I28" t="s">
        <v>48</v>
      </c>
      <c r="J28" t="s">
        <v>56</v>
      </c>
      <c r="K28" t="s">
        <v>95</v>
      </c>
      <c r="L28">
        <v>296.58</v>
      </c>
      <c r="M28" t="s">
        <v>115</v>
      </c>
      <c r="N28">
        <f t="shared" si="1"/>
        <v>0</v>
      </c>
      <c r="O28" t="s">
        <v>51</v>
      </c>
      <c r="P28" t="s">
        <v>4759</v>
      </c>
      <c r="Q28">
        <v>0</v>
      </c>
      <c r="R28">
        <v>231</v>
      </c>
      <c r="S28">
        <f t="shared" si="2"/>
        <v>1.6885279257603893</v>
      </c>
      <c r="T28">
        <f t="shared" si="3"/>
        <v>0</v>
      </c>
      <c r="U28">
        <f t="shared" si="4"/>
        <v>0</v>
      </c>
      <c r="V28">
        <f t="shared" si="5"/>
        <v>1</v>
      </c>
      <c r="W28">
        <f t="shared" si="6"/>
        <v>1</v>
      </c>
      <c r="X28">
        <f t="shared" si="7"/>
        <v>0</v>
      </c>
      <c r="Y28">
        <f t="shared" si="8"/>
        <v>0</v>
      </c>
    </row>
    <row r="29" spans="1:25" x14ac:dyDescent="0.3">
      <c r="A29" t="s">
        <v>5618</v>
      </c>
      <c r="B29" t="s">
        <v>5619</v>
      </c>
      <c r="C29" s="1">
        <v>45798</v>
      </c>
      <c r="D29" s="3">
        <v>0.35798611111111112</v>
      </c>
      <c r="E29">
        <f t="shared" si="0"/>
        <v>8</v>
      </c>
      <c r="F29">
        <v>34</v>
      </c>
      <c r="G29" t="s">
        <v>46</v>
      </c>
      <c r="H29" t="s">
        <v>100</v>
      </c>
      <c r="I29" t="s">
        <v>48</v>
      </c>
      <c r="J29" t="s">
        <v>40</v>
      </c>
      <c r="K29" t="s">
        <v>168</v>
      </c>
      <c r="L29">
        <v>296.44</v>
      </c>
      <c r="M29" t="s">
        <v>23</v>
      </c>
      <c r="N29">
        <f t="shared" si="1"/>
        <v>0</v>
      </c>
      <c r="O29" t="s">
        <v>51</v>
      </c>
      <c r="P29" t="s">
        <v>5620</v>
      </c>
      <c r="Q29">
        <v>0</v>
      </c>
      <c r="R29">
        <v>231</v>
      </c>
      <c r="S29">
        <f t="shared" si="2"/>
        <v>1.6865897294337366</v>
      </c>
      <c r="T29">
        <f t="shared" si="3"/>
        <v>0</v>
      </c>
      <c r="U29">
        <f t="shared" si="4"/>
        <v>0</v>
      </c>
      <c r="V29">
        <f t="shared" si="5"/>
        <v>1</v>
      </c>
      <c r="W29">
        <f t="shared" si="6"/>
        <v>1</v>
      </c>
      <c r="X29">
        <f t="shared" si="7"/>
        <v>0</v>
      </c>
      <c r="Y29">
        <f t="shared" si="8"/>
        <v>0</v>
      </c>
    </row>
    <row r="30" spans="1:25" x14ac:dyDescent="0.3">
      <c r="A30" t="s">
        <v>3872</v>
      </c>
      <c r="B30" t="s">
        <v>3873</v>
      </c>
      <c r="C30" s="1">
        <v>45779</v>
      </c>
      <c r="D30" s="3">
        <v>0.83239583333333333</v>
      </c>
      <c r="E30">
        <f t="shared" si="0"/>
        <v>19</v>
      </c>
      <c r="F30">
        <v>20</v>
      </c>
      <c r="G30" t="s">
        <v>46</v>
      </c>
      <c r="H30" t="s">
        <v>55</v>
      </c>
      <c r="I30" t="s">
        <v>71</v>
      </c>
      <c r="J30" t="s">
        <v>31</v>
      </c>
      <c r="K30" t="s">
        <v>62</v>
      </c>
      <c r="L30">
        <v>296.12</v>
      </c>
      <c r="M30" t="s">
        <v>23</v>
      </c>
      <c r="N30">
        <f t="shared" si="1"/>
        <v>0</v>
      </c>
      <c r="O30" t="s">
        <v>86</v>
      </c>
      <c r="P30" t="s">
        <v>3874</v>
      </c>
      <c r="Q30">
        <v>0</v>
      </c>
      <c r="R30">
        <v>353</v>
      </c>
      <c r="S30">
        <f t="shared" si="2"/>
        <v>1.6821595664013873</v>
      </c>
      <c r="T30">
        <f t="shared" si="3"/>
        <v>0</v>
      </c>
      <c r="U30">
        <f t="shared" si="4"/>
        <v>0</v>
      </c>
      <c r="V30">
        <f t="shared" si="5"/>
        <v>0</v>
      </c>
      <c r="W30">
        <f t="shared" si="6"/>
        <v>0</v>
      </c>
      <c r="X30">
        <f t="shared" si="7"/>
        <v>0</v>
      </c>
      <c r="Y30">
        <f t="shared" si="8"/>
        <v>0</v>
      </c>
    </row>
    <row r="31" spans="1:25" x14ac:dyDescent="0.3">
      <c r="A31" t="s">
        <v>713</v>
      </c>
      <c r="B31" t="s">
        <v>714</v>
      </c>
      <c r="C31" s="1">
        <v>45873</v>
      </c>
      <c r="D31" s="3">
        <v>7.0914351851851853E-2</v>
      </c>
      <c r="E31">
        <f t="shared" si="0"/>
        <v>1</v>
      </c>
      <c r="F31">
        <v>54</v>
      </c>
      <c r="G31" t="s">
        <v>28</v>
      </c>
      <c r="H31" t="s">
        <v>232</v>
      </c>
      <c r="I31" t="s">
        <v>66</v>
      </c>
      <c r="J31" t="s">
        <v>56</v>
      </c>
      <c r="K31" t="s">
        <v>22</v>
      </c>
      <c r="L31">
        <v>295.91000000000003</v>
      </c>
      <c r="M31" t="s">
        <v>115</v>
      </c>
      <c r="N31">
        <f t="shared" si="1"/>
        <v>0</v>
      </c>
      <c r="O31" t="s">
        <v>51</v>
      </c>
      <c r="P31" t="s">
        <v>715</v>
      </c>
      <c r="Q31">
        <v>0</v>
      </c>
      <c r="R31">
        <v>236</v>
      </c>
      <c r="S31">
        <f t="shared" si="2"/>
        <v>1.679252271911408</v>
      </c>
      <c r="T31">
        <f t="shared" si="3"/>
        <v>0</v>
      </c>
      <c r="U31">
        <f t="shared" si="4"/>
        <v>1</v>
      </c>
      <c r="V31">
        <f t="shared" si="5"/>
        <v>1</v>
      </c>
      <c r="W31">
        <f t="shared" si="6"/>
        <v>3</v>
      </c>
      <c r="X31">
        <f t="shared" si="7"/>
        <v>0</v>
      </c>
      <c r="Y31">
        <f t="shared" si="8"/>
        <v>0</v>
      </c>
    </row>
    <row r="32" spans="1:25" x14ac:dyDescent="0.3">
      <c r="A32" t="s">
        <v>2522</v>
      </c>
      <c r="B32" t="s">
        <v>2523</v>
      </c>
      <c r="C32" s="1">
        <v>45764</v>
      </c>
      <c r="D32" s="3">
        <v>0.4480439814814815</v>
      </c>
      <c r="E32">
        <f t="shared" si="0"/>
        <v>10</v>
      </c>
      <c r="F32">
        <v>44</v>
      </c>
      <c r="G32" t="s">
        <v>18</v>
      </c>
      <c r="H32" t="s">
        <v>100</v>
      </c>
      <c r="I32" t="s">
        <v>39</v>
      </c>
      <c r="J32" t="s">
        <v>21</v>
      </c>
      <c r="K32" t="s">
        <v>95</v>
      </c>
      <c r="L32">
        <v>295.77</v>
      </c>
      <c r="M32" t="s">
        <v>6479</v>
      </c>
      <c r="N32">
        <f t="shared" si="1"/>
        <v>1</v>
      </c>
      <c r="O32" t="s">
        <v>24</v>
      </c>
      <c r="P32" t="s">
        <v>2524</v>
      </c>
      <c r="Q32">
        <v>0</v>
      </c>
      <c r="R32">
        <v>146</v>
      </c>
      <c r="S32">
        <f t="shared" si="2"/>
        <v>1.6773140755847544</v>
      </c>
      <c r="T32">
        <f t="shared" si="3"/>
        <v>0</v>
      </c>
      <c r="U32">
        <f t="shared" si="4"/>
        <v>0</v>
      </c>
      <c r="V32">
        <f t="shared" si="5"/>
        <v>1</v>
      </c>
      <c r="W32">
        <f t="shared" si="6"/>
        <v>3</v>
      </c>
      <c r="X32">
        <f t="shared" si="7"/>
        <v>0</v>
      </c>
      <c r="Y32">
        <f t="shared" si="8"/>
        <v>1</v>
      </c>
    </row>
    <row r="33" spans="1:25" x14ac:dyDescent="0.3">
      <c r="A33" t="s">
        <v>5651</v>
      </c>
      <c r="B33" t="s">
        <v>5652</v>
      </c>
      <c r="C33" s="1">
        <v>45810</v>
      </c>
      <c r="D33" s="3">
        <v>0.8916087962962963</v>
      </c>
      <c r="E33">
        <f t="shared" si="0"/>
        <v>21</v>
      </c>
      <c r="F33">
        <v>28</v>
      </c>
      <c r="G33" t="s">
        <v>46</v>
      </c>
      <c r="H33" t="s">
        <v>142</v>
      </c>
      <c r="I33" t="s">
        <v>66</v>
      </c>
      <c r="J33" t="s">
        <v>127</v>
      </c>
      <c r="K33" t="s">
        <v>62</v>
      </c>
      <c r="L33">
        <v>295.47000000000003</v>
      </c>
      <c r="M33" t="s">
        <v>42</v>
      </c>
      <c r="N33">
        <f t="shared" si="1"/>
        <v>0</v>
      </c>
      <c r="O33" t="s">
        <v>24</v>
      </c>
      <c r="P33" t="s">
        <v>5653</v>
      </c>
      <c r="Q33">
        <v>0</v>
      </c>
      <c r="R33">
        <v>229</v>
      </c>
      <c r="S33">
        <f t="shared" si="2"/>
        <v>1.6731607977419274</v>
      </c>
      <c r="T33">
        <f t="shared" si="3"/>
        <v>0</v>
      </c>
      <c r="U33">
        <f t="shared" si="4"/>
        <v>0</v>
      </c>
      <c r="V33">
        <f t="shared" si="5"/>
        <v>1</v>
      </c>
      <c r="W33">
        <f t="shared" si="6"/>
        <v>1</v>
      </c>
      <c r="X33">
        <f t="shared" si="7"/>
        <v>0</v>
      </c>
      <c r="Y33">
        <f t="shared" si="8"/>
        <v>0</v>
      </c>
    </row>
    <row r="34" spans="1:25" x14ac:dyDescent="0.3">
      <c r="A34" t="s">
        <v>1613</v>
      </c>
      <c r="B34" t="s">
        <v>1614</v>
      </c>
      <c r="C34" s="1">
        <v>45750</v>
      </c>
      <c r="D34" s="3">
        <v>0.80945601851851856</v>
      </c>
      <c r="E34">
        <f t="shared" si="0"/>
        <v>19</v>
      </c>
      <c r="F34">
        <v>52</v>
      </c>
      <c r="G34" t="s">
        <v>60</v>
      </c>
      <c r="H34" t="s">
        <v>142</v>
      </c>
      <c r="I34" t="s">
        <v>30</v>
      </c>
      <c r="J34" t="s">
        <v>56</v>
      </c>
      <c r="K34" t="s">
        <v>101</v>
      </c>
      <c r="L34">
        <v>295.42</v>
      </c>
      <c r="M34" t="s">
        <v>115</v>
      </c>
      <c r="N34">
        <f t="shared" si="1"/>
        <v>0</v>
      </c>
      <c r="O34" t="s">
        <v>51</v>
      </c>
      <c r="P34" t="s">
        <v>1615</v>
      </c>
      <c r="Q34">
        <v>0</v>
      </c>
      <c r="R34">
        <v>79</v>
      </c>
      <c r="S34">
        <f t="shared" si="2"/>
        <v>1.6724685847681227</v>
      </c>
      <c r="T34">
        <f t="shared" si="3"/>
        <v>0</v>
      </c>
      <c r="U34">
        <f t="shared" si="4"/>
        <v>0</v>
      </c>
      <c r="V34">
        <f t="shared" si="5"/>
        <v>1</v>
      </c>
      <c r="W34">
        <f t="shared" si="6"/>
        <v>1</v>
      </c>
      <c r="X34">
        <f t="shared" si="7"/>
        <v>0</v>
      </c>
      <c r="Y34">
        <f t="shared" si="8"/>
        <v>0</v>
      </c>
    </row>
    <row r="35" spans="1:25" x14ac:dyDescent="0.3">
      <c r="A35" t="s">
        <v>953</v>
      </c>
      <c r="B35" t="s">
        <v>954</v>
      </c>
      <c r="C35" s="1">
        <v>45806</v>
      </c>
      <c r="D35" s="3">
        <v>0.39179398148148148</v>
      </c>
      <c r="E35">
        <f t="shared" si="0"/>
        <v>9</v>
      </c>
      <c r="F35">
        <v>37</v>
      </c>
      <c r="G35" t="s">
        <v>60</v>
      </c>
      <c r="H35" t="s">
        <v>239</v>
      </c>
      <c r="I35" t="s">
        <v>110</v>
      </c>
      <c r="J35" t="s">
        <v>56</v>
      </c>
      <c r="K35" t="s">
        <v>41</v>
      </c>
      <c r="L35">
        <v>295.23</v>
      </c>
      <c r="M35" t="s">
        <v>23</v>
      </c>
      <c r="N35">
        <f t="shared" si="1"/>
        <v>0</v>
      </c>
      <c r="O35" t="s">
        <v>24</v>
      </c>
      <c r="P35" t="s">
        <v>955</v>
      </c>
      <c r="Q35">
        <v>1</v>
      </c>
      <c r="R35">
        <v>472</v>
      </c>
      <c r="S35">
        <f t="shared" si="2"/>
        <v>1.6698381754676652</v>
      </c>
      <c r="T35">
        <f t="shared" si="3"/>
        <v>0</v>
      </c>
      <c r="U35">
        <f t="shared" si="4"/>
        <v>0</v>
      </c>
      <c r="V35">
        <f t="shared" si="5"/>
        <v>0</v>
      </c>
      <c r="W35">
        <f t="shared" si="6"/>
        <v>0</v>
      </c>
      <c r="X35">
        <f t="shared" si="7"/>
        <v>0</v>
      </c>
      <c r="Y35">
        <f t="shared" si="8"/>
        <v>0</v>
      </c>
    </row>
    <row r="36" spans="1:25" x14ac:dyDescent="0.3">
      <c r="A36" t="s">
        <v>2933</v>
      </c>
      <c r="B36" t="s">
        <v>2934</v>
      </c>
      <c r="C36" s="1">
        <v>45860</v>
      </c>
      <c r="D36" s="3">
        <v>0.93917824074074074</v>
      </c>
      <c r="E36">
        <f t="shared" si="0"/>
        <v>22</v>
      </c>
      <c r="F36">
        <v>23</v>
      </c>
      <c r="G36" t="s">
        <v>18</v>
      </c>
      <c r="H36" t="s">
        <v>167</v>
      </c>
      <c r="I36" t="s">
        <v>39</v>
      </c>
      <c r="J36" t="s">
        <v>94</v>
      </c>
      <c r="K36" t="s">
        <v>120</v>
      </c>
      <c r="L36">
        <v>295.20999999999998</v>
      </c>
      <c r="M36" t="s">
        <v>23</v>
      </c>
      <c r="N36">
        <f t="shared" si="1"/>
        <v>0</v>
      </c>
      <c r="O36" t="s">
        <v>86</v>
      </c>
      <c r="P36" t="s">
        <v>2935</v>
      </c>
      <c r="Q36">
        <v>0</v>
      </c>
      <c r="R36">
        <v>325</v>
      </c>
      <c r="S36">
        <f t="shared" si="2"/>
        <v>1.6695612902781427</v>
      </c>
      <c r="T36">
        <f t="shared" si="3"/>
        <v>0</v>
      </c>
      <c r="U36">
        <f t="shared" si="4"/>
        <v>0</v>
      </c>
      <c r="V36">
        <f t="shared" si="5"/>
        <v>0</v>
      </c>
      <c r="W36">
        <f t="shared" si="6"/>
        <v>0</v>
      </c>
      <c r="X36">
        <f t="shared" si="7"/>
        <v>0</v>
      </c>
      <c r="Y36">
        <f t="shared" si="8"/>
        <v>0</v>
      </c>
    </row>
    <row r="37" spans="1:25" x14ac:dyDescent="0.3">
      <c r="A37" t="s">
        <v>6347</v>
      </c>
      <c r="B37" t="s">
        <v>6348</v>
      </c>
      <c r="C37" s="1">
        <v>45723</v>
      </c>
      <c r="D37" s="3">
        <v>0.83149305555555553</v>
      </c>
      <c r="E37">
        <f t="shared" si="0"/>
        <v>19</v>
      </c>
      <c r="F37">
        <v>52</v>
      </c>
      <c r="G37" t="s">
        <v>6479</v>
      </c>
      <c r="H37" t="s">
        <v>167</v>
      </c>
      <c r="I37" t="s">
        <v>30</v>
      </c>
      <c r="J37" t="s">
        <v>76</v>
      </c>
      <c r="K37" t="s">
        <v>120</v>
      </c>
      <c r="L37">
        <v>295.14</v>
      </c>
      <c r="M37" t="s">
        <v>6479</v>
      </c>
      <c r="N37">
        <f t="shared" si="1"/>
        <v>1</v>
      </c>
      <c r="O37" t="s">
        <v>24</v>
      </c>
      <c r="P37" t="s">
        <v>6349</v>
      </c>
      <c r="Q37">
        <v>0</v>
      </c>
      <c r="R37">
        <v>261</v>
      </c>
      <c r="S37">
        <f t="shared" si="2"/>
        <v>1.6685921921148164</v>
      </c>
      <c r="T37">
        <f t="shared" si="3"/>
        <v>0</v>
      </c>
      <c r="U37">
        <f t="shared" si="4"/>
        <v>0</v>
      </c>
      <c r="V37">
        <f t="shared" si="5"/>
        <v>1</v>
      </c>
      <c r="W37">
        <f t="shared" si="6"/>
        <v>3</v>
      </c>
      <c r="X37">
        <f t="shared" si="7"/>
        <v>0</v>
      </c>
      <c r="Y37">
        <f t="shared" si="8"/>
        <v>1</v>
      </c>
    </row>
    <row r="38" spans="1:25" x14ac:dyDescent="0.3">
      <c r="A38" t="s">
        <v>6080</v>
      </c>
      <c r="B38" t="s">
        <v>6081</v>
      </c>
      <c r="C38" s="1">
        <v>45811</v>
      </c>
      <c r="D38" s="3">
        <v>0.56473379629629628</v>
      </c>
      <c r="E38">
        <f t="shared" si="0"/>
        <v>13</v>
      </c>
      <c r="F38">
        <v>29</v>
      </c>
      <c r="G38" t="s">
        <v>60</v>
      </c>
      <c r="H38" t="s">
        <v>131</v>
      </c>
      <c r="I38" t="s">
        <v>110</v>
      </c>
      <c r="J38" t="s">
        <v>40</v>
      </c>
      <c r="K38" t="s">
        <v>101</v>
      </c>
      <c r="L38">
        <v>294.83999999999997</v>
      </c>
      <c r="M38" t="s">
        <v>42</v>
      </c>
      <c r="N38">
        <f t="shared" si="1"/>
        <v>0</v>
      </c>
      <c r="O38" t="s">
        <v>24</v>
      </c>
      <c r="P38" t="s">
        <v>6082</v>
      </c>
      <c r="Q38">
        <v>0</v>
      </c>
      <c r="R38">
        <v>147</v>
      </c>
      <c r="S38">
        <f t="shared" si="2"/>
        <v>1.6644389142719884</v>
      </c>
      <c r="T38">
        <f t="shared" si="3"/>
        <v>0</v>
      </c>
      <c r="U38">
        <f t="shared" si="4"/>
        <v>0</v>
      </c>
      <c r="V38">
        <f t="shared" si="5"/>
        <v>1</v>
      </c>
      <c r="W38">
        <f t="shared" si="6"/>
        <v>1</v>
      </c>
      <c r="X38">
        <f t="shared" si="7"/>
        <v>0</v>
      </c>
      <c r="Y38">
        <f t="shared" si="8"/>
        <v>0</v>
      </c>
    </row>
    <row r="39" spans="1:25" x14ac:dyDescent="0.3">
      <c r="A39" t="s">
        <v>1313</v>
      </c>
      <c r="B39" t="s">
        <v>1314</v>
      </c>
      <c r="C39" s="1">
        <v>45725</v>
      </c>
      <c r="D39" s="3">
        <v>0.12847222222222221</v>
      </c>
      <c r="E39">
        <f t="shared" si="0"/>
        <v>3</v>
      </c>
      <c r="F39">
        <v>39</v>
      </c>
      <c r="G39" t="s">
        <v>46</v>
      </c>
      <c r="H39" t="s">
        <v>167</v>
      </c>
      <c r="I39" t="s">
        <v>85</v>
      </c>
      <c r="J39" t="s">
        <v>127</v>
      </c>
      <c r="K39" t="s">
        <v>168</v>
      </c>
      <c r="L39">
        <v>294.77999999999997</v>
      </c>
      <c r="M39" t="s">
        <v>115</v>
      </c>
      <c r="N39">
        <f t="shared" si="1"/>
        <v>0</v>
      </c>
      <c r="O39" t="s">
        <v>24</v>
      </c>
      <c r="P39" t="s">
        <v>1315</v>
      </c>
      <c r="Q39">
        <v>0</v>
      </c>
      <c r="R39">
        <v>381</v>
      </c>
      <c r="S39">
        <f t="shared" si="2"/>
        <v>1.6636082587034229</v>
      </c>
      <c r="T39">
        <f t="shared" si="3"/>
        <v>0</v>
      </c>
      <c r="U39">
        <f t="shared" si="4"/>
        <v>1</v>
      </c>
      <c r="V39">
        <f t="shared" si="5"/>
        <v>0</v>
      </c>
      <c r="W39">
        <f t="shared" si="6"/>
        <v>2</v>
      </c>
      <c r="X39">
        <f t="shared" si="7"/>
        <v>0</v>
      </c>
      <c r="Y39">
        <f t="shared" si="8"/>
        <v>0</v>
      </c>
    </row>
    <row r="40" spans="1:25" x14ac:dyDescent="0.3">
      <c r="A40" t="s">
        <v>1052</v>
      </c>
      <c r="B40" t="s">
        <v>1053</v>
      </c>
      <c r="C40" s="1">
        <v>45742</v>
      </c>
      <c r="D40" s="3">
        <v>0.47252314814814816</v>
      </c>
      <c r="E40">
        <f t="shared" si="0"/>
        <v>11</v>
      </c>
      <c r="F40" s="4">
        <v>41</v>
      </c>
      <c r="G40" t="s">
        <v>46</v>
      </c>
      <c r="H40" t="s">
        <v>185</v>
      </c>
      <c r="I40" t="s">
        <v>48</v>
      </c>
      <c r="J40" t="s">
        <v>76</v>
      </c>
      <c r="K40" t="s">
        <v>101</v>
      </c>
      <c r="L40">
        <v>294.20999999999998</v>
      </c>
      <c r="M40" t="s">
        <v>23</v>
      </c>
      <c r="N40">
        <f t="shared" si="1"/>
        <v>0</v>
      </c>
      <c r="O40" t="s">
        <v>24</v>
      </c>
      <c r="P40" t="s">
        <v>1054</v>
      </c>
      <c r="Q40">
        <v>0</v>
      </c>
      <c r="R40">
        <v>231</v>
      </c>
      <c r="S40">
        <f t="shared" si="2"/>
        <v>1.6557170308020503</v>
      </c>
      <c r="T40">
        <f t="shared" si="3"/>
        <v>0</v>
      </c>
      <c r="U40">
        <f t="shared" si="4"/>
        <v>0</v>
      </c>
      <c r="V40">
        <f t="shared" si="5"/>
        <v>1</v>
      </c>
      <c r="W40">
        <f t="shared" si="6"/>
        <v>1</v>
      </c>
      <c r="X40">
        <f t="shared" si="7"/>
        <v>0</v>
      </c>
      <c r="Y40">
        <f t="shared" si="8"/>
        <v>0</v>
      </c>
    </row>
    <row r="41" spans="1:25" x14ac:dyDescent="0.3">
      <c r="A41" t="s">
        <v>5378</v>
      </c>
      <c r="B41" t="s">
        <v>5379</v>
      </c>
      <c r="C41" s="1">
        <v>45817</v>
      </c>
      <c r="D41" s="3">
        <v>0.97266203703703702</v>
      </c>
      <c r="E41">
        <f t="shared" si="0"/>
        <v>23</v>
      </c>
      <c r="F41">
        <v>28</v>
      </c>
      <c r="G41" t="s">
        <v>46</v>
      </c>
      <c r="H41" t="s">
        <v>100</v>
      </c>
      <c r="I41" t="s">
        <v>110</v>
      </c>
      <c r="J41" t="s">
        <v>132</v>
      </c>
      <c r="K41" t="s">
        <v>114</v>
      </c>
      <c r="L41">
        <v>293.86</v>
      </c>
      <c r="M41" t="s">
        <v>33</v>
      </c>
      <c r="N41">
        <f t="shared" si="1"/>
        <v>0</v>
      </c>
      <c r="O41" t="s">
        <v>24</v>
      </c>
      <c r="P41" t="s">
        <v>5380</v>
      </c>
      <c r="Q41">
        <v>0</v>
      </c>
      <c r="R41">
        <v>328</v>
      </c>
      <c r="S41">
        <f t="shared" si="2"/>
        <v>1.6508715399854184</v>
      </c>
      <c r="T41">
        <f t="shared" si="3"/>
        <v>0</v>
      </c>
      <c r="U41">
        <f t="shared" si="4"/>
        <v>0</v>
      </c>
      <c r="V41">
        <f t="shared" si="5"/>
        <v>0</v>
      </c>
      <c r="W41">
        <f t="shared" si="6"/>
        <v>0</v>
      </c>
      <c r="X41">
        <f t="shared" si="7"/>
        <v>0</v>
      </c>
      <c r="Y41">
        <f t="shared" si="8"/>
        <v>0</v>
      </c>
    </row>
    <row r="42" spans="1:25" x14ac:dyDescent="0.3">
      <c r="A42" t="s">
        <v>4112</v>
      </c>
      <c r="B42" t="s">
        <v>4113</v>
      </c>
      <c r="C42" s="1">
        <v>45818</v>
      </c>
      <c r="D42" s="3">
        <v>0.23724537037037038</v>
      </c>
      <c r="E42">
        <f t="shared" si="0"/>
        <v>5</v>
      </c>
      <c r="F42">
        <v>63</v>
      </c>
      <c r="G42" t="s">
        <v>18</v>
      </c>
      <c r="H42" t="s">
        <v>19</v>
      </c>
      <c r="I42" t="s">
        <v>30</v>
      </c>
      <c r="J42" t="s">
        <v>94</v>
      </c>
      <c r="K42" t="s">
        <v>114</v>
      </c>
      <c r="L42">
        <v>293.82</v>
      </c>
      <c r="M42" t="s">
        <v>115</v>
      </c>
      <c r="N42">
        <f t="shared" si="1"/>
        <v>0</v>
      </c>
      <c r="O42" t="s">
        <v>51</v>
      </c>
      <c r="P42" t="s">
        <v>4114</v>
      </c>
      <c r="Q42">
        <v>0</v>
      </c>
      <c r="R42">
        <v>290</v>
      </c>
      <c r="S42">
        <f t="shared" si="2"/>
        <v>1.6503177696063744</v>
      </c>
      <c r="T42">
        <f t="shared" si="3"/>
        <v>0</v>
      </c>
      <c r="U42">
        <f t="shared" si="4"/>
        <v>1</v>
      </c>
      <c r="V42">
        <f t="shared" si="5"/>
        <v>0</v>
      </c>
      <c r="W42">
        <f t="shared" si="6"/>
        <v>2</v>
      </c>
      <c r="X42">
        <f t="shared" si="7"/>
        <v>0</v>
      </c>
      <c r="Y42">
        <f t="shared" si="8"/>
        <v>0</v>
      </c>
    </row>
    <row r="43" spans="1:25" x14ac:dyDescent="0.3">
      <c r="A43" t="s">
        <v>3941</v>
      </c>
      <c r="B43" t="s">
        <v>3942</v>
      </c>
      <c r="C43" s="1">
        <v>45775</v>
      </c>
      <c r="D43" s="3">
        <v>0.24324074074074073</v>
      </c>
      <c r="E43">
        <f t="shared" si="0"/>
        <v>5</v>
      </c>
      <c r="F43">
        <v>45</v>
      </c>
      <c r="G43" t="s">
        <v>99</v>
      </c>
      <c r="H43" t="s">
        <v>131</v>
      </c>
      <c r="I43" t="s">
        <v>66</v>
      </c>
      <c r="J43" t="s">
        <v>49</v>
      </c>
      <c r="K43" t="s">
        <v>22</v>
      </c>
      <c r="L43">
        <v>293.48</v>
      </c>
      <c r="M43" t="s">
        <v>115</v>
      </c>
      <c r="N43">
        <f t="shared" si="1"/>
        <v>0</v>
      </c>
      <c r="O43" t="s">
        <v>86</v>
      </c>
      <c r="P43" t="s">
        <v>3943</v>
      </c>
      <c r="Q43">
        <v>0</v>
      </c>
      <c r="R43">
        <v>271</v>
      </c>
      <c r="S43">
        <f t="shared" si="2"/>
        <v>1.6456107213845033</v>
      </c>
      <c r="T43">
        <f t="shared" si="3"/>
        <v>0</v>
      </c>
      <c r="U43">
        <f t="shared" si="4"/>
        <v>1</v>
      </c>
      <c r="V43">
        <f t="shared" si="5"/>
        <v>1</v>
      </c>
      <c r="W43">
        <f t="shared" si="6"/>
        <v>3</v>
      </c>
      <c r="X43">
        <f t="shared" si="7"/>
        <v>0</v>
      </c>
      <c r="Y43">
        <f t="shared" si="8"/>
        <v>0</v>
      </c>
    </row>
    <row r="44" spans="1:25" x14ac:dyDescent="0.3">
      <c r="A44" t="s">
        <v>5786</v>
      </c>
      <c r="B44" t="s">
        <v>5787</v>
      </c>
      <c r="C44" s="1">
        <v>45763</v>
      </c>
      <c r="D44" s="3">
        <v>0.25425925925925924</v>
      </c>
      <c r="E44">
        <f t="shared" si="0"/>
        <v>6</v>
      </c>
      <c r="F44">
        <v>30</v>
      </c>
      <c r="G44" t="s">
        <v>18</v>
      </c>
      <c r="H44" t="s">
        <v>175</v>
      </c>
      <c r="I44" t="s">
        <v>71</v>
      </c>
      <c r="J44" t="s">
        <v>94</v>
      </c>
      <c r="K44" t="s">
        <v>95</v>
      </c>
      <c r="L44">
        <v>293.32</v>
      </c>
      <c r="M44" t="s">
        <v>115</v>
      </c>
      <c r="N44">
        <f t="shared" si="1"/>
        <v>0</v>
      </c>
      <c r="O44" t="s">
        <v>51</v>
      </c>
      <c r="P44" t="s">
        <v>5788</v>
      </c>
      <c r="Q44">
        <v>0</v>
      </c>
      <c r="R44">
        <v>329</v>
      </c>
      <c r="S44">
        <f t="shared" si="2"/>
        <v>1.6433956398683283</v>
      </c>
      <c r="T44">
        <f t="shared" si="3"/>
        <v>0</v>
      </c>
      <c r="U44">
        <f t="shared" si="4"/>
        <v>0</v>
      </c>
      <c r="V44">
        <f t="shared" si="5"/>
        <v>0</v>
      </c>
      <c r="W44">
        <f t="shared" si="6"/>
        <v>0</v>
      </c>
      <c r="X44">
        <f t="shared" si="7"/>
        <v>0</v>
      </c>
      <c r="Y44">
        <f t="shared" si="8"/>
        <v>0</v>
      </c>
    </row>
    <row r="45" spans="1:25" x14ac:dyDescent="0.3">
      <c r="A45" t="s">
        <v>4976</v>
      </c>
      <c r="B45" t="s">
        <v>4977</v>
      </c>
      <c r="C45" s="1">
        <v>45857</v>
      </c>
      <c r="D45" s="3">
        <v>0.18215277777777777</v>
      </c>
      <c r="E45">
        <f t="shared" si="0"/>
        <v>4</v>
      </c>
      <c r="F45">
        <v>20</v>
      </c>
      <c r="G45" t="s">
        <v>18</v>
      </c>
      <c r="H45" t="s">
        <v>100</v>
      </c>
      <c r="I45" t="s">
        <v>105</v>
      </c>
      <c r="J45" t="s">
        <v>94</v>
      </c>
      <c r="K45" t="s">
        <v>95</v>
      </c>
      <c r="L45">
        <v>293.12</v>
      </c>
      <c r="M45" t="s">
        <v>42</v>
      </c>
      <c r="N45">
        <f t="shared" si="1"/>
        <v>0</v>
      </c>
      <c r="O45" t="s">
        <v>34</v>
      </c>
      <c r="P45" t="s">
        <v>4978</v>
      </c>
      <c r="Q45">
        <v>0</v>
      </c>
      <c r="R45">
        <v>273</v>
      </c>
      <c r="S45">
        <f t="shared" si="2"/>
        <v>1.6406267879731098</v>
      </c>
      <c r="T45">
        <f t="shared" si="3"/>
        <v>0</v>
      </c>
      <c r="U45">
        <f t="shared" si="4"/>
        <v>1</v>
      </c>
      <c r="V45">
        <f t="shared" si="5"/>
        <v>0</v>
      </c>
      <c r="W45">
        <f t="shared" si="6"/>
        <v>2</v>
      </c>
      <c r="X45">
        <f t="shared" si="7"/>
        <v>0</v>
      </c>
      <c r="Y45">
        <f t="shared" si="8"/>
        <v>0</v>
      </c>
    </row>
    <row r="46" spans="1:25" x14ac:dyDescent="0.3">
      <c r="A46" t="s">
        <v>1529</v>
      </c>
      <c r="B46" t="s">
        <v>1530</v>
      </c>
      <c r="C46" s="1">
        <v>45773</v>
      </c>
      <c r="D46" s="3">
        <v>0.96483796296296298</v>
      </c>
      <c r="E46">
        <f t="shared" si="0"/>
        <v>23</v>
      </c>
      <c r="F46">
        <v>56</v>
      </c>
      <c r="G46" t="s">
        <v>60</v>
      </c>
      <c r="H46" t="s">
        <v>55</v>
      </c>
      <c r="I46" t="s">
        <v>119</v>
      </c>
      <c r="J46" t="s">
        <v>31</v>
      </c>
      <c r="K46" t="s">
        <v>41</v>
      </c>
      <c r="L46">
        <v>292.74</v>
      </c>
      <c r="M46" t="s">
        <v>23</v>
      </c>
      <c r="N46">
        <f t="shared" si="1"/>
        <v>0</v>
      </c>
      <c r="O46" t="s">
        <v>86</v>
      </c>
      <c r="P46" t="s">
        <v>1531</v>
      </c>
      <c r="Q46">
        <v>0</v>
      </c>
      <c r="R46">
        <v>112</v>
      </c>
      <c r="S46">
        <f t="shared" si="2"/>
        <v>1.6353659693721947</v>
      </c>
      <c r="T46">
        <f t="shared" si="3"/>
        <v>0</v>
      </c>
      <c r="U46">
        <f t="shared" si="4"/>
        <v>0</v>
      </c>
      <c r="V46">
        <f t="shared" si="5"/>
        <v>1</v>
      </c>
      <c r="W46">
        <f t="shared" si="6"/>
        <v>1</v>
      </c>
      <c r="X46">
        <f t="shared" si="7"/>
        <v>0</v>
      </c>
      <c r="Y46">
        <f t="shared" si="8"/>
        <v>0</v>
      </c>
    </row>
    <row r="47" spans="1:25" x14ac:dyDescent="0.3">
      <c r="A47" t="s">
        <v>2519</v>
      </c>
      <c r="B47" t="s">
        <v>2520</v>
      </c>
      <c r="C47" s="1">
        <v>45817</v>
      </c>
      <c r="D47" s="3">
        <v>0.28550925925925924</v>
      </c>
      <c r="E47">
        <f t="shared" si="0"/>
        <v>6</v>
      </c>
      <c r="F47">
        <v>32</v>
      </c>
      <c r="G47" t="s">
        <v>18</v>
      </c>
      <c r="H47" t="s">
        <v>38</v>
      </c>
      <c r="I47" t="s">
        <v>66</v>
      </c>
      <c r="J47" t="s">
        <v>132</v>
      </c>
      <c r="K47" t="s">
        <v>50</v>
      </c>
      <c r="L47">
        <v>292.74</v>
      </c>
      <c r="M47" t="s">
        <v>33</v>
      </c>
      <c r="N47">
        <f t="shared" si="1"/>
        <v>0</v>
      </c>
      <c r="O47" t="s">
        <v>51</v>
      </c>
      <c r="P47" t="s">
        <v>2521</v>
      </c>
      <c r="Q47">
        <v>0</v>
      </c>
      <c r="R47">
        <v>87</v>
      </c>
      <c r="S47">
        <f t="shared" si="2"/>
        <v>1.6353659693721947</v>
      </c>
      <c r="T47">
        <f t="shared" si="3"/>
        <v>0</v>
      </c>
      <c r="U47">
        <f t="shared" si="4"/>
        <v>0</v>
      </c>
      <c r="V47">
        <f t="shared" si="5"/>
        <v>1</v>
      </c>
      <c r="W47">
        <f t="shared" si="6"/>
        <v>1</v>
      </c>
      <c r="X47">
        <f t="shared" si="7"/>
        <v>0</v>
      </c>
      <c r="Y47">
        <f t="shared" si="8"/>
        <v>0</v>
      </c>
    </row>
    <row r="48" spans="1:25" x14ac:dyDescent="0.3">
      <c r="A48" t="s">
        <v>2969</v>
      </c>
      <c r="B48" t="s">
        <v>2970</v>
      </c>
      <c r="C48" s="1">
        <v>45746</v>
      </c>
      <c r="D48" s="3">
        <v>0.81123842592592588</v>
      </c>
      <c r="E48">
        <f t="shared" si="0"/>
        <v>19</v>
      </c>
      <c r="F48">
        <v>21</v>
      </c>
      <c r="G48" t="s">
        <v>18</v>
      </c>
      <c r="H48" t="s">
        <v>239</v>
      </c>
      <c r="I48" t="s">
        <v>20</v>
      </c>
      <c r="J48" t="s">
        <v>49</v>
      </c>
      <c r="K48" t="s">
        <v>95</v>
      </c>
      <c r="L48">
        <v>292.64</v>
      </c>
      <c r="M48" t="s">
        <v>23</v>
      </c>
      <c r="N48">
        <f t="shared" si="1"/>
        <v>0</v>
      </c>
      <c r="O48" t="s">
        <v>24</v>
      </c>
      <c r="P48" t="s">
        <v>2971</v>
      </c>
      <c r="Q48">
        <v>0</v>
      </c>
      <c r="R48">
        <v>417</v>
      </c>
      <c r="S48">
        <f t="shared" si="2"/>
        <v>1.6339815434245852</v>
      </c>
      <c r="T48">
        <f t="shared" si="3"/>
        <v>0</v>
      </c>
      <c r="U48">
        <f t="shared" si="4"/>
        <v>0</v>
      </c>
      <c r="V48">
        <f t="shared" si="5"/>
        <v>0</v>
      </c>
      <c r="W48">
        <f t="shared" si="6"/>
        <v>0</v>
      </c>
      <c r="X48">
        <f t="shared" si="7"/>
        <v>0</v>
      </c>
      <c r="Y48">
        <f t="shared" si="8"/>
        <v>0</v>
      </c>
    </row>
    <row r="49" spans="1:25" x14ac:dyDescent="0.3">
      <c r="A49" t="s">
        <v>3863</v>
      </c>
      <c r="B49" t="s">
        <v>3864</v>
      </c>
      <c r="C49" s="1">
        <v>45878</v>
      </c>
      <c r="D49" s="3">
        <v>0.83341435185185186</v>
      </c>
      <c r="E49">
        <f t="shared" si="0"/>
        <v>20</v>
      </c>
      <c r="F49">
        <v>25</v>
      </c>
      <c r="G49" t="s">
        <v>46</v>
      </c>
      <c r="H49" t="s">
        <v>70</v>
      </c>
      <c r="I49" t="s">
        <v>20</v>
      </c>
      <c r="J49" t="s">
        <v>76</v>
      </c>
      <c r="K49" t="s">
        <v>41</v>
      </c>
      <c r="L49">
        <v>292.55</v>
      </c>
      <c r="M49" t="s">
        <v>33</v>
      </c>
      <c r="N49">
        <f t="shared" si="1"/>
        <v>0</v>
      </c>
      <c r="O49" t="s">
        <v>51</v>
      </c>
      <c r="P49" t="s">
        <v>3865</v>
      </c>
      <c r="Q49">
        <v>0</v>
      </c>
      <c r="R49">
        <v>329</v>
      </c>
      <c r="S49">
        <f t="shared" si="2"/>
        <v>1.6327355600717373</v>
      </c>
      <c r="T49">
        <f t="shared" si="3"/>
        <v>0</v>
      </c>
      <c r="U49">
        <f t="shared" si="4"/>
        <v>0</v>
      </c>
      <c r="V49">
        <f t="shared" si="5"/>
        <v>0</v>
      </c>
      <c r="W49">
        <f t="shared" si="6"/>
        <v>0</v>
      </c>
      <c r="X49">
        <f t="shared" si="7"/>
        <v>0</v>
      </c>
      <c r="Y49">
        <f t="shared" si="8"/>
        <v>0</v>
      </c>
    </row>
    <row r="50" spans="1:25" x14ac:dyDescent="0.3">
      <c r="A50" t="s">
        <v>6146</v>
      </c>
      <c r="B50" t="s">
        <v>6147</v>
      </c>
      <c r="C50" s="1">
        <v>45713</v>
      </c>
      <c r="D50" s="3">
        <v>0.84217592592592594</v>
      </c>
      <c r="E50">
        <f t="shared" si="0"/>
        <v>20</v>
      </c>
      <c r="F50">
        <v>55</v>
      </c>
      <c r="G50" t="s">
        <v>60</v>
      </c>
      <c r="H50" t="s">
        <v>70</v>
      </c>
      <c r="I50" t="s">
        <v>85</v>
      </c>
      <c r="J50" t="s">
        <v>76</v>
      </c>
      <c r="K50" t="s">
        <v>22</v>
      </c>
      <c r="L50">
        <v>292.52</v>
      </c>
      <c r="M50" t="s">
        <v>115</v>
      </c>
      <c r="N50">
        <f t="shared" si="1"/>
        <v>0</v>
      </c>
      <c r="O50" t="s">
        <v>86</v>
      </c>
      <c r="P50" t="s">
        <v>6148</v>
      </c>
      <c r="Q50">
        <v>0</v>
      </c>
      <c r="R50">
        <v>379</v>
      </c>
      <c r="S50">
        <f t="shared" si="2"/>
        <v>1.6323202322874542</v>
      </c>
      <c r="T50">
        <f t="shared" si="3"/>
        <v>0</v>
      </c>
      <c r="U50">
        <f t="shared" si="4"/>
        <v>0</v>
      </c>
      <c r="V50">
        <f t="shared" si="5"/>
        <v>0</v>
      </c>
      <c r="W50">
        <f t="shared" si="6"/>
        <v>0</v>
      </c>
      <c r="X50">
        <f t="shared" si="7"/>
        <v>0</v>
      </c>
      <c r="Y50">
        <f t="shared" si="8"/>
        <v>0</v>
      </c>
    </row>
    <row r="51" spans="1:25" x14ac:dyDescent="0.3">
      <c r="A51" t="s">
        <v>4310</v>
      </c>
      <c r="B51" t="s">
        <v>4311</v>
      </c>
      <c r="C51" s="1">
        <v>45867</v>
      </c>
      <c r="D51" s="3">
        <v>0.61006944444444444</v>
      </c>
      <c r="E51">
        <f t="shared" si="0"/>
        <v>14</v>
      </c>
      <c r="F51">
        <v>28</v>
      </c>
      <c r="G51" t="s">
        <v>46</v>
      </c>
      <c r="H51" t="s">
        <v>232</v>
      </c>
      <c r="I51" t="s">
        <v>66</v>
      </c>
      <c r="J51" t="s">
        <v>40</v>
      </c>
      <c r="K51" t="s">
        <v>22</v>
      </c>
      <c r="L51">
        <v>292.47000000000003</v>
      </c>
      <c r="M51" t="s">
        <v>23</v>
      </c>
      <c r="N51">
        <f t="shared" si="1"/>
        <v>0</v>
      </c>
      <c r="O51" t="s">
        <v>86</v>
      </c>
      <c r="P51" t="s">
        <v>4312</v>
      </c>
      <c r="Q51">
        <v>0</v>
      </c>
      <c r="R51">
        <v>138</v>
      </c>
      <c r="S51">
        <f t="shared" si="2"/>
        <v>1.6316280193136501</v>
      </c>
      <c r="T51">
        <f t="shared" si="3"/>
        <v>0</v>
      </c>
      <c r="U51">
        <f t="shared" si="4"/>
        <v>0</v>
      </c>
      <c r="V51">
        <f t="shared" si="5"/>
        <v>1</v>
      </c>
      <c r="W51">
        <f t="shared" si="6"/>
        <v>1</v>
      </c>
      <c r="X51">
        <f t="shared" si="7"/>
        <v>0</v>
      </c>
      <c r="Y51">
        <f t="shared" si="8"/>
        <v>0</v>
      </c>
    </row>
    <row r="52" spans="1:25" x14ac:dyDescent="0.3">
      <c r="A52" t="s">
        <v>5366</v>
      </c>
      <c r="B52" t="s">
        <v>5367</v>
      </c>
      <c r="C52" s="1">
        <v>45831</v>
      </c>
      <c r="D52" s="3">
        <v>0.62456018518518519</v>
      </c>
      <c r="E52">
        <f t="shared" si="0"/>
        <v>14</v>
      </c>
      <c r="F52">
        <v>52</v>
      </c>
      <c r="G52" t="s">
        <v>60</v>
      </c>
      <c r="H52" t="s">
        <v>84</v>
      </c>
      <c r="I52" t="s">
        <v>48</v>
      </c>
      <c r="J52" t="s">
        <v>31</v>
      </c>
      <c r="K52" t="s">
        <v>168</v>
      </c>
      <c r="L52">
        <v>292.37</v>
      </c>
      <c r="M52" t="s">
        <v>42</v>
      </c>
      <c r="N52">
        <f t="shared" si="1"/>
        <v>0</v>
      </c>
      <c r="O52" t="s">
        <v>51</v>
      </c>
      <c r="P52" t="s">
        <v>5368</v>
      </c>
      <c r="Q52">
        <v>0</v>
      </c>
      <c r="R52">
        <v>71</v>
      </c>
      <c r="S52">
        <f t="shared" si="2"/>
        <v>1.6302435933660404</v>
      </c>
      <c r="T52">
        <f t="shared" si="3"/>
        <v>0</v>
      </c>
      <c r="U52">
        <f t="shared" si="4"/>
        <v>0</v>
      </c>
      <c r="V52">
        <f t="shared" si="5"/>
        <v>1</v>
      </c>
      <c r="W52">
        <f t="shared" si="6"/>
        <v>1</v>
      </c>
      <c r="X52">
        <f t="shared" si="7"/>
        <v>0</v>
      </c>
      <c r="Y52">
        <f t="shared" si="8"/>
        <v>0</v>
      </c>
    </row>
    <row r="53" spans="1:25" x14ac:dyDescent="0.3">
      <c r="A53" t="s">
        <v>2078</v>
      </c>
      <c r="B53" t="s">
        <v>2079</v>
      </c>
      <c r="C53" s="1">
        <v>45809</v>
      </c>
      <c r="D53" s="3">
        <v>0.29392361111111109</v>
      </c>
      <c r="E53">
        <f t="shared" si="0"/>
        <v>7</v>
      </c>
      <c r="F53">
        <v>45</v>
      </c>
      <c r="G53" t="s">
        <v>18</v>
      </c>
      <c r="H53" t="s">
        <v>61</v>
      </c>
      <c r="I53" t="s">
        <v>119</v>
      </c>
      <c r="J53" t="s">
        <v>72</v>
      </c>
      <c r="K53" t="s">
        <v>32</v>
      </c>
      <c r="L53">
        <v>292.33</v>
      </c>
      <c r="M53" t="s">
        <v>33</v>
      </c>
      <c r="N53">
        <f t="shared" si="1"/>
        <v>0</v>
      </c>
      <c r="O53" t="s">
        <v>86</v>
      </c>
      <c r="P53" t="s">
        <v>2080</v>
      </c>
      <c r="Q53">
        <v>0</v>
      </c>
      <c r="R53">
        <v>185</v>
      </c>
      <c r="S53">
        <f t="shared" si="2"/>
        <v>1.6296898229869965</v>
      </c>
      <c r="T53">
        <f t="shared" si="3"/>
        <v>0</v>
      </c>
      <c r="U53">
        <f t="shared" si="4"/>
        <v>0</v>
      </c>
      <c r="V53">
        <f t="shared" si="5"/>
        <v>1</v>
      </c>
      <c r="W53">
        <f t="shared" si="6"/>
        <v>1</v>
      </c>
      <c r="X53">
        <f t="shared" si="7"/>
        <v>0</v>
      </c>
      <c r="Y53">
        <f t="shared" si="8"/>
        <v>0</v>
      </c>
    </row>
    <row r="54" spans="1:25" x14ac:dyDescent="0.3">
      <c r="A54" t="s">
        <v>1256</v>
      </c>
      <c r="B54" t="s">
        <v>1257</v>
      </c>
      <c r="C54" s="1">
        <v>45736</v>
      </c>
      <c r="D54" s="3">
        <v>0.96446759259259263</v>
      </c>
      <c r="E54">
        <f t="shared" si="0"/>
        <v>23</v>
      </c>
      <c r="F54">
        <v>41</v>
      </c>
      <c r="G54" t="s">
        <v>6479</v>
      </c>
      <c r="H54" t="s">
        <v>29</v>
      </c>
      <c r="I54" t="s">
        <v>66</v>
      </c>
      <c r="J54" t="s">
        <v>31</v>
      </c>
      <c r="K54" t="s">
        <v>95</v>
      </c>
      <c r="L54">
        <v>292.31</v>
      </c>
      <c r="M54" t="s">
        <v>42</v>
      </c>
      <c r="N54">
        <f t="shared" si="1"/>
        <v>0</v>
      </c>
      <c r="O54" t="s">
        <v>51</v>
      </c>
      <c r="P54" t="s">
        <v>1258</v>
      </c>
      <c r="Q54">
        <v>0</v>
      </c>
      <c r="R54">
        <v>97</v>
      </c>
      <c r="S54">
        <f t="shared" si="2"/>
        <v>1.6294129377974749</v>
      </c>
      <c r="T54">
        <f t="shared" si="3"/>
        <v>0</v>
      </c>
      <c r="U54">
        <f t="shared" si="4"/>
        <v>0</v>
      </c>
      <c r="V54">
        <f t="shared" si="5"/>
        <v>1</v>
      </c>
      <c r="W54">
        <f t="shared" si="6"/>
        <v>1</v>
      </c>
      <c r="X54">
        <f t="shared" si="7"/>
        <v>0</v>
      </c>
      <c r="Y54">
        <f t="shared" si="8"/>
        <v>0</v>
      </c>
    </row>
    <row r="55" spans="1:25" x14ac:dyDescent="0.3">
      <c r="A55" t="s">
        <v>1571</v>
      </c>
      <c r="B55" t="s">
        <v>1572</v>
      </c>
      <c r="C55" s="1">
        <v>45850</v>
      </c>
      <c r="D55" s="3">
        <v>0.52790509259259255</v>
      </c>
      <c r="E55">
        <f t="shared" si="0"/>
        <v>12</v>
      </c>
      <c r="F55">
        <v>18</v>
      </c>
      <c r="G55" t="s">
        <v>46</v>
      </c>
      <c r="H55" t="s">
        <v>131</v>
      </c>
      <c r="I55" t="s">
        <v>71</v>
      </c>
      <c r="J55" t="s">
        <v>56</v>
      </c>
      <c r="K55" t="s">
        <v>62</v>
      </c>
      <c r="L55">
        <v>292.31</v>
      </c>
      <c r="M55" t="s">
        <v>23</v>
      </c>
      <c r="N55">
        <f t="shared" si="1"/>
        <v>0</v>
      </c>
      <c r="O55" t="s">
        <v>86</v>
      </c>
      <c r="P55" t="s">
        <v>1573</v>
      </c>
      <c r="Q55">
        <v>0</v>
      </c>
      <c r="R55">
        <v>329</v>
      </c>
      <c r="S55">
        <f t="shared" si="2"/>
        <v>1.6294129377974749</v>
      </c>
      <c r="T55">
        <f t="shared" si="3"/>
        <v>0</v>
      </c>
      <c r="U55">
        <f t="shared" si="4"/>
        <v>0</v>
      </c>
      <c r="V55">
        <f t="shared" si="5"/>
        <v>0</v>
      </c>
      <c r="W55">
        <f t="shared" si="6"/>
        <v>0</v>
      </c>
      <c r="X55">
        <f t="shared" si="7"/>
        <v>0</v>
      </c>
      <c r="Y55">
        <f t="shared" si="8"/>
        <v>0</v>
      </c>
    </row>
    <row r="56" spans="1:25" x14ac:dyDescent="0.3">
      <c r="A56" t="s">
        <v>1886</v>
      </c>
      <c r="B56" t="s">
        <v>1887</v>
      </c>
      <c r="C56" s="1">
        <v>45878</v>
      </c>
      <c r="D56" s="3">
        <v>0.84031250000000002</v>
      </c>
      <c r="E56">
        <f t="shared" si="0"/>
        <v>20</v>
      </c>
      <c r="F56">
        <v>59</v>
      </c>
      <c r="G56" t="s">
        <v>28</v>
      </c>
      <c r="H56" t="s">
        <v>185</v>
      </c>
      <c r="I56" t="s">
        <v>110</v>
      </c>
      <c r="J56" t="s">
        <v>40</v>
      </c>
      <c r="K56" t="s">
        <v>62</v>
      </c>
      <c r="L56">
        <v>292.11</v>
      </c>
      <c r="M56" t="s">
        <v>33</v>
      </c>
      <c r="N56">
        <f t="shared" si="1"/>
        <v>0</v>
      </c>
      <c r="O56" t="s">
        <v>86</v>
      </c>
      <c r="P56" t="s">
        <v>1888</v>
      </c>
      <c r="Q56">
        <v>0</v>
      </c>
      <c r="R56">
        <v>359</v>
      </c>
      <c r="S56">
        <f t="shared" si="2"/>
        <v>1.6266440859022566</v>
      </c>
      <c r="T56">
        <f t="shared" si="3"/>
        <v>0</v>
      </c>
      <c r="U56">
        <f t="shared" si="4"/>
        <v>0</v>
      </c>
      <c r="V56">
        <f t="shared" si="5"/>
        <v>0</v>
      </c>
      <c r="W56">
        <f t="shared" si="6"/>
        <v>0</v>
      </c>
      <c r="X56">
        <f t="shared" si="7"/>
        <v>0</v>
      </c>
      <c r="Y56">
        <f t="shared" si="8"/>
        <v>0</v>
      </c>
    </row>
    <row r="57" spans="1:25" x14ac:dyDescent="0.3">
      <c r="A57" t="s">
        <v>5093</v>
      </c>
      <c r="B57" t="s">
        <v>5094</v>
      </c>
      <c r="C57" s="1">
        <v>45760</v>
      </c>
      <c r="D57" s="3">
        <v>0.92736111111111108</v>
      </c>
      <c r="E57">
        <f t="shared" si="0"/>
        <v>22</v>
      </c>
      <c r="F57">
        <v>57</v>
      </c>
      <c r="G57" t="s">
        <v>46</v>
      </c>
      <c r="H57" t="s">
        <v>29</v>
      </c>
      <c r="I57" t="s">
        <v>105</v>
      </c>
      <c r="J57" t="s">
        <v>49</v>
      </c>
      <c r="K57" t="s">
        <v>101</v>
      </c>
      <c r="L57">
        <v>292.06</v>
      </c>
      <c r="M57" t="s">
        <v>23</v>
      </c>
      <c r="N57">
        <f t="shared" si="1"/>
        <v>0</v>
      </c>
      <c r="O57" t="s">
        <v>86</v>
      </c>
      <c r="P57" t="s">
        <v>5095</v>
      </c>
      <c r="Q57">
        <v>0</v>
      </c>
      <c r="R57">
        <v>219</v>
      </c>
      <c r="S57">
        <f t="shared" si="2"/>
        <v>1.6259518729284519</v>
      </c>
      <c r="T57">
        <f t="shared" si="3"/>
        <v>0</v>
      </c>
      <c r="U57">
        <f t="shared" si="4"/>
        <v>0</v>
      </c>
      <c r="V57">
        <f t="shared" si="5"/>
        <v>1</v>
      </c>
      <c r="W57">
        <f t="shared" si="6"/>
        <v>1</v>
      </c>
      <c r="X57">
        <f t="shared" si="7"/>
        <v>0</v>
      </c>
      <c r="Y57">
        <f t="shared" si="8"/>
        <v>0</v>
      </c>
    </row>
    <row r="58" spans="1:25" x14ac:dyDescent="0.3">
      <c r="A58" t="s">
        <v>3242</v>
      </c>
      <c r="B58" t="s">
        <v>3243</v>
      </c>
      <c r="C58" s="1">
        <v>45807</v>
      </c>
      <c r="D58" s="3">
        <v>0.18190972222222221</v>
      </c>
      <c r="E58">
        <f t="shared" si="0"/>
        <v>4</v>
      </c>
      <c r="F58">
        <v>54</v>
      </c>
      <c r="G58" t="s">
        <v>46</v>
      </c>
      <c r="H58" t="s">
        <v>38</v>
      </c>
      <c r="I58" t="s">
        <v>20</v>
      </c>
      <c r="J58" t="s">
        <v>72</v>
      </c>
      <c r="K58" t="s">
        <v>95</v>
      </c>
      <c r="L58">
        <v>292.04000000000002</v>
      </c>
      <c r="M58" t="s">
        <v>42</v>
      </c>
      <c r="N58">
        <f t="shared" si="1"/>
        <v>0</v>
      </c>
      <c r="O58" t="s">
        <v>51</v>
      </c>
      <c r="P58" t="s">
        <v>3244</v>
      </c>
      <c r="Q58">
        <v>0</v>
      </c>
      <c r="R58">
        <v>449</v>
      </c>
      <c r="S58">
        <f t="shared" si="2"/>
        <v>1.6256749877389303</v>
      </c>
      <c r="T58">
        <f t="shared" si="3"/>
        <v>0</v>
      </c>
      <c r="U58">
        <f t="shared" si="4"/>
        <v>1</v>
      </c>
      <c r="V58">
        <f t="shared" si="5"/>
        <v>0</v>
      </c>
      <c r="W58">
        <f t="shared" si="6"/>
        <v>2</v>
      </c>
      <c r="X58">
        <f t="shared" si="7"/>
        <v>0</v>
      </c>
      <c r="Y58">
        <f t="shared" si="8"/>
        <v>0</v>
      </c>
    </row>
    <row r="59" spans="1:25" x14ac:dyDescent="0.3">
      <c r="A59" t="s">
        <v>2840</v>
      </c>
      <c r="B59" t="s">
        <v>2841</v>
      </c>
      <c r="C59" s="1">
        <v>45731</v>
      </c>
      <c r="D59" s="3">
        <v>0.54682870370370373</v>
      </c>
      <c r="E59">
        <f t="shared" si="0"/>
        <v>13</v>
      </c>
      <c r="F59">
        <v>27</v>
      </c>
      <c r="G59" t="s">
        <v>60</v>
      </c>
      <c r="H59" t="s">
        <v>175</v>
      </c>
      <c r="I59" t="s">
        <v>119</v>
      </c>
      <c r="J59" t="s">
        <v>21</v>
      </c>
      <c r="K59" t="s">
        <v>168</v>
      </c>
      <c r="L59">
        <v>291.99</v>
      </c>
      <c r="M59" t="s">
        <v>6479</v>
      </c>
      <c r="N59">
        <f t="shared" si="1"/>
        <v>1</v>
      </c>
      <c r="O59" t="s">
        <v>86</v>
      </c>
      <c r="P59" t="s">
        <v>2842</v>
      </c>
      <c r="Q59">
        <v>0</v>
      </c>
      <c r="R59">
        <v>277</v>
      </c>
      <c r="S59">
        <f t="shared" si="2"/>
        <v>1.6249827747651255</v>
      </c>
      <c r="T59">
        <f t="shared" si="3"/>
        <v>0</v>
      </c>
      <c r="U59">
        <f t="shared" si="4"/>
        <v>0</v>
      </c>
      <c r="V59">
        <f t="shared" si="5"/>
        <v>0</v>
      </c>
      <c r="W59">
        <f t="shared" si="6"/>
        <v>2</v>
      </c>
      <c r="X59">
        <f t="shared" si="7"/>
        <v>0</v>
      </c>
      <c r="Y59">
        <f t="shared" si="8"/>
        <v>1</v>
      </c>
    </row>
    <row r="60" spans="1:25" x14ac:dyDescent="0.3">
      <c r="A60" t="s">
        <v>4724</v>
      </c>
      <c r="B60" t="s">
        <v>4725</v>
      </c>
      <c r="C60" s="1">
        <v>45845</v>
      </c>
      <c r="D60" s="3">
        <v>0.52576388888888892</v>
      </c>
      <c r="E60">
        <f t="shared" si="0"/>
        <v>12</v>
      </c>
      <c r="F60">
        <v>56</v>
      </c>
      <c r="G60" t="s">
        <v>28</v>
      </c>
      <c r="H60" t="s">
        <v>142</v>
      </c>
      <c r="I60" t="s">
        <v>39</v>
      </c>
      <c r="J60" t="s">
        <v>40</v>
      </c>
      <c r="K60" t="s">
        <v>120</v>
      </c>
      <c r="L60">
        <v>291.95</v>
      </c>
      <c r="M60" t="s">
        <v>42</v>
      </c>
      <c r="N60">
        <f t="shared" si="1"/>
        <v>0</v>
      </c>
      <c r="O60" t="s">
        <v>86</v>
      </c>
      <c r="P60" t="s">
        <v>4726</v>
      </c>
      <c r="Q60">
        <v>0</v>
      </c>
      <c r="R60">
        <v>224</v>
      </c>
      <c r="S60">
        <f t="shared" si="2"/>
        <v>1.6244290043860814</v>
      </c>
      <c r="T60">
        <f t="shared" si="3"/>
        <v>0</v>
      </c>
      <c r="U60">
        <f t="shared" si="4"/>
        <v>0</v>
      </c>
      <c r="V60">
        <f t="shared" si="5"/>
        <v>1</v>
      </c>
      <c r="W60">
        <f t="shared" si="6"/>
        <v>1</v>
      </c>
      <c r="X60">
        <f t="shared" si="7"/>
        <v>0</v>
      </c>
      <c r="Y60">
        <f t="shared" si="8"/>
        <v>0</v>
      </c>
    </row>
    <row r="61" spans="1:25" x14ac:dyDescent="0.3">
      <c r="A61" t="s">
        <v>4754</v>
      </c>
      <c r="B61" t="s">
        <v>4755</v>
      </c>
      <c r="C61" s="1">
        <v>45855</v>
      </c>
      <c r="D61" s="3">
        <v>0.75597222222222227</v>
      </c>
      <c r="E61">
        <f t="shared" si="0"/>
        <v>18</v>
      </c>
      <c r="F61">
        <v>42</v>
      </c>
      <c r="G61" t="s">
        <v>46</v>
      </c>
      <c r="H61" t="s">
        <v>232</v>
      </c>
      <c r="I61" t="s">
        <v>48</v>
      </c>
      <c r="J61" t="s">
        <v>76</v>
      </c>
      <c r="K61" t="s">
        <v>120</v>
      </c>
      <c r="L61">
        <v>291.85000000000002</v>
      </c>
      <c r="M61" t="s">
        <v>115</v>
      </c>
      <c r="N61">
        <f t="shared" si="1"/>
        <v>0</v>
      </c>
      <c r="O61" t="s">
        <v>51</v>
      </c>
      <c r="P61" t="s">
        <v>4756</v>
      </c>
      <c r="Q61">
        <v>0</v>
      </c>
      <c r="R61">
        <v>441</v>
      </c>
      <c r="S61">
        <f t="shared" si="2"/>
        <v>1.6230445784384726</v>
      </c>
      <c r="T61">
        <f t="shared" si="3"/>
        <v>0</v>
      </c>
      <c r="U61">
        <f t="shared" si="4"/>
        <v>0</v>
      </c>
      <c r="V61">
        <f t="shared" si="5"/>
        <v>0</v>
      </c>
      <c r="W61">
        <f t="shared" si="6"/>
        <v>0</v>
      </c>
      <c r="X61">
        <f t="shared" si="7"/>
        <v>0</v>
      </c>
      <c r="Y61">
        <f t="shared" si="8"/>
        <v>0</v>
      </c>
    </row>
    <row r="62" spans="1:25" x14ac:dyDescent="0.3">
      <c r="A62" t="s">
        <v>4196</v>
      </c>
      <c r="B62" t="s">
        <v>4197</v>
      </c>
      <c r="C62" s="1">
        <v>45737</v>
      </c>
      <c r="D62" s="3">
        <v>0.88440972222222225</v>
      </c>
      <c r="E62">
        <f t="shared" si="0"/>
        <v>21</v>
      </c>
      <c r="F62">
        <v>53</v>
      </c>
      <c r="G62" t="s">
        <v>46</v>
      </c>
      <c r="H62" t="s">
        <v>185</v>
      </c>
      <c r="I62" t="s">
        <v>85</v>
      </c>
      <c r="J62" t="s">
        <v>31</v>
      </c>
      <c r="K62" t="s">
        <v>32</v>
      </c>
      <c r="L62">
        <v>291.74</v>
      </c>
      <c r="M62" t="s">
        <v>23</v>
      </c>
      <c r="N62">
        <f t="shared" si="1"/>
        <v>0</v>
      </c>
      <c r="O62" t="s">
        <v>86</v>
      </c>
      <c r="P62" t="s">
        <v>4198</v>
      </c>
      <c r="Q62">
        <v>0</v>
      </c>
      <c r="R62">
        <v>342</v>
      </c>
      <c r="S62">
        <f t="shared" si="2"/>
        <v>1.6215217098961023</v>
      </c>
      <c r="T62">
        <f t="shared" si="3"/>
        <v>0</v>
      </c>
      <c r="U62">
        <f t="shared" si="4"/>
        <v>0</v>
      </c>
      <c r="V62">
        <f t="shared" si="5"/>
        <v>0</v>
      </c>
      <c r="W62">
        <f t="shared" si="6"/>
        <v>0</v>
      </c>
      <c r="X62">
        <f t="shared" si="7"/>
        <v>0</v>
      </c>
      <c r="Y62">
        <f t="shared" si="8"/>
        <v>0</v>
      </c>
    </row>
    <row r="63" spans="1:25" x14ac:dyDescent="0.3">
      <c r="A63" t="s">
        <v>5729</v>
      </c>
      <c r="B63" t="s">
        <v>5730</v>
      </c>
      <c r="C63" s="1">
        <v>45798</v>
      </c>
      <c r="D63" s="3">
        <v>0.80657407407407411</v>
      </c>
      <c r="E63">
        <f t="shared" si="0"/>
        <v>19</v>
      </c>
      <c r="F63">
        <v>63</v>
      </c>
      <c r="G63" t="s">
        <v>28</v>
      </c>
      <c r="H63" t="s">
        <v>90</v>
      </c>
      <c r="I63" t="s">
        <v>119</v>
      </c>
      <c r="J63" t="s">
        <v>76</v>
      </c>
      <c r="K63" t="s">
        <v>41</v>
      </c>
      <c r="L63">
        <v>291.52</v>
      </c>
      <c r="M63" t="s">
        <v>33</v>
      </c>
      <c r="N63">
        <f t="shared" si="1"/>
        <v>0</v>
      </c>
      <c r="O63" t="s">
        <v>34</v>
      </c>
      <c r="P63" t="s">
        <v>5731</v>
      </c>
      <c r="Q63">
        <v>0</v>
      </c>
      <c r="R63">
        <v>99</v>
      </c>
      <c r="S63">
        <f t="shared" si="2"/>
        <v>1.6184759728113616</v>
      </c>
      <c r="T63">
        <f t="shared" si="3"/>
        <v>0</v>
      </c>
      <c r="U63">
        <f t="shared" si="4"/>
        <v>0</v>
      </c>
      <c r="V63">
        <f t="shared" si="5"/>
        <v>1</v>
      </c>
      <c r="W63">
        <f t="shared" si="6"/>
        <v>1</v>
      </c>
      <c r="X63">
        <f t="shared" si="7"/>
        <v>0</v>
      </c>
      <c r="Y63">
        <f t="shared" si="8"/>
        <v>0</v>
      </c>
    </row>
    <row r="64" spans="1:25" x14ac:dyDescent="0.3">
      <c r="A64" t="s">
        <v>1595</v>
      </c>
      <c r="B64" t="s">
        <v>1596</v>
      </c>
      <c r="C64" s="1">
        <v>45813</v>
      </c>
      <c r="D64" s="3">
        <v>0.10840277777777778</v>
      </c>
      <c r="E64">
        <f t="shared" si="0"/>
        <v>2</v>
      </c>
      <c r="F64">
        <v>45</v>
      </c>
      <c r="G64" t="s">
        <v>18</v>
      </c>
      <c r="H64" t="s">
        <v>167</v>
      </c>
      <c r="I64" t="s">
        <v>110</v>
      </c>
      <c r="J64" t="s">
        <v>56</v>
      </c>
      <c r="K64" t="s">
        <v>168</v>
      </c>
      <c r="L64">
        <v>291.5</v>
      </c>
      <c r="M64" t="s">
        <v>42</v>
      </c>
      <c r="N64">
        <f t="shared" si="1"/>
        <v>0</v>
      </c>
      <c r="O64" t="s">
        <v>24</v>
      </c>
      <c r="P64" t="s">
        <v>1597</v>
      </c>
      <c r="Q64">
        <v>0</v>
      </c>
      <c r="R64">
        <v>341</v>
      </c>
      <c r="S64">
        <f t="shared" si="2"/>
        <v>1.6181990876218399</v>
      </c>
      <c r="T64">
        <f t="shared" si="3"/>
        <v>0</v>
      </c>
      <c r="U64">
        <f t="shared" si="4"/>
        <v>1</v>
      </c>
      <c r="V64">
        <f t="shared" si="5"/>
        <v>0</v>
      </c>
      <c r="W64">
        <f t="shared" si="6"/>
        <v>2</v>
      </c>
      <c r="X64">
        <f t="shared" si="7"/>
        <v>0</v>
      </c>
      <c r="Y64">
        <f t="shared" si="8"/>
        <v>0</v>
      </c>
    </row>
    <row r="65" spans="1:25" x14ac:dyDescent="0.3">
      <c r="A65" s="2" t="s">
        <v>1982</v>
      </c>
      <c r="B65" t="s">
        <v>1983</v>
      </c>
      <c r="C65" s="1">
        <v>45865</v>
      </c>
      <c r="D65" s="3">
        <v>0.98493055555555553</v>
      </c>
      <c r="E65">
        <f t="shared" si="0"/>
        <v>23</v>
      </c>
      <c r="F65">
        <v>65</v>
      </c>
      <c r="G65" t="s">
        <v>18</v>
      </c>
      <c r="H65" t="s">
        <v>90</v>
      </c>
      <c r="I65" t="s">
        <v>105</v>
      </c>
      <c r="J65" t="s">
        <v>56</v>
      </c>
      <c r="K65" t="s">
        <v>50</v>
      </c>
      <c r="L65">
        <v>291.5</v>
      </c>
      <c r="M65" t="s">
        <v>115</v>
      </c>
      <c r="N65">
        <f t="shared" si="1"/>
        <v>0</v>
      </c>
      <c r="O65" t="s">
        <v>51</v>
      </c>
      <c r="P65" t="s">
        <v>1984</v>
      </c>
      <c r="Q65">
        <v>0</v>
      </c>
      <c r="R65">
        <v>135</v>
      </c>
      <c r="S65">
        <f t="shared" si="2"/>
        <v>1.6181990876218399</v>
      </c>
      <c r="T65">
        <f t="shared" si="3"/>
        <v>0</v>
      </c>
      <c r="U65">
        <f t="shared" si="4"/>
        <v>0</v>
      </c>
      <c r="V65">
        <f t="shared" si="5"/>
        <v>1</v>
      </c>
      <c r="W65">
        <f t="shared" si="6"/>
        <v>1</v>
      </c>
      <c r="X65">
        <f t="shared" si="7"/>
        <v>0</v>
      </c>
      <c r="Y65">
        <f t="shared" si="8"/>
        <v>0</v>
      </c>
    </row>
    <row r="66" spans="1:25" x14ac:dyDescent="0.3">
      <c r="A66" t="s">
        <v>5348</v>
      </c>
      <c r="B66" t="s">
        <v>5349</v>
      </c>
      <c r="C66" s="1">
        <v>45863</v>
      </c>
      <c r="D66" s="3">
        <v>0.89564814814814819</v>
      </c>
      <c r="E66">
        <f t="shared" ref="E66:E129" si="9">HOUR(D66)</f>
        <v>21</v>
      </c>
      <c r="F66">
        <v>35</v>
      </c>
      <c r="G66" t="s">
        <v>60</v>
      </c>
      <c r="H66" t="s">
        <v>239</v>
      </c>
      <c r="I66" t="s">
        <v>39</v>
      </c>
      <c r="J66" t="s">
        <v>31</v>
      </c>
      <c r="K66" t="s">
        <v>41</v>
      </c>
      <c r="L66">
        <v>291.35000000000002</v>
      </c>
      <c r="M66" t="s">
        <v>115</v>
      </c>
      <c r="N66">
        <f t="shared" ref="N66:N129" si="10">IF(M66="Unknown",1,0)</f>
        <v>0</v>
      </c>
      <c r="O66" t="s">
        <v>24</v>
      </c>
      <c r="P66" t="s">
        <v>5350</v>
      </c>
      <c r="Q66">
        <v>0</v>
      </c>
      <c r="R66">
        <v>73</v>
      </c>
      <c r="S66">
        <f t="shared" ref="S66:S129" si="11">(L66-$P$2137)/$P$2138</f>
        <v>1.6161224487004264</v>
      </c>
      <c r="T66">
        <f t="shared" ref="T66:T129" si="12">IF(ABS(Z66)&gt;3,1,0)</f>
        <v>0</v>
      </c>
      <c r="U66">
        <f t="shared" ref="U66:U129" si="13">IF(AND(E66&gt;=0,E66&lt;=5),1,0)</f>
        <v>0</v>
      </c>
      <c r="V66">
        <f t="shared" ref="V66:V129" si="14">IF(R66&lt;AVERAGE($R:$R),1,0)</f>
        <v>1</v>
      </c>
      <c r="W66">
        <f t="shared" ref="W66:W129" si="15">T66*3+U66*2+V66*1+N66*2</f>
        <v>1</v>
      </c>
      <c r="X66">
        <f t="shared" ref="X66:X129" si="16">IF(W66&gt;=5,1,0)</f>
        <v>0</v>
      </c>
      <c r="Y66">
        <f t="shared" ref="Y66:Y129" si="17">IF(M66="Unknown",1,0)</f>
        <v>0</v>
      </c>
    </row>
    <row r="67" spans="1:25" x14ac:dyDescent="0.3">
      <c r="A67" t="s">
        <v>3254</v>
      </c>
      <c r="B67" t="s">
        <v>3255</v>
      </c>
      <c r="C67" s="1">
        <v>45871</v>
      </c>
      <c r="D67" s="3">
        <v>0.32370370370370372</v>
      </c>
      <c r="E67">
        <f t="shared" si="9"/>
        <v>7</v>
      </c>
      <c r="F67">
        <v>38</v>
      </c>
      <c r="G67" t="s">
        <v>28</v>
      </c>
      <c r="H67" t="s">
        <v>175</v>
      </c>
      <c r="I67" t="s">
        <v>85</v>
      </c>
      <c r="J67" t="s">
        <v>40</v>
      </c>
      <c r="K67" t="s">
        <v>50</v>
      </c>
      <c r="L67">
        <v>291.29000000000002</v>
      </c>
      <c r="M67" t="s">
        <v>33</v>
      </c>
      <c r="N67">
        <f t="shared" si="10"/>
        <v>0</v>
      </c>
      <c r="O67" t="s">
        <v>34</v>
      </c>
      <c r="P67" t="s">
        <v>3256</v>
      </c>
      <c r="Q67">
        <v>0</v>
      </c>
      <c r="R67">
        <v>82</v>
      </c>
      <c r="S67">
        <f t="shared" si="11"/>
        <v>1.6152917931318609</v>
      </c>
      <c r="T67">
        <f t="shared" si="12"/>
        <v>0</v>
      </c>
      <c r="U67">
        <f t="shared" si="13"/>
        <v>0</v>
      </c>
      <c r="V67">
        <f t="shared" si="14"/>
        <v>1</v>
      </c>
      <c r="W67">
        <f t="shared" si="15"/>
        <v>1</v>
      </c>
      <c r="X67">
        <f t="shared" si="16"/>
        <v>0</v>
      </c>
      <c r="Y67">
        <f t="shared" si="17"/>
        <v>0</v>
      </c>
    </row>
    <row r="68" spans="1:25" x14ac:dyDescent="0.3">
      <c r="A68" t="s">
        <v>4082</v>
      </c>
      <c r="B68" t="s">
        <v>4083</v>
      </c>
      <c r="C68" s="1">
        <v>45874</v>
      </c>
      <c r="D68" s="3">
        <v>0.76656250000000004</v>
      </c>
      <c r="E68">
        <f t="shared" si="9"/>
        <v>18</v>
      </c>
      <c r="F68">
        <v>26</v>
      </c>
      <c r="G68" t="s">
        <v>46</v>
      </c>
      <c r="H68" t="s">
        <v>70</v>
      </c>
      <c r="I68" t="s">
        <v>30</v>
      </c>
      <c r="J68" t="s">
        <v>72</v>
      </c>
      <c r="K68" t="s">
        <v>95</v>
      </c>
      <c r="L68">
        <v>291.13</v>
      </c>
      <c r="M68" t="s">
        <v>42</v>
      </c>
      <c r="N68">
        <f t="shared" si="10"/>
        <v>0</v>
      </c>
      <c r="O68" t="s">
        <v>34</v>
      </c>
      <c r="P68" t="s">
        <v>4084</v>
      </c>
      <c r="Q68">
        <v>0</v>
      </c>
      <c r="R68">
        <v>264</v>
      </c>
      <c r="S68">
        <f t="shared" si="11"/>
        <v>1.6130767116156857</v>
      </c>
      <c r="T68">
        <f t="shared" si="12"/>
        <v>0</v>
      </c>
      <c r="U68">
        <f t="shared" si="13"/>
        <v>0</v>
      </c>
      <c r="V68">
        <f t="shared" si="14"/>
        <v>1</v>
      </c>
      <c r="W68">
        <f t="shared" si="15"/>
        <v>1</v>
      </c>
      <c r="X68">
        <f t="shared" si="16"/>
        <v>0</v>
      </c>
      <c r="Y68">
        <f t="shared" si="17"/>
        <v>0</v>
      </c>
    </row>
    <row r="69" spans="1:25" x14ac:dyDescent="0.3">
      <c r="A69" t="s">
        <v>2822</v>
      </c>
      <c r="B69" t="s">
        <v>2823</v>
      </c>
      <c r="C69" s="1">
        <v>45814</v>
      </c>
      <c r="D69" s="3">
        <v>8.7083333333333332E-2</v>
      </c>
      <c r="E69">
        <f t="shared" si="9"/>
        <v>2</v>
      </c>
      <c r="F69">
        <v>55</v>
      </c>
      <c r="G69" t="s">
        <v>6479</v>
      </c>
      <c r="H69" t="s">
        <v>232</v>
      </c>
      <c r="I69" t="s">
        <v>85</v>
      </c>
      <c r="J69" t="s">
        <v>40</v>
      </c>
      <c r="K69" t="s">
        <v>62</v>
      </c>
      <c r="L69">
        <v>291.08</v>
      </c>
      <c r="M69" t="s">
        <v>115</v>
      </c>
      <c r="N69">
        <f t="shared" si="10"/>
        <v>0</v>
      </c>
      <c r="O69" t="s">
        <v>86</v>
      </c>
      <c r="P69" t="s">
        <v>2824</v>
      </c>
      <c r="Q69">
        <v>0</v>
      </c>
      <c r="R69">
        <v>52</v>
      </c>
      <c r="S69">
        <f t="shared" si="11"/>
        <v>1.6123844986418809</v>
      </c>
      <c r="T69">
        <f t="shared" si="12"/>
        <v>0</v>
      </c>
      <c r="U69">
        <f t="shared" si="13"/>
        <v>1</v>
      </c>
      <c r="V69">
        <f t="shared" si="14"/>
        <v>1</v>
      </c>
      <c r="W69">
        <f t="shared" si="15"/>
        <v>3</v>
      </c>
      <c r="X69">
        <f t="shared" si="16"/>
        <v>0</v>
      </c>
      <c r="Y69">
        <f t="shared" si="17"/>
        <v>0</v>
      </c>
    </row>
    <row r="70" spans="1:25" x14ac:dyDescent="0.3">
      <c r="A70" t="s">
        <v>3353</v>
      </c>
      <c r="B70" t="s">
        <v>3354</v>
      </c>
      <c r="C70" s="1">
        <v>45826</v>
      </c>
      <c r="D70" s="3">
        <v>0.8966319444444445</v>
      </c>
      <c r="E70">
        <f t="shared" si="9"/>
        <v>21</v>
      </c>
      <c r="F70">
        <v>23</v>
      </c>
      <c r="G70" t="s">
        <v>60</v>
      </c>
      <c r="H70" t="s">
        <v>312</v>
      </c>
      <c r="I70" t="s">
        <v>71</v>
      </c>
      <c r="J70" t="s">
        <v>132</v>
      </c>
      <c r="K70" t="s">
        <v>22</v>
      </c>
      <c r="L70">
        <v>290.95999999999998</v>
      </c>
      <c r="M70" t="s">
        <v>33</v>
      </c>
      <c r="N70">
        <f t="shared" si="10"/>
        <v>0</v>
      </c>
      <c r="O70" t="s">
        <v>51</v>
      </c>
      <c r="P70" t="s">
        <v>3355</v>
      </c>
      <c r="Q70">
        <v>0</v>
      </c>
      <c r="R70">
        <v>288</v>
      </c>
      <c r="S70">
        <f t="shared" si="11"/>
        <v>1.6107231875047499</v>
      </c>
      <c r="T70">
        <f t="shared" si="12"/>
        <v>0</v>
      </c>
      <c r="U70">
        <f t="shared" si="13"/>
        <v>0</v>
      </c>
      <c r="V70">
        <f t="shared" si="14"/>
        <v>0</v>
      </c>
      <c r="W70">
        <f t="shared" si="15"/>
        <v>0</v>
      </c>
      <c r="X70">
        <f t="shared" si="16"/>
        <v>0</v>
      </c>
      <c r="Y70">
        <f t="shared" si="17"/>
        <v>0</v>
      </c>
    </row>
    <row r="71" spans="1:25" x14ac:dyDescent="0.3">
      <c r="A71" t="s">
        <v>1985</v>
      </c>
      <c r="B71" t="s">
        <v>1986</v>
      </c>
      <c r="C71" s="1">
        <v>45772</v>
      </c>
      <c r="D71" s="3">
        <v>0.91798611111111106</v>
      </c>
      <c r="E71">
        <f t="shared" si="9"/>
        <v>22</v>
      </c>
      <c r="F71">
        <v>62</v>
      </c>
      <c r="G71" t="s">
        <v>46</v>
      </c>
      <c r="H71" t="s">
        <v>47</v>
      </c>
      <c r="I71" t="s">
        <v>105</v>
      </c>
      <c r="J71" t="s">
        <v>76</v>
      </c>
      <c r="K71" t="s">
        <v>95</v>
      </c>
      <c r="L71">
        <v>290.89</v>
      </c>
      <c r="M71" t="s">
        <v>42</v>
      </c>
      <c r="N71">
        <f t="shared" si="10"/>
        <v>0</v>
      </c>
      <c r="O71" t="s">
        <v>86</v>
      </c>
      <c r="P71" t="s">
        <v>1987</v>
      </c>
      <c r="Q71">
        <v>0</v>
      </c>
      <c r="R71">
        <v>216</v>
      </c>
      <c r="S71">
        <f t="shared" si="11"/>
        <v>1.6097540893414235</v>
      </c>
      <c r="T71">
        <f t="shared" si="12"/>
        <v>0</v>
      </c>
      <c r="U71">
        <f t="shared" si="13"/>
        <v>0</v>
      </c>
      <c r="V71">
        <f t="shared" si="14"/>
        <v>1</v>
      </c>
      <c r="W71">
        <f t="shared" si="15"/>
        <v>1</v>
      </c>
      <c r="X71">
        <f t="shared" si="16"/>
        <v>0</v>
      </c>
      <c r="Y71">
        <f t="shared" si="17"/>
        <v>0</v>
      </c>
    </row>
    <row r="72" spans="1:25" x14ac:dyDescent="0.3">
      <c r="A72" t="s">
        <v>3068</v>
      </c>
      <c r="B72" t="s">
        <v>3069</v>
      </c>
      <c r="C72" s="1">
        <v>45720</v>
      </c>
      <c r="D72" s="3">
        <v>0.80951388888888887</v>
      </c>
      <c r="E72">
        <f t="shared" si="9"/>
        <v>19</v>
      </c>
      <c r="F72">
        <v>43</v>
      </c>
      <c r="G72" t="s">
        <v>46</v>
      </c>
      <c r="H72" t="s">
        <v>29</v>
      </c>
      <c r="I72" t="s">
        <v>30</v>
      </c>
      <c r="J72" t="s">
        <v>21</v>
      </c>
      <c r="K72" t="s">
        <v>120</v>
      </c>
      <c r="L72">
        <v>290.74</v>
      </c>
      <c r="M72" t="s">
        <v>42</v>
      </c>
      <c r="N72">
        <f t="shared" si="10"/>
        <v>0</v>
      </c>
      <c r="O72" t="s">
        <v>24</v>
      </c>
      <c r="P72" t="s">
        <v>3070</v>
      </c>
      <c r="Q72">
        <v>0</v>
      </c>
      <c r="R72">
        <v>157</v>
      </c>
      <c r="S72">
        <f t="shared" si="11"/>
        <v>1.60767745042001</v>
      </c>
      <c r="T72">
        <f t="shared" si="12"/>
        <v>0</v>
      </c>
      <c r="U72">
        <f t="shared" si="13"/>
        <v>0</v>
      </c>
      <c r="V72">
        <f t="shared" si="14"/>
        <v>1</v>
      </c>
      <c r="W72">
        <f t="shared" si="15"/>
        <v>1</v>
      </c>
      <c r="X72">
        <f t="shared" si="16"/>
        <v>0</v>
      </c>
      <c r="Y72">
        <f t="shared" si="17"/>
        <v>0</v>
      </c>
    </row>
    <row r="73" spans="1:25" x14ac:dyDescent="0.3">
      <c r="A73" t="s">
        <v>587</v>
      </c>
      <c r="B73" t="s">
        <v>588</v>
      </c>
      <c r="C73" s="1">
        <v>45865</v>
      </c>
      <c r="D73" s="3">
        <v>0.55677083333333333</v>
      </c>
      <c r="E73">
        <f t="shared" si="9"/>
        <v>13</v>
      </c>
      <c r="F73">
        <v>23</v>
      </c>
      <c r="G73" t="s">
        <v>18</v>
      </c>
      <c r="H73" t="s">
        <v>19</v>
      </c>
      <c r="I73" t="s">
        <v>110</v>
      </c>
      <c r="J73" t="s">
        <v>72</v>
      </c>
      <c r="K73" t="s">
        <v>114</v>
      </c>
      <c r="L73">
        <v>290.72000000000003</v>
      </c>
      <c r="M73" t="s">
        <v>23</v>
      </c>
      <c r="N73">
        <f t="shared" si="10"/>
        <v>0</v>
      </c>
      <c r="O73" t="s">
        <v>51</v>
      </c>
      <c r="P73" t="s">
        <v>589</v>
      </c>
      <c r="Q73">
        <v>0</v>
      </c>
      <c r="R73">
        <v>147</v>
      </c>
      <c r="S73">
        <f t="shared" si="11"/>
        <v>1.6074005652304884</v>
      </c>
      <c r="T73">
        <f t="shared" si="12"/>
        <v>0</v>
      </c>
      <c r="U73">
        <f t="shared" si="13"/>
        <v>0</v>
      </c>
      <c r="V73">
        <f t="shared" si="14"/>
        <v>1</v>
      </c>
      <c r="W73">
        <f t="shared" si="15"/>
        <v>1</v>
      </c>
      <c r="X73">
        <f t="shared" si="16"/>
        <v>0</v>
      </c>
      <c r="Y73">
        <f t="shared" si="17"/>
        <v>0</v>
      </c>
    </row>
    <row r="74" spans="1:25" x14ac:dyDescent="0.3">
      <c r="A74" t="s">
        <v>2507</v>
      </c>
      <c r="B74" t="s">
        <v>2508</v>
      </c>
      <c r="C74" s="1">
        <v>45784</v>
      </c>
      <c r="D74" s="3">
        <v>8.5578703703703699E-2</v>
      </c>
      <c r="E74">
        <f t="shared" si="9"/>
        <v>2</v>
      </c>
      <c r="F74">
        <v>55</v>
      </c>
      <c r="G74" t="s">
        <v>60</v>
      </c>
      <c r="H74" t="s">
        <v>185</v>
      </c>
      <c r="I74" t="s">
        <v>119</v>
      </c>
      <c r="J74" t="s">
        <v>94</v>
      </c>
      <c r="K74" t="s">
        <v>22</v>
      </c>
      <c r="L74">
        <v>290.69</v>
      </c>
      <c r="M74" t="s">
        <v>115</v>
      </c>
      <c r="N74">
        <f t="shared" si="10"/>
        <v>0</v>
      </c>
      <c r="O74" t="s">
        <v>24</v>
      </c>
      <c r="P74" t="s">
        <v>2509</v>
      </c>
      <c r="Q74">
        <v>0</v>
      </c>
      <c r="R74">
        <v>156</v>
      </c>
      <c r="S74">
        <f t="shared" si="11"/>
        <v>1.606985237446205</v>
      </c>
      <c r="T74">
        <f t="shared" si="12"/>
        <v>0</v>
      </c>
      <c r="U74">
        <f t="shared" si="13"/>
        <v>1</v>
      </c>
      <c r="V74">
        <f t="shared" si="14"/>
        <v>1</v>
      </c>
      <c r="W74">
        <f t="shared" si="15"/>
        <v>3</v>
      </c>
      <c r="X74">
        <f t="shared" si="16"/>
        <v>0</v>
      </c>
      <c r="Y74">
        <f t="shared" si="17"/>
        <v>0</v>
      </c>
    </row>
    <row r="75" spans="1:25" x14ac:dyDescent="0.3">
      <c r="A75" t="s">
        <v>1403</v>
      </c>
      <c r="B75" t="s">
        <v>1404</v>
      </c>
      <c r="C75" s="1">
        <v>45795</v>
      </c>
      <c r="D75" s="3">
        <v>0.3893287037037037</v>
      </c>
      <c r="E75">
        <f t="shared" si="9"/>
        <v>9</v>
      </c>
      <c r="F75">
        <v>45</v>
      </c>
      <c r="G75" t="s">
        <v>60</v>
      </c>
      <c r="H75" t="s">
        <v>167</v>
      </c>
      <c r="I75" t="s">
        <v>66</v>
      </c>
      <c r="J75" t="s">
        <v>40</v>
      </c>
      <c r="K75" t="s">
        <v>50</v>
      </c>
      <c r="L75">
        <v>290.5</v>
      </c>
      <c r="M75" t="s">
        <v>33</v>
      </c>
      <c r="N75">
        <f t="shared" si="10"/>
        <v>0</v>
      </c>
      <c r="O75" t="s">
        <v>24</v>
      </c>
      <c r="P75" t="s">
        <v>1405</v>
      </c>
      <c r="Q75">
        <v>0</v>
      </c>
      <c r="R75">
        <v>426</v>
      </c>
      <c r="S75">
        <f t="shared" si="11"/>
        <v>1.6043548281457476</v>
      </c>
      <c r="T75">
        <f t="shared" si="12"/>
        <v>0</v>
      </c>
      <c r="U75">
        <f t="shared" si="13"/>
        <v>0</v>
      </c>
      <c r="V75">
        <f t="shared" si="14"/>
        <v>0</v>
      </c>
      <c r="W75">
        <f t="shared" si="15"/>
        <v>0</v>
      </c>
      <c r="X75">
        <f t="shared" si="16"/>
        <v>0</v>
      </c>
      <c r="Y75">
        <f t="shared" si="17"/>
        <v>0</v>
      </c>
    </row>
    <row r="76" spans="1:25" x14ac:dyDescent="0.3">
      <c r="A76" t="s">
        <v>1265</v>
      </c>
      <c r="B76" t="s">
        <v>1266</v>
      </c>
      <c r="C76" s="1">
        <v>45729</v>
      </c>
      <c r="D76" s="3">
        <v>4.614583333333333E-2</v>
      </c>
      <c r="E76">
        <f t="shared" si="9"/>
        <v>1</v>
      </c>
      <c r="F76">
        <v>53</v>
      </c>
      <c r="G76" t="s">
        <v>46</v>
      </c>
      <c r="H76" t="s">
        <v>312</v>
      </c>
      <c r="I76" t="s">
        <v>110</v>
      </c>
      <c r="J76" t="s">
        <v>76</v>
      </c>
      <c r="K76" t="s">
        <v>50</v>
      </c>
      <c r="L76">
        <v>290.42</v>
      </c>
      <c r="M76" t="s">
        <v>33</v>
      </c>
      <c r="N76">
        <f t="shared" si="10"/>
        <v>0</v>
      </c>
      <c r="O76" t="s">
        <v>51</v>
      </c>
      <c r="P76" t="s">
        <v>1267</v>
      </c>
      <c r="Q76">
        <v>0</v>
      </c>
      <c r="R76">
        <v>234</v>
      </c>
      <c r="S76">
        <f t="shared" si="11"/>
        <v>1.6032472873876604</v>
      </c>
      <c r="T76">
        <f t="shared" si="12"/>
        <v>0</v>
      </c>
      <c r="U76">
        <f t="shared" si="13"/>
        <v>1</v>
      </c>
      <c r="V76">
        <f t="shared" si="14"/>
        <v>1</v>
      </c>
      <c r="W76">
        <f t="shared" si="15"/>
        <v>3</v>
      </c>
      <c r="X76">
        <f t="shared" si="16"/>
        <v>0</v>
      </c>
      <c r="Y76">
        <f t="shared" si="17"/>
        <v>0</v>
      </c>
    </row>
    <row r="77" spans="1:25" x14ac:dyDescent="0.3">
      <c r="A77" t="s">
        <v>3539</v>
      </c>
      <c r="B77" t="s">
        <v>3540</v>
      </c>
      <c r="C77" s="1">
        <v>45848</v>
      </c>
      <c r="D77" s="3">
        <v>0.81966435185185182</v>
      </c>
      <c r="E77">
        <f t="shared" si="9"/>
        <v>19</v>
      </c>
      <c r="F77">
        <v>60</v>
      </c>
      <c r="G77" t="s">
        <v>46</v>
      </c>
      <c r="H77" t="s">
        <v>29</v>
      </c>
      <c r="I77" t="s">
        <v>85</v>
      </c>
      <c r="J77" t="s">
        <v>56</v>
      </c>
      <c r="K77" t="s">
        <v>168</v>
      </c>
      <c r="L77">
        <v>290.37</v>
      </c>
      <c r="M77" t="s">
        <v>33</v>
      </c>
      <c r="N77">
        <f t="shared" si="10"/>
        <v>0</v>
      </c>
      <c r="O77" t="s">
        <v>34</v>
      </c>
      <c r="P77" t="s">
        <v>3541</v>
      </c>
      <c r="Q77">
        <v>0</v>
      </c>
      <c r="R77">
        <v>491</v>
      </c>
      <c r="S77">
        <f t="shared" si="11"/>
        <v>1.6025550744138557</v>
      </c>
      <c r="T77">
        <f t="shared" si="12"/>
        <v>0</v>
      </c>
      <c r="U77">
        <f t="shared" si="13"/>
        <v>0</v>
      </c>
      <c r="V77">
        <f t="shared" si="14"/>
        <v>0</v>
      </c>
      <c r="W77">
        <f t="shared" si="15"/>
        <v>0</v>
      </c>
      <c r="X77">
        <f t="shared" si="16"/>
        <v>0</v>
      </c>
      <c r="Y77">
        <f t="shared" si="17"/>
        <v>0</v>
      </c>
    </row>
    <row r="78" spans="1:25" x14ac:dyDescent="0.3">
      <c r="A78" t="s">
        <v>5585</v>
      </c>
      <c r="B78" t="s">
        <v>5586</v>
      </c>
      <c r="C78" s="1">
        <v>45791</v>
      </c>
      <c r="D78" s="3">
        <v>0.46513888888888888</v>
      </c>
      <c r="E78">
        <f t="shared" si="9"/>
        <v>11</v>
      </c>
      <c r="F78">
        <v>46</v>
      </c>
      <c r="G78" t="s">
        <v>46</v>
      </c>
      <c r="H78" t="s">
        <v>167</v>
      </c>
      <c r="I78" t="s">
        <v>105</v>
      </c>
      <c r="J78" t="s">
        <v>56</v>
      </c>
      <c r="K78" t="s">
        <v>62</v>
      </c>
      <c r="L78">
        <v>290.19</v>
      </c>
      <c r="M78" t="s">
        <v>115</v>
      </c>
      <c r="N78">
        <f t="shared" si="10"/>
        <v>0</v>
      </c>
      <c r="O78" t="s">
        <v>24</v>
      </c>
      <c r="P78" t="s">
        <v>5587</v>
      </c>
      <c r="Q78">
        <v>0</v>
      </c>
      <c r="R78">
        <v>379</v>
      </c>
      <c r="S78">
        <f t="shared" si="11"/>
        <v>1.6000631077081588</v>
      </c>
      <c r="T78">
        <f t="shared" si="12"/>
        <v>0</v>
      </c>
      <c r="U78">
        <f t="shared" si="13"/>
        <v>0</v>
      </c>
      <c r="V78">
        <f t="shared" si="14"/>
        <v>0</v>
      </c>
      <c r="W78">
        <f t="shared" si="15"/>
        <v>0</v>
      </c>
      <c r="X78">
        <f t="shared" si="16"/>
        <v>0</v>
      </c>
      <c r="Y78">
        <f t="shared" si="17"/>
        <v>0</v>
      </c>
    </row>
    <row r="79" spans="1:25" x14ac:dyDescent="0.3">
      <c r="A79" t="s">
        <v>5939</v>
      </c>
      <c r="B79" t="s">
        <v>5940</v>
      </c>
      <c r="C79" s="1">
        <v>45783</v>
      </c>
      <c r="D79" s="3">
        <v>0.94869212962962968</v>
      </c>
      <c r="E79">
        <f t="shared" si="9"/>
        <v>22</v>
      </c>
      <c r="F79">
        <v>63</v>
      </c>
      <c r="G79" t="s">
        <v>60</v>
      </c>
      <c r="H79" t="s">
        <v>80</v>
      </c>
      <c r="I79" t="s">
        <v>66</v>
      </c>
      <c r="J79" t="s">
        <v>72</v>
      </c>
      <c r="K79" t="s">
        <v>41</v>
      </c>
      <c r="L79">
        <v>290.18</v>
      </c>
      <c r="M79" t="s">
        <v>23</v>
      </c>
      <c r="N79">
        <f t="shared" si="10"/>
        <v>0</v>
      </c>
      <c r="O79" t="s">
        <v>86</v>
      </c>
      <c r="P79" t="s">
        <v>5941</v>
      </c>
      <c r="Q79">
        <v>0</v>
      </c>
      <c r="R79">
        <v>167</v>
      </c>
      <c r="S79">
        <f t="shared" si="11"/>
        <v>1.599924665113398</v>
      </c>
      <c r="T79">
        <f t="shared" si="12"/>
        <v>0</v>
      </c>
      <c r="U79">
        <f t="shared" si="13"/>
        <v>0</v>
      </c>
      <c r="V79">
        <f t="shared" si="14"/>
        <v>1</v>
      </c>
      <c r="W79">
        <f t="shared" si="15"/>
        <v>1</v>
      </c>
      <c r="X79">
        <f t="shared" si="16"/>
        <v>0</v>
      </c>
      <c r="Y79">
        <f t="shared" si="17"/>
        <v>0</v>
      </c>
    </row>
    <row r="80" spans="1:25" x14ac:dyDescent="0.3">
      <c r="A80" t="s">
        <v>3095</v>
      </c>
      <c r="B80" t="s">
        <v>3096</v>
      </c>
      <c r="C80" s="1">
        <v>45821</v>
      </c>
      <c r="D80" s="3">
        <v>0.73668981481481477</v>
      </c>
      <c r="E80">
        <f t="shared" si="9"/>
        <v>17</v>
      </c>
      <c r="F80">
        <v>43</v>
      </c>
      <c r="G80" t="s">
        <v>18</v>
      </c>
      <c r="H80" t="s">
        <v>100</v>
      </c>
      <c r="I80" t="s">
        <v>48</v>
      </c>
      <c r="J80" t="s">
        <v>72</v>
      </c>
      <c r="K80" t="s">
        <v>114</v>
      </c>
      <c r="L80">
        <v>289.94</v>
      </c>
      <c r="M80" t="s">
        <v>6479</v>
      </c>
      <c r="N80">
        <f t="shared" si="10"/>
        <v>1</v>
      </c>
      <c r="O80" t="s">
        <v>34</v>
      </c>
      <c r="P80" t="s">
        <v>3097</v>
      </c>
      <c r="Q80">
        <v>0</v>
      </c>
      <c r="R80">
        <v>397</v>
      </c>
      <c r="S80">
        <f t="shared" si="11"/>
        <v>1.5966020428391356</v>
      </c>
      <c r="T80">
        <f t="shared" si="12"/>
        <v>0</v>
      </c>
      <c r="U80">
        <f t="shared" si="13"/>
        <v>0</v>
      </c>
      <c r="V80">
        <f t="shared" si="14"/>
        <v>0</v>
      </c>
      <c r="W80">
        <f t="shared" si="15"/>
        <v>2</v>
      </c>
      <c r="X80">
        <f t="shared" si="16"/>
        <v>0</v>
      </c>
      <c r="Y80">
        <f t="shared" si="17"/>
        <v>1</v>
      </c>
    </row>
    <row r="81" spans="1:25" x14ac:dyDescent="0.3">
      <c r="A81" t="s">
        <v>380</v>
      </c>
      <c r="B81" t="s">
        <v>381</v>
      </c>
      <c r="C81" s="1">
        <v>45760</v>
      </c>
      <c r="D81" s="3">
        <v>0.72074074074074079</v>
      </c>
      <c r="E81">
        <f t="shared" si="9"/>
        <v>17</v>
      </c>
      <c r="F81">
        <v>61</v>
      </c>
      <c r="G81" t="s">
        <v>18</v>
      </c>
      <c r="H81" t="s">
        <v>239</v>
      </c>
      <c r="I81" t="s">
        <v>20</v>
      </c>
      <c r="J81" t="s">
        <v>72</v>
      </c>
      <c r="K81" t="s">
        <v>114</v>
      </c>
      <c r="L81">
        <v>289.89</v>
      </c>
      <c r="M81" t="s">
        <v>115</v>
      </c>
      <c r="N81">
        <f t="shared" si="10"/>
        <v>0</v>
      </c>
      <c r="O81" t="s">
        <v>51</v>
      </c>
      <c r="P81" t="s">
        <v>382</v>
      </c>
      <c r="Q81">
        <v>0</v>
      </c>
      <c r="R81">
        <v>197</v>
      </c>
      <c r="S81">
        <f t="shared" si="11"/>
        <v>1.5959098298653309</v>
      </c>
      <c r="T81">
        <f t="shared" si="12"/>
        <v>0</v>
      </c>
      <c r="U81">
        <f t="shared" si="13"/>
        <v>0</v>
      </c>
      <c r="V81">
        <f t="shared" si="14"/>
        <v>1</v>
      </c>
      <c r="W81">
        <f t="shared" si="15"/>
        <v>1</v>
      </c>
      <c r="X81">
        <f t="shared" si="16"/>
        <v>0</v>
      </c>
      <c r="Y81">
        <f t="shared" si="17"/>
        <v>0</v>
      </c>
    </row>
    <row r="82" spans="1:25" x14ac:dyDescent="0.3">
      <c r="A82" t="s">
        <v>2243</v>
      </c>
      <c r="B82" t="s">
        <v>2244</v>
      </c>
      <c r="C82" s="1">
        <v>45809</v>
      </c>
      <c r="D82" s="3">
        <v>0.99049768518518522</v>
      </c>
      <c r="E82">
        <f t="shared" si="9"/>
        <v>23</v>
      </c>
      <c r="F82">
        <v>45</v>
      </c>
      <c r="G82" t="s">
        <v>46</v>
      </c>
      <c r="H82" t="s">
        <v>131</v>
      </c>
      <c r="I82" t="s">
        <v>66</v>
      </c>
      <c r="J82" t="s">
        <v>72</v>
      </c>
      <c r="K82" t="s">
        <v>120</v>
      </c>
      <c r="L82">
        <v>289.77999999999997</v>
      </c>
      <c r="M82" t="s">
        <v>42</v>
      </c>
      <c r="N82">
        <f t="shared" si="10"/>
        <v>0</v>
      </c>
      <c r="O82" t="s">
        <v>51</v>
      </c>
      <c r="P82" t="s">
        <v>2245</v>
      </c>
      <c r="Q82">
        <v>0</v>
      </c>
      <c r="R82">
        <v>230</v>
      </c>
      <c r="S82">
        <f t="shared" si="11"/>
        <v>1.5943869613229606</v>
      </c>
      <c r="T82">
        <f t="shared" si="12"/>
        <v>0</v>
      </c>
      <c r="U82">
        <f t="shared" si="13"/>
        <v>0</v>
      </c>
      <c r="V82">
        <f t="shared" si="14"/>
        <v>1</v>
      </c>
      <c r="W82">
        <f t="shared" si="15"/>
        <v>1</v>
      </c>
      <c r="X82">
        <f t="shared" si="16"/>
        <v>0</v>
      </c>
      <c r="Y82">
        <f t="shared" si="17"/>
        <v>0</v>
      </c>
    </row>
    <row r="83" spans="1:25" x14ac:dyDescent="0.3">
      <c r="A83" t="s">
        <v>4427</v>
      </c>
      <c r="B83" t="s">
        <v>4428</v>
      </c>
      <c r="C83" s="1">
        <v>45708</v>
      </c>
      <c r="D83" s="3">
        <v>0.85921296296296301</v>
      </c>
      <c r="E83">
        <f t="shared" si="9"/>
        <v>20</v>
      </c>
      <c r="F83">
        <v>61</v>
      </c>
      <c r="G83" t="s">
        <v>46</v>
      </c>
      <c r="H83" t="s">
        <v>100</v>
      </c>
      <c r="I83" t="s">
        <v>110</v>
      </c>
      <c r="J83" t="s">
        <v>132</v>
      </c>
      <c r="K83" t="s">
        <v>41</v>
      </c>
      <c r="L83">
        <v>289.69</v>
      </c>
      <c r="M83" t="s">
        <v>33</v>
      </c>
      <c r="N83">
        <f t="shared" si="10"/>
        <v>0</v>
      </c>
      <c r="O83" t="s">
        <v>51</v>
      </c>
      <c r="P83" t="s">
        <v>4429</v>
      </c>
      <c r="Q83">
        <v>0</v>
      </c>
      <c r="R83">
        <v>294</v>
      </c>
      <c r="S83">
        <f t="shared" si="11"/>
        <v>1.5931409779701127</v>
      </c>
      <c r="T83">
        <f t="shared" si="12"/>
        <v>0</v>
      </c>
      <c r="U83">
        <f t="shared" si="13"/>
        <v>0</v>
      </c>
      <c r="V83">
        <f t="shared" si="14"/>
        <v>0</v>
      </c>
      <c r="W83">
        <f t="shared" si="15"/>
        <v>0</v>
      </c>
      <c r="X83">
        <f t="shared" si="16"/>
        <v>0</v>
      </c>
      <c r="Y83">
        <f t="shared" si="17"/>
        <v>0</v>
      </c>
    </row>
    <row r="84" spans="1:25" x14ac:dyDescent="0.3">
      <c r="A84" t="s">
        <v>200</v>
      </c>
      <c r="B84" t="s">
        <v>201</v>
      </c>
      <c r="C84" s="1">
        <v>45725</v>
      </c>
      <c r="D84" s="3">
        <v>0.2424537037037037</v>
      </c>
      <c r="E84">
        <f t="shared" si="9"/>
        <v>5</v>
      </c>
      <c r="F84">
        <v>56</v>
      </c>
      <c r="G84" t="s">
        <v>46</v>
      </c>
      <c r="H84" t="s">
        <v>61</v>
      </c>
      <c r="I84" t="s">
        <v>110</v>
      </c>
      <c r="J84" t="s">
        <v>72</v>
      </c>
      <c r="K84" t="s">
        <v>95</v>
      </c>
      <c r="L84">
        <v>289.64</v>
      </c>
      <c r="M84" t="s">
        <v>115</v>
      </c>
      <c r="N84">
        <f t="shared" si="10"/>
        <v>0</v>
      </c>
      <c r="O84" t="s">
        <v>24</v>
      </c>
      <c r="P84" t="s">
        <v>202</v>
      </c>
      <c r="Q84">
        <v>0</v>
      </c>
      <c r="R84">
        <v>470</v>
      </c>
      <c r="S84">
        <f t="shared" si="11"/>
        <v>1.5924487649963079</v>
      </c>
      <c r="T84">
        <f t="shared" si="12"/>
        <v>0</v>
      </c>
      <c r="U84">
        <f t="shared" si="13"/>
        <v>1</v>
      </c>
      <c r="V84">
        <f t="shared" si="14"/>
        <v>0</v>
      </c>
      <c r="W84">
        <f t="shared" si="15"/>
        <v>2</v>
      </c>
      <c r="X84">
        <f t="shared" si="16"/>
        <v>0</v>
      </c>
      <c r="Y84">
        <f t="shared" si="17"/>
        <v>0</v>
      </c>
    </row>
    <row r="85" spans="1:25" x14ac:dyDescent="0.3">
      <c r="A85" t="s">
        <v>4424</v>
      </c>
      <c r="B85" t="s">
        <v>4425</v>
      </c>
      <c r="C85" s="1">
        <v>45871</v>
      </c>
      <c r="D85" s="3">
        <v>0.1315625</v>
      </c>
      <c r="E85">
        <f t="shared" si="9"/>
        <v>3</v>
      </c>
      <c r="F85">
        <v>61</v>
      </c>
      <c r="G85" t="s">
        <v>46</v>
      </c>
      <c r="H85" t="s">
        <v>47</v>
      </c>
      <c r="I85" t="s">
        <v>20</v>
      </c>
      <c r="J85" t="s">
        <v>49</v>
      </c>
      <c r="K85" t="s">
        <v>22</v>
      </c>
      <c r="L85">
        <v>289.61</v>
      </c>
      <c r="M85" t="s">
        <v>33</v>
      </c>
      <c r="N85">
        <f t="shared" si="10"/>
        <v>0</v>
      </c>
      <c r="O85" t="s">
        <v>34</v>
      </c>
      <c r="P85" t="s">
        <v>4426</v>
      </c>
      <c r="Q85">
        <v>0</v>
      </c>
      <c r="R85">
        <v>336</v>
      </c>
      <c r="S85">
        <f t="shared" si="11"/>
        <v>1.5920334372120255</v>
      </c>
      <c r="T85">
        <f t="shared" si="12"/>
        <v>0</v>
      </c>
      <c r="U85">
        <f t="shared" si="13"/>
        <v>1</v>
      </c>
      <c r="V85">
        <f t="shared" si="14"/>
        <v>0</v>
      </c>
      <c r="W85">
        <f t="shared" si="15"/>
        <v>2</v>
      </c>
      <c r="X85">
        <f t="shared" si="16"/>
        <v>0</v>
      </c>
      <c r="Y85">
        <f t="shared" si="17"/>
        <v>0</v>
      </c>
    </row>
    <row r="86" spans="1:25" x14ac:dyDescent="0.3">
      <c r="A86" t="s">
        <v>4865</v>
      </c>
      <c r="B86" t="s">
        <v>4866</v>
      </c>
      <c r="C86" s="1">
        <v>45791</v>
      </c>
      <c r="D86" s="3">
        <v>0.85089120370370375</v>
      </c>
      <c r="E86">
        <f t="shared" si="9"/>
        <v>20</v>
      </c>
      <c r="F86">
        <v>37</v>
      </c>
      <c r="G86" t="s">
        <v>18</v>
      </c>
      <c r="H86" t="s">
        <v>239</v>
      </c>
      <c r="I86" t="s">
        <v>66</v>
      </c>
      <c r="J86" t="s">
        <v>49</v>
      </c>
      <c r="K86" t="s">
        <v>114</v>
      </c>
      <c r="L86">
        <v>289.52</v>
      </c>
      <c r="M86" t="s">
        <v>42</v>
      </c>
      <c r="N86">
        <f t="shared" si="10"/>
        <v>0</v>
      </c>
      <c r="O86" t="s">
        <v>51</v>
      </c>
      <c r="P86" t="s">
        <v>4867</v>
      </c>
      <c r="Q86">
        <v>0</v>
      </c>
      <c r="R86">
        <v>388</v>
      </c>
      <c r="S86">
        <f t="shared" si="11"/>
        <v>1.5907874538591766</v>
      </c>
      <c r="T86">
        <f t="shared" si="12"/>
        <v>0</v>
      </c>
      <c r="U86">
        <f t="shared" si="13"/>
        <v>0</v>
      </c>
      <c r="V86">
        <f t="shared" si="14"/>
        <v>0</v>
      </c>
      <c r="W86">
        <f t="shared" si="15"/>
        <v>0</v>
      </c>
      <c r="X86">
        <f t="shared" si="16"/>
        <v>0</v>
      </c>
      <c r="Y86">
        <f t="shared" si="17"/>
        <v>0</v>
      </c>
    </row>
    <row r="87" spans="1:25" x14ac:dyDescent="0.3">
      <c r="A87" t="s">
        <v>2054</v>
      </c>
      <c r="B87" t="s">
        <v>2055</v>
      </c>
      <c r="C87" s="1">
        <v>45808</v>
      </c>
      <c r="D87" s="3">
        <v>0.17853009259259259</v>
      </c>
      <c r="E87">
        <f t="shared" si="9"/>
        <v>4</v>
      </c>
      <c r="F87">
        <v>37</v>
      </c>
      <c r="G87" t="s">
        <v>99</v>
      </c>
      <c r="H87" t="s">
        <v>47</v>
      </c>
      <c r="I87" t="s">
        <v>85</v>
      </c>
      <c r="J87" t="s">
        <v>132</v>
      </c>
      <c r="K87" t="s">
        <v>95</v>
      </c>
      <c r="L87">
        <v>289.5</v>
      </c>
      <c r="M87" t="s">
        <v>33</v>
      </c>
      <c r="N87">
        <f t="shared" si="10"/>
        <v>0</v>
      </c>
      <c r="O87" t="s">
        <v>86</v>
      </c>
      <c r="P87" t="s">
        <v>2056</v>
      </c>
      <c r="Q87">
        <v>0</v>
      </c>
      <c r="R87">
        <v>413</v>
      </c>
      <c r="S87">
        <f t="shared" si="11"/>
        <v>1.590510568669655</v>
      </c>
      <c r="T87">
        <f t="shared" si="12"/>
        <v>0</v>
      </c>
      <c r="U87">
        <f t="shared" si="13"/>
        <v>1</v>
      </c>
      <c r="V87">
        <f t="shared" si="14"/>
        <v>0</v>
      </c>
      <c r="W87">
        <f t="shared" si="15"/>
        <v>2</v>
      </c>
      <c r="X87">
        <f t="shared" si="16"/>
        <v>0</v>
      </c>
      <c r="Y87">
        <f t="shared" si="17"/>
        <v>0</v>
      </c>
    </row>
    <row r="88" spans="1:25" x14ac:dyDescent="0.3">
      <c r="A88" t="s">
        <v>4859</v>
      </c>
      <c r="B88" t="s">
        <v>4860</v>
      </c>
      <c r="C88" s="1">
        <v>45781</v>
      </c>
      <c r="D88" s="3">
        <v>0.44534722222222223</v>
      </c>
      <c r="E88">
        <f t="shared" si="9"/>
        <v>10</v>
      </c>
      <c r="F88" s="4">
        <v>41</v>
      </c>
      <c r="G88" t="s">
        <v>60</v>
      </c>
      <c r="H88" t="s">
        <v>38</v>
      </c>
      <c r="I88" t="s">
        <v>105</v>
      </c>
      <c r="J88" t="s">
        <v>21</v>
      </c>
      <c r="K88" t="s">
        <v>168</v>
      </c>
      <c r="L88">
        <v>289.43</v>
      </c>
      <c r="M88" t="s">
        <v>115</v>
      </c>
      <c r="N88">
        <f t="shared" si="10"/>
        <v>0</v>
      </c>
      <c r="O88" t="s">
        <v>24</v>
      </c>
      <c r="P88" t="s">
        <v>4861</v>
      </c>
      <c r="Q88">
        <v>0</v>
      </c>
      <c r="R88">
        <v>286</v>
      </c>
      <c r="S88">
        <f t="shared" si="11"/>
        <v>1.5895414705063287</v>
      </c>
      <c r="T88">
        <f t="shared" si="12"/>
        <v>0</v>
      </c>
      <c r="U88">
        <f t="shared" si="13"/>
        <v>0</v>
      </c>
      <c r="V88">
        <f t="shared" si="14"/>
        <v>0</v>
      </c>
      <c r="W88">
        <f t="shared" si="15"/>
        <v>0</v>
      </c>
      <c r="X88">
        <f t="shared" si="16"/>
        <v>0</v>
      </c>
      <c r="Y88">
        <f t="shared" si="17"/>
        <v>0</v>
      </c>
    </row>
    <row r="89" spans="1:25" x14ac:dyDescent="0.3">
      <c r="A89" t="s">
        <v>5207</v>
      </c>
      <c r="B89" t="s">
        <v>5208</v>
      </c>
      <c r="C89" s="1">
        <v>45803</v>
      </c>
      <c r="D89" s="3">
        <v>0.47275462962962961</v>
      </c>
      <c r="E89">
        <f t="shared" si="9"/>
        <v>11</v>
      </c>
      <c r="F89">
        <v>31</v>
      </c>
      <c r="G89" t="s">
        <v>18</v>
      </c>
      <c r="H89" t="s">
        <v>55</v>
      </c>
      <c r="I89" t="s">
        <v>66</v>
      </c>
      <c r="J89" t="s">
        <v>31</v>
      </c>
      <c r="K89" t="s">
        <v>101</v>
      </c>
      <c r="L89">
        <v>289.38</v>
      </c>
      <c r="M89" t="s">
        <v>33</v>
      </c>
      <c r="N89">
        <f t="shared" si="10"/>
        <v>0</v>
      </c>
      <c r="O89" t="s">
        <v>24</v>
      </c>
      <c r="P89" t="s">
        <v>5209</v>
      </c>
      <c r="Q89">
        <v>0</v>
      </c>
      <c r="R89">
        <v>356</v>
      </c>
      <c r="S89">
        <f t="shared" si="11"/>
        <v>1.5888492575325239</v>
      </c>
      <c r="T89">
        <f t="shared" si="12"/>
        <v>0</v>
      </c>
      <c r="U89">
        <f t="shared" si="13"/>
        <v>0</v>
      </c>
      <c r="V89">
        <f t="shared" si="14"/>
        <v>0</v>
      </c>
      <c r="W89">
        <f t="shared" si="15"/>
        <v>0</v>
      </c>
      <c r="X89">
        <f t="shared" si="16"/>
        <v>0</v>
      </c>
      <c r="Y89">
        <f t="shared" si="17"/>
        <v>0</v>
      </c>
    </row>
    <row r="90" spans="1:25" x14ac:dyDescent="0.3">
      <c r="A90" t="s">
        <v>4481</v>
      </c>
      <c r="B90" t="s">
        <v>4482</v>
      </c>
      <c r="C90" s="1">
        <v>45794</v>
      </c>
      <c r="D90" s="3">
        <v>0.91886574074074079</v>
      </c>
      <c r="E90">
        <f t="shared" si="9"/>
        <v>22</v>
      </c>
      <c r="F90">
        <v>34</v>
      </c>
      <c r="G90" t="s">
        <v>18</v>
      </c>
      <c r="H90" t="s">
        <v>70</v>
      </c>
      <c r="I90" t="s">
        <v>48</v>
      </c>
      <c r="J90" t="s">
        <v>40</v>
      </c>
      <c r="K90" t="s">
        <v>120</v>
      </c>
      <c r="L90">
        <v>289.33</v>
      </c>
      <c r="M90" t="s">
        <v>23</v>
      </c>
      <c r="N90">
        <f t="shared" si="10"/>
        <v>0</v>
      </c>
      <c r="O90" t="s">
        <v>51</v>
      </c>
      <c r="P90" t="s">
        <v>4483</v>
      </c>
      <c r="Q90">
        <v>0</v>
      </c>
      <c r="R90">
        <v>465</v>
      </c>
      <c r="S90">
        <f t="shared" si="11"/>
        <v>1.5881570445587192</v>
      </c>
      <c r="T90">
        <f t="shared" si="12"/>
        <v>0</v>
      </c>
      <c r="U90">
        <f t="shared" si="13"/>
        <v>0</v>
      </c>
      <c r="V90">
        <f t="shared" si="14"/>
        <v>0</v>
      </c>
      <c r="W90">
        <f t="shared" si="15"/>
        <v>0</v>
      </c>
      <c r="X90">
        <f t="shared" si="16"/>
        <v>0</v>
      </c>
      <c r="Y90">
        <f t="shared" si="17"/>
        <v>0</v>
      </c>
    </row>
    <row r="91" spans="1:25" x14ac:dyDescent="0.3">
      <c r="A91" t="s">
        <v>5540</v>
      </c>
      <c r="B91" t="s">
        <v>5541</v>
      </c>
      <c r="C91" s="1">
        <v>45786</v>
      </c>
      <c r="D91" s="3">
        <v>0.75873842592592589</v>
      </c>
      <c r="E91">
        <f t="shared" si="9"/>
        <v>18</v>
      </c>
      <c r="F91">
        <v>32</v>
      </c>
      <c r="G91" t="s">
        <v>46</v>
      </c>
      <c r="H91" t="s">
        <v>185</v>
      </c>
      <c r="I91" t="s">
        <v>39</v>
      </c>
      <c r="J91" t="s">
        <v>132</v>
      </c>
      <c r="K91" t="s">
        <v>41</v>
      </c>
      <c r="L91">
        <v>289.18</v>
      </c>
      <c r="M91" t="s">
        <v>23</v>
      </c>
      <c r="N91">
        <f t="shared" si="10"/>
        <v>0</v>
      </c>
      <c r="O91" t="s">
        <v>24</v>
      </c>
      <c r="P91" t="s">
        <v>5542</v>
      </c>
      <c r="Q91">
        <v>0</v>
      </c>
      <c r="R91">
        <v>364</v>
      </c>
      <c r="S91">
        <f t="shared" si="11"/>
        <v>1.5860804056373057</v>
      </c>
      <c r="T91">
        <f t="shared" si="12"/>
        <v>0</v>
      </c>
      <c r="U91">
        <f t="shared" si="13"/>
        <v>0</v>
      </c>
      <c r="V91">
        <f t="shared" si="14"/>
        <v>0</v>
      </c>
      <c r="W91">
        <f t="shared" si="15"/>
        <v>0</v>
      </c>
      <c r="X91">
        <f t="shared" si="16"/>
        <v>0</v>
      </c>
      <c r="Y91">
        <f t="shared" si="17"/>
        <v>0</v>
      </c>
    </row>
    <row r="92" spans="1:25" x14ac:dyDescent="0.3">
      <c r="A92" t="s">
        <v>2129</v>
      </c>
      <c r="B92" t="s">
        <v>2130</v>
      </c>
      <c r="C92" s="1">
        <v>45826</v>
      </c>
      <c r="D92" s="3">
        <v>0.77782407407407406</v>
      </c>
      <c r="E92">
        <f t="shared" si="9"/>
        <v>18</v>
      </c>
      <c r="F92">
        <v>36</v>
      </c>
      <c r="G92" t="s">
        <v>60</v>
      </c>
      <c r="H92" t="s">
        <v>239</v>
      </c>
      <c r="I92" t="s">
        <v>110</v>
      </c>
      <c r="J92" t="s">
        <v>49</v>
      </c>
      <c r="K92" t="s">
        <v>114</v>
      </c>
      <c r="L92">
        <v>289.14</v>
      </c>
      <c r="M92" t="s">
        <v>115</v>
      </c>
      <c r="N92">
        <f t="shared" si="10"/>
        <v>0</v>
      </c>
      <c r="O92" t="s">
        <v>24</v>
      </c>
      <c r="P92" t="s">
        <v>2131</v>
      </c>
      <c r="Q92">
        <v>0</v>
      </c>
      <c r="R92">
        <v>64</v>
      </c>
      <c r="S92">
        <f t="shared" si="11"/>
        <v>1.5855266352582615</v>
      </c>
      <c r="T92">
        <f t="shared" si="12"/>
        <v>0</v>
      </c>
      <c r="U92">
        <f t="shared" si="13"/>
        <v>0</v>
      </c>
      <c r="V92">
        <f t="shared" si="14"/>
        <v>1</v>
      </c>
      <c r="W92">
        <f t="shared" si="15"/>
        <v>1</v>
      </c>
      <c r="X92">
        <f t="shared" si="16"/>
        <v>0</v>
      </c>
      <c r="Y92">
        <f t="shared" si="17"/>
        <v>0</v>
      </c>
    </row>
    <row r="93" spans="1:25" x14ac:dyDescent="0.3">
      <c r="A93" t="s">
        <v>4073</v>
      </c>
      <c r="B93" t="s">
        <v>4074</v>
      </c>
      <c r="C93" s="1">
        <v>45738</v>
      </c>
      <c r="D93" s="3">
        <v>0.5983680555555555</v>
      </c>
      <c r="E93">
        <f t="shared" si="9"/>
        <v>14</v>
      </c>
      <c r="F93">
        <v>54</v>
      </c>
      <c r="G93" t="s">
        <v>99</v>
      </c>
      <c r="H93" t="s">
        <v>185</v>
      </c>
      <c r="I93" t="s">
        <v>105</v>
      </c>
      <c r="J93" t="s">
        <v>76</v>
      </c>
      <c r="K93" t="s">
        <v>62</v>
      </c>
      <c r="L93">
        <v>288.97000000000003</v>
      </c>
      <c r="M93" t="s">
        <v>33</v>
      </c>
      <c r="N93">
        <f t="shared" si="10"/>
        <v>0</v>
      </c>
      <c r="O93" t="s">
        <v>24</v>
      </c>
      <c r="P93" t="s">
        <v>4075</v>
      </c>
      <c r="Q93">
        <v>0</v>
      </c>
      <c r="R93">
        <v>426</v>
      </c>
      <c r="S93">
        <f t="shared" si="11"/>
        <v>1.5831731111473264</v>
      </c>
      <c r="T93">
        <f t="shared" si="12"/>
        <v>0</v>
      </c>
      <c r="U93">
        <f t="shared" si="13"/>
        <v>0</v>
      </c>
      <c r="V93">
        <f t="shared" si="14"/>
        <v>0</v>
      </c>
      <c r="W93">
        <f t="shared" si="15"/>
        <v>0</v>
      </c>
      <c r="X93">
        <f t="shared" si="16"/>
        <v>0</v>
      </c>
      <c r="Y93">
        <f t="shared" si="17"/>
        <v>0</v>
      </c>
    </row>
    <row r="94" spans="1:25" x14ac:dyDescent="0.3">
      <c r="A94" t="s">
        <v>1463</v>
      </c>
      <c r="B94" t="s">
        <v>1464</v>
      </c>
      <c r="C94" s="1">
        <v>45807</v>
      </c>
      <c r="D94" s="3">
        <v>0.52398148148148149</v>
      </c>
      <c r="E94">
        <f t="shared" si="9"/>
        <v>12</v>
      </c>
      <c r="F94">
        <v>39</v>
      </c>
      <c r="G94" t="s">
        <v>99</v>
      </c>
      <c r="H94" t="s">
        <v>312</v>
      </c>
      <c r="I94" t="s">
        <v>85</v>
      </c>
      <c r="J94" t="s">
        <v>49</v>
      </c>
      <c r="K94" t="s">
        <v>32</v>
      </c>
      <c r="L94">
        <v>288.95999999999998</v>
      </c>
      <c r="M94" t="s">
        <v>42</v>
      </c>
      <c r="N94">
        <f t="shared" si="10"/>
        <v>0</v>
      </c>
      <c r="O94" t="s">
        <v>34</v>
      </c>
      <c r="P94" t="s">
        <v>1465</v>
      </c>
      <c r="Q94">
        <v>0</v>
      </c>
      <c r="R94">
        <v>399</v>
      </c>
      <c r="S94">
        <f t="shared" si="11"/>
        <v>1.5830346685525649</v>
      </c>
      <c r="T94">
        <f t="shared" si="12"/>
        <v>0</v>
      </c>
      <c r="U94">
        <f t="shared" si="13"/>
        <v>0</v>
      </c>
      <c r="V94">
        <f t="shared" si="14"/>
        <v>0</v>
      </c>
      <c r="W94">
        <f t="shared" si="15"/>
        <v>0</v>
      </c>
      <c r="X94">
        <f t="shared" si="16"/>
        <v>0</v>
      </c>
      <c r="Y94">
        <f t="shared" si="17"/>
        <v>0</v>
      </c>
    </row>
    <row r="95" spans="1:25" x14ac:dyDescent="0.3">
      <c r="A95" t="s">
        <v>5828</v>
      </c>
      <c r="B95" t="s">
        <v>5829</v>
      </c>
      <c r="C95" s="1">
        <v>45743</v>
      </c>
      <c r="D95" s="3">
        <v>0.55193287037037042</v>
      </c>
      <c r="E95">
        <f t="shared" si="9"/>
        <v>13</v>
      </c>
      <c r="F95">
        <v>28</v>
      </c>
      <c r="G95" t="s">
        <v>46</v>
      </c>
      <c r="H95" t="s">
        <v>61</v>
      </c>
      <c r="I95" t="s">
        <v>30</v>
      </c>
      <c r="J95" t="s">
        <v>40</v>
      </c>
      <c r="K95" t="s">
        <v>62</v>
      </c>
      <c r="L95">
        <v>288.76</v>
      </c>
      <c r="M95" t="s">
        <v>23</v>
      </c>
      <c r="N95">
        <f t="shared" si="10"/>
        <v>0</v>
      </c>
      <c r="O95" t="s">
        <v>86</v>
      </c>
      <c r="P95" t="s">
        <v>5830</v>
      </c>
      <c r="Q95">
        <v>0</v>
      </c>
      <c r="R95">
        <v>245</v>
      </c>
      <c r="S95">
        <f t="shared" si="11"/>
        <v>1.5802658166573467</v>
      </c>
      <c r="T95">
        <f t="shared" si="12"/>
        <v>0</v>
      </c>
      <c r="U95">
        <f t="shared" si="13"/>
        <v>0</v>
      </c>
      <c r="V95">
        <f t="shared" si="14"/>
        <v>1</v>
      </c>
      <c r="W95">
        <f t="shared" si="15"/>
        <v>1</v>
      </c>
      <c r="X95">
        <f t="shared" si="16"/>
        <v>0</v>
      </c>
      <c r="Y95">
        <f t="shared" si="17"/>
        <v>0</v>
      </c>
    </row>
    <row r="96" spans="1:25" x14ac:dyDescent="0.3">
      <c r="A96" t="s">
        <v>6359</v>
      </c>
      <c r="B96" t="s">
        <v>6360</v>
      </c>
      <c r="C96" s="1">
        <v>45856</v>
      </c>
      <c r="D96" s="3">
        <v>0.50214120370370374</v>
      </c>
      <c r="E96">
        <f t="shared" si="9"/>
        <v>12</v>
      </c>
      <c r="F96">
        <v>50</v>
      </c>
      <c r="G96" t="s">
        <v>28</v>
      </c>
      <c r="H96" t="s">
        <v>80</v>
      </c>
      <c r="I96" t="s">
        <v>20</v>
      </c>
      <c r="J96" t="s">
        <v>76</v>
      </c>
      <c r="K96" t="s">
        <v>95</v>
      </c>
      <c r="L96">
        <v>288.66000000000003</v>
      </c>
      <c r="M96" t="s">
        <v>33</v>
      </c>
      <c r="N96">
        <f t="shared" si="10"/>
        <v>0</v>
      </c>
      <c r="O96" t="s">
        <v>24</v>
      </c>
      <c r="P96" t="s">
        <v>6361</v>
      </c>
      <c r="Q96">
        <v>0</v>
      </c>
      <c r="R96">
        <v>59</v>
      </c>
      <c r="S96">
        <f t="shared" si="11"/>
        <v>1.5788813907097379</v>
      </c>
      <c r="T96">
        <f t="shared" si="12"/>
        <v>0</v>
      </c>
      <c r="U96">
        <f t="shared" si="13"/>
        <v>0</v>
      </c>
      <c r="V96">
        <f t="shared" si="14"/>
        <v>1</v>
      </c>
      <c r="W96">
        <f t="shared" si="15"/>
        <v>1</v>
      </c>
      <c r="X96">
        <f t="shared" si="16"/>
        <v>0</v>
      </c>
      <c r="Y96">
        <f t="shared" si="17"/>
        <v>0</v>
      </c>
    </row>
    <row r="97" spans="1:25" x14ac:dyDescent="0.3">
      <c r="A97" t="s">
        <v>5876</v>
      </c>
      <c r="B97" t="s">
        <v>5877</v>
      </c>
      <c r="C97" s="1">
        <v>45771</v>
      </c>
      <c r="D97" s="3">
        <v>0.69056712962962963</v>
      </c>
      <c r="E97">
        <f t="shared" si="9"/>
        <v>16</v>
      </c>
      <c r="F97">
        <v>24</v>
      </c>
      <c r="G97" t="s">
        <v>46</v>
      </c>
      <c r="H97" t="s">
        <v>47</v>
      </c>
      <c r="I97" t="s">
        <v>85</v>
      </c>
      <c r="J97" t="s">
        <v>56</v>
      </c>
      <c r="K97" t="s">
        <v>62</v>
      </c>
      <c r="L97">
        <v>288.62</v>
      </c>
      <c r="M97" t="s">
        <v>23</v>
      </c>
      <c r="N97">
        <f t="shared" si="10"/>
        <v>0</v>
      </c>
      <c r="O97" t="s">
        <v>34</v>
      </c>
      <c r="P97" t="s">
        <v>5878</v>
      </c>
      <c r="Q97">
        <v>0</v>
      </c>
      <c r="R97">
        <v>309</v>
      </c>
      <c r="S97">
        <f t="shared" si="11"/>
        <v>1.5783276203306937</v>
      </c>
      <c r="T97">
        <f t="shared" si="12"/>
        <v>0</v>
      </c>
      <c r="U97">
        <f t="shared" si="13"/>
        <v>0</v>
      </c>
      <c r="V97">
        <f t="shared" si="14"/>
        <v>0</v>
      </c>
      <c r="W97">
        <f t="shared" si="15"/>
        <v>0</v>
      </c>
      <c r="X97">
        <f t="shared" si="16"/>
        <v>0</v>
      </c>
      <c r="Y97">
        <f t="shared" si="17"/>
        <v>0</v>
      </c>
    </row>
    <row r="98" spans="1:25" x14ac:dyDescent="0.3">
      <c r="A98" t="s">
        <v>5663</v>
      </c>
      <c r="B98" t="s">
        <v>5664</v>
      </c>
      <c r="C98" s="1">
        <v>45794</v>
      </c>
      <c r="D98" s="3">
        <v>0.1648148148148148</v>
      </c>
      <c r="E98">
        <f t="shared" si="9"/>
        <v>3</v>
      </c>
      <c r="F98">
        <v>38</v>
      </c>
      <c r="G98" t="s">
        <v>60</v>
      </c>
      <c r="H98" t="s">
        <v>80</v>
      </c>
      <c r="I98" t="s">
        <v>20</v>
      </c>
      <c r="J98" t="s">
        <v>127</v>
      </c>
      <c r="K98" t="s">
        <v>50</v>
      </c>
      <c r="L98">
        <v>288.58999999999997</v>
      </c>
      <c r="M98" t="s">
        <v>23</v>
      </c>
      <c r="N98">
        <f t="shared" si="10"/>
        <v>0</v>
      </c>
      <c r="O98" t="s">
        <v>51</v>
      </c>
      <c r="P98" t="s">
        <v>5665</v>
      </c>
      <c r="Q98">
        <v>0</v>
      </c>
      <c r="R98">
        <v>197</v>
      </c>
      <c r="S98">
        <f t="shared" si="11"/>
        <v>1.5779122925464106</v>
      </c>
      <c r="T98">
        <f t="shared" si="12"/>
        <v>0</v>
      </c>
      <c r="U98">
        <f t="shared" si="13"/>
        <v>1</v>
      </c>
      <c r="V98">
        <f t="shared" si="14"/>
        <v>1</v>
      </c>
      <c r="W98">
        <f t="shared" si="15"/>
        <v>3</v>
      </c>
      <c r="X98">
        <f t="shared" si="16"/>
        <v>0</v>
      </c>
      <c r="Y98">
        <f t="shared" si="17"/>
        <v>0</v>
      </c>
    </row>
    <row r="99" spans="1:25" x14ac:dyDescent="0.3">
      <c r="A99" t="s">
        <v>5096</v>
      </c>
      <c r="B99" t="s">
        <v>5097</v>
      </c>
      <c r="C99" s="1">
        <v>45830</v>
      </c>
      <c r="D99" s="3">
        <v>0.59429398148148149</v>
      </c>
      <c r="E99">
        <f t="shared" si="9"/>
        <v>14</v>
      </c>
      <c r="F99">
        <v>44</v>
      </c>
      <c r="G99" t="s">
        <v>18</v>
      </c>
      <c r="H99" t="s">
        <v>232</v>
      </c>
      <c r="I99" t="s">
        <v>110</v>
      </c>
      <c r="J99" t="s">
        <v>76</v>
      </c>
      <c r="K99" t="s">
        <v>62</v>
      </c>
      <c r="L99">
        <v>288.54000000000002</v>
      </c>
      <c r="M99" t="s">
        <v>33</v>
      </c>
      <c r="N99">
        <f t="shared" si="10"/>
        <v>0</v>
      </c>
      <c r="O99" t="s">
        <v>24</v>
      </c>
      <c r="P99" t="s">
        <v>5098</v>
      </c>
      <c r="Q99">
        <v>0</v>
      </c>
      <c r="R99">
        <v>51</v>
      </c>
      <c r="S99">
        <f t="shared" si="11"/>
        <v>1.5772200795726066</v>
      </c>
      <c r="T99">
        <f t="shared" si="12"/>
        <v>0</v>
      </c>
      <c r="U99">
        <f t="shared" si="13"/>
        <v>0</v>
      </c>
      <c r="V99">
        <f t="shared" si="14"/>
        <v>1</v>
      </c>
      <c r="W99">
        <f t="shared" si="15"/>
        <v>1</v>
      </c>
      <c r="X99">
        <f t="shared" si="16"/>
        <v>0</v>
      </c>
      <c r="Y99">
        <f t="shared" si="17"/>
        <v>0</v>
      </c>
    </row>
    <row r="100" spans="1:25" x14ac:dyDescent="0.3">
      <c r="A100" t="s">
        <v>4325</v>
      </c>
      <c r="B100" t="s">
        <v>4326</v>
      </c>
      <c r="C100" s="1">
        <v>45750</v>
      </c>
      <c r="D100" s="3">
        <v>0.67789351851851853</v>
      </c>
      <c r="E100">
        <f t="shared" si="9"/>
        <v>16</v>
      </c>
      <c r="F100">
        <v>51</v>
      </c>
      <c r="G100" t="s">
        <v>18</v>
      </c>
      <c r="H100" t="s">
        <v>312</v>
      </c>
      <c r="I100" t="s">
        <v>30</v>
      </c>
      <c r="J100" t="s">
        <v>72</v>
      </c>
      <c r="K100" t="s">
        <v>50</v>
      </c>
      <c r="L100">
        <v>288.52999999999997</v>
      </c>
      <c r="M100" t="s">
        <v>33</v>
      </c>
      <c r="N100">
        <f t="shared" si="10"/>
        <v>0</v>
      </c>
      <c r="O100" t="s">
        <v>86</v>
      </c>
      <c r="P100" t="s">
        <v>4327</v>
      </c>
      <c r="Q100">
        <v>0</v>
      </c>
      <c r="R100">
        <v>210</v>
      </c>
      <c r="S100">
        <f t="shared" si="11"/>
        <v>1.5770816369778451</v>
      </c>
      <c r="T100">
        <f t="shared" si="12"/>
        <v>0</v>
      </c>
      <c r="U100">
        <f t="shared" si="13"/>
        <v>0</v>
      </c>
      <c r="V100">
        <f t="shared" si="14"/>
        <v>1</v>
      </c>
      <c r="W100">
        <f t="shared" si="15"/>
        <v>1</v>
      </c>
      <c r="X100">
        <f t="shared" si="16"/>
        <v>0</v>
      </c>
      <c r="Y100">
        <f t="shared" si="17"/>
        <v>0</v>
      </c>
    </row>
    <row r="101" spans="1:25" x14ac:dyDescent="0.3">
      <c r="A101" s="2" t="s">
        <v>2105</v>
      </c>
      <c r="B101" t="s">
        <v>2106</v>
      </c>
      <c r="C101" s="1">
        <v>45792</v>
      </c>
      <c r="D101" s="3">
        <v>0.70199074074074075</v>
      </c>
      <c r="E101">
        <f t="shared" si="9"/>
        <v>16</v>
      </c>
      <c r="F101">
        <v>64</v>
      </c>
      <c r="G101" t="s">
        <v>18</v>
      </c>
      <c r="H101" t="s">
        <v>84</v>
      </c>
      <c r="I101" t="s">
        <v>20</v>
      </c>
      <c r="J101" t="s">
        <v>76</v>
      </c>
      <c r="K101" t="s">
        <v>41</v>
      </c>
      <c r="L101">
        <v>288.27</v>
      </c>
      <c r="M101" t="s">
        <v>42</v>
      </c>
      <c r="N101">
        <f t="shared" si="10"/>
        <v>0</v>
      </c>
      <c r="O101" t="s">
        <v>34</v>
      </c>
      <c r="P101" t="s">
        <v>2107</v>
      </c>
      <c r="Q101">
        <v>0</v>
      </c>
      <c r="R101">
        <v>243</v>
      </c>
      <c r="S101">
        <f t="shared" si="11"/>
        <v>1.5734821295140611</v>
      </c>
      <c r="T101">
        <f t="shared" si="12"/>
        <v>0</v>
      </c>
      <c r="U101">
        <f t="shared" si="13"/>
        <v>0</v>
      </c>
      <c r="V101">
        <f t="shared" si="14"/>
        <v>1</v>
      </c>
      <c r="W101">
        <f t="shared" si="15"/>
        <v>1</v>
      </c>
      <c r="X101">
        <f t="shared" si="16"/>
        <v>0</v>
      </c>
      <c r="Y101">
        <f t="shared" si="17"/>
        <v>0</v>
      </c>
    </row>
    <row r="102" spans="1:25" x14ac:dyDescent="0.3">
      <c r="A102" t="s">
        <v>5882</v>
      </c>
      <c r="B102" t="s">
        <v>5883</v>
      </c>
      <c r="C102" s="1">
        <v>45833</v>
      </c>
      <c r="D102" s="3">
        <v>0.52347222222222223</v>
      </c>
      <c r="E102">
        <f t="shared" si="9"/>
        <v>12</v>
      </c>
      <c r="F102">
        <v>37</v>
      </c>
      <c r="G102" t="s">
        <v>28</v>
      </c>
      <c r="H102" t="s">
        <v>232</v>
      </c>
      <c r="I102" t="s">
        <v>71</v>
      </c>
      <c r="J102" t="s">
        <v>40</v>
      </c>
      <c r="K102" t="s">
        <v>32</v>
      </c>
      <c r="L102">
        <v>287.87</v>
      </c>
      <c r="M102" t="s">
        <v>6479</v>
      </c>
      <c r="N102">
        <f t="shared" si="10"/>
        <v>1</v>
      </c>
      <c r="O102" t="s">
        <v>34</v>
      </c>
      <c r="P102" t="s">
        <v>5884</v>
      </c>
      <c r="Q102">
        <v>0</v>
      </c>
      <c r="R102">
        <v>162</v>
      </c>
      <c r="S102">
        <f t="shared" si="11"/>
        <v>1.5679444257236244</v>
      </c>
      <c r="T102">
        <f t="shared" si="12"/>
        <v>0</v>
      </c>
      <c r="U102">
        <f t="shared" si="13"/>
        <v>0</v>
      </c>
      <c r="V102">
        <f t="shared" si="14"/>
        <v>1</v>
      </c>
      <c r="W102">
        <f t="shared" si="15"/>
        <v>3</v>
      </c>
      <c r="X102">
        <f t="shared" si="16"/>
        <v>0</v>
      </c>
      <c r="Y102">
        <f t="shared" si="17"/>
        <v>1</v>
      </c>
    </row>
    <row r="103" spans="1:25" x14ac:dyDescent="0.3">
      <c r="A103" t="s">
        <v>3725</v>
      </c>
      <c r="B103" t="s">
        <v>3726</v>
      </c>
      <c r="C103" s="1">
        <v>45709</v>
      </c>
      <c r="D103" s="3">
        <v>0.36724537037037036</v>
      </c>
      <c r="E103">
        <f t="shared" si="9"/>
        <v>8</v>
      </c>
      <c r="F103">
        <v>41</v>
      </c>
      <c r="G103" t="s">
        <v>46</v>
      </c>
      <c r="H103" t="s">
        <v>61</v>
      </c>
      <c r="I103" t="s">
        <v>20</v>
      </c>
      <c r="J103" t="s">
        <v>76</v>
      </c>
      <c r="K103" t="s">
        <v>101</v>
      </c>
      <c r="L103">
        <v>287.79000000000002</v>
      </c>
      <c r="M103" t="s">
        <v>33</v>
      </c>
      <c r="N103">
        <f t="shared" si="10"/>
        <v>0</v>
      </c>
      <c r="O103" t="s">
        <v>86</v>
      </c>
      <c r="P103" t="s">
        <v>3727</v>
      </c>
      <c r="Q103">
        <v>0</v>
      </c>
      <c r="R103">
        <v>338</v>
      </c>
      <c r="S103">
        <f t="shared" si="11"/>
        <v>1.5668368849655372</v>
      </c>
      <c r="T103">
        <f t="shared" si="12"/>
        <v>0</v>
      </c>
      <c r="U103">
        <f t="shared" si="13"/>
        <v>0</v>
      </c>
      <c r="V103">
        <f t="shared" si="14"/>
        <v>0</v>
      </c>
      <c r="W103">
        <f t="shared" si="15"/>
        <v>0</v>
      </c>
      <c r="X103">
        <f t="shared" si="16"/>
        <v>0</v>
      </c>
      <c r="Y103">
        <f t="shared" si="17"/>
        <v>0</v>
      </c>
    </row>
    <row r="104" spans="1:25" x14ac:dyDescent="0.3">
      <c r="A104" t="s">
        <v>3770</v>
      </c>
      <c r="B104" t="s">
        <v>3771</v>
      </c>
      <c r="C104" s="1">
        <v>45745</v>
      </c>
      <c r="D104" s="3">
        <v>4.221064814814815E-2</v>
      </c>
      <c r="E104">
        <f t="shared" si="9"/>
        <v>1</v>
      </c>
      <c r="F104" s="4">
        <v>41</v>
      </c>
      <c r="G104" t="s">
        <v>60</v>
      </c>
      <c r="H104" t="s">
        <v>185</v>
      </c>
      <c r="I104" t="s">
        <v>39</v>
      </c>
      <c r="J104" t="s">
        <v>49</v>
      </c>
      <c r="K104" t="s">
        <v>50</v>
      </c>
      <c r="L104">
        <v>287.77999999999997</v>
      </c>
      <c r="M104" t="s">
        <v>115</v>
      </c>
      <c r="N104">
        <f t="shared" si="10"/>
        <v>0</v>
      </c>
      <c r="O104" t="s">
        <v>51</v>
      </c>
      <c r="P104" t="s">
        <v>3772</v>
      </c>
      <c r="Q104">
        <v>0</v>
      </c>
      <c r="R104">
        <v>331</v>
      </c>
      <c r="S104">
        <f t="shared" si="11"/>
        <v>1.5666984423707757</v>
      </c>
      <c r="T104">
        <f t="shared" si="12"/>
        <v>0</v>
      </c>
      <c r="U104">
        <f t="shared" si="13"/>
        <v>1</v>
      </c>
      <c r="V104">
        <f t="shared" si="14"/>
        <v>0</v>
      </c>
      <c r="W104">
        <f t="shared" si="15"/>
        <v>2</v>
      </c>
      <c r="X104">
        <f t="shared" si="16"/>
        <v>0</v>
      </c>
      <c r="Y104">
        <f t="shared" si="17"/>
        <v>0</v>
      </c>
    </row>
    <row r="105" spans="1:25" x14ac:dyDescent="0.3">
      <c r="A105" t="s">
        <v>803</v>
      </c>
      <c r="B105" t="s">
        <v>804</v>
      </c>
      <c r="C105" s="1">
        <v>45826</v>
      </c>
      <c r="D105" s="3">
        <v>0.51171296296296298</v>
      </c>
      <c r="E105">
        <f t="shared" si="9"/>
        <v>12</v>
      </c>
      <c r="F105">
        <v>53</v>
      </c>
      <c r="G105" t="s">
        <v>46</v>
      </c>
      <c r="H105" t="s">
        <v>61</v>
      </c>
      <c r="I105" t="s">
        <v>119</v>
      </c>
      <c r="J105" t="s">
        <v>49</v>
      </c>
      <c r="K105" t="s">
        <v>168</v>
      </c>
      <c r="L105">
        <v>287.68</v>
      </c>
      <c r="M105" t="s">
        <v>42</v>
      </c>
      <c r="N105">
        <f t="shared" si="10"/>
        <v>0</v>
      </c>
      <c r="O105" t="s">
        <v>34</v>
      </c>
      <c r="P105" t="s">
        <v>805</v>
      </c>
      <c r="Q105">
        <v>0</v>
      </c>
      <c r="R105">
        <v>126</v>
      </c>
      <c r="S105">
        <f t="shared" si="11"/>
        <v>1.5653140164231669</v>
      </c>
      <c r="T105">
        <f t="shared" si="12"/>
        <v>0</v>
      </c>
      <c r="U105">
        <f t="shared" si="13"/>
        <v>0</v>
      </c>
      <c r="V105">
        <f t="shared" si="14"/>
        <v>1</v>
      </c>
      <c r="W105">
        <f t="shared" si="15"/>
        <v>1</v>
      </c>
      <c r="X105">
        <f t="shared" si="16"/>
        <v>0</v>
      </c>
      <c r="Y105">
        <f t="shared" si="17"/>
        <v>0</v>
      </c>
    </row>
    <row r="106" spans="1:25" x14ac:dyDescent="0.3">
      <c r="A106" t="s">
        <v>917</v>
      </c>
      <c r="B106" t="s">
        <v>918</v>
      </c>
      <c r="C106" s="1">
        <v>45765</v>
      </c>
      <c r="D106" s="3">
        <v>0.91134259259259254</v>
      </c>
      <c r="E106">
        <f t="shared" si="9"/>
        <v>21</v>
      </c>
      <c r="F106">
        <v>65</v>
      </c>
      <c r="G106" t="s">
        <v>6479</v>
      </c>
      <c r="H106" t="s">
        <v>70</v>
      </c>
      <c r="I106" t="s">
        <v>105</v>
      </c>
      <c r="J106" t="s">
        <v>49</v>
      </c>
      <c r="K106" t="s">
        <v>62</v>
      </c>
      <c r="L106">
        <v>287.55</v>
      </c>
      <c r="M106" t="s">
        <v>115</v>
      </c>
      <c r="N106">
        <f t="shared" si="10"/>
        <v>0</v>
      </c>
      <c r="O106" t="s">
        <v>86</v>
      </c>
      <c r="P106" t="s">
        <v>919</v>
      </c>
      <c r="Q106">
        <v>0</v>
      </c>
      <c r="R106">
        <v>200</v>
      </c>
      <c r="S106">
        <f t="shared" si="11"/>
        <v>1.563514262691275</v>
      </c>
      <c r="T106">
        <f t="shared" si="12"/>
        <v>0</v>
      </c>
      <c r="U106">
        <f t="shared" si="13"/>
        <v>0</v>
      </c>
      <c r="V106">
        <f t="shared" si="14"/>
        <v>1</v>
      </c>
      <c r="W106">
        <f t="shared" si="15"/>
        <v>1</v>
      </c>
      <c r="X106">
        <f t="shared" si="16"/>
        <v>0</v>
      </c>
      <c r="Y106">
        <f t="shared" si="17"/>
        <v>0</v>
      </c>
    </row>
    <row r="107" spans="1:25" x14ac:dyDescent="0.3">
      <c r="A107" t="s">
        <v>2123</v>
      </c>
      <c r="B107" t="s">
        <v>2124</v>
      </c>
      <c r="C107" s="1">
        <v>45856</v>
      </c>
      <c r="D107" s="3">
        <v>0.55385416666666665</v>
      </c>
      <c r="E107">
        <f t="shared" si="9"/>
        <v>13</v>
      </c>
      <c r="F107">
        <v>53</v>
      </c>
      <c r="G107" t="s">
        <v>6479</v>
      </c>
      <c r="H107" t="s">
        <v>38</v>
      </c>
      <c r="I107" t="s">
        <v>30</v>
      </c>
      <c r="J107" t="s">
        <v>56</v>
      </c>
      <c r="K107" t="s">
        <v>101</v>
      </c>
      <c r="L107">
        <v>287.47000000000003</v>
      </c>
      <c r="M107" t="s">
        <v>42</v>
      </c>
      <c r="N107">
        <f t="shared" si="10"/>
        <v>0</v>
      </c>
      <c r="O107" t="s">
        <v>51</v>
      </c>
      <c r="P107" t="s">
        <v>2125</v>
      </c>
      <c r="Q107">
        <v>0</v>
      </c>
      <c r="R107">
        <v>156</v>
      </c>
      <c r="S107">
        <f t="shared" si="11"/>
        <v>1.5624067219331879</v>
      </c>
      <c r="T107">
        <f t="shared" si="12"/>
        <v>0</v>
      </c>
      <c r="U107">
        <f t="shared" si="13"/>
        <v>0</v>
      </c>
      <c r="V107">
        <f t="shared" si="14"/>
        <v>1</v>
      </c>
      <c r="W107">
        <f t="shared" si="15"/>
        <v>1</v>
      </c>
      <c r="X107">
        <f t="shared" si="16"/>
        <v>0</v>
      </c>
      <c r="Y107">
        <f t="shared" si="17"/>
        <v>0</v>
      </c>
    </row>
    <row r="108" spans="1:25" x14ac:dyDescent="0.3">
      <c r="A108" t="s">
        <v>926</v>
      </c>
      <c r="B108" t="s">
        <v>927</v>
      </c>
      <c r="C108" s="1">
        <v>45842</v>
      </c>
      <c r="D108" s="3">
        <v>0.30994212962962964</v>
      </c>
      <c r="E108">
        <f t="shared" si="9"/>
        <v>7</v>
      </c>
      <c r="F108">
        <v>37</v>
      </c>
      <c r="G108" t="s">
        <v>18</v>
      </c>
      <c r="H108" t="s">
        <v>84</v>
      </c>
      <c r="I108" t="s">
        <v>20</v>
      </c>
      <c r="J108" t="s">
        <v>72</v>
      </c>
      <c r="K108" t="s">
        <v>22</v>
      </c>
      <c r="L108">
        <v>287.39999999999998</v>
      </c>
      <c r="M108" t="s">
        <v>6479</v>
      </c>
      <c r="N108">
        <f t="shared" si="10"/>
        <v>1</v>
      </c>
      <c r="O108" t="s">
        <v>34</v>
      </c>
      <c r="P108" t="s">
        <v>928</v>
      </c>
      <c r="Q108">
        <v>0</v>
      </c>
      <c r="R108">
        <v>291</v>
      </c>
      <c r="S108">
        <f t="shared" si="11"/>
        <v>1.5614376237698606</v>
      </c>
      <c r="T108">
        <f t="shared" si="12"/>
        <v>0</v>
      </c>
      <c r="U108">
        <f t="shared" si="13"/>
        <v>0</v>
      </c>
      <c r="V108">
        <f t="shared" si="14"/>
        <v>0</v>
      </c>
      <c r="W108">
        <f t="shared" si="15"/>
        <v>2</v>
      </c>
      <c r="X108">
        <f t="shared" si="16"/>
        <v>0</v>
      </c>
      <c r="Y108">
        <f t="shared" si="17"/>
        <v>1</v>
      </c>
    </row>
    <row r="109" spans="1:25" x14ac:dyDescent="0.3">
      <c r="A109" t="s">
        <v>1601</v>
      </c>
      <c r="B109" t="s">
        <v>1602</v>
      </c>
      <c r="C109" s="1">
        <v>45832</v>
      </c>
      <c r="D109" s="3">
        <v>0.42533564814814817</v>
      </c>
      <c r="E109">
        <f t="shared" si="9"/>
        <v>10</v>
      </c>
      <c r="F109">
        <v>44</v>
      </c>
      <c r="G109" t="s">
        <v>18</v>
      </c>
      <c r="H109" t="s">
        <v>185</v>
      </c>
      <c r="I109" t="s">
        <v>85</v>
      </c>
      <c r="J109" t="s">
        <v>40</v>
      </c>
      <c r="K109" t="s">
        <v>50</v>
      </c>
      <c r="L109">
        <v>287.29000000000002</v>
      </c>
      <c r="M109" t="s">
        <v>33</v>
      </c>
      <c r="N109">
        <f t="shared" si="10"/>
        <v>0</v>
      </c>
      <c r="O109" t="s">
        <v>51</v>
      </c>
      <c r="P109" t="s">
        <v>1603</v>
      </c>
      <c r="Q109">
        <v>0</v>
      </c>
      <c r="R109">
        <v>368</v>
      </c>
      <c r="S109">
        <f t="shared" si="11"/>
        <v>1.559914755227491</v>
      </c>
      <c r="T109">
        <f t="shared" si="12"/>
        <v>0</v>
      </c>
      <c r="U109">
        <f t="shared" si="13"/>
        <v>0</v>
      </c>
      <c r="V109">
        <f t="shared" si="14"/>
        <v>0</v>
      </c>
      <c r="W109">
        <f t="shared" si="15"/>
        <v>0</v>
      </c>
      <c r="X109">
        <f t="shared" si="16"/>
        <v>0</v>
      </c>
      <c r="Y109">
        <f t="shared" si="17"/>
        <v>0</v>
      </c>
    </row>
    <row r="110" spans="1:25" x14ac:dyDescent="0.3">
      <c r="A110" t="s">
        <v>2165</v>
      </c>
      <c r="B110" t="s">
        <v>2166</v>
      </c>
      <c r="C110" s="1">
        <v>45821</v>
      </c>
      <c r="D110" s="3">
        <v>6.6562499999999997E-2</v>
      </c>
      <c r="E110">
        <f t="shared" si="9"/>
        <v>1</v>
      </c>
      <c r="F110">
        <v>28</v>
      </c>
      <c r="G110" t="s">
        <v>18</v>
      </c>
      <c r="H110" t="s">
        <v>239</v>
      </c>
      <c r="I110" t="s">
        <v>66</v>
      </c>
      <c r="J110" t="s">
        <v>132</v>
      </c>
      <c r="K110" t="s">
        <v>50</v>
      </c>
      <c r="L110">
        <v>287.24</v>
      </c>
      <c r="M110" t="s">
        <v>115</v>
      </c>
      <c r="N110">
        <f t="shared" si="10"/>
        <v>0</v>
      </c>
      <c r="O110" t="s">
        <v>34</v>
      </c>
      <c r="P110" t="s">
        <v>2167</v>
      </c>
      <c r="Q110">
        <v>0</v>
      </c>
      <c r="R110">
        <v>130</v>
      </c>
      <c r="S110">
        <f t="shared" si="11"/>
        <v>1.5592225422536863</v>
      </c>
      <c r="T110">
        <f t="shared" si="12"/>
        <v>0</v>
      </c>
      <c r="U110">
        <f t="shared" si="13"/>
        <v>1</v>
      </c>
      <c r="V110">
        <f t="shared" si="14"/>
        <v>1</v>
      </c>
      <c r="W110">
        <f t="shared" si="15"/>
        <v>3</v>
      </c>
      <c r="X110">
        <f t="shared" si="16"/>
        <v>0</v>
      </c>
      <c r="Y110">
        <f t="shared" si="17"/>
        <v>0</v>
      </c>
    </row>
    <row r="111" spans="1:25" x14ac:dyDescent="0.3">
      <c r="A111" t="s">
        <v>3287</v>
      </c>
      <c r="B111" t="s">
        <v>3288</v>
      </c>
      <c r="C111" s="1">
        <v>45833</v>
      </c>
      <c r="D111" s="3">
        <v>0.56138888888888894</v>
      </c>
      <c r="E111">
        <f t="shared" si="9"/>
        <v>13</v>
      </c>
      <c r="F111">
        <v>35</v>
      </c>
      <c r="G111" t="s">
        <v>6479</v>
      </c>
      <c r="H111" t="s">
        <v>70</v>
      </c>
      <c r="I111" t="s">
        <v>39</v>
      </c>
      <c r="J111" t="s">
        <v>132</v>
      </c>
      <c r="K111" t="s">
        <v>41</v>
      </c>
      <c r="L111">
        <v>287.23</v>
      </c>
      <c r="M111" t="s">
        <v>6479</v>
      </c>
      <c r="N111">
        <f t="shared" si="10"/>
        <v>1</v>
      </c>
      <c r="O111" t="s">
        <v>34</v>
      </c>
      <c r="P111" t="s">
        <v>3289</v>
      </c>
      <c r="Q111">
        <v>0</v>
      </c>
      <c r="R111">
        <v>123</v>
      </c>
      <c r="S111">
        <f t="shared" si="11"/>
        <v>1.5590840996589255</v>
      </c>
      <c r="T111">
        <f t="shared" si="12"/>
        <v>0</v>
      </c>
      <c r="U111">
        <f t="shared" si="13"/>
        <v>0</v>
      </c>
      <c r="V111">
        <f t="shared" si="14"/>
        <v>1</v>
      </c>
      <c r="W111">
        <f t="shared" si="15"/>
        <v>3</v>
      </c>
      <c r="X111">
        <f t="shared" si="16"/>
        <v>0</v>
      </c>
      <c r="Y111">
        <f t="shared" si="17"/>
        <v>1</v>
      </c>
    </row>
    <row r="112" spans="1:25" x14ac:dyDescent="0.3">
      <c r="A112" t="s">
        <v>1211</v>
      </c>
      <c r="B112" s="2" t="s">
        <v>1212</v>
      </c>
      <c r="C112" s="1">
        <v>45796</v>
      </c>
      <c r="D112" s="3">
        <v>0.70696759259259256</v>
      </c>
      <c r="E112">
        <f t="shared" si="9"/>
        <v>16</v>
      </c>
      <c r="F112">
        <v>59</v>
      </c>
      <c r="G112" t="s">
        <v>60</v>
      </c>
      <c r="H112" t="s">
        <v>80</v>
      </c>
      <c r="I112" t="s">
        <v>71</v>
      </c>
      <c r="J112" t="s">
        <v>76</v>
      </c>
      <c r="K112" t="s">
        <v>50</v>
      </c>
      <c r="L112">
        <v>287.22000000000003</v>
      </c>
      <c r="M112" t="s">
        <v>42</v>
      </c>
      <c r="N112">
        <f t="shared" si="10"/>
        <v>0</v>
      </c>
      <c r="O112" t="s">
        <v>24</v>
      </c>
      <c r="P112" t="s">
        <v>1213</v>
      </c>
      <c r="Q112">
        <v>0</v>
      </c>
      <c r="R112">
        <v>401</v>
      </c>
      <c r="S112">
        <f t="shared" si="11"/>
        <v>1.5589456570641647</v>
      </c>
      <c r="T112">
        <f t="shared" si="12"/>
        <v>0</v>
      </c>
      <c r="U112">
        <f t="shared" si="13"/>
        <v>0</v>
      </c>
      <c r="V112">
        <f t="shared" si="14"/>
        <v>0</v>
      </c>
      <c r="W112">
        <f t="shared" si="15"/>
        <v>0</v>
      </c>
      <c r="X112">
        <f t="shared" si="16"/>
        <v>0</v>
      </c>
      <c r="Y112">
        <f t="shared" si="17"/>
        <v>0</v>
      </c>
    </row>
    <row r="113" spans="1:25" x14ac:dyDescent="0.3">
      <c r="A113" t="s">
        <v>572</v>
      </c>
      <c r="B113" s="2" t="s">
        <v>573</v>
      </c>
      <c r="C113" s="1">
        <v>45747</v>
      </c>
      <c r="D113" s="3">
        <v>0.17128472222222221</v>
      </c>
      <c r="E113">
        <f t="shared" si="9"/>
        <v>4</v>
      </c>
      <c r="F113">
        <v>39</v>
      </c>
      <c r="G113" t="s">
        <v>60</v>
      </c>
      <c r="H113" t="s">
        <v>55</v>
      </c>
      <c r="I113" t="s">
        <v>110</v>
      </c>
      <c r="J113" t="s">
        <v>31</v>
      </c>
      <c r="K113" t="s">
        <v>95</v>
      </c>
      <c r="L113">
        <v>287.20999999999998</v>
      </c>
      <c r="M113" t="s">
        <v>33</v>
      </c>
      <c r="N113">
        <f t="shared" si="10"/>
        <v>0</v>
      </c>
      <c r="O113" t="s">
        <v>24</v>
      </c>
      <c r="P113" t="s">
        <v>574</v>
      </c>
      <c r="Q113">
        <v>0</v>
      </c>
      <c r="R113">
        <v>435</v>
      </c>
      <c r="S113">
        <f t="shared" si="11"/>
        <v>1.5588072144694032</v>
      </c>
      <c r="T113">
        <f t="shared" si="12"/>
        <v>0</v>
      </c>
      <c r="U113">
        <f t="shared" si="13"/>
        <v>1</v>
      </c>
      <c r="V113">
        <f t="shared" si="14"/>
        <v>0</v>
      </c>
      <c r="W113">
        <f t="shared" si="15"/>
        <v>2</v>
      </c>
      <c r="X113">
        <f t="shared" si="16"/>
        <v>0</v>
      </c>
      <c r="Y113">
        <f t="shared" si="17"/>
        <v>0</v>
      </c>
    </row>
    <row r="114" spans="1:25" x14ac:dyDescent="0.3">
      <c r="A114" t="s">
        <v>1070</v>
      </c>
      <c r="B114" t="s">
        <v>1071</v>
      </c>
      <c r="C114" s="1">
        <v>45854</v>
      </c>
      <c r="D114" s="3">
        <v>0.26474537037037038</v>
      </c>
      <c r="E114">
        <f t="shared" si="9"/>
        <v>6</v>
      </c>
      <c r="F114">
        <v>51</v>
      </c>
      <c r="G114" t="s">
        <v>28</v>
      </c>
      <c r="H114" t="s">
        <v>70</v>
      </c>
      <c r="I114" t="s">
        <v>20</v>
      </c>
      <c r="J114" t="s">
        <v>94</v>
      </c>
      <c r="K114" t="s">
        <v>22</v>
      </c>
      <c r="L114">
        <v>287.08</v>
      </c>
      <c r="M114" t="s">
        <v>23</v>
      </c>
      <c r="N114">
        <f t="shared" si="10"/>
        <v>0</v>
      </c>
      <c r="O114" t="s">
        <v>24</v>
      </c>
      <c r="P114" t="s">
        <v>1072</v>
      </c>
      <c r="Q114">
        <v>0</v>
      </c>
      <c r="R114">
        <v>246</v>
      </c>
      <c r="S114">
        <f t="shared" si="11"/>
        <v>1.5570074607375111</v>
      </c>
      <c r="T114">
        <f t="shared" si="12"/>
        <v>0</v>
      </c>
      <c r="U114">
        <f t="shared" si="13"/>
        <v>0</v>
      </c>
      <c r="V114">
        <f t="shared" si="14"/>
        <v>1</v>
      </c>
      <c r="W114">
        <f t="shared" si="15"/>
        <v>1</v>
      </c>
      <c r="X114">
        <f t="shared" si="16"/>
        <v>0</v>
      </c>
      <c r="Y114">
        <f t="shared" si="17"/>
        <v>0</v>
      </c>
    </row>
    <row r="115" spans="1:25" x14ac:dyDescent="0.3">
      <c r="A115" t="s">
        <v>3497</v>
      </c>
      <c r="B115" t="s">
        <v>3498</v>
      </c>
      <c r="C115" s="1">
        <v>45740</v>
      </c>
      <c r="D115" s="3">
        <v>0.21166666666666667</v>
      </c>
      <c r="E115">
        <f t="shared" si="9"/>
        <v>5</v>
      </c>
      <c r="F115">
        <v>60</v>
      </c>
      <c r="G115" t="s">
        <v>60</v>
      </c>
      <c r="H115" t="s">
        <v>70</v>
      </c>
      <c r="I115" t="s">
        <v>119</v>
      </c>
      <c r="J115" t="s">
        <v>49</v>
      </c>
      <c r="K115" t="s">
        <v>62</v>
      </c>
      <c r="L115">
        <v>286.98</v>
      </c>
      <c r="M115" t="s">
        <v>6479</v>
      </c>
      <c r="N115">
        <f t="shared" si="10"/>
        <v>1</v>
      </c>
      <c r="O115" t="s">
        <v>34</v>
      </c>
      <c r="P115" t="s">
        <v>3499</v>
      </c>
      <c r="Q115">
        <v>0</v>
      </c>
      <c r="R115">
        <v>213</v>
      </c>
      <c r="S115">
        <f t="shared" si="11"/>
        <v>1.5556230347899023</v>
      </c>
      <c r="T115">
        <f t="shared" si="12"/>
        <v>0</v>
      </c>
      <c r="U115">
        <f t="shared" si="13"/>
        <v>1</v>
      </c>
      <c r="V115">
        <f t="shared" si="14"/>
        <v>1</v>
      </c>
      <c r="W115">
        <f t="shared" si="15"/>
        <v>5</v>
      </c>
      <c r="X115">
        <f t="shared" si="16"/>
        <v>1</v>
      </c>
      <c r="Y115">
        <f t="shared" si="17"/>
        <v>1</v>
      </c>
    </row>
    <row r="116" spans="1:25" x14ac:dyDescent="0.3">
      <c r="A116" t="s">
        <v>1175</v>
      </c>
      <c r="B116" t="s">
        <v>1176</v>
      </c>
      <c r="C116" s="1">
        <v>45861</v>
      </c>
      <c r="D116" s="3">
        <v>0.52055555555555555</v>
      </c>
      <c r="E116">
        <f t="shared" si="9"/>
        <v>12</v>
      </c>
      <c r="F116">
        <v>59</v>
      </c>
      <c r="G116" t="s">
        <v>46</v>
      </c>
      <c r="H116" t="s">
        <v>167</v>
      </c>
      <c r="I116" t="s">
        <v>105</v>
      </c>
      <c r="J116" t="s">
        <v>56</v>
      </c>
      <c r="K116" t="s">
        <v>62</v>
      </c>
      <c r="L116">
        <v>286.79000000000002</v>
      </c>
      <c r="M116" t="s">
        <v>23</v>
      </c>
      <c r="N116">
        <f t="shared" si="10"/>
        <v>0</v>
      </c>
      <c r="O116" t="s">
        <v>86</v>
      </c>
      <c r="P116" t="s">
        <v>1177</v>
      </c>
      <c r="Q116">
        <v>0</v>
      </c>
      <c r="R116">
        <v>223</v>
      </c>
      <c r="S116">
        <f t="shared" si="11"/>
        <v>1.5529926254894448</v>
      </c>
      <c r="T116">
        <f t="shared" si="12"/>
        <v>0</v>
      </c>
      <c r="U116">
        <f t="shared" si="13"/>
        <v>0</v>
      </c>
      <c r="V116">
        <f t="shared" si="14"/>
        <v>1</v>
      </c>
      <c r="W116">
        <f t="shared" si="15"/>
        <v>1</v>
      </c>
      <c r="X116">
        <f t="shared" si="16"/>
        <v>0</v>
      </c>
      <c r="Y116">
        <f t="shared" si="17"/>
        <v>0</v>
      </c>
    </row>
    <row r="117" spans="1:25" x14ac:dyDescent="0.3">
      <c r="A117" t="s">
        <v>5252</v>
      </c>
      <c r="B117" t="s">
        <v>5253</v>
      </c>
      <c r="C117" s="1">
        <v>45867</v>
      </c>
      <c r="D117" s="3">
        <v>0.65943287037037035</v>
      </c>
      <c r="E117">
        <f t="shared" si="9"/>
        <v>15</v>
      </c>
      <c r="F117">
        <v>41</v>
      </c>
      <c r="G117" t="s">
        <v>46</v>
      </c>
      <c r="H117" t="s">
        <v>142</v>
      </c>
      <c r="I117" t="s">
        <v>110</v>
      </c>
      <c r="J117" t="s">
        <v>72</v>
      </c>
      <c r="K117" t="s">
        <v>95</v>
      </c>
      <c r="L117">
        <v>286.63</v>
      </c>
      <c r="M117" t="s">
        <v>42</v>
      </c>
      <c r="N117">
        <f t="shared" si="10"/>
        <v>0</v>
      </c>
      <c r="O117" t="s">
        <v>86</v>
      </c>
      <c r="P117" t="s">
        <v>5254</v>
      </c>
      <c r="Q117">
        <v>0</v>
      </c>
      <c r="R117">
        <v>191</v>
      </c>
      <c r="S117">
        <f t="shared" si="11"/>
        <v>1.5507775439732696</v>
      </c>
      <c r="T117">
        <f t="shared" si="12"/>
        <v>0</v>
      </c>
      <c r="U117">
        <f t="shared" si="13"/>
        <v>0</v>
      </c>
      <c r="V117">
        <f t="shared" si="14"/>
        <v>1</v>
      </c>
      <c r="W117">
        <f t="shared" si="15"/>
        <v>1</v>
      </c>
      <c r="X117">
        <f t="shared" si="16"/>
        <v>0</v>
      </c>
      <c r="Y117">
        <f t="shared" si="17"/>
        <v>0</v>
      </c>
    </row>
    <row r="118" spans="1:25" x14ac:dyDescent="0.3">
      <c r="A118" t="s">
        <v>1631</v>
      </c>
      <c r="B118" t="s">
        <v>1632</v>
      </c>
      <c r="C118" s="1">
        <v>45839</v>
      </c>
      <c r="D118" s="3">
        <v>0.18063657407407407</v>
      </c>
      <c r="E118">
        <f t="shared" si="9"/>
        <v>4</v>
      </c>
      <c r="F118">
        <v>20</v>
      </c>
      <c r="G118" t="s">
        <v>46</v>
      </c>
      <c r="H118" t="s">
        <v>90</v>
      </c>
      <c r="I118" t="s">
        <v>71</v>
      </c>
      <c r="J118" t="s">
        <v>49</v>
      </c>
      <c r="K118" t="s">
        <v>41</v>
      </c>
      <c r="L118">
        <v>286.45999999999998</v>
      </c>
      <c r="M118" t="s">
        <v>23</v>
      </c>
      <c r="N118">
        <f t="shared" si="10"/>
        <v>0</v>
      </c>
      <c r="O118" t="s">
        <v>34</v>
      </c>
      <c r="P118" t="s">
        <v>1633</v>
      </c>
      <c r="Q118">
        <v>0</v>
      </c>
      <c r="R118">
        <v>199</v>
      </c>
      <c r="S118">
        <f t="shared" si="11"/>
        <v>1.5484240198623338</v>
      </c>
      <c r="T118">
        <f t="shared" si="12"/>
        <v>0</v>
      </c>
      <c r="U118">
        <f t="shared" si="13"/>
        <v>1</v>
      </c>
      <c r="V118">
        <f t="shared" si="14"/>
        <v>1</v>
      </c>
      <c r="W118">
        <f t="shared" si="15"/>
        <v>3</v>
      </c>
      <c r="X118">
        <f t="shared" si="16"/>
        <v>0</v>
      </c>
      <c r="Y118">
        <f t="shared" si="17"/>
        <v>0</v>
      </c>
    </row>
    <row r="119" spans="1:25" x14ac:dyDescent="0.3">
      <c r="A119" s="2" t="s">
        <v>5795</v>
      </c>
      <c r="B119" t="s">
        <v>5796</v>
      </c>
      <c r="C119" s="1">
        <v>45751</v>
      </c>
      <c r="D119" s="3">
        <v>0.8171180555555555</v>
      </c>
      <c r="E119">
        <f t="shared" si="9"/>
        <v>19</v>
      </c>
      <c r="F119">
        <v>56</v>
      </c>
      <c r="G119" t="s">
        <v>60</v>
      </c>
      <c r="H119" t="s">
        <v>80</v>
      </c>
      <c r="I119" t="s">
        <v>20</v>
      </c>
      <c r="J119" t="s">
        <v>56</v>
      </c>
      <c r="K119" t="s">
        <v>95</v>
      </c>
      <c r="L119">
        <v>286.33999999999997</v>
      </c>
      <c r="M119" t="s">
        <v>115</v>
      </c>
      <c r="N119">
        <f t="shared" si="10"/>
        <v>0</v>
      </c>
      <c r="O119" t="s">
        <v>51</v>
      </c>
      <c r="P119" t="s">
        <v>5797</v>
      </c>
      <c r="Q119">
        <v>0</v>
      </c>
      <c r="R119">
        <v>425</v>
      </c>
      <c r="S119">
        <f t="shared" si="11"/>
        <v>1.5467627087252025</v>
      </c>
      <c r="T119">
        <f t="shared" si="12"/>
        <v>0</v>
      </c>
      <c r="U119">
        <f t="shared" si="13"/>
        <v>0</v>
      </c>
      <c r="V119">
        <f t="shared" si="14"/>
        <v>0</v>
      </c>
      <c r="W119">
        <f t="shared" si="15"/>
        <v>0</v>
      </c>
      <c r="X119">
        <f t="shared" si="16"/>
        <v>0</v>
      </c>
      <c r="Y119">
        <f t="shared" si="17"/>
        <v>0</v>
      </c>
    </row>
    <row r="120" spans="1:25" x14ac:dyDescent="0.3">
      <c r="A120" t="s">
        <v>82</v>
      </c>
      <c r="B120" t="s">
        <v>83</v>
      </c>
      <c r="C120" s="1">
        <v>45724</v>
      </c>
      <c r="D120" s="3">
        <v>0.23024305555555555</v>
      </c>
      <c r="E120">
        <f t="shared" si="9"/>
        <v>5</v>
      </c>
      <c r="F120">
        <v>28</v>
      </c>
      <c r="G120" t="s">
        <v>60</v>
      </c>
      <c r="H120" t="s">
        <v>84</v>
      </c>
      <c r="I120" t="s">
        <v>85</v>
      </c>
      <c r="J120" t="s">
        <v>49</v>
      </c>
      <c r="K120" t="s">
        <v>50</v>
      </c>
      <c r="L120">
        <v>286.26</v>
      </c>
      <c r="M120" t="s">
        <v>23</v>
      </c>
      <c r="N120">
        <f t="shared" si="10"/>
        <v>0</v>
      </c>
      <c r="O120" t="s">
        <v>86</v>
      </c>
      <c r="P120" t="s">
        <v>87</v>
      </c>
      <c r="Q120">
        <v>0</v>
      </c>
      <c r="R120">
        <v>77</v>
      </c>
      <c r="S120">
        <f t="shared" si="11"/>
        <v>1.5456551679671153</v>
      </c>
      <c r="T120">
        <f t="shared" si="12"/>
        <v>0</v>
      </c>
      <c r="U120">
        <f t="shared" si="13"/>
        <v>1</v>
      </c>
      <c r="V120">
        <f t="shared" si="14"/>
        <v>1</v>
      </c>
      <c r="W120">
        <f t="shared" si="15"/>
        <v>3</v>
      </c>
      <c r="X120">
        <f t="shared" si="16"/>
        <v>0</v>
      </c>
      <c r="Y120">
        <f t="shared" si="17"/>
        <v>0</v>
      </c>
    </row>
    <row r="121" spans="1:25" x14ac:dyDescent="0.3">
      <c r="A121" t="s">
        <v>2687</v>
      </c>
      <c r="B121" t="s">
        <v>2688</v>
      </c>
      <c r="C121" s="1">
        <v>45818</v>
      </c>
      <c r="D121" s="3">
        <v>0.7409606481481481</v>
      </c>
      <c r="E121">
        <f t="shared" si="9"/>
        <v>17</v>
      </c>
      <c r="F121">
        <v>58</v>
      </c>
      <c r="G121" t="s">
        <v>28</v>
      </c>
      <c r="H121" t="s">
        <v>90</v>
      </c>
      <c r="I121" t="s">
        <v>71</v>
      </c>
      <c r="J121" t="s">
        <v>56</v>
      </c>
      <c r="K121" t="s">
        <v>22</v>
      </c>
      <c r="L121">
        <v>286.25</v>
      </c>
      <c r="M121" t="s">
        <v>115</v>
      </c>
      <c r="N121">
        <f t="shared" si="10"/>
        <v>0</v>
      </c>
      <c r="O121" t="s">
        <v>34</v>
      </c>
      <c r="P121" t="s">
        <v>2689</v>
      </c>
      <c r="Q121">
        <v>0</v>
      </c>
      <c r="R121">
        <v>170</v>
      </c>
      <c r="S121">
        <f t="shared" si="11"/>
        <v>1.5455167253723545</v>
      </c>
      <c r="T121">
        <f t="shared" si="12"/>
        <v>0</v>
      </c>
      <c r="U121">
        <f t="shared" si="13"/>
        <v>0</v>
      </c>
      <c r="V121">
        <f t="shared" si="14"/>
        <v>1</v>
      </c>
      <c r="W121">
        <f t="shared" si="15"/>
        <v>1</v>
      </c>
      <c r="X121">
        <f t="shared" si="16"/>
        <v>0</v>
      </c>
      <c r="Y121">
        <f t="shared" si="17"/>
        <v>0</v>
      </c>
    </row>
    <row r="122" spans="1:25" x14ac:dyDescent="0.3">
      <c r="A122" t="s">
        <v>5603</v>
      </c>
      <c r="B122" t="s">
        <v>5604</v>
      </c>
      <c r="C122" s="1">
        <v>45735</v>
      </c>
      <c r="D122" s="3">
        <v>0.95216435185185189</v>
      </c>
      <c r="E122">
        <f t="shared" si="9"/>
        <v>22</v>
      </c>
      <c r="F122">
        <v>32</v>
      </c>
      <c r="G122" t="s">
        <v>46</v>
      </c>
      <c r="H122" t="s">
        <v>185</v>
      </c>
      <c r="I122" t="s">
        <v>20</v>
      </c>
      <c r="J122" t="s">
        <v>127</v>
      </c>
      <c r="K122" t="s">
        <v>50</v>
      </c>
      <c r="L122">
        <v>286.24</v>
      </c>
      <c r="M122" t="s">
        <v>33</v>
      </c>
      <c r="N122">
        <f t="shared" si="10"/>
        <v>0</v>
      </c>
      <c r="O122" t="s">
        <v>34</v>
      </c>
      <c r="P122" t="s">
        <v>5605</v>
      </c>
      <c r="Q122">
        <v>0</v>
      </c>
      <c r="R122">
        <v>124</v>
      </c>
      <c r="S122">
        <f t="shared" si="11"/>
        <v>1.5453782827775939</v>
      </c>
      <c r="T122">
        <f t="shared" si="12"/>
        <v>0</v>
      </c>
      <c r="U122">
        <f t="shared" si="13"/>
        <v>0</v>
      </c>
      <c r="V122">
        <f t="shared" si="14"/>
        <v>1</v>
      </c>
      <c r="W122">
        <f t="shared" si="15"/>
        <v>1</v>
      </c>
      <c r="X122">
        <f t="shared" si="16"/>
        <v>0</v>
      </c>
      <c r="Y122">
        <f t="shared" si="17"/>
        <v>0</v>
      </c>
    </row>
    <row r="123" spans="1:25" x14ac:dyDescent="0.3">
      <c r="A123" t="s">
        <v>4043</v>
      </c>
      <c r="B123" t="s">
        <v>4044</v>
      </c>
      <c r="C123" s="1">
        <v>45830</v>
      </c>
      <c r="D123" s="3">
        <v>0.78753472222222221</v>
      </c>
      <c r="E123">
        <f t="shared" si="9"/>
        <v>18</v>
      </c>
      <c r="F123" s="4">
        <v>41</v>
      </c>
      <c r="G123" t="s">
        <v>60</v>
      </c>
      <c r="H123" t="s">
        <v>189</v>
      </c>
      <c r="I123" t="s">
        <v>105</v>
      </c>
      <c r="J123" t="s">
        <v>94</v>
      </c>
      <c r="K123" t="s">
        <v>120</v>
      </c>
      <c r="L123">
        <v>286.06</v>
      </c>
      <c r="M123" t="s">
        <v>115</v>
      </c>
      <c r="N123">
        <f t="shared" si="10"/>
        <v>0</v>
      </c>
      <c r="O123" t="s">
        <v>34</v>
      </c>
      <c r="P123" t="s">
        <v>4045</v>
      </c>
      <c r="Q123">
        <v>0</v>
      </c>
      <c r="R123">
        <v>488</v>
      </c>
      <c r="S123">
        <f t="shared" si="11"/>
        <v>1.5428863160718971</v>
      </c>
      <c r="T123">
        <f t="shared" si="12"/>
        <v>0</v>
      </c>
      <c r="U123">
        <f t="shared" si="13"/>
        <v>0</v>
      </c>
      <c r="V123">
        <f t="shared" si="14"/>
        <v>0</v>
      </c>
      <c r="W123">
        <f t="shared" si="15"/>
        <v>0</v>
      </c>
      <c r="X123">
        <f t="shared" si="16"/>
        <v>0</v>
      </c>
      <c r="Y123">
        <f t="shared" si="17"/>
        <v>0</v>
      </c>
    </row>
    <row r="124" spans="1:25" x14ac:dyDescent="0.3">
      <c r="A124" t="s">
        <v>3233</v>
      </c>
      <c r="B124" t="s">
        <v>3234</v>
      </c>
      <c r="C124" s="1">
        <v>45728</v>
      </c>
      <c r="D124" s="3">
        <v>0.61565972222222221</v>
      </c>
      <c r="E124">
        <f t="shared" si="9"/>
        <v>14</v>
      </c>
      <c r="F124">
        <v>25</v>
      </c>
      <c r="G124" t="s">
        <v>18</v>
      </c>
      <c r="H124" t="s">
        <v>312</v>
      </c>
      <c r="I124" t="s">
        <v>110</v>
      </c>
      <c r="J124" t="s">
        <v>56</v>
      </c>
      <c r="K124" t="s">
        <v>101</v>
      </c>
      <c r="L124">
        <v>285.81</v>
      </c>
      <c r="M124" t="s">
        <v>33</v>
      </c>
      <c r="N124">
        <f t="shared" si="10"/>
        <v>0</v>
      </c>
      <c r="O124" t="s">
        <v>34</v>
      </c>
      <c r="P124" t="s">
        <v>3235</v>
      </c>
      <c r="Q124">
        <v>0</v>
      </c>
      <c r="R124">
        <v>481</v>
      </c>
      <c r="S124">
        <f t="shared" si="11"/>
        <v>1.5394252512028739</v>
      </c>
      <c r="T124">
        <f t="shared" si="12"/>
        <v>0</v>
      </c>
      <c r="U124">
        <f t="shared" si="13"/>
        <v>0</v>
      </c>
      <c r="V124">
        <f t="shared" si="14"/>
        <v>0</v>
      </c>
      <c r="W124">
        <f t="shared" si="15"/>
        <v>0</v>
      </c>
      <c r="X124">
        <f t="shared" si="16"/>
        <v>0</v>
      </c>
      <c r="Y124">
        <f t="shared" si="17"/>
        <v>0</v>
      </c>
    </row>
    <row r="125" spans="1:25" x14ac:dyDescent="0.3">
      <c r="A125" t="s">
        <v>1898</v>
      </c>
      <c r="B125" t="s">
        <v>1899</v>
      </c>
      <c r="C125" s="1">
        <v>45758</v>
      </c>
      <c r="D125" s="3">
        <v>0.11465277777777778</v>
      </c>
      <c r="E125">
        <f t="shared" si="9"/>
        <v>2</v>
      </c>
      <c r="F125">
        <v>22</v>
      </c>
      <c r="G125" t="s">
        <v>18</v>
      </c>
      <c r="H125" t="s">
        <v>55</v>
      </c>
      <c r="I125" t="s">
        <v>20</v>
      </c>
      <c r="J125" t="s">
        <v>127</v>
      </c>
      <c r="K125" t="s">
        <v>50</v>
      </c>
      <c r="L125">
        <v>285.60000000000002</v>
      </c>
      <c r="M125" t="s">
        <v>42</v>
      </c>
      <c r="N125">
        <f t="shared" si="10"/>
        <v>0</v>
      </c>
      <c r="O125" t="s">
        <v>34</v>
      </c>
      <c r="P125" t="s">
        <v>1900</v>
      </c>
      <c r="Q125">
        <v>0</v>
      </c>
      <c r="R125">
        <v>212</v>
      </c>
      <c r="S125">
        <f t="shared" si="11"/>
        <v>1.5365179567128948</v>
      </c>
      <c r="T125">
        <f t="shared" si="12"/>
        <v>0</v>
      </c>
      <c r="U125">
        <f t="shared" si="13"/>
        <v>1</v>
      </c>
      <c r="V125">
        <f t="shared" si="14"/>
        <v>1</v>
      </c>
      <c r="W125">
        <f t="shared" si="15"/>
        <v>3</v>
      </c>
      <c r="X125">
        <f t="shared" si="16"/>
        <v>0</v>
      </c>
      <c r="Y125">
        <f t="shared" si="17"/>
        <v>0</v>
      </c>
    </row>
    <row r="126" spans="1:25" x14ac:dyDescent="0.3">
      <c r="A126" t="s">
        <v>156</v>
      </c>
      <c r="B126" t="s">
        <v>157</v>
      </c>
      <c r="C126" s="1">
        <v>45816</v>
      </c>
      <c r="D126" s="3">
        <v>0.62596064814814811</v>
      </c>
      <c r="E126">
        <f t="shared" si="9"/>
        <v>15</v>
      </c>
      <c r="F126">
        <v>42</v>
      </c>
      <c r="G126" t="s">
        <v>6479</v>
      </c>
      <c r="H126" t="s">
        <v>84</v>
      </c>
      <c r="I126" t="s">
        <v>48</v>
      </c>
      <c r="J126" t="s">
        <v>56</v>
      </c>
      <c r="K126" t="s">
        <v>120</v>
      </c>
      <c r="L126">
        <v>285.54000000000002</v>
      </c>
      <c r="M126" t="s">
        <v>23</v>
      </c>
      <c r="N126">
        <f t="shared" si="10"/>
        <v>0</v>
      </c>
      <c r="O126" t="s">
        <v>86</v>
      </c>
      <c r="P126" t="s">
        <v>158</v>
      </c>
      <c r="Q126">
        <v>0</v>
      </c>
      <c r="R126">
        <v>266</v>
      </c>
      <c r="S126">
        <f t="shared" si="11"/>
        <v>1.5356873011443293</v>
      </c>
      <c r="T126">
        <f t="shared" si="12"/>
        <v>0</v>
      </c>
      <c r="U126">
        <f t="shared" si="13"/>
        <v>0</v>
      </c>
      <c r="V126">
        <f t="shared" si="14"/>
        <v>1</v>
      </c>
      <c r="W126">
        <f t="shared" si="15"/>
        <v>1</v>
      </c>
      <c r="X126">
        <f t="shared" si="16"/>
        <v>0</v>
      </c>
      <c r="Y126">
        <f t="shared" si="17"/>
        <v>0</v>
      </c>
    </row>
    <row r="127" spans="1:25" x14ac:dyDescent="0.3">
      <c r="A127" t="s">
        <v>326</v>
      </c>
      <c r="B127" t="s">
        <v>327</v>
      </c>
      <c r="C127" s="1">
        <v>45867</v>
      </c>
      <c r="D127" s="3">
        <v>0.78217592592592589</v>
      </c>
      <c r="E127">
        <f t="shared" si="9"/>
        <v>18</v>
      </c>
      <c r="F127">
        <v>33</v>
      </c>
      <c r="G127" t="s">
        <v>46</v>
      </c>
      <c r="H127" t="s">
        <v>185</v>
      </c>
      <c r="I127" t="s">
        <v>48</v>
      </c>
      <c r="J127" t="s">
        <v>56</v>
      </c>
      <c r="K127" t="s">
        <v>41</v>
      </c>
      <c r="L127">
        <v>285.31</v>
      </c>
      <c r="M127" t="s">
        <v>115</v>
      </c>
      <c r="N127">
        <f t="shared" si="10"/>
        <v>0</v>
      </c>
      <c r="O127" t="s">
        <v>51</v>
      </c>
      <c r="P127" t="s">
        <v>328</v>
      </c>
      <c r="Q127">
        <v>0</v>
      </c>
      <c r="R127">
        <v>436</v>
      </c>
      <c r="S127">
        <f t="shared" si="11"/>
        <v>1.5325031214648277</v>
      </c>
      <c r="T127">
        <f t="shared" si="12"/>
        <v>0</v>
      </c>
      <c r="U127">
        <f t="shared" si="13"/>
        <v>0</v>
      </c>
      <c r="V127">
        <f t="shared" si="14"/>
        <v>0</v>
      </c>
      <c r="W127">
        <f t="shared" si="15"/>
        <v>0</v>
      </c>
      <c r="X127">
        <f t="shared" si="16"/>
        <v>0</v>
      </c>
      <c r="Y127">
        <f t="shared" si="17"/>
        <v>0</v>
      </c>
    </row>
    <row r="128" spans="1:25" x14ac:dyDescent="0.3">
      <c r="A128" t="s">
        <v>455</v>
      </c>
      <c r="B128" t="s">
        <v>456</v>
      </c>
      <c r="C128" s="1">
        <v>45804</v>
      </c>
      <c r="D128" s="3">
        <v>0.96084490740740736</v>
      </c>
      <c r="E128">
        <f t="shared" si="9"/>
        <v>23</v>
      </c>
      <c r="F128">
        <v>61</v>
      </c>
      <c r="G128" t="s">
        <v>46</v>
      </c>
      <c r="H128" t="s">
        <v>55</v>
      </c>
      <c r="I128" t="s">
        <v>71</v>
      </c>
      <c r="J128" t="s">
        <v>49</v>
      </c>
      <c r="K128" t="s">
        <v>32</v>
      </c>
      <c r="L128">
        <v>285.24</v>
      </c>
      <c r="M128" t="s">
        <v>42</v>
      </c>
      <c r="N128">
        <f t="shared" si="10"/>
        <v>0</v>
      </c>
      <c r="O128" t="s">
        <v>34</v>
      </c>
      <c r="P128" t="s">
        <v>457</v>
      </c>
      <c r="Q128">
        <v>0</v>
      </c>
      <c r="R128">
        <v>70</v>
      </c>
      <c r="S128">
        <f t="shared" si="11"/>
        <v>1.5315340233015013</v>
      </c>
      <c r="T128">
        <f t="shared" si="12"/>
        <v>0</v>
      </c>
      <c r="U128">
        <f t="shared" si="13"/>
        <v>0</v>
      </c>
      <c r="V128">
        <f t="shared" si="14"/>
        <v>1</v>
      </c>
      <c r="W128">
        <f t="shared" si="15"/>
        <v>1</v>
      </c>
      <c r="X128">
        <f t="shared" si="16"/>
        <v>0</v>
      </c>
      <c r="Y128">
        <f t="shared" si="17"/>
        <v>0</v>
      </c>
    </row>
    <row r="129" spans="1:25" x14ac:dyDescent="0.3">
      <c r="A129" t="s">
        <v>2168</v>
      </c>
      <c r="B129" t="s">
        <v>2169</v>
      </c>
      <c r="C129" s="1">
        <v>45734</v>
      </c>
      <c r="D129" s="3">
        <v>0.94978009259259255</v>
      </c>
      <c r="E129">
        <f t="shared" si="9"/>
        <v>22</v>
      </c>
      <c r="F129">
        <v>29</v>
      </c>
      <c r="G129" t="s">
        <v>46</v>
      </c>
      <c r="H129" t="s">
        <v>312</v>
      </c>
      <c r="I129" t="s">
        <v>105</v>
      </c>
      <c r="J129" t="s">
        <v>76</v>
      </c>
      <c r="K129" t="s">
        <v>50</v>
      </c>
      <c r="L129">
        <v>285.02999999999997</v>
      </c>
      <c r="M129" t="s">
        <v>115</v>
      </c>
      <c r="N129">
        <f t="shared" si="10"/>
        <v>0</v>
      </c>
      <c r="O129" t="s">
        <v>51</v>
      </c>
      <c r="P129" t="s">
        <v>2170</v>
      </c>
      <c r="Q129">
        <v>0</v>
      </c>
      <c r="R129">
        <v>399</v>
      </c>
      <c r="S129">
        <f t="shared" si="11"/>
        <v>1.5286267288115214</v>
      </c>
      <c r="T129">
        <f t="shared" si="12"/>
        <v>0</v>
      </c>
      <c r="U129">
        <f t="shared" si="13"/>
        <v>0</v>
      </c>
      <c r="V129">
        <f t="shared" si="14"/>
        <v>0</v>
      </c>
      <c r="W129">
        <f t="shared" si="15"/>
        <v>0</v>
      </c>
      <c r="X129">
        <f t="shared" si="16"/>
        <v>0</v>
      </c>
      <c r="Y129">
        <f t="shared" si="17"/>
        <v>0</v>
      </c>
    </row>
    <row r="130" spans="1:25" x14ac:dyDescent="0.3">
      <c r="A130" t="s">
        <v>3587</v>
      </c>
      <c r="B130" t="s">
        <v>3588</v>
      </c>
      <c r="C130" s="1">
        <v>45853</v>
      </c>
      <c r="D130" s="3">
        <v>0.94983796296296297</v>
      </c>
      <c r="E130">
        <f t="shared" ref="E130:E193" si="18">HOUR(D130)</f>
        <v>22</v>
      </c>
      <c r="F130">
        <v>22</v>
      </c>
      <c r="G130" t="s">
        <v>60</v>
      </c>
      <c r="H130" t="s">
        <v>189</v>
      </c>
      <c r="I130" t="s">
        <v>30</v>
      </c>
      <c r="J130" t="s">
        <v>127</v>
      </c>
      <c r="K130" t="s">
        <v>41</v>
      </c>
      <c r="L130">
        <v>284.44</v>
      </c>
      <c r="M130" t="s">
        <v>115</v>
      </c>
      <c r="N130">
        <f t="shared" ref="N130:N193" si="19">IF(M130="Unknown",1,0)</f>
        <v>0</v>
      </c>
      <c r="O130" t="s">
        <v>34</v>
      </c>
      <c r="P130" t="s">
        <v>3589</v>
      </c>
      <c r="Q130">
        <v>0</v>
      </c>
      <c r="R130">
        <v>351</v>
      </c>
      <c r="S130">
        <f t="shared" ref="S130:S193" si="20">(L130-$P$2137)/$P$2138</f>
        <v>1.5204586157206272</v>
      </c>
      <c r="T130">
        <f t="shared" ref="T130:T193" si="21">IF(ABS(Z130)&gt;3,1,0)</f>
        <v>0</v>
      </c>
      <c r="U130">
        <f t="shared" ref="U130:U193" si="22">IF(AND(E130&gt;=0,E130&lt;=5),1,0)</f>
        <v>0</v>
      </c>
      <c r="V130">
        <f t="shared" ref="V130:V193" si="23">IF(R130&lt;AVERAGE($R:$R),1,0)</f>
        <v>0</v>
      </c>
      <c r="W130">
        <f t="shared" ref="W130:W193" si="24">T130*3+U130*2+V130*1+N130*2</f>
        <v>0</v>
      </c>
      <c r="X130">
        <f t="shared" ref="X130:X193" si="25">IF(W130&gt;=5,1,0)</f>
        <v>0</v>
      </c>
      <c r="Y130">
        <f t="shared" ref="Y130:Y193" si="26">IF(M130="Unknown",1,0)</f>
        <v>0</v>
      </c>
    </row>
    <row r="131" spans="1:25" x14ac:dyDescent="0.3">
      <c r="A131" t="s">
        <v>2861</v>
      </c>
      <c r="B131" t="s">
        <v>2862</v>
      </c>
      <c r="C131" s="1">
        <v>45877</v>
      </c>
      <c r="D131" s="3">
        <v>0.35047453703703701</v>
      </c>
      <c r="E131">
        <f t="shared" si="18"/>
        <v>8</v>
      </c>
      <c r="F131">
        <v>42</v>
      </c>
      <c r="G131" t="s">
        <v>18</v>
      </c>
      <c r="H131" t="s">
        <v>84</v>
      </c>
      <c r="I131" t="s">
        <v>85</v>
      </c>
      <c r="J131" t="s">
        <v>72</v>
      </c>
      <c r="K131" t="s">
        <v>41</v>
      </c>
      <c r="L131">
        <v>284.27</v>
      </c>
      <c r="M131" t="s">
        <v>23</v>
      </c>
      <c r="N131">
        <f t="shared" si="19"/>
        <v>0</v>
      </c>
      <c r="O131" t="s">
        <v>51</v>
      </c>
      <c r="P131" t="s">
        <v>2863</v>
      </c>
      <c r="Q131">
        <v>0</v>
      </c>
      <c r="R131">
        <v>492</v>
      </c>
      <c r="S131">
        <f t="shared" si="20"/>
        <v>1.5181050916096912</v>
      </c>
      <c r="T131">
        <f t="shared" si="21"/>
        <v>0</v>
      </c>
      <c r="U131">
        <f t="shared" si="22"/>
        <v>0</v>
      </c>
      <c r="V131">
        <f t="shared" si="23"/>
        <v>0</v>
      </c>
      <c r="W131">
        <f t="shared" si="24"/>
        <v>0</v>
      </c>
      <c r="X131">
        <f t="shared" si="25"/>
        <v>0</v>
      </c>
      <c r="Y131">
        <f t="shared" si="26"/>
        <v>0</v>
      </c>
    </row>
    <row r="132" spans="1:25" x14ac:dyDescent="0.3">
      <c r="A132" t="s">
        <v>6281</v>
      </c>
      <c r="B132" t="s">
        <v>6282</v>
      </c>
      <c r="C132" s="1">
        <v>45867</v>
      </c>
      <c r="D132" s="3">
        <v>0.96005787037037038</v>
      </c>
      <c r="E132">
        <f t="shared" si="18"/>
        <v>23</v>
      </c>
      <c r="F132">
        <v>45</v>
      </c>
      <c r="G132" t="s">
        <v>46</v>
      </c>
      <c r="H132" t="s">
        <v>70</v>
      </c>
      <c r="I132" t="s">
        <v>48</v>
      </c>
      <c r="J132" t="s">
        <v>31</v>
      </c>
      <c r="K132" t="s">
        <v>114</v>
      </c>
      <c r="L132">
        <v>284.25</v>
      </c>
      <c r="M132" t="s">
        <v>23</v>
      </c>
      <c r="N132">
        <f t="shared" si="19"/>
        <v>0</v>
      </c>
      <c r="O132" t="s">
        <v>24</v>
      </c>
      <c r="P132" t="s">
        <v>6283</v>
      </c>
      <c r="Q132">
        <v>0</v>
      </c>
      <c r="R132">
        <v>433</v>
      </c>
      <c r="S132">
        <f t="shared" si="20"/>
        <v>1.5178282064201698</v>
      </c>
      <c r="T132">
        <f t="shared" si="21"/>
        <v>0</v>
      </c>
      <c r="U132">
        <f t="shared" si="22"/>
        <v>0</v>
      </c>
      <c r="V132">
        <f t="shared" si="23"/>
        <v>0</v>
      </c>
      <c r="W132">
        <f t="shared" si="24"/>
        <v>0</v>
      </c>
      <c r="X132">
        <f t="shared" si="25"/>
        <v>0</v>
      </c>
      <c r="Y132">
        <f t="shared" si="26"/>
        <v>0</v>
      </c>
    </row>
    <row r="133" spans="1:25" x14ac:dyDescent="0.3">
      <c r="A133" t="s">
        <v>5489</v>
      </c>
      <c r="B133" t="s">
        <v>5490</v>
      </c>
      <c r="C133" s="1">
        <v>45836</v>
      </c>
      <c r="D133" s="3">
        <v>0.66828703703703707</v>
      </c>
      <c r="E133">
        <f t="shared" si="18"/>
        <v>16</v>
      </c>
      <c r="F133">
        <v>64</v>
      </c>
      <c r="G133" t="s">
        <v>46</v>
      </c>
      <c r="H133" t="s">
        <v>142</v>
      </c>
      <c r="I133" t="s">
        <v>110</v>
      </c>
      <c r="J133" t="s">
        <v>21</v>
      </c>
      <c r="K133" t="s">
        <v>32</v>
      </c>
      <c r="L133">
        <v>283.99</v>
      </c>
      <c r="M133" t="s">
        <v>42</v>
      </c>
      <c r="N133">
        <f t="shared" si="19"/>
        <v>0</v>
      </c>
      <c r="O133" t="s">
        <v>24</v>
      </c>
      <c r="P133" t="s">
        <v>5491</v>
      </c>
      <c r="Q133">
        <v>0</v>
      </c>
      <c r="R133">
        <v>400</v>
      </c>
      <c r="S133">
        <f t="shared" si="20"/>
        <v>1.5142286989563858</v>
      </c>
      <c r="T133">
        <f t="shared" si="21"/>
        <v>0</v>
      </c>
      <c r="U133">
        <f t="shared" si="22"/>
        <v>0</v>
      </c>
      <c r="V133">
        <f t="shared" si="23"/>
        <v>0</v>
      </c>
      <c r="W133">
        <f t="shared" si="24"/>
        <v>0</v>
      </c>
      <c r="X133">
        <f t="shared" si="25"/>
        <v>0</v>
      </c>
      <c r="Y133">
        <f t="shared" si="26"/>
        <v>0</v>
      </c>
    </row>
    <row r="134" spans="1:25" x14ac:dyDescent="0.3">
      <c r="A134" t="s">
        <v>4031</v>
      </c>
      <c r="B134" t="s">
        <v>4032</v>
      </c>
      <c r="C134" s="1">
        <v>45735</v>
      </c>
      <c r="D134" s="3">
        <v>0.67303240740740744</v>
      </c>
      <c r="E134">
        <f t="shared" si="18"/>
        <v>16</v>
      </c>
      <c r="F134">
        <v>35</v>
      </c>
      <c r="G134" t="s">
        <v>18</v>
      </c>
      <c r="H134" t="s">
        <v>232</v>
      </c>
      <c r="I134" t="s">
        <v>20</v>
      </c>
      <c r="J134" t="s">
        <v>40</v>
      </c>
      <c r="K134" t="s">
        <v>168</v>
      </c>
      <c r="L134">
        <v>283.97000000000003</v>
      </c>
      <c r="M134" t="s">
        <v>23</v>
      </c>
      <c r="N134">
        <f t="shared" si="19"/>
        <v>0</v>
      </c>
      <c r="O134" t="s">
        <v>86</v>
      </c>
      <c r="P134" t="s">
        <v>4033</v>
      </c>
      <c r="Q134">
        <v>0</v>
      </c>
      <c r="R134">
        <v>199</v>
      </c>
      <c r="S134">
        <f t="shared" si="20"/>
        <v>1.5139518137668642</v>
      </c>
      <c r="T134">
        <f t="shared" si="21"/>
        <v>0</v>
      </c>
      <c r="U134">
        <f t="shared" si="22"/>
        <v>0</v>
      </c>
      <c r="V134">
        <f t="shared" si="23"/>
        <v>1</v>
      </c>
      <c r="W134">
        <f t="shared" si="24"/>
        <v>1</v>
      </c>
      <c r="X134">
        <f t="shared" si="25"/>
        <v>0</v>
      </c>
      <c r="Y134">
        <f t="shared" si="26"/>
        <v>0</v>
      </c>
    </row>
    <row r="135" spans="1:25" x14ac:dyDescent="0.3">
      <c r="A135" t="s">
        <v>3323</v>
      </c>
      <c r="B135" t="s">
        <v>3324</v>
      </c>
      <c r="C135" s="1">
        <v>45862</v>
      </c>
      <c r="D135" s="3">
        <v>0.63377314814814811</v>
      </c>
      <c r="E135">
        <f t="shared" si="18"/>
        <v>15</v>
      </c>
      <c r="F135" s="4">
        <v>41</v>
      </c>
      <c r="G135" t="s">
        <v>46</v>
      </c>
      <c r="H135" t="s">
        <v>61</v>
      </c>
      <c r="I135" t="s">
        <v>110</v>
      </c>
      <c r="J135" t="s">
        <v>31</v>
      </c>
      <c r="K135" t="s">
        <v>101</v>
      </c>
      <c r="L135">
        <v>283.95</v>
      </c>
      <c r="M135" t="s">
        <v>33</v>
      </c>
      <c r="N135">
        <f t="shared" si="19"/>
        <v>0</v>
      </c>
      <c r="O135" t="s">
        <v>51</v>
      </c>
      <c r="P135" t="s">
        <v>3325</v>
      </c>
      <c r="Q135">
        <v>0</v>
      </c>
      <c r="R135">
        <v>302</v>
      </c>
      <c r="S135">
        <f t="shared" si="20"/>
        <v>1.5136749285773419</v>
      </c>
      <c r="T135">
        <f t="shared" si="21"/>
        <v>0</v>
      </c>
      <c r="U135">
        <f t="shared" si="22"/>
        <v>0</v>
      </c>
      <c r="V135">
        <f t="shared" si="23"/>
        <v>0</v>
      </c>
      <c r="W135">
        <f t="shared" si="24"/>
        <v>0</v>
      </c>
      <c r="X135">
        <f t="shared" si="25"/>
        <v>0</v>
      </c>
      <c r="Y135">
        <f t="shared" si="26"/>
        <v>0</v>
      </c>
    </row>
    <row r="136" spans="1:25" x14ac:dyDescent="0.3">
      <c r="A136" t="s">
        <v>6032</v>
      </c>
      <c r="B136" t="s">
        <v>6033</v>
      </c>
      <c r="C136" s="1">
        <v>45809</v>
      </c>
      <c r="D136" s="3">
        <v>7.1249999999999994E-2</v>
      </c>
      <c r="E136">
        <f t="shared" si="18"/>
        <v>1</v>
      </c>
      <c r="F136">
        <v>45</v>
      </c>
      <c r="G136" t="s">
        <v>46</v>
      </c>
      <c r="H136" t="s">
        <v>84</v>
      </c>
      <c r="I136" t="s">
        <v>71</v>
      </c>
      <c r="J136" t="s">
        <v>72</v>
      </c>
      <c r="K136" t="s">
        <v>32</v>
      </c>
      <c r="L136">
        <v>283.92</v>
      </c>
      <c r="M136" t="s">
        <v>33</v>
      </c>
      <c r="N136">
        <f t="shared" si="19"/>
        <v>0</v>
      </c>
      <c r="O136" t="s">
        <v>51</v>
      </c>
      <c r="P136" t="s">
        <v>6034</v>
      </c>
      <c r="Q136">
        <v>0</v>
      </c>
      <c r="R136">
        <v>279</v>
      </c>
      <c r="S136">
        <f t="shared" si="20"/>
        <v>1.5132596007930594</v>
      </c>
      <c r="T136">
        <f t="shared" si="21"/>
        <v>0</v>
      </c>
      <c r="U136">
        <f t="shared" si="22"/>
        <v>1</v>
      </c>
      <c r="V136">
        <f t="shared" si="23"/>
        <v>0</v>
      </c>
      <c r="W136">
        <f t="shared" si="24"/>
        <v>2</v>
      </c>
      <c r="X136">
        <f t="shared" si="25"/>
        <v>0</v>
      </c>
      <c r="Y136">
        <f t="shared" si="26"/>
        <v>0</v>
      </c>
    </row>
    <row r="137" spans="1:25" x14ac:dyDescent="0.3">
      <c r="A137" t="s">
        <v>2120</v>
      </c>
      <c r="B137" t="s">
        <v>2121</v>
      </c>
      <c r="C137" s="1">
        <v>45841</v>
      </c>
      <c r="D137" s="3">
        <v>1.5173611111111112E-2</v>
      </c>
      <c r="E137">
        <f t="shared" si="18"/>
        <v>0</v>
      </c>
      <c r="F137" s="4">
        <v>41</v>
      </c>
      <c r="G137" t="s">
        <v>46</v>
      </c>
      <c r="H137" t="s">
        <v>100</v>
      </c>
      <c r="I137" t="s">
        <v>30</v>
      </c>
      <c r="J137" t="s">
        <v>56</v>
      </c>
      <c r="K137" t="s">
        <v>101</v>
      </c>
      <c r="L137">
        <v>283.89</v>
      </c>
      <c r="M137" t="s">
        <v>42</v>
      </c>
      <c r="N137">
        <f t="shared" si="19"/>
        <v>0</v>
      </c>
      <c r="O137" t="s">
        <v>51</v>
      </c>
      <c r="P137" t="s">
        <v>2122</v>
      </c>
      <c r="Q137">
        <v>0</v>
      </c>
      <c r="R137">
        <v>446</v>
      </c>
      <c r="S137">
        <f t="shared" si="20"/>
        <v>1.5128442730087763</v>
      </c>
      <c r="T137">
        <f t="shared" si="21"/>
        <v>0</v>
      </c>
      <c r="U137">
        <f t="shared" si="22"/>
        <v>1</v>
      </c>
      <c r="V137">
        <f t="shared" si="23"/>
        <v>0</v>
      </c>
      <c r="W137">
        <f t="shared" si="24"/>
        <v>2</v>
      </c>
      <c r="X137">
        <f t="shared" si="25"/>
        <v>0</v>
      </c>
      <c r="Y137">
        <f t="shared" si="26"/>
        <v>0</v>
      </c>
    </row>
    <row r="138" spans="1:25" x14ac:dyDescent="0.3">
      <c r="A138" t="s">
        <v>5891</v>
      </c>
      <c r="B138" t="s">
        <v>5892</v>
      </c>
      <c r="C138" s="1">
        <v>45725</v>
      </c>
      <c r="D138" s="3">
        <v>0.40962962962962962</v>
      </c>
      <c r="E138">
        <f t="shared" si="18"/>
        <v>9</v>
      </c>
      <c r="F138">
        <v>23</v>
      </c>
      <c r="G138" t="s">
        <v>46</v>
      </c>
      <c r="H138" t="s">
        <v>175</v>
      </c>
      <c r="I138" t="s">
        <v>71</v>
      </c>
      <c r="J138" t="s">
        <v>132</v>
      </c>
      <c r="K138" t="s">
        <v>22</v>
      </c>
      <c r="L138">
        <v>283.85000000000002</v>
      </c>
      <c r="M138" t="s">
        <v>115</v>
      </c>
      <c r="N138">
        <f t="shared" si="19"/>
        <v>0</v>
      </c>
      <c r="O138" t="s">
        <v>86</v>
      </c>
      <c r="P138" t="s">
        <v>5893</v>
      </c>
      <c r="Q138">
        <v>0</v>
      </c>
      <c r="R138">
        <v>293</v>
      </c>
      <c r="S138">
        <f t="shared" si="20"/>
        <v>1.5122905026297331</v>
      </c>
      <c r="T138">
        <f t="shared" si="21"/>
        <v>0</v>
      </c>
      <c r="U138">
        <f t="shared" si="22"/>
        <v>0</v>
      </c>
      <c r="V138">
        <f t="shared" si="23"/>
        <v>0</v>
      </c>
      <c r="W138">
        <f t="shared" si="24"/>
        <v>0</v>
      </c>
      <c r="X138">
        <f t="shared" si="25"/>
        <v>0</v>
      </c>
      <c r="Y138">
        <f t="shared" si="26"/>
        <v>0</v>
      </c>
    </row>
    <row r="139" spans="1:25" x14ac:dyDescent="0.3">
      <c r="A139" s="2" t="s">
        <v>4316</v>
      </c>
      <c r="B139" t="s">
        <v>4317</v>
      </c>
      <c r="C139" s="1">
        <v>45717</v>
      </c>
      <c r="D139" s="3">
        <v>0.56815972222222222</v>
      </c>
      <c r="E139">
        <f t="shared" si="18"/>
        <v>13</v>
      </c>
      <c r="F139">
        <v>56</v>
      </c>
      <c r="G139" t="s">
        <v>18</v>
      </c>
      <c r="H139" t="s">
        <v>47</v>
      </c>
      <c r="I139" t="s">
        <v>20</v>
      </c>
      <c r="J139" t="s">
        <v>132</v>
      </c>
      <c r="K139" t="s">
        <v>114</v>
      </c>
      <c r="L139">
        <v>283.82</v>
      </c>
      <c r="M139" t="s">
        <v>115</v>
      </c>
      <c r="N139">
        <f t="shared" si="19"/>
        <v>0</v>
      </c>
      <c r="O139" t="s">
        <v>34</v>
      </c>
      <c r="P139" t="s">
        <v>4318</v>
      </c>
      <c r="Q139">
        <v>0</v>
      </c>
      <c r="R139">
        <v>279</v>
      </c>
      <c r="S139">
        <f t="shared" si="20"/>
        <v>1.5118751748454498</v>
      </c>
      <c r="T139">
        <f t="shared" si="21"/>
        <v>0</v>
      </c>
      <c r="U139">
        <f t="shared" si="22"/>
        <v>0</v>
      </c>
      <c r="V139">
        <f t="shared" si="23"/>
        <v>0</v>
      </c>
      <c r="W139">
        <f t="shared" si="24"/>
        <v>0</v>
      </c>
      <c r="X139">
        <f t="shared" si="25"/>
        <v>0</v>
      </c>
      <c r="Y139">
        <f t="shared" si="26"/>
        <v>0</v>
      </c>
    </row>
    <row r="140" spans="1:25" x14ac:dyDescent="0.3">
      <c r="A140" t="s">
        <v>1049</v>
      </c>
      <c r="B140" t="s">
        <v>1050</v>
      </c>
      <c r="C140" s="1">
        <v>45837</v>
      </c>
      <c r="D140" s="3">
        <v>0.45709490740740738</v>
      </c>
      <c r="E140">
        <f t="shared" si="18"/>
        <v>10</v>
      </c>
      <c r="F140">
        <v>47</v>
      </c>
      <c r="G140" t="s">
        <v>60</v>
      </c>
      <c r="H140" t="s">
        <v>90</v>
      </c>
      <c r="I140" t="s">
        <v>119</v>
      </c>
      <c r="J140" t="s">
        <v>40</v>
      </c>
      <c r="K140" t="s">
        <v>22</v>
      </c>
      <c r="L140">
        <v>283.63</v>
      </c>
      <c r="M140" t="s">
        <v>42</v>
      </c>
      <c r="N140">
        <f t="shared" si="19"/>
        <v>0</v>
      </c>
      <c r="O140" t="s">
        <v>24</v>
      </c>
      <c r="P140" t="s">
        <v>1051</v>
      </c>
      <c r="Q140">
        <v>0</v>
      </c>
      <c r="R140">
        <v>119</v>
      </c>
      <c r="S140">
        <f t="shared" si="20"/>
        <v>1.5092447655449923</v>
      </c>
      <c r="T140">
        <f t="shared" si="21"/>
        <v>0</v>
      </c>
      <c r="U140">
        <f t="shared" si="22"/>
        <v>0</v>
      </c>
      <c r="V140">
        <f t="shared" si="23"/>
        <v>1</v>
      </c>
      <c r="W140">
        <f t="shared" si="24"/>
        <v>1</v>
      </c>
      <c r="X140">
        <f t="shared" si="25"/>
        <v>0</v>
      </c>
      <c r="Y140">
        <f t="shared" si="26"/>
        <v>0</v>
      </c>
    </row>
    <row r="141" spans="1:25" x14ac:dyDescent="0.3">
      <c r="A141" t="s">
        <v>5387</v>
      </c>
      <c r="B141" t="s">
        <v>5388</v>
      </c>
      <c r="C141" s="1">
        <v>45796</v>
      </c>
      <c r="D141" s="3">
        <v>0.74984953703703705</v>
      </c>
      <c r="E141">
        <f t="shared" si="18"/>
        <v>17</v>
      </c>
      <c r="F141">
        <v>64</v>
      </c>
      <c r="G141" t="s">
        <v>18</v>
      </c>
      <c r="H141" t="s">
        <v>175</v>
      </c>
      <c r="I141" t="s">
        <v>119</v>
      </c>
      <c r="J141" t="s">
        <v>21</v>
      </c>
      <c r="K141" t="s">
        <v>32</v>
      </c>
      <c r="L141">
        <v>283.45</v>
      </c>
      <c r="M141" t="s">
        <v>23</v>
      </c>
      <c r="N141">
        <f t="shared" si="19"/>
        <v>0</v>
      </c>
      <c r="O141" t="s">
        <v>86</v>
      </c>
      <c r="P141" t="s">
        <v>5389</v>
      </c>
      <c r="Q141">
        <v>0</v>
      </c>
      <c r="R141">
        <v>286</v>
      </c>
      <c r="S141">
        <f t="shared" si="20"/>
        <v>1.5067527988392957</v>
      </c>
      <c r="T141">
        <f t="shared" si="21"/>
        <v>0</v>
      </c>
      <c r="U141">
        <f t="shared" si="22"/>
        <v>0</v>
      </c>
      <c r="V141">
        <f t="shared" si="23"/>
        <v>0</v>
      </c>
      <c r="W141">
        <f t="shared" si="24"/>
        <v>0</v>
      </c>
      <c r="X141">
        <f t="shared" si="25"/>
        <v>0</v>
      </c>
      <c r="Y141">
        <f t="shared" si="26"/>
        <v>0</v>
      </c>
    </row>
    <row r="142" spans="1:25" x14ac:dyDescent="0.3">
      <c r="A142" t="s">
        <v>623</v>
      </c>
      <c r="B142" t="s">
        <v>624</v>
      </c>
      <c r="C142" s="1">
        <v>45827</v>
      </c>
      <c r="D142" s="3">
        <v>0.22703703703703704</v>
      </c>
      <c r="E142">
        <f t="shared" si="18"/>
        <v>5</v>
      </c>
      <c r="F142">
        <v>18</v>
      </c>
      <c r="G142" t="s">
        <v>6479</v>
      </c>
      <c r="H142" t="s">
        <v>167</v>
      </c>
      <c r="I142" t="s">
        <v>39</v>
      </c>
      <c r="J142" t="s">
        <v>31</v>
      </c>
      <c r="K142" t="s">
        <v>62</v>
      </c>
      <c r="L142">
        <v>283.27999999999997</v>
      </c>
      <c r="M142" t="s">
        <v>115</v>
      </c>
      <c r="N142">
        <f t="shared" si="19"/>
        <v>0</v>
      </c>
      <c r="O142" t="s">
        <v>24</v>
      </c>
      <c r="P142" t="s">
        <v>625</v>
      </c>
      <c r="Q142">
        <v>0</v>
      </c>
      <c r="R142">
        <v>63</v>
      </c>
      <c r="S142">
        <f t="shared" si="20"/>
        <v>1.5043992747283597</v>
      </c>
      <c r="T142">
        <f t="shared" si="21"/>
        <v>0</v>
      </c>
      <c r="U142">
        <f t="shared" si="22"/>
        <v>1</v>
      </c>
      <c r="V142">
        <f t="shared" si="23"/>
        <v>1</v>
      </c>
      <c r="W142">
        <f t="shared" si="24"/>
        <v>3</v>
      </c>
      <c r="X142">
        <f t="shared" si="25"/>
        <v>0</v>
      </c>
      <c r="Y142">
        <f t="shared" si="26"/>
        <v>0</v>
      </c>
    </row>
    <row r="143" spans="1:25" x14ac:dyDescent="0.3">
      <c r="A143" t="s">
        <v>5102</v>
      </c>
      <c r="B143" t="s">
        <v>5103</v>
      </c>
      <c r="C143" s="1">
        <v>45873</v>
      </c>
      <c r="D143" s="3">
        <v>0.99243055555555559</v>
      </c>
      <c r="E143">
        <f t="shared" si="18"/>
        <v>23</v>
      </c>
      <c r="F143">
        <v>62</v>
      </c>
      <c r="G143" t="s">
        <v>18</v>
      </c>
      <c r="H143" t="s">
        <v>167</v>
      </c>
      <c r="I143" t="s">
        <v>48</v>
      </c>
      <c r="J143" t="s">
        <v>127</v>
      </c>
      <c r="K143" t="s">
        <v>50</v>
      </c>
      <c r="L143">
        <v>283.10000000000002</v>
      </c>
      <c r="M143" t="s">
        <v>115</v>
      </c>
      <c r="N143">
        <f t="shared" si="19"/>
        <v>0</v>
      </c>
      <c r="O143" t="s">
        <v>24</v>
      </c>
      <c r="P143" t="s">
        <v>5104</v>
      </c>
      <c r="Q143">
        <v>0</v>
      </c>
      <c r="R143">
        <v>176</v>
      </c>
      <c r="S143">
        <f t="shared" si="20"/>
        <v>1.5019073080226637</v>
      </c>
      <c r="T143">
        <f t="shared" si="21"/>
        <v>0</v>
      </c>
      <c r="U143">
        <f t="shared" si="22"/>
        <v>0</v>
      </c>
      <c r="V143">
        <f t="shared" si="23"/>
        <v>1</v>
      </c>
      <c r="W143">
        <f t="shared" si="24"/>
        <v>1</v>
      </c>
      <c r="X143">
        <f t="shared" si="25"/>
        <v>0</v>
      </c>
      <c r="Y143">
        <f t="shared" si="26"/>
        <v>0</v>
      </c>
    </row>
    <row r="144" spans="1:25" x14ac:dyDescent="0.3">
      <c r="A144" t="s">
        <v>677</v>
      </c>
      <c r="B144" t="s">
        <v>678</v>
      </c>
      <c r="C144" s="1">
        <v>45842</v>
      </c>
      <c r="D144" s="3">
        <v>0.25809027777777777</v>
      </c>
      <c r="E144">
        <f t="shared" si="18"/>
        <v>6</v>
      </c>
      <c r="F144">
        <v>41</v>
      </c>
      <c r="G144" t="s">
        <v>46</v>
      </c>
      <c r="H144" t="s">
        <v>19</v>
      </c>
      <c r="I144" t="s">
        <v>48</v>
      </c>
      <c r="J144" t="s">
        <v>31</v>
      </c>
      <c r="K144" t="s">
        <v>50</v>
      </c>
      <c r="L144">
        <v>283.02999999999997</v>
      </c>
      <c r="M144" t="s">
        <v>33</v>
      </c>
      <c r="N144">
        <f t="shared" si="19"/>
        <v>0</v>
      </c>
      <c r="O144" t="s">
        <v>34</v>
      </c>
      <c r="P144" t="s">
        <v>679</v>
      </c>
      <c r="Q144">
        <v>0</v>
      </c>
      <c r="R144">
        <v>277</v>
      </c>
      <c r="S144">
        <f t="shared" si="20"/>
        <v>1.5009382098593365</v>
      </c>
      <c r="T144">
        <f t="shared" si="21"/>
        <v>0</v>
      </c>
      <c r="U144">
        <f t="shared" si="22"/>
        <v>0</v>
      </c>
      <c r="V144">
        <f t="shared" si="23"/>
        <v>0</v>
      </c>
      <c r="W144">
        <f t="shared" si="24"/>
        <v>0</v>
      </c>
      <c r="X144">
        <f t="shared" si="25"/>
        <v>0</v>
      </c>
      <c r="Y144">
        <f t="shared" si="26"/>
        <v>0</v>
      </c>
    </row>
    <row r="145" spans="1:25" x14ac:dyDescent="0.3">
      <c r="A145" t="s">
        <v>2423</v>
      </c>
      <c r="B145" t="s">
        <v>2424</v>
      </c>
      <c r="C145" s="1">
        <v>45811</v>
      </c>
      <c r="D145" s="3">
        <v>0.35009259259259257</v>
      </c>
      <c r="E145">
        <f t="shared" si="18"/>
        <v>8</v>
      </c>
      <c r="F145" s="4">
        <v>41</v>
      </c>
      <c r="G145" t="s">
        <v>28</v>
      </c>
      <c r="H145" t="s">
        <v>312</v>
      </c>
      <c r="I145" t="s">
        <v>30</v>
      </c>
      <c r="J145" t="s">
        <v>94</v>
      </c>
      <c r="K145" t="s">
        <v>62</v>
      </c>
      <c r="L145">
        <v>282.95999999999998</v>
      </c>
      <c r="M145" t="s">
        <v>42</v>
      </c>
      <c r="N145">
        <f t="shared" si="19"/>
        <v>0</v>
      </c>
      <c r="O145" t="s">
        <v>24</v>
      </c>
      <c r="P145" t="s">
        <v>2425</v>
      </c>
      <c r="Q145">
        <v>0</v>
      </c>
      <c r="R145">
        <v>377</v>
      </c>
      <c r="S145">
        <f t="shared" si="20"/>
        <v>1.4999691116960101</v>
      </c>
      <c r="T145">
        <f t="shared" si="21"/>
        <v>0</v>
      </c>
      <c r="U145">
        <f t="shared" si="22"/>
        <v>0</v>
      </c>
      <c r="V145">
        <f t="shared" si="23"/>
        <v>0</v>
      </c>
      <c r="W145">
        <f t="shared" si="24"/>
        <v>0</v>
      </c>
      <c r="X145">
        <f t="shared" si="25"/>
        <v>0</v>
      </c>
      <c r="Y145">
        <f t="shared" si="26"/>
        <v>0</v>
      </c>
    </row>
    <row r="146" spans="1:25" x14ac:dyDescent="0.3">
      <c r="A146" t="s">
        <v>3161</v>
      </c>
      <c r="B146" t="s">
        <v>3162</v>
      </c>
      <c r="C146" s="1">
        <v>45852</v>
      </c>
      <c r="D146" s="3">
        <v>0.43513888888888891</v>
      </c>
      <c r="E146">
        <f t="shared" si="18"/>
        <v>10</v>
      </c>
      <c r="F146">
        <v>54</v>
      </c>
      <c r="G146" t="s">
        <v>46</v>
      </c>
      <c r="H146" t="s">
        <v>29</v>
      </c>
      <c r="I146" t="s">
        <v>71</v>
      </c>
      <c r="J146" t="s">
        <v>72</v>
      </c>
      <c r="K146" t="s">
        <v>62</v>
      </c>
      <c r="L146">
        <v>282.85000000000002</v>
      </c>
      <c r="M146" t="s">
        <v>42</v>
      </c>
      <c r="N146">
        <f t="shared" si="19"/>
        <v>0</v>
      </c>
      <c r="O146" t="s">
        <v>34</v>
      </c>
      <c r="P146" t="s">
        <v>3163</v>
      </c>
      <c r="Q146">
        <v>0</v>
      </c>
      <c r="R146">
        <v>88</v>
      </c>
      <c r="S146">
        <f t="shared" si="20"/>
        <v>1.4984462431536405</v>
      </c>
      <c r="T146">
        <f t="shared" si="21"/>
        <v>0</v>
      </c>
      <c r="U146">
        <f t="shared" si="22"/>
        <v>0</v>
      </c>
      <c r="V146">
        <f t="shared" si="23"/>
        <v>1</v>
      </c>
      <c r="W146">
        <f t="shared" si="24"/>
        <v>1</v>
      </c>
      <c r="X146">
        <f t="shared" si="25"/>
        <v>0</v>
      </c>
      <c r="Y146">
        <f t="shared" si="26"/>
        <v>0</v>
      </c>
    </row>
    <row r="147" spans="1:25" x14ac:dyDescent="0.3">
      <c r="A147" t="s">
        <v>3302</v>
      </c>
      <c r="B147" s="2" t="s">
        <v>3303</v>
      </c>
      <c r="C147" s="1">
        <v>45807</v>
      </c>
      <c r="D147" s="3">
        <v>0.57090277777777776</v>
      </c>
      <c r="E147">
        <f t="shared" si="18"/>
        <v>13</v>
      </c>
      <c r="F147">
        <v>31</v>
      </c>
      <c r="G147" t="s">
        <v>46</v>
      </c>
      <c r="H147" t="s">
        <v>55</v>
      </c>
      <c r="I147" t="s">
        <v>105</v>
      </c>
      <c r="J147" t="s">
        <v>72</v>
      </c>
      <c r="K147" t="s">
        <v>62</v>
      </c>
      <c r="L147">
        <v>282.77999999999997</v>
      </c>
      <c r="M147" t="s">
        <v>23</v>
      </c>
      <c r="N147">
        <f t="shared" si="19"/>
        <v>0</v>
      </c>
      <c r="O147" t="s">
        <v>86</v>
      </c>
      <c r="P147" t="s">
        <v>3304</v>
      </c>
      <c r="Q147">
        <v>0</v>
      </c>
      <c r="R147">
        <v>102</v>
      </c>
      <c r="S147">
        <f t="shared" si="20"/>
        <v>1.4974771449903135</v>
      </c>
      <c r="T147">
        <f t="shared" si="21"/>
        <v>0</v>
      </c>
      <c r="U147">
        <f t="shared" si="22"/>
        <v>0</v>
      </c>
      <c r="V147">
        <f t="shared" si="23"/>
        <v>1</v>
      </c>
      <c r="W147">
        <f t="shared" si="24"/>
        <v>1</v>
      </c>
      <c r="X147">
        <f t="shared" si="25"/>
        <v>0</v>
      </c>
      <c r="Y147">
        <f t="shared" si="26"/>
        <v>0</v>
      </c>
    </row>
    <row r="148" spans="1:25" x14ac:dyDescent="0.3">
      <c r="A148" t="s">
        <v>44</v>
      </c>
      <c r="B148" t="s">
        <v>45</v>
      </c>
      <c r="C148" s="1">
        <v>45772</v>
      </c>
      <c r="D148" s="3">
        <v>0.79841435185185183</v>
      </c>
      <c r="E148">
        <f t="shared" si="18"/>
        <v>19</v>
      </c>
      <c r="F148">
        <v>60</v>
      </c>
      <c r="G148" t="s">
        <v>46</v>
      </c>
      <c r="H148" t="s">
        <v>47</v>
      </c>
      <c r="I148" t="s">
        <v>48</v>
      </c>
      <c r="J148" t="s">
        <v>49</v>
      </c>
      <c r="K148" t="s">
        <v>50</v>
      </c>
      <c r="L148">
        <v>282.76</v>
      </c>
      <c r="M148" t="s">
        <v>42</v>
      </c>
      <c r="N148">
        <f t="shared" si="19"/>
        <v>0</v>
      </c>
      <c r="O148" t="s">
        <v>51</v>
      </c>
      <c r="P148" t="s">
        <v>52</v>
      </c>
      <c r="Q148">
        <v>0</v>
      </c>
      <c r="R148">
        <v>186</v>
      </c>
      <c r="S148">
        <f t="shared" si="20"/>
        <v>1.4972002598007919</v>
      </c>
      <c r="T148">
        <f t="shared" si="21"/>
        <v>0</v>
      </c>
      <c r="U148">
        <f t="shared" si="22"/>
        <v>0</v>
      </c>
      <c r="V148">
        <f t="shared" si="23"/>
        <v>1</v>
      </c>
      <c r="W148">
        <f t="shared" si="24"/>
        <v>1</v>
      </c>
      <c r="X148">
        <f t="shared" si="25"/>
        <v>0</v>
      </c>
      <c r="Y148">
        <f t="shared" si="26"/>
        <v>0</v>
      </c>
    </row>
    <row r="149" spans="1:25" x14ac:dyDescent="0.3">
      <c r="A149" t="s">
        <v>605</v>
      </c>
      <c r="B149" t="s">
        <v>606</v>
      </c>
      <c r="C149" s="1">
        <v>45743</v>
      </c>
      <c r="D149" s="3">
        <v>0.42964120370370368</v>
      </c>
      <c r="E149">
        <f t="shared" si="18"/>
        <v>10</v>
      </c>
      <c r="F149">
        <v>47</v>
      </c>
      <c r="G149" t="s">
        <v>6479</v>
      </c>
      <c r="H149" t="s">
        <v>29</v>
      </c>
      <c r="I149" t="s">
        <v>39</v>
      </c>
      <c r="J149" t="s">
        <v>56</v>
      </c>
      <c r="K149" t="s">
        <v>101</v>
      </c>
      <c r="L149">
        <v>282.62</v>
      </c>
      <c r="M149" t="s">
        <v>115</v>
      </c>
      <c r="N149">
        <f t="shared" si="19"/>
        <v>0</v>
      </c>
      <c r="O149" t="s">
        <v>51</v>
      </c>
      <c r="P149" t="s">
        <v>607</v>
      </c>
      <c r="Q149">
        <v>0</v>
      </c>
      <c r="R149">
        <v>179</v>
      </c>
      <c r="S149">
        <f t="shared" si="20"/>
        <v>1.4952620634741391</v>
      </c>
      <c r="T149">
        <f t="shared" si="21"/>
        <v>0</v>
      </c>
      <c r="U149">
        <f t="shared" si="22"/>
        <v>0</v>
      </c>
      <c r="V149">
        <f t="shared" si="23"/>
        <v>1</v>
      </c>
      <c r="W149">
        <f t="shared" si="24"/>
        <v>1</v>
      </c>
      <c r="X149">
        <f t="shared" si="25"/>
        <v>0</v>
      </c>
      <c r="Y149">
        <f t="shared" si="26"/>
        <v>0</v>
      </c>
    </row>
    <row r="150" spans="1:25" x14ac:dyDescent="0.3">
      <c r="A150" t="s">
        <v>1490</v>
      </c>
      <c r="B150" t="s">
        <v>1491</v>
      </c>
      <c r="C150" s="1">
        <v>45822</v>
      </c>
      <c r="D150" s="3">
        <v>0.86366898148148152</v>
      </c>
      <c r="E150">
        <f t="shared" si="18"/>
        <v>20</v>
      </c>
      <c r="F150">
        <v>31</v>
      </c>
      <c r="G150" t="s">
        <v>46</v>
      </c>
      <c r="H150" t="s">
        <v>142</v>
      </c>
      <c r="I150" t="s">
        <v>85</v>
      </c>
      <c r="J150" t="s">
        <v>127</v>
      </c>
      <c r="K150" t="s">
        <v>50</v>
      </c>
      <c r="L150">
        <v>282.36</v>
      </c>
      <c r="M150" t="s">
        <v>23</v>
      </c>
      <c r="N150">
        <f t="shared" si="19"/>
        <v>0</v>
      </c>
      <c r="O150" t="s">
        <v>51</v>
      </c>
      <c r="P150" t="s">
        <v>1492</v>
      </c>
      <c r="Q150">
        <v>0</v>
      </c>
      <c r="R150">
        <v>219</v>
      </c>
      <c r="S150">
        <f t="shared" si="20"/>
        <v>1.4916625560103551</v>
      </c>
      <c r="T150">
        <f t="shared" si="21"/>
        <v>0</v>
      </c>
      <c r="U150">
        <f t="shared" si="22"/>
        <v>0</v>
      </c>
      <c r="V150">
        <f t="shared" si="23"/>
        <v>1</v>
      </c>
      <c r="W150">
        <f t="shared" si="24"/>
        <v>1</v>
      </c>
      <c r="X150">
        <f t="shared" si="25"/>
        <v>0</v>
      </c>
      <c r="Y150">
        <f t="shared" si="26"/>
        <v>0</v>
      </c>
    </row>
    <row r="151" spans="1:25" x14ac:dyDescent="0.3">
      <c r="A151" t="s">
        <v>3983</v>
      </c>
      <c r="B151" t="s">
        <v>3984</v>
      </c>
      <c r="C151" s="1">
        <v>45726</v>
      </c>
      <c r="D151" s="3">
        <v>9.6388888888888885E-2</v>
      </c>
      <c r="E151">
        <f t="shared" si="18"/>
        <v>2</v>
      </c>
      <c r="F151">
        <v>38</v>
      </c>
      <c r="G151" t="s">
        <v>46</v>
      </c>
      <c r="H151" t="s">
        <v>232</v>
      </c>
      <c r="I151" t="s">
        <v>66</v>
      </c>
      <c r="J151" t="s">
        <v>31</v>
      </c>
      <c r="K151" t="s">
        <v>41</v>
      </c>
      <c r="L151">
        <v>282.27999999999997</v>
      </c>
      <c r="M151" t="s">
        <v>42</v>
      </c>
      <c r="N151">
        <f t="shared" si="19"/>
        <v>0</v>
      </c>
      <c r="O151" t="s">
        <v>51</v>
      </c>
      <c r="P151" t="s">
        <v>3985</v>
      </c>
      <c r="Q151">
        <v>0</v>
      </c>
      <c r="R151">
        <v>184</v>
      </c>
      <c r="S151">
        <f t="shared" si="20"/>
        <v>1.4905550152522673</v>
      </c>
      <c r="T151">
        <f t="shared" si="21"/>
        <v>0</v>
      </c>
      <c r="U151">
        <f t="shared" si="22"/>
        <v>1</v>
      </c>
      <c r="V151">
        <f t="shared" si="23"/>
        <v>1</v>
      </c>
      <c r="W151">
        <f t="shared" si="24"/>
        <v>3</v>
      </c>
      <c r="X151">
        <f t="shared" si="25"/>
        <v>0</v>
      </c>
      <c r="Y151">
        <f t="shared" si="26"/>
        <v>0</v>
      </c>
    </row>
    <row r="152" spans="1:25" x14ac:dyDescent="0.3">
      <c r="A152" t="s">
        <v>3614</v>
      </c>
      <c r="B152" t="s">
        <v>3615</v>
      </c>
      <c r="C152" s="1">
        <v>45806</v>
      </c>
      <c r="D152" s="3">
        <v>0.60395833333333337</v>
      </c>
      <c r="E152">
        <f t="shared" si="18"/>
        <v>14</v>
      </c>
      <c r="F152">
        <v>57</v>
      </c>
      <c r="G152" t="s">
        <v>46</v>
      </c>
      <c r="H152" t="s">
        <v>189</v>
      </c>
      <c r="I152" t="s">
        <v>85</v>
      </c>
      <c r="J152" t="s">
        <v>49</v>
      </c>
      <c r="K152" t="s">
        <v>62</v>
      </c>
      <c r="L152">
        <v>282.2</v>
      </c>
      <c r="M152" t="s">
        <v>33</v>
      </c>
      <c r="N152">
        <f t="shared" si="19"/>
        <v>0</v>
      </c>
      <c r="O152" t="s">
        <v>34</v>
      </c>
      <c r="P152" t="s">
        <v>3616</v>
      </c>
      <c r="Q152">
        <v>0</v>
      </c>
      <c r="R152">
        <v>166</v>
      </c>
      <c r="S152">
        <f t="shared" si="20"/>
        <v>1.4894474744941799</v>
      </c>
      <c r="T152">
        <f t="shared" si="21"/>
        <v>0</v>
      </c>
      <c r="U152">
        <f t="shared" si="22"/>
        <v>0</v>
      </c>
      <c r="V152">
        <f t="shared" si="23"/>
        <v>1</v>
      </c>
      <c r="W152">
        <f t="shared" si="24"/>
        <v>1</v>
      </c>
      <c r="X152">
        <f t="shared" si="25"/>
        <v>0</v>
      </c>
      <c r="Y152">
        <f t="shared" si="26"/>
        <v>0</v>
      </c>
    </row>
    <row r="153" spans="1:25" x14ac:dyDescent="0.3">
      <c r="A153" t="s">
        <v>4799</v>
      </c>
      <c r="B153" t="s">
        <v>4800</v>
      </c>
      <c r="C153" s="1">
        <v>45731</v>
      </c>
      <c r="D153" s="3">
        <v>0.66226851851851853</v>
      </c>
      <c r="E153">
        <f t="shared" si="18"/>
        <v>15</v>
      </c>
      <c r="F153">
        <v>18</v>
      </c>
      <c r="G153" t="s">
        <v>46</v>
      </c>
      <c r="H153" t="s">
        <v>38</v>
      </c>
      <c r="I153" t="s">
        <v>48</v>
      </c>
      <c r="J153" t="s">
        <v>76</v>
      </c>
      <c r="K153" t="s">
        <v>95</v>
      </c>
      <c r="L153">
        <v>281.91000000000003</v>
      </c>
      <c r="M153" t="s">
        <v>23</v>
      </c>
      <c r="N153">
        <f t="shared" si="19"/>
        <v>0</v>
      </c>
      <c r="O153" t="s">
        <v>24</v>
      </c>
      <c r="P153" t="s">
        <v>4801</v>
      </c>
      <c r="Q153">
        <v>0</v>
      </c>
      <c r="R153">
        <v>376</v>
      </c>
      <c r="S153">
        <f t="shared" si="20"/>
        <v>1.4854326392461137</v>
      </c>
      <c r="T153">
        <f t="shared" si="21"/>
        <v>0</v>
      </c>
      <c r="U153">
        <f t="shared" si="22"/>
        <v>0</v>
      </c>
      <c r="V153">
        <f t="shared" si="23"/>
        <v>0</v>
      </c>
      <c r="W153">
        <f t="shared" si="24"/>
        <v>0</v>
      </c>
      <c r="X153">
        <f t="shared" si="25"/>
        <v>0</v>
      </c>
      <c r="Y153">
        <f t="shared" si="26"/>
        <v>0</v>
      </c>
    </row>
    <row r="154" spans="1:25" x14ac:dyDescent="0.3">
      <c r="A154" t="s">
        <v>6149</v>
      </c>
      <c r="B154" t="s">
        <v>6150</v>
      </c>
      <c r="C154" s="1">
        <v>45864</v>
      </c>
      <c r="D154" s="3">
        <v>0.38668981481481479</v>
      </c>
      <c r="E154">
        <f t="shared" si="18"/>
        <v>9</v>
      </c>
      <c r="F154">
        <v>62</v>
      </c>
      <c r="G154" t="s">
        <v>60</v>
      </c>
      <c r="H154" t="s">
        <v>29</v>
      </c>
      <c r="I154" t="s">
        <v>39</v>
      </c>
      <c r="J154" t="s">
        <v>21</v>
      </c>
      <c r="K154" t="s">
        <v>120</v>
      </c>
      <c r="L154">
        <v>281.64999999999998</v>
      </c>
      <c r="M154" t="s">
        <v>115</v>
      </c>
      <c r="N154">
        <f t="shared" si="19"/>
        <v>0</v>
      </c>
      <c r="O154" t="s">
        <v>24</v>
      </c>
      <c r="P154" t="s">
        <v>6151</v>
      </c>
      <c r="Q154">
        <v>0</v>
      </c>
      <c r="R154">
        <v>112</v>
      </c>
      <c r="S154">
        <f t="shared" si="20"/>
        <v>1.481833131782329</v>
      </c>
      <c r="T154">
        <f t="shared" si="21"/>
        <v>0</v>
      </c>
      <c r="U154">
        <f t="shared" si="22"/>
        <v>0</v>
      </c>
      <c r="V154">
        <f t="shared" si="23"/>
        <v>1</v>
      </c>
      <c r="W154">
        <f t="shared" si="24"/>
        <v>1</v>
      </c>
      <c r="X154">
        <f t="shared" si="25"/>
        <v>0</v>
      </c>
      <c r="Y154">
        <f t="shared" si="26"/>
        <v>0</v>
      </c>
    </row>
    <row r="155" spans="1:25" x14ac:dyDescent="0.3">
      <c r="A155" t="s">
        <v>1658</v>
      </c>
      <c r="B155" t="s">
        <v>1659</v>
      </c>
      <c r="C155" s="1">
        <v>45861</v>
      </c>
      <c r="D155" s="3">
        <v>0.71563657407407411</v>
      </c>
      <c r="E155">
        <f t="shared" si="18"/>
        <v>17</v>
      </c>
      <c r="F155">
        <v>29</v>
      </c>
      <c r="G155" t="s">
        <v>18</v>
      </c>
      <c r="H155" t="s">
        <v>189</v>
      </c>
      <c r="I155" t="s">
        <v>110</v>
      </c>
      <c r="J155" t="s">
        <v>40</v>
      </c>
      <c r="K155" t="s">
        <v>22</v>
      </c>
      <c r="L155">
        <v>281.54000000000002</v>
      </c>
      <c r="M155" t="s">
        <v>42</v>
      </c>
      <c r="N155">
        <f t="shared" si="19"/>
        <v>0</v>
      </c>
      <c r="O155" t="s">
        <v>86</v>
      </c>
      <c r="P155" t="s">
        <v>1660</v>
      </c>
      <c r="Q155">
        <v>0</v>
      </c>
      <c r="R155">
        <v>343</v>
      </c>
      <c r="S155">
        <f t="shared" si="20"/>
        <v>1.4803102632399594</v>
      </c>
      <c r="T155">
        <f t="shared" si="21"/>
        <v>0</v>
      </c>
      <c r="U155">
        <f t="shared" si="22"/>
        <v>0</v>
      </c>
      <c r="V155">
        <f t="shared" si="23"/>
        <v>0</v>
      </c>
      <c r="W155">
        <f t="shared" si="24"/>
        <v>0</v>
      </c>
      <c r="X155">
        <f t="shared" si="25"/>
        <v>0</v>
      </c>
      <c r="Y155">
        <f t="shared" si="26"/>
        <v>0</v>
      </c>
    </row>
    <row r="156" spans="1:25" x14ac:dyDescent="0.3">
      <c r="A156" t="s">
        <v>1634</v>
      </c>
      <c r="B156" t="s">
        <v>1635</v>
      </c>
      <c r="C156" s="1">
        <v>45877</v>
      </c>
      <c r="D156" s="3">
        <v>0.30494212962962963</v>
      </c>
      <c r="E156">
        <f t="shared" si="18"/>
        <v>7</v>
      </c>
      <c r="F156">
        <v>18</v>
      </c>
      <c r="G156" t="s">
        <v>46</v>
      </c>
      <c r="H156" t="s">
        <v>142</v>
      </c>
      <c r="I156" t="s">
        <v>39</v>
      </c>
      <c r="J156" t="s">
        <v>94</v>
      </c>
      <c r="K156" t="s">
        <v>32</v>
      </c>
      <c r="L156">
        <v>281.44</v>
      </c>
      <c r="M156" t="s">
        <v>115</v>
      </c>
      <c r="N156">
        <f t="shared" si="19"/>
        <v>0</v>
      </c>
      <c r="O156" t="s">
        <v>34</v>
      </c>
      <c r="P156" t="s">
        <v>1636</v>
      </c>
      <c r="Q156">
        <v>0</v>
      </c>
      <c r="R156">
        <v>410</v>
      </c>
      <c r="S156">
        <f t="shared" si="20"/>
        <v>1.4789258372923499</v>
      </c>
      <c r="T156">
        <f t="shared" si="21"/>
        <v>0</v>
      </c>
      <c r="U156">
        <f t="shared" si="22"/>
        <v>0</v>
      </c>
      <c r="V156">
        <f t="shared" si="23"/>
        <v>0</v>
      </c>
      <c r="W156">
        <f t="shared" si="24"/>
        <v>0</v>
      </c>
      <c r="X156">
        <f t="shared" si="25"/>
        <v>0</v>
      </c>
      <c r="Y156">
        <f t="shared" si="26"/>
        <v>0</v>
      </c>
    </row>
    <row r="157" spans="1:25" x14ac:dyDescent="0.3">
      <c r="A157" t="s">
        <v>4313</v>
      </c>
      <c r="B157" t="s">
        <v>4314</v>
      </c>
      <c r="C157" s="1">
        <v>45793</v>
      </c>
      <c r="D157" s="3">
        <v>0.63210648148148152</v>
      </c>
      <c r="E157">
        <f t="shared" si="18"/>
        <v>15</v>
      </c>
      <c r="F157">
        <v>53</v>
      </c>
      <c r="G157" t="s">
        <v>99</v>
      </c>
      <c r="H157" t="s">
        <v>232</v>
      </c>
      <c r="I157" t="s">
        <v>110</v>
      </c>
      <c r="J157" t="s">
        <v>56</v>
      </c>
      <c r="K157" t="s">
        <v>114</v>
      </c>
      <c r="L157">
        <v>281.18</v>
      </c>
      <c r="M157" t="s">
        <v>115</v>
      </c>
      <c r="N157">
        <f t="shared" si="19"/>
        <v>0</v>
      </c>
      <c r="O157" t="s">
        <v>34</v>
      </c>
      <c r="P157" t="s">
        <v>4315</v>
      </c>
      <c r="Q157">
        <v>0</v>
      </c>
      <c r="R157">
        <v>177</v>
      </c>
      <c r="S157">
        <f t="shared" si="20"/>
        <v>1.4753263298285659</v>
      </c>
      <c r="T157">
        <f t="shared" si="21"/>
        <v>0</v>
      </c>
      <c r="U157">
        <f t="shared" si="22"/>
        <v>0</v>
      </c>
      <c r="V157">
        <f t="shared" si="23"/>
        <v>1</v>
      </c>
      <c r="W157">
        <f t="shared" si="24"/>
        <v>1</v>
      </c>
      <c r="X157">
        <f t="shared" si="25"/>
        <v>0</v>
      </c>
      <c r="Y157">
        <f t="shared" si="26"/>
        <v>0</v>
      </c>
    </row>
    <row r="158" spans="1:25" x14ac:dyDescent="0.3">
      <c r="A158" t="s">
        <v>818</v>
      </c>
      <c r="B158" t="s">
        <v>819</v>
      </c>
      <c r="C158" s="1">
        <v>45849</v>
      </c>
      <c r="D158" s="3">
        <v>0.12465277777777778</v>
      </c>
      <c r="E158">
        <f t="shared" si="18"/>
        <v>2</v>
      </c>
      <c r="F158">
        <v>37</v>
      </c>
      <c r="G158" t="s">
        <v>46</v>
      </c>
      <c r="H158" t="s">
        <v>142</v>
      </c>
      <c r="I158" t="s">
        <v>119</v>
      </c>
      <c r="J158" t="s">
        <v>31</v>
      </c>
      <c r="K158" t="s">
        <v>50</v>
      </c>
      <c r="L158">
        <v>281.16000000000003</v>
      </c>
      <c r="M158" t="s">
        <v>33</v>
      </c>
      <c r="N158">
        <f t="shared" si="19"/>
        <v>0</v>
      </c>
      <c r="O158" t="s">
        <v>51</v>
      </c>
      <c r="P158" t="s">
        <v>820</v>
      </c>
      <c r="Q158">
        <v>0</v>
      </c>
      <c r="R158">
        <v>188</v>
      </c>
      <c r="S158">
        <f t="shared" si="20"/>
        <v>1.4750494446390443</v>
      </c>
      <c r="T158">
        <f t="shared" si="21"/>
        <v>0</v>
      </c>
      <c r="U158">
        <f t="shared" si="22"/>
        <v>1</v>
      </c>
      <c r="V158">
        <f t="shared" si="23"/>
        <v>1</v>
      </c>
      <c r="W158">
        <f t="shared" si="24"/>
        <v>3</v>
      </c>
      <c r="X158">
        <f t="shared" si="25"/>
        <v>0</v>
      </c>
      <c r="Y158">
        <f t="shared" si="26"/>
        <v>0</v>
      </c>
    </row>
    <row r="159" spans="1:25" x14ac:dyDescent="0.3">
      <c r="A159" t="s">
        <v>5363</v>
      </c>
      <c r="B159" t="s">
        <v>5364</v>
      </c>
      <c r="C159" s="1">
        <v>45792</v>
      </c>
      <c r="D159" s="3">
        <v>0.23238425925925926</v>
      </c>
      <c r="E159">
        <f t="shared" si="18"/>
        <v>5</v>
      </c>
      <c r="F159">
        <v>53</v>
      </c>
      <c r="G159" t="s">
        <v>46</v>
      </c>
      <c r="H159" t="s">
        <v>312</v>
      </c>
      <c r="I159" t="s">
        <v>119</v>
      </c>
      <c r="J159" t="s">
        <v>72</v>
      </c>
      <c r="K159" t="s">
        <v>114</v>
      </c>
      <c r="L159">
        <v>281.02</v>
      </c>
      <c r="M159" t="s">
        <v>42</v>
      </c>
      <c r="N159">
        <f t="shared" si="19"/>
        <v>0</v>
      </c>
      <c r="O159" t="s">
        <v>86</v>
      </c>
      <c r="P159" t="s">
        <v>5365</v>
      </c>
      <c r="Q159">
        <v>0</v>
      </c>
      <c r="R159">
        <v>287</v>
      </c>
      <c r="S159">
        <f t="shared" si="20"/>
        <v>1.4731112483123909</v>
      </c>
      <c r="T159">
        <f t="shared" si="21"/>
        <v>0</v>
      </c>
      <c r="U159">
        <f t="shared" si="22"/>
        <v>1</v>
      </c>
      <c r="V159">
        <f t="shared" si="23"/>
        <v>0</v>
      </c>
      <c r="W159">
        <f t="shared" si="24"/>
        <v>2</v>
      </c>
      <c r="X159">
        <f t="shared" si="25"/>
        <v>0</v>
      </c>
      <c r="Y159">
        <f t="shared" si="26"/>
        <v>0</v>
      </c>
    </row>
    <row r="160" spans="1:25" x14ac:dyDescent="0.3">
      <c r="A160" t="s">
        <v>5324</v>
      </c>
      <c r="B160" t="s">
        <v>5325</v>
      </c>
      <c r="C160" s="1">
        <v>45784</v>
      </c>
      <c r="D160" s="3">
        <v>0.67090277777777774</v>
      </c>
      <c r="E160">
        <f t="shared" si="18"/>
        <v>16</v>
      </c>
      <c r="F160">
        <v>34</v>
      </c>
      <c r="G160" t="s">
        <v>46</v>
      </c>
      <c r="H160" t="s">
        <v>38</v>
      </c>
      <c r="I160" t="s">
        <v>66</v>
      </c>
      <c r="J160" t="s">
        <v>40</v>
      </c>
      <c r="K160" t="s">
        <v>168</v>
      </c>
      <c r="L160">
        <v>280.95999999999998</v>
      </c>
      <c r="M160" t="s">
        <v>42</v>
      </c>
      <c r="N160">
        <f t="shared" si="19"/>
        <v>0</v>
      </c>
      <c r="O160" t="s">
        <v>34</v>
      </c>
      <c r="P160" t="s">
        <v>5326</v>
      </c>
      <c r="Q160">
        <v>0</v>
      </c>
      <c r="R160">
        <v>418</v>
      </c>
      <c r="S160">
        <f t="shared" si="20"/>
        <v>1.4722805927438252</v>
      </c>
      <c r="T160">
        <f t="shared" si="21"/>
        <v>0</v>
      </c>
      <c r="U160">
        <f t="shared" si="22"/>
        <v>0</v>
      </c>
      <c r="V160">
        <f t="shared" si="23"/>
        <v>0</v>
      </c>
      <c r="W160">
        <f t="shared" si="24"/>
        <v>0</v>
      </c>
      <c r="X160">
        <f t="shared" si="25"/>
        <v>0</v>
      </c>
      <c r="Y160">
        <f t="shared" si="26"/>
        <v>0</v>
      </c>
    </row>
    <row r="161" spans="1:25" x14ac:dyDescent="0.3">
      <c r="A161" t="s">
        <v>2765</v>
      </c>
      <c r="B161" t="s">
        <v>2766</v>
      </c>
      <c r="C161" s="1">
        <v>45779</v>
      </c>
      <c r="D161" s="3">
        <v>0.76012731481481477</v>
      </c>
      <c r="E161">
        <f t="shared" si="18"/>
        <v>18</v>
      </c>
      <c r="F161">
        <v>31</v>
      </c>
      <c r="G161" t="s">
        <v>60</v>
      </c>
      <c r="H161" t="s">
        <v>38</v>
      </c>
      <c r="I161" t="s">
        <v>30</v>
      </c>
      <c r="J161" t="s">
        <v>127</v>
      </c>
      <c r="K161" t="s">
        <v>41</v>
      </c>
      <c r="L161">
        <v>280.92</v>
      </c>
      <c r="M161" t="s">
        <v>23</v>
      </c>
      <c r="N161">
        <f t="shared" si="19"/>
        <v>0</v>
      </c>
      <c r="O161" t="s">
        <v>86</v>
      </c>
      <c r="P161" t="s">
        <v>2767</v>
      </c>
      <c r="Q161">
        <v>0</v>
      </c>
      <c r="R161">
        <v>148</v>
      </c>
      <c r="S161">
        <f t="shared" si="20"/>
        <v>1.4717268223647821</v>
      </c>
      <c r="T161">
        <f t="shared" si="21"/>
        <v>0</v>
      </c>
      <c r="U161">
        <f t="shared" si="22"/>
        <v>0</v>
      </c>
      <c r="V161">
        <f t="shared" si="23"/>
        <v>1</v>
      </c>
      <c r="W161">
        <f t="shared" si="24"/>
        <v>1</v>
      </c>
      <c r="X161">
        <f t="shared" si="25"/>
        <v>0</v>
      </c>
      <c r="Y161">
        <f t="shared" si="26"/>
        <v>0</v>
      </c>
    </row>
    <row r="162" spans="1:25" x14ac:dyDescent="0.3">
      <c r="A162" t="s">
        <v>581</v>
      </c>
      <c r="B162" t="s">
        <v>582</v>
      </c>
      <c r="C162" s="1">
        <v>45862</v>
      </c>
      <c r="D162" s="3">
        <v>0.67685185185185182</v>
      </c>
      <c r="E162">
        <f t="shared" si="18"/>
        <v>16</v>
      </c>
      <c r="F162">
        <v>59</v>
      </c>
      <c r="G162" t="s">
        <v>18</v>
      </c>
      <c r="H162" t="s">
        <v>55</v>
      </c>
      <c r="I162" t="s">
        <v>85</v>
      </c>
      <c r="J162" t="s">
        <v>56</v>
      </c>
      <c r="K162" t="s">
        <v>50</v>
      </c>
      <c r="L162">
        <v>280.85000000000002</v>
      </c>
      <c r="M162" t="s">
        <v>23</v>
      </c>
      <c r="N162">
        <f t="shared" si="19"/>
        <v>0</v>
      </c>
      <c r="O162" t="s">
        <v>51</v>
      </c>
      <c r="P162" t="s">
        <v>583</v>
      </c>
      <c r="Q162">
        <v>0</v>
      </c>
      <c r="R162">
        <v>341</v>
      </c>
      <c r="S162">
        <f t="shared" si="20"/>
        <v>1.4707577242014558</v>
      </c>
      <c r="T162">
        <f t="shared" si="21"/>
        <v>0</v>
      </c>
      <c r="U162">
        <f t="shared" si="22"/>
        <v>0</v>
      </c>
      <c r="V162">
        <f t="shared" si="23"/>
        <v>0</v>
      </c>
      <c r="W162">
        <f t="shared" si="24"/>
        <v>0</v>
      </c>
      <c r="X162">
        <f t="shared" si="25"/>
        <v>0</v>
      </c>
      <c r="Y162">
        <f t="shared" si="26"/>
        <v>0</v>
      </c>
    </row>
    <row r="163" spans="1:25" x14ac:dyDescent="0.3">
      <c r="A163" t="s">
        <v>5222</v>
      </c>
      <c r="B163" t="s">
        <v>5223</v>
      </c>
      <c r="C163" s="1">
        <v>45745</v>
      </c>
      <c r="D163" s="3">
        <v>0.41129629629629627</v>
      </c>
      <c r="E163">
        <f t="shared" si="18"/>
        <v>9</v>
      </c>
      <c r="F163">
        <v>19</v>
      </c>
      <c r="G163" t="s">
        <v>18</v>
      </c>
      <c r="H163" t="s">
        <v>61</v>
      </c>
      <c r="I163" t="s">
        <v>48</v>
      </c>
      <c r="J163" t="s">
        <v>31</v>
      </c>
      <c r="K163" t="s">
        <v>22</v>
      </c>
      <c r="L163">
        <v>280.82</v>
      </c>
      <c r="M163" t="s">
        <v>115</v>
      </c>
      <c r="N163">
        <f t="shared" si="19"/>
        <v>0</v>
      </c>
      <c r="O163" t="s">
        <v>51</v>
      </c>
      <c r="P163" t="s">
        <v>5224</v>
      </c>
      <c r="Q163">
        <v>0</v>
      </c>
      <c r="R163">
        <v>339</v>
      </c>
      <c r="S163">
        <f t="shared" si="20"/>
        <v>1.4703423964171725</v>
      </c>
      <c r="T163">
        <f t="shared" si="21"/>
        <v>0</v>
      </c>
      <c r="U163">
        <f t="shared" si="22"/>
        <v>0</v>
      </c>
      <c r="V163">
        <f t="shared" si="23"/>
        <v>0</v>
      </c>
      <c r="W163">
        <f t="shared" si="24"/>
        <v>0</v>
      </c>
      <c r="X163">
        <f t="shared" si="25"/>
        <v>0</v>
      </c>
      <c r="Y163">
        <f t="shared" si="26"/>
        <v>0</v>
      </c>
    </row>
    <row r="164" spans="1:25" x14ac:dyDescent="0.3">
      <c r="A164" t="s">
        <v>1547</v>
      </c>
      <c r="B164" t="s">
        <v>1548</v>
      </c>
      <c r="C164" s="1">
        <v>45804</v>
      </c>
      <c r="D164" s="3">
        <v>0.37697916666666664</v>
      </c>
      <c r="E164">
        <f t="shared" si="18"/>
        <v>9</v>
      </c>
      <c r="F164" s="4">
        <v>41</v>
      </c>
      <c r="G164" t="s">
        <v>46</v>
      </c>
      <c r="H164" t="s">
        <v>80</v>
      </c>
      <c r="I164" t="s">
        <v>105</v>
      </c>
      <c r="J164" t="s">
        <v>49</v>
      </c>
      <c r="K164" t="s">
        <v>41</v>
      </c>
      <c r="L164">
        <v>280.8</v>
      </c>
      <c r="M164" t="s">
        <v>42</v>
      </c>
      <c r="N164">
        <f t="shared" si="19"/>
        <v>0</v>
      </c>
      <c r="O164" t="s">
        <v>24</v>
      </c>
      <c r="P164" t="s">
        <v>1549</v>
      </c>
      <c r="Q164">
        <v>0</v>
      </c>
      <c r="R164">
        <v>361</v>
      </c>
      <c r="S164">
        <f t="shared" si="20"/>
        <v>1.4700655112276508</v>
      </c>
      <c r="T164">
        <f t="shared" si="21"/>
        <v>0</v>
      </c>
      <c r="U164">
        <f t="shared" si="22"/>
        <v>0</v>
      </c>
      <c r="V164">
        <f t="shared" si="23"/>
        <v>0</v>
      </c>
      <c r="W164">
        <f t="shared" si="24"/>
        <v>0</v>
      </c>
      <c r="X164">
        <f t="shared" si="25"/>
        <v>0</v>
      </c>
      <c r="Y164">
        <f t="shared" si="26"/>
        <v>0</v>
      </c>
    </row>
    <row r="165" spans="1:25" x14ac:dyDescent="0.3">
      <c r="A165" t="s">
        <v>1688</v>
      </c>
      <c r="B165" t="s">
        <v>1689</v>
      </c>
      <c r="C165" s="1">
        <v>45805</v>
      </c>
      <c r="D165" s="3">
        <v>0.63200231481481484</v>
      </c>
      <c r="E165">
        <f t="shared" si="18"/>
        <v>15</v>
      </c>
      <c r="F165">
        <v>43</v>
      </c>
      <c r="G165" t="s">
        <v>18</v>
      </c>
      <c r="H165" t="s">
        <v>189</v>
      </c>
      <c r="I165" t="s">
        <v>71</v>
      </c>
      <c r="J165" t="s">
        <v>127</v>
      </c>
      <c r="K165" t="s">
        <v>32</v>
      </c>
      <c r="L165">
        <v>280.67</v>
      </c>
      <c r="M165" t="s">
        <v>33</v>
      </c>
      <c r="N165">
        <f t="shared" si="19"/>
        <v>0</v>
      </c>
      <c r="O165" t="s">
        <v>86</v>
      </c>
      <c r="P165" t="s">
        <v>1690</v>
      </c>
      <c r="Q165">
        <v>0</v>
      </c>
      <c r="R165">
        <v>262</v>
      </c>
      <c r="S165">
        <f t="shared" si="20"/>
        <v>1.4682657574957589</v>
      </c>
      <c r="T165">
        <f t="shared" si="21"/>
        <v>0</v>
      </c>
      <c r="U165">
        <f t="shared" si="22"/>
        <v>0</v>
      </c>
      <c r="V165">
        <f t="shared" si="23"/>
        <v>1</v>
      </c>
      <c r="W165">
        <f t="shared" si="24"/>
        <v>1</v>
      </c>
      <c r="X165">
        <f t="shared" si="25"/>
        <v>0</v>
      </c>
      <c r="Y165">
        <f t="shared" si="26"/>
        <v>0</v>
      </c>
    </row>
    <row r="166" spans="1:25" x14ac:dyDescent="0.3">
      <c r="A166" t="s">
        <v>3566</v>
      </c>
      <c r="B166" t="s">
        <v>3567</v>
      </c>
      <c r="C166" s="1">
        <v>45871</v>
      </c>
      <c r="D166" s="3">
        <v>0.15881944444444446</v>
      </c>
      <c r="E166">
        <f t="shared" si="18"/>
        <v>3</v>
      </c>
      <c r="F166">
        <v>57</v>
      </c>
      <c r="G166" t="s">
        <v>60</v>
      </c>
      <c r="H166" t="s">
        <v>175</v>
      </c>
      <c r="I166" t="s">
        <v>105</v>
      </c>
      <c r="J166" t="s">
        <v>21</v>
      </c>
      <c r="K166" t="s">
        <v>62</v>
      </c>
      <c r="L166">
        <v>280.67</v>
      </c>
      <c r="M166" t="s">
        <v>42</v>
      </c>
      <c r="N166">
        <f t="shared" si="19"/>
        <v>0</v>
      </c>
      <c r="O166" t="s">
        <v>51</v>
      </c>
      <c r="P166" t="s">
        <v>3568</v>
      </c>
      <c r="Q166">
        <v>1</v>
      </c>
      <c r="R166">
        <v>192</v>
      </c>
      <c r="S166">
        <f t="shared" si="20"/>
        <v>1.4682657574957589</v>
      </c>
      <c r="T166">
        <f t="shared" si="21"/>
        <v>0</v>
      </c>
      <c r="U166">
        <f t="shared" si="22"/>
        <v>1</v>
      </c>
      <c r="V166">
        <f t="shared" si="23"/>
        <v>1</v>
      </c>
      <c r="W166">
        <f t="shared" si="24"/>
        <v>3</v>
      </c>
      <c r="X166">
        <f t="shared" si="25"/>
        <v>0</v>
      </c>
      <c r="Y166">
        <f t="shared" si="26"/>
        <v>0</v>
      </c>
    </row>
    <row r="167" spans="1:25" x14ac:dyDescent="0.3">
      <c r="A167" t="s">
        <v>4991</v>
      </c>
      <c r="B167" t="s">
        <v>4992</v>
      </c>
      <c r="C167" s="1">
        <v>45833</v>
      </c>
      <c r="D167" s="3">
        <v>0.80196759259259254</v>
      </c>
      <c r="E167">
        <f t="shared" si="18"/>
        <v>19</v>
      </c>
      <c r="F167">
        <v>42</v>
      </c>
      <c r="G167" t="s">
        <v>18</v>
      </c>
      <c r="H167" t="s">
        <v>239</v>
      </c>
      <c r="I167" t="s">
        <v>66</v>
      </c>
      <c r="J167" t="s">
        <v>76</v>
      </c>
      <c r="K167" t="s">
        <v>101</v>
      </c>
      <c r="L167">
        <v>280.12</v>
      </c>
      <c r="M167" t="s">
        <v>33</v>
      </c>
      <c r="N167">
        <f t="shared" si="19"/>
        <v>0</v>
      </c>
      <c r="O167" t="s">
        <v>86</v>
      </c>
      <c r="P167" t="s">
        <v>4993</v>
      </c>
      <c r="Q167">
        <v>0</v>
      </c>
      <c r="R167">
        <v>84</v>
      </c>
      <c r="S167">
        <f t="shared" si="20"/>
        <v>1.460651414783908</v>
      </c>
      <c r="T167">
        <f t="shared" si="21"/>
        <v>0</v>
      </c>
      <c r="U167">
        <f t="shared" si="22"/>
        <v>0</v>
      </c>
      <c r="V167">
        <f t="shared" si="23"/>
        <v>1</v>
      </c>
      <c r="W167">
        <f t="shared" si="24"/>
        <v>1</v>
      </c>
      <c r="X167">
        <f t="shared" si="25"/>
        <v>0</v>
      </c>
      <c r="Y167">
        <f t="shared" si="26"/>
        <v>0</v>
      </c>
    </row>
    <row r="168" spans="1:25" x14ac:dyDescent="0.3">
      <c r="A168" t="s">
        <v>2330</v>
      </c>
      <c r="B168" t="s">
        <v>2331</v>
      </c>
      <c r="C168" s="1">
        <v>45796</v>
      </c>
      <c r="D168" s="3">
        <v>0.42297453703703702</v>
      </c>
      <c r="E168">
        <f t="shared" si="18"/>
        <v>10</v>
      </c>
      <c r="F168">
        <v>51</v>
      </c>
      <c r="G168" t="s">
        <v>46</v>
      </c>
      <c r="H168" t="s">
        <v>61</v>
      </c>
      <c r="I168" t="s">
        <v>39</v>
      </c>
      <c r="J168" t="s">
        <v>94</v>
      </c>
      <c r="K168" t="s">
        <v>120</v>
      </c>
      <c r="L168">
        <v>279.73</v>
      </c>
      <c r="M168" t="s">
        <v>23</v>
      </c>
      <c r="N168">
        <f t="shared" si="19"/>
        <v>0</v>
      </c>
      <c r="O168" t="s">
        <v>51</v>
      </c>
      <c r="P168" t="s">
        <v>2332</v>
      </c>
      <c r="Q168">
        <v>0</v>
      </c>
      <c r="R168">
        <v>466</v>
      </c>
      <c r="S168">
        <f t="shared" si="20"/>
        <v>1.4552521535882321</v>
      </c>
      <c r="T168">
        <f t="shared" si="21"/>
        <v>0</v>
      </c>
      <c r="U168">
        <f t="shared" si="22"/>
        <v>0</v>
      </c>
      <c r="V168">
        <f t="shared" si="23"/>
        <v>0</v>
      </c>
      <c r="W168">
        <f t="shared" si="24"/>
        <v>0</v>
      </c>
      <c r="X168">
        <f t="shared" si="25"/>
        <v>0</v>
      </c>
      <c r="Y168">
        <f t="shared" si="26"/>
        <v>0</v>
      </c>
    </row>
    <row r="169" spans="1:25" x14ac:dyDescent="0.3">
      <c r="A169" t="s">
        <v>1769</v>
      </c>
      <c r="B169" t="s">
        <v>1770</v>
      </c>
      <c r="C169" s="1">
        <v>45815</v>
      </c>
      <c r="D169" s="3">
        <v>0.92937499999999995</v>
      </c>
      <c r="E169">
        <f t="shared" si="18"/>
        <v>22</v>
      </c>
      <c r="F169">
        <v>49</v>
      </c>
      <c r="G169" t="s">
        <v>18</v>
      </c>
      <c r="H169" t="s">
        <v>29</v>
      </c>
      <c r="I169" t="s">
        <v>110</v>
      </c>
      <c r="J169" t="s">
        <v>72</v>
      </c>
      <c r="K169" t="s">
        <v>22</v>
      </c>
      <c r="L169">
        <v>279.38</v>
      </c>
      <c r="M169" t="s">
        <v>42</v>
      </c>
      <c r="N169">
        <f t="shared" si="19"/>
        <v>0</v>
      </c>
      <c r="O169" t="s">
        <v>51</v>
      </c>
      <c r="P169" t="s">
        <v>1771</v>
      </c>
      <c r="Q169">
        <v>0</v>
      </c>
      <c r="R169">
        <v>196</v>
      </c>
      <c r="S169">
        <f t="shared" si="20"/>
        <v>1.4504066627715995</v>
      </c>
      <c r="T169">
        <f t="shared" si="21"/>
        <v>0</v>
      </c>
      <c r="U169">
        <f t="shared" si="22"/>
        <v>0</v>
      </c>
      <c r="V169">
        <f t="shared" si="23"/>
        <v>1</v>
      </c>
      <c r="W169">
        <f t="shared" si="24"/>
        <v>1</v>
      </c>
      <c r="X169">
        <f t="shared" si="25"/>
        <v>0</v>
      </c>
      <c r="Y169">
        <f t="shared" si="26"/>
        <v>0</v>
      </c>
    </row>
    <row r="170" spans="1:25" x14ac:dyDescent="0.3">
      <c r="A170" t="s">
        <v>2786</v>
      </c>
      <c r="B170" t="s">
        <v>2787</v>
      </c>
      <c r="C170" s="1">
        <v>45843</v>
      </c>
      <c r="D170" s="3">
        <v>0.91842592592592598</v>
      </c>
      <c r="E170">
        <f t="shared" si="18"/>
        <v>22</v>
      </c>
      <c r="F170">
        <v>62</v>
      </c>
      <c r="G170" t="s">
        <v>28</v>
      </c>
      <c r="H170" t="s">
        <v>90</v>
      </c>
      <c r="I170" t="s">
        <v>85</v>
      </c>
      <c r="J170" t="s">
        <v>127</v>
      </c>
      <c r="K170" t="s">
        <v>168</v>
      </c>
      <c r="L170">
        <v>279.22000000000003</v>
      </c>
      <c r="M170" t="s">
        <v>115</v>
      </c>
      <c r="N170">
        <f t="shared" si="19"/>
        <v>0</v>
      </c>
      <c r="O170" t="s">
        <v>51</v>
      </c>
      <c r="P170" t="s">
        <v>2788</v>
      </c>
      <c r="Q170">
        <v>0</v>
      </c>
      <c r="R170">
        <v>353</v>
      </c>
      <c r="S170">
        <f t="shared" si="20"/>
        <v>1.4481915812554251</v>
      </c>
      <c r="T170">
        <f t="shared" si="21"/>
        <v>0</v>
      </c>
      <c r="U170">
        <f t="shared" si="22"/>
        <v>0</v>
      </c>
      <c r="V170">
        <f t="shared" si="23"/>
        <v>0</v>
      </c>
      <c r="W170">
        <f t="shared" si="24"/>
        <v>0</v>
      </c>
      <c r="X170">
        <f t="shared" si="25"/>
        <v>0</v>
      </c>
      <c r="Y170">
        <f t="shared" si="26"/>
        <v>0</v>
      </c>
    </row>
    <row r="171" spans="1:25" x14ac:dyDescent="0.3">
      <c r="A171" t="s">
        <v>6251</v>
      </c>
      <c r="B171" t="s">
        <v>6252</v>
      </c>
      <c r="C171" s="1">
        <v>45753</v>
      </c>
      <c r="D171" s="3">
        <v>0.49307870370370371</v>
      </c>
      <c r="E171">
        <f t="shared" si="18"/>
        <v>11</v>
      </c>
      <c r="F171">
        <v>47</v>
      </c>
      <c r="G171" t="s">
        <v>60</v>
      </c>
      <c r="H171" t="s">
        <v>19</v>
      </c>
      <c r="I171" t="s">
        <v>66</v>
      </c>
      <c r="J171" t="s">
        <v>132</v>
      </c>
      <c r="K171" t="s">
        <v>120</v>
      </c>
      <c r="L171">
        <v>279.16000000000003</v>
      </c>
      <c r="M171" t="s">
        <v>23</v>
      </c>
      <c r="N171">
        <f t="shared" si="19"/>
        <v>0</v>
      </c>
      <c r="O171" t="s">
        <v>86</v>
      </c>
      <c r="P171" t="s">
        <v>6253</v>
      </c>
      <c r="Q171">
        <v>0</v>
      </c>
      <c r="R171">
        <v>213</v>
      </c>
      <c r="S171">
        <f t="shared" si="20"/>
        <v>1.4473609256868594</v>
      </c>
      <c r="T171">
        <f t="shared" si="21"/>
        <v>0</v>
      </c>
      <c r="U171">
        <f t="shared" si="22"/>
        <v>0</v>
      </c>
      <c r="V171">
        <f t="shared" si="23"/>
        <v>1</v>
      </c>
      <c r="W171">
        <f t="shared" si="24"/>
        <v>1</v>
      </c>
      <c r="X171">
        <f t="shared" si="25"/>
        <v>0</v>
      </c>
      <c r="Y171">
        <f t="shared" si="26"/>
        <v>0</v>
      </c>
    </row>
    <row r="172" spans="1:25" x14ac:dyDescent="0.3">
      <c r="A172" t="s">
        <v>5816</v>
      </c>
      <c r="B172" t="s">
        <v>5817</v>
      </c>
      <c r="C172" s="1">
        <v>45799</v>
      </c>
      <c r="D172" s="3">
        <v>0.52187499999999998</v>
      </c>
      <c r="E172">
        <f t="shared" si="18"/>
        <v>12</v>
      </c>
      <c r="F172">
        <v>51</v>
      </c>
      <c r="G172" t="s">
        <v>46</v>
      </c>
      <c r="H172" t="s">
        <v>55</v>
      </c>
      <c r="I172" t="s">
        <v>110</v>
      </c>
      <c r="J172" t="s">
        <v>132</v>
      </c>
      <c r="K172" t="s">
        <v>41</v>
      </c>
      <c r="L172">
        <v>279.04000000000002</v>
      </c>
      <c r="M172" t="s">
        <v>42</v>
      </c>
      <c r="N172">
        <f t="shared" si="19"/>
        <v>0</v>
      </c>
      <c r="O172" t="s">
        <v>86</v>
      </c>
      <c r="P172" t="s">
        <v>5818</v>
      </c>
      <c r="Q172">
        <v>0</v>
      </c>
      <c r="R172">
        <v>155</v>
      </c>
      <c r="S172">
        <f t="shared" si="20"/>
        <v>1.4456996145497283</v>
      </c>
      <c r="T172">
        <f t="shared" si="21"/>
        <v>0</v>
      </c>
      <c r="U172">
        <f t="shared" si="22"/>
        <v>0</v>
      </c>
      <c r="V172">
        <f t="shared" si="23"/>
        <v>1</v>
      </c>
      <c r="W172">
        <f t="shared" si="24"/>
        <v>1</v>
      </c>
      <c r="X172">
        <f t="shared" si="25"/>
        <v>0</v>
      </c>
      <c r="Y172">
        <f t="shared" si="26"/>
        <v>0</v>
      </c>
    </row>
    <row r="173" spans="1:25" x14ac:dyDescent="0.3">
      <c r="A173" t="s">
        <v>4586</v>
      </c>
      <c r="B173" t="s">
        <v>4587</v>
      </c>
      <c r="C173" s="1">
        <v>45785</v>
      </c>
      <c r="D173" s="3">
        <v>0.67842592592592588</v>
      </c>
      <c r="E173">
        <f t="shared" si="18"/>
        <v>16</v>
      </c>
      <c r="F173">
        <v>48</v>
      </c>
      <c r="G173" t="s">
        <v>18</v>
      </c>
      <c r="H173" t="s">
        <v>29</v>
      </c>
      <c r="I173" t="s">
        <v>48</v>
      </c>
      <c r="J173" t="s">
        <v>127</v>
      </c>
      <c r="K173" t="s">
        <v>41</v>
      </c>
      <c r="L173">
        <v>278.97000000000003</v>
      </c>
      <c r="M173" t="s">
        <v>23</v>
      </c>
      <c r="N173">
        <f t="shared" si="19"/>
        <v>0</v>
      </c>
      <c r="O173" t="s">
        <v>51</v>
      </c>
      <c r="P173" t="s">
        <v>4588</v>
      </c>
      <c r="Q173">
        <v>0</v>
      </c>
      <c r="R173">
        <v>294</v>
      </c>
      <c r="S173">
        <f t="shared" si="20"/>
        <v>1.4447305163864019</v>
      </c>
      <c r="T173">
        <f t="shared" si="21"/>
        <v>0</v>
      </c>
      <c r="U173">
        <f t="shared" si="22"/>
        <v>0</v>
      </c>
      <c r="V173">
        <f t="shared" si="23"/>
        <v>0</v>
      </c>
      <c r="W173">
        <f t="shared" si="24"/>
        <v>0</v>
      </c>
      <c r="X173">
        <f t="shared" si="25"/>
        <v>0</v>
      </c>
      <c r="Y173">
        <f t="shared" si="26"/>
        <v>0</v>
      </c>
    </row>
    <row r="174" spans="1:25" x14ac:dyDescent="0.3">
      <c r="A174" t="s">
        <v>4823</v>
      </c>
      <c r="B174" t="s">
        <v>4824</v>
      </c>
      <c r="C174" s="1">
        <v>45874</v>
      </c>
      <c r="D174" s="3">
        <v>0.85707175925925927</v>
      </c>
      <c r="E174">
        <f t="shared" si="18"/>
        <v>20</v>
      </c>
      <c r="F174">
        <v>54</v>
      </c>
      <c r="G174" t="s">
        <v>60</v>
      </c>
      <c r="H174" t="s">
        <v>167</v>
      </c>
      <c r="I174" t="s">
        <v>30</v>
      </c>
      <c r="J174" t="s">
        <v>76</v>
      </c>
      <c r="K174" t="s">
        <v>32</v>
      </c>
      <c r="L174">
        <v>278.89999999999998</v>
      </c>
      <c r="M174" t="s">
        <v>33</v>
      </c>
      <c r="N174">
        <f t="shared" si="19"/>
        <v>0</v>
      </c>
      <c r="O174" t="s">
        <v>24</v>
      </c>
      <c r="P174" t="s">
        <v>4825</v>
      </c>
      <c r="Q174">
        <v>0</v>
      </c>
      <c r="R174">
        <v>109</v>
      </c>
      <c r="S174">
        <f t="shared" si="20"/>
        <v>1.4437614182230747</v>
      </c>
      <c r="T174">
        <f t="shared" si="21"/>
        <v>0</v>
      </c>
      <c r="U174">
        <f t="shared" si="22"/>
        <v>0</v>
      </c>
      <c r="V174">
        <f t="shared" si="23"/>
        <v>1</v>
      </c>
      <c r="W174">
        <f t="shared" si="24"/>
        <v>1</v>
      </c>
      <c r="X174">
        <f t="shared" si="25"/>
        <v>0</v>
      </c>
      <c r="Y174">
        <f t="shared" si="26"/>
        <v>0</v>
      </c>
    </row>
    <row r="175" spans="1:25" x14ac:dyDescent="0.3">
      <c r="A175" t="s">
        <v>6341</v>
      </c>
      <c r="B175" t="s">
        <v>6342</v>
      </c>
      <c r="C175" s="1">
        <v>45834</v>
      </c>
      <c r="D175" s="3">
        <v>0.4001736111111111</v>
      </c>
      <c r="E175">
        <f t="shared" si="18"/>
        <v>9</v>
      </c>
      <c r="F175">
        <v>46</v>
      </c>
      <c r="G175" t="s">
        <v>60</v>
      </c>
      <c r="H175" t="s">
        <v>80</v>
      </c>
      <c r="I175" t="s">
        <v>20</v>
      </c>
      <c r="J175" t="s">
        <v>94</v>
      </c>
      <c r="K175" t="s">
        <v>22</v>
      </c>
      <c r="L175">
        <v>278.88</v>
      </c>
      <c r="M175" t="s">
        <v>42</v>
      </c>
      <c r="N175">
        <f t="shared" si="19"/>
        <v>0</v>
      </c>
      <c r="O175" t="s">
        <v>34</v>
      </c>
      <c r="P175" t="s">
        <v>6343</v>
      </c>
      <c r="Q175">
        <v>0</v>
      </c>
      <c r="R175">
        <v>133</v>
      </c>
      <c r="S175">
        <f t="shared" si="20"/>
        <v>1.4434845330335531</v>
      </c>
      <c r="T175">
        <f t="shared" si="21"/>
        <v>0</v>
      </c>
      <c r="U175">
        <f t="shared" si="22"/>
        <v>0</v>
      </c>
      <c r="V175">
        <f t="shared" si="23"/>
        <v>1</v>
      </c>
      <c r="W175">
        <f t="shared" si="24"/>
        <v>1</v>
      </c>
      <c r="X175">
        <f t="shared" si="25"/>
        <v>0</v>
      </c>
      <c r="Y175">
        <f t="shared" si="26"/>
        <v>0</v>
      </c>
    </row>
    <row r="176" spans="1:25" x14ac:dyDescent="0.3">
      <c r="A176" t="s">
        <v>3755</v>
      </c>
      <c r="B176" t="s">
        <v>3756</v>
      </c>
      <c r="C176" s="1">
        <v>45837</v>
      </c>
      <c r="D176" s="3">
        <v>0.70196759259259256</v>
      </c>
      <c r="E176">
        <f t="shared" si="18"/>
        <v>16</v>
      </c>
      <c r="F176">
        <v>45</v>
      </c>
      <c r="G176" t="s">
        <v>46</v>
      </c>
      <c r="H176" t="s">
        <v>38</v>
      </c>
      <c r="I176" t="s">
        <v>71</v>
      </c>
      <c r="J176" t="s">
        <v>94</v>
      </c>
      <c r="K176" t="s">
        <v>101</v>
      </c>
      <c r="L176">
        <v>278.45</v>
      </c>
      <c r="M176" t="s">
        <v>115</v>
      </c>
      <c r="N176">
        <f t="shared" si="19"/>
        <v>0</v>
      </c>
      <c r="O176" t="s">
        <v>86</v>
      </c>
      <c r="P176" t="s">
        <v>3757</v>
      </c>
      <c r="Q176">
        <v>1</v>
      </c>
      <c r="R176">
        <v>327</v>
      </c>
      <c r="S176">
        <f t="shared" si="20"/>
        <v>1.4375315014588332</v>
      </c>
      <c r="T176">
        <f t="shared" si="21"/>
        <v>0</v>
      </c>
      <c r="U176">
        <f t="shared" si="22"/>
        <v>0</v>
      </c>
      <c r="V176">
        <f t="shared" si="23"/>
        <v>0</v>
      </c>
      <c r="W176">
        <f t="shared" si="24"/>
        <v>0</v>
      </c>
      <c r="X176">
        <f t="shared" si="25"/>
        <v>0</v>
      </c>
      <c r="Y176">
        <f t="shared" si="26"/>
        <v>0</v>
      </c>
    </row>
    <row r="177" spans="1:25" x14ac:dyDescent="0.3">
      <c r="A177" s="2" t="s">
        <v>5354</v>
      </c>
      <c r="B177" t="s">
        <v>5355</v>
      </c>
      <c r="C177" s="1">
        <v>45772</v>
      </c>
      <c r="D177" s="3">
        <v>0.13252314814814814</v>
      </c>
      <c r="E177">
        <f t="shared" si="18"/>
        <v>3</v>
      </c>
      <c r="F177">
        <v>64</v>
      </c>
      <c r="G177" t="s">
        <v>18</v>
      </c>
      <c r="H177" t="s">
        <v>84</v>
      </c>
      <c r="I177" t="s">
        <v>85</v>
      </c>
      <c r="J177" t="s">
        <v>76</v>
      </c>
      <c r="K177" t="s">
        <v>114</v>
      </c>
      <c r="L177">
        <v>278.3</v>
      </c>
      <c r="M177" t="s">
        <v>42</v>
      </c>
      <c r="N177">
        <f t="shared" si="19"/>
        <v>0</v>
      </c>
      <c r="O177" t="s">
        <v>51</v>
      </c>
      <c r="P177" t="s">
        <v>5356</v>
      </c>
      <c r="Q177">
        <v>0</v>
      </c>
      <c r="R177">
        <v>361</v>
      </c>
      <c r="S177">
        <f t="shared" si="20"/>
        <v>1.4354548625374197</v>
      </c>
      <c r="T177">
        <f t="shared" si="21"/>
        <v>0</v>
      </c>
      <c r="U177">
        <f t="shared" si="22"/>
        <v>1</v>
      </c>
      <c r="V177">
        <f t="shared" si="23"/>
        <v>0</v>
      </c>
      <c r="W177">
        <f t="shared" si="24"/>
        <v>2</v>
      </c>
      <c r="X177">
        <f t="shared" si="25"/>
        <v>0</v>
      </c>
      <c r="Y177">
        <f t="shared" si="26"/>
        <v>0</v>
      </c>
    </row>
    <row r="178" spans="1:25" x14ac:dyDescent="0.3">
      <c r="A178" t="s">
        <v>1667</v>
      </c>
      <c r="B178" t="s">
        <v>1668</v>
      </c>
      <c r="C178" s="1">
        <v>45733</v>
      </c>
      <c r="D178" s="3">
        <v>0.79438657407407409</v>
      </c>
      <c r="E178">
        <f t="shared" si="18"/>
        <v>19</v>
      </c>
      <c r="F178">
        <v>19</v>
      </c>
      <c r="G178" t="s">
        <v>46</v>
      </c>
      <c r="H178" t="s">
        <v>90</v>
      </c>
      <c r="I178" t="s">
        <v>71</v>
      </c>
      <c r="J178" t="s">
        <v>127</v>
      </c>
      <c r="K178" t="s">
        <v>120</v>
      </c>
      <c r="L178">
        <v>278.20999999999998</v>
      </c>
      <c r="M178" t="s">
        <v>23</v>
      </c>
      <c r="N178">
        <f t="shared" si="19"/>
        <v>0</v>
      </c>
      <c r="O178" t="s">
        <v>24</v>
      </c>
      <c r="P178" t="s">
        <v>1669</v>
      </c>
      <c r="Q178">
        <v>0</v>
      </c>
      <c r="R178">
        <v>375</v>
      </c>
      <c r="S178">
        <f t="shared" si="20"/>
        <v>1.4342088791845711</v>
      </c>
      <c r="T178">
        <f t="shared" si="21"/>
        <v>0</v>
      </c>
      <c r="U178">
        <f t="shared" si="22"/>
        <v>0</v>
      </c>
      <c r="V178">
        <f t="shared" si="23"/>
        <v>0</v>
      </c>
      <c r="W178">
        <f t="shared" si="24"/>
        <v>0</v>
      </c>
      <c r="X178">
        <f t="shared" si="25"/>
        <v>0</v>
      </c>
      <c r="Y178">
        <f t="shared" si="26"/>
        <v>0</v>
      </c>
    </row>
    <row r="179" spans="1:25" x14ac:dyDescent="0.3">
      <c r="A179" t="s">
        <v>1598</v>
      </c>
      <c r="B179" t="s">
        <v>1599</v>
      </c>
      <c r="C179" s="1">
        <v>45857</v>
      </c>
      <c r="D179" s="3">
        <v>0.7162384259259259</v>
      </c>
      <c r="E179">
        <f t="shared" si="18"/>
        <v>17</v>
      </c>
      <c r="F179">
        <v>49</v>
      </c>
      <c r="G179" t="s">
        <v>18</v>
      </c>
      <c r="H179" t="s">
        <v>80</v>
      </c>
      <c r="I179" t="s">
        <v>48</v>
      </c>
      <c r="J179" t="s">
        <v>76</v>
      </c>
      <c r="K179" t="s">
        <v>120</v>
      </c>
      <c r="L179">
        <v>277.94</v>
      </c>
      <c r="M179" t="s">
        <v>42</v>
      </c>
      <c r="N179">
        <f t="shared" si="19"/>
        <v>0</v>
      </c>
      <c r="O179" t="s">
        <v>24</v>
      </c>
      <c r="P179" t="s">
        <v>1600</v>
      </c>
      <c r="Q179">
        <v>0</v>
      </c>
      <c r="R179">
        <v>197</v>
      </c>
      <c r="S179">
        <f t="shared" si="20"/>
        <v>1.4304709291260262</v>
      </c>
      <c r="T179">
        <f t="shared" si="21"/>
        <v>0</v>
      </c>
      <c r="U179">
        <f t="shared" si="22"/>
        <v>0</v>
      </c>
      <c r="V179">
        <f t="shared" si="23"/>
        <v>1</v>
      </c>
      <c r="W179">
        <f t="shared" si="24"/>
        <v>1</v>
      </c>
      <c r="X179">
        <f t="shared" si="25"/>
        <v>0</v>
      </c>
      <c r="Y179">
        <f t="shared" si="26"/>
        <v>0</v>
      </c>
    </row>
    <row r="180" spans="1:25" x14ac:dyDescent="0.3">
      <c r="A180" t="s">
        <v>2393</v>
      </c>
      <c r="B180" t="s">
        <v>2394</v>
      </c>
      <c r="C180" s="1">
        <v>45728</v>
      </c>
      <c r="D180" s="3">
        <v>0.97605324074074074</v>
      </c>
      <c r="E180">
        <f t="shared" si="18"/>
        <v>23</v>
      </c>
      <c r="F180" s="4">
        <v>41</v>
      </c>
      <c r="G180" t="s">
        <v>46</v>
      </c>
      <c r="H180" t="s">
        <v>38</v>
      </c>
      <c r="I180" t="s">
        <v>39</v>
      </c>
      <c r="J180" t="s">
        <v>31</v>
      </c>
      <c r="K180" t="s">
        <v>120</v>
      </c>
      <c r="L180">
        <v>277.88</v>
      </c>
      <c r="M180" t="s">
        <v>42</v>
      </c>
      <c r="N180">
        <f t="shared" si="19"/>
        <v>0</v>
      </c>
      <c r="O180" t="s">
        <v>34</v>
      </c>
      <c r="P180" t="s">
        <v>2395</v>
      </c>
      <c r="Q180">
        <v>0</v>
      </c>
      <c r="R180">
        <v>133</v>
      </c>
      <c r="S180">
        <f t="shared" si="20"/>
        <v>1.4296402735574607</v>
      </c>
      <c r="T180">
        <f t="shared" si="21"/>
        <v>0</v>
      </c>
      <c r="U180">
        <f t="shared" si="22"/>
        <v>0</v>
      </c>
      <c r="V180">
        <f t="shared" si="23"/>
        <v>1</v>
      </c>
      <c r="W180">
        <f t="shared" si="24"/>
        <v>1</v>
      </c>
      <c r="X180">
        <f t="shared" si="25"/>
        <v>0</v>
      </c>
      <c r="Y180">
        <f t="shared" si="26"/>
        <v>0</v>
      </c>
    </row>
    <row r="181" spans="1:25" x14ac:dyDescent="0.3">
      <c r="A181" t="s">
        <v>620</v>
      </c>
      <c r="B181" t="s">
        <v>621</v>
      </c>
      <c r="C181" s="1">
        <v>45784</v>
      </c>
      <c r="D181" s="3">
        <v>8.261574074074074E-2</v>
      </c>
      <c r="E181">
        <f t="shared" si="18"/>
        <v>1</v>
      </c>
      <c r="F181">
        <v>50</v>
      </c>
      <c r="G181" t="s">
        <v>46</v>
      </c>
      <c r="H181" t="s">
        <v>131</v>
      </c>
      <c r="I181" t="s">
        <v>85</v>
      </c>
      <c r="J181" t="s">
        <v>94</v>
      </c>
      <c r="K181" t="s">
        <v>32</v>
      </c>
      <c r="L181">
        <v>277.81</v>
      </c>
      <c r="M181" t="s">
        <v>23</v>
      </c>
      <c r="N181">
        <f t="shared" si="19"/>
        <v>0</v>
      </c>
      <c r="O181" t="s">
        <v>86</v>
      </c>
      <c r="P181" t="s">
        <v>622</v>
      </c>
      <c r="Q181">
        <v>0</v>
      </c>
      <c r="R181">
        <v>117</v>
      </c>
      <c r="S181">
        <f t="shared" si="20"/>
        <v>1.4286711753941344</v>
      </c>
      <c r="T181">
        <f t="shared" si="21"/>
        <v>0</v>
      </c>
      <c r="U181">
        <f t="shared" si="22"/>
        <v>1</v>
      </c>
      <c r="V181">
        <f t="shared" si="23"/>
        <v>1</v>
      </c>
      <c r="W181">
        <f t="shared" si="24"/>
        <v>3</v>
      </c>
      <c r="X181">
        <f t="shared" si="25"/>
        <v>0</v>
      </c>
      <c r="Y181">
        <f t="shared" si="26"/>
        <v>0</v>
      </c>
    </row>
    <row r="182" spans="1:25" x14ac:dyDescent="0.3">
      <c r="A182" t="s">
        <v>191</v>
      </c>
      <c r="B182" t="s">
        <v>192</v>
      </c>
      <c r="C182" s="1">
        <v>45757</v>
      </c>
      <c r="D182" s="3">
        <v>0.61357638888888888</v>
      </c>
      <c r="E182">
        <f t="shared" si="18"/>
        <v>14</v>
      </c>
      <c r="F182">
        <v>24</v>
      </c>
      <c r="G182" t="s">
        <v>18</v>
      </c>
      <c r="H182" t="s">
        <v>185</v>
      </c>
      <c r="I182" t="s">
        <v>30</v>
      </c>
      <c r="J182" t="s">
        <v>94</v>
      </c>
      <c r="K182" t="s">
        <v>50</v>
      </c>
      <c r="L182">
        <v>277.58999999999997</v>
      </c>
      <c r="M182" t="s">
        <v>33</v>
      </c>
      <c r="N182">
        <f t="shared" si="19"/>
        <v>0</v>
      </c>
      <c r="O182" t="s">
        <v>51</v>
      </c>
      <c r="P182" t="s">
        <v>193</v>
      </c>
      <c r="Q182">
        <v>0</v>
      </c>
      <c r="R182">
        <v>152</v>
      </c>
      <c r="S182">
        <f t="shared" si="20"/>
        <v>1.4256254383093936</v>
      </c>
      <c r="T182">
        <f t="shared" si="21"/>
        <v>0</v>
      </c>
      <c r="U182">
        <f t="shared" si="22"/>
        <v>0</v>
      </c>
      <c r="V182">
        <f t="shared" si="23"/>
        <v>1</v>
      </c>
      <c r="W182">
        <f t="shared" si="24"/>
        <v>1</v>
      </c>
      <c r="X182">
        <f t="shared" si="25"/>
        <v>0</v>
      </c>
      <c r="Y182">
        <f t="shared" si="26"/>
        <v>0</v>
      </c>
    </row>
    <row r="183" spans="1:25" x14ac:dyDescent="0.3">
      <c r="A183" t="s">
        <v>4820</v>
      </c>
      <c r="B183" t="s">
        <v>4821</v>
      </c>
      <c r="C183" s="1">
        <v>45859</v>
      </c>
      <c r="D183" s="3">
        <v>0.77547453703703706</v>
      </c>
      <c r="E183">
        <f t="shared" si="18"/>
        <v>18</v>
      </c>
      <c r="F183">
        <v>29</v>
      </c>
      <c r="G183" t="s">
        <v>18</v>
      </c>
      <c r="H183" t="s">
        <v>239</v>
      </c>
      <c r="I183" t="s">
        <v>20</v>
      </c>
      <c r="J183" t="s">
        <v>132</v>
      </c>
      <c r="K183" t="s">
        <v>168</v>
      </c>
      <c r="L183">
        <v>277.49</v>
      </c>
      <c r="M183" t="s">
        <v>115</v>
      </c>
      <c r="N183">
        <f t="shared" si="19"/>
        <v>0</v>
      </c>
      <c r="O183" t="s">
        <v>34</v>
      </c>
      <c r="P183" t="s">
        <v>4822</v>
      </c>
      <c r="Q183">
        <v>0</v>
      </c>
      <c r="R183">
        <v>365</v>
      </c>
      <c r="S183">
        <f t="shared" si="20"/>
        <v>1.4242410123617848</v>
      </c>
      <c r="T183">
        <f t="shared" si="21"/>
        <v>0</v>
      </c>
      <c r="U183">
        <f t="shared" si="22"/>
        <v>0</v>
      </c>
      <c r="V183">
        <f t="shared" si="23"/>
        <v>0</v>
      </c>
      <c r="W183">
        <f t="shared" si="24"/>
        <v>0</v>
      </c>
      <c r="X183">
        <f t="shared" si="25"/>
        <v>0</v>
      </c>
      <c r="Y183">
        <f t="shared" si="26"/>
        <v>0</v>
      </c>
    </row>
    <row r="184" spans="1:25" x14ac:dyDescent="0.3">
      <c r="A184" t="s">
        <v>4235</v>
      </c>
      <c r="B184" t="s">
        <v>4236</v>
      </c>
      <c r="C184" s="1">
        <v>45873</v>
      </c>
      <c r="D184" s="3">
        <v>0.48043981481481479</v>
      </c>
      <c r="E184">
        <f t="shared" si="18"/>
        <v>11</v>
      </c>
      <c r="F184">
        <v>44</v>
      </c>
      <c r="G184" t="s">
        <v>99</v>
      </c>
      <c r="H184" t="s">
        <v>84</v>
      </c>
      <c r="I184" t="s">
        <v>71</v>
      </c>
      <c r="J184" t="s">
        <v>56</v>
      </c>
      <c r="K184" t="s">
        <v>95</v>
      </c>
      <c r="L184">
        <v>277.38</v>
      </c>
      <c r="M184" t="s">
        <v>33</v>
      </c>
      <c r="N184">
        <f t="shared" si="19"/>
        <v>0</v>
      </c>
      <c r="O184" t="s">
        <v>24</v>
      </c>
      <c r="P184" t="s">
        <v>4237</v>
      </c>
      <c r="Q184">
        <v>0</v>
      </c>
      <c r="R184">
        <v>187</v>
      </c>
      <c r="S184">
        <f t="shared" si="20"/>
        <v>1.4227181438194145</v>
      </c>
      <c r="T184">
        <f t="shared" si="21"/>
        <v>0</v>
      </c>
      <c r="U184">
        <f t="shared" si="22"/>
        <v>0</v>
      </c>
      <c r="V184">
        <f t="shared" si="23"/>
        <v>1</v>
      </c>
      <c r="W184">
        <f t="shared" si="24"/>
        <v>1</v>
      </c>
      <c r="X184">
        <f t="shared" si="25"/>
        <v>0</v>
      </c>
      <c r="Y184">
        <f t="shared" si="26"/>
        <v>0</v>
      </c>
    </row>
    <row r="185" spans="1:25" x14ac:dyDescent="0.3">
      <c r="A185" t="s">
        <v>5819</v>
      </c>
      <c r="B185" t="s">
        <v>5820</v>
      </c>
      <c r="C185" s="1">
        <v>45830</v>
      </c>
      <c r="D185" s="3">
        <v>0.17374999999999999</v>
      </c>
      <c r="E185">
        <f t="shared" si="18"/>
        <v>4</v>
      </c>
      <c r="F185" s="4">
        <v>41</v>
      </c>
      <c r="G185" t="s">
        <v>28</v>
      </c>
      <c r="H185" t="s">
        <v>189</v>
      </c>
      <c r="I185" t="s">
        <v>110</v>
      </c>
      <c r="J185" t="s">
        <v>56</v>
      </c>
      <c r="K185" t="s">
        <v>120</v>
      </c>
      <c r="L185">
        <v>277.12</v>
      </c>
      <c r="M185" t="s">
        <v>23</v>
      </c>
      <c r="N185">
        <f t="shared" si="19"/>
        <v>0</v>
      </c>
      <c r="O185" t="s">
        <v>34</v>
      </c>
      <c r="P185" t="s">
        <v>5821</v>
      </c>
      <c r="Q185">
        <v>0</v>
      </c>
      <c r="R185">
        <v>374</v>
      </c>
      <c r="S185">
        <f t="shared" si="20"/>
        <v>1.4191186363556305</v>
      </c>
      <c r="T185">
        <f t="shared" si="21"/>
        <v>0</v>
      </c>
      <c r="U185">
        <f t="shared" si="22"/>
        <v>1</v>
      </c>
      <c r="V185">
        <f t="shared" si="23"/>
        <v>0</v>
      </c>
      <c r="W185">
        <f t="shared" si="24"/>
        <v>2</v>
      </c>
      <c r="X185">
        <f t="shared" si="25"/>
        <v>0</v>
      </c>
      <c r="Y185">
        <f t="shared" si="26"/>
        <v>0</v>
      </c>
    </row>
    <row r="186" spans="1:25" x14ac:dyDescent="0.3">
      <c r="A186" t="s">
        <v>5723</v>
      </c>
      <c r="B186" t="s">
        <v>5724</v>
      </c>
      <c r="C186" s="1">
        <v>45735</v>
      </c>
      <c r="D186" s="3">
        <v>0.55249999999999999</v>
      </c>
      <c r="E186">
        <f t="shared" si="18"/>
        <v>13</v>
      </c>
      <c r="F186">
        <v>34</v>
      </c>
      <c r="G186" t="s">
        <v>46</v>
      </c>
      <c r="H186" t="s">
        <v>47</v>
      </c>
      <c r="I186" t="s">
        <v>119</v>
      </c>
      <c r="J186" t="s">
        <v>49</v>
      </c>
      <c r="K186" t="s">
        <v>95</v>
      </c>
      <c r="L186">
        <v>276.74</v>
      </c>
      <c r="M186" t="s">
        <v>6479</v>
      </c>
      <c r="N186">
        <f t="shared" si="19"/>
        <v>1</v>
      </c>
      <c r="O186" t="s">
        <v>51</v>
      </c>
      <c r="P186" t="s">
        <v>5725</v>
      </c>
      <c r="Q186">
        <v>0</v>
      </c>
      <c r="R186">
        <v>336</v>
      </c>
      <c r="S186">
        <f t="shared" si="20"/>
        <v>1.4138578177547154</v>
      </c>
      <c r="T186">
        <f t="shared" si="21"/>
        <v>0</v>
      </c>
      <c r="U186">
        <f t="shared" si="22"/>
        <v>0</v>
      </c>
      <c r="V186">
        <f t="shared" si="23"/>
        <v>0</v>
      </c>
      <c r="W186">
        <f t="shared" si="24"/>
        <v>2</v>
      </c>
      <c r="X186">
        <f t="shared" si="25"/>
        <v>0</v>
      </c>
      <c r="Y186">
        <f t="shared" si="26"/>
        <v>1</v>
      </c>
    </row>
    <row r="187" spans="1:25" x14ac:dyDescent="0.3">
      <c r="A187" t="s">
        <v>5336</v>
      </c>
      <c r="B187" t="s">
        <v>5337</v>
      </c>
      <c r="C187" s="1">
        <v>45814</v>
      </c>
      <c r="D187" s="3">
        <v>0.77790509259259255</v>
      </c>
      <c r="E187">
        <f t="shared" si="18"/>
        <v>18</v>
      </c>
      <c r="F187">
        <v>27</v>
      </c>
      <c r="G187" t="s">
        <v>28</v>
      </c>
      <c r="H187" t="s">
        <v>131</v>
      </c>
      <c r="I187" t="s">
        <v>66</v>
      </c>
      <c r="J187" t="s">
        <v>132</v>
      </c>
      <c r="K187" t="s">
        <v>41</v>
      </c>
      <c r="L187">
        <v>276.52999999999997</v>
      </c>
      <c r="M187" t="s">
        <v>115</v>
      </c>
      <c r="N187">
        <f t="shared" si="19"/>
        <v>0</v>
      </c>
      <c r="O187" t="s">
        <v>24</v>
      </c>
      <c r="P187" t="s">
        <v>5338</v>
      </c>
      <c r="Q187">
        <v>0</v>
      </c>
      <c r="R187">
        <v>135</v>
      </c>
      <c r="S187">
        <f t="shared" si="20"/>
        <v>1.4109505232647357</v>
      </c>
      <c r="T187">
        <f t="shared" si="21"/>
        <v>0</v>
      </c>
      <c r="U187">
        <f t="shared" si="22"/>
        <v>0</v>
      </c>
      <c r="V187">
        <f t="shared" si="23"/>
        <v>1</v>
      </c>
      <c r="W187">
        <f t="shared" si="24"/>
        <v>1</v>
      </c>
      <c r="X187">
        <f t="shared" si="25"/>
        <v>0</v>
      </c>
      <c r="Y187">
        <f t="shared" si="26"/>
        <v>0</v>
      </c>
    </row>
    <row r="188" spans="1:25" x14ac:dyDescent="0.3">
      <c r="A188" t="s">
        <v>1724</v>
      </c>
      <c r="B188" t="s">
        <v>1725</v>
      </c>
      <c r="C188" s="1">
        <v>45847</v>
      </c>
      <c r="D188" s="3">
        <v>0.54637731481481477</v>
      </c>
      <c r="E188">
        <f t="shared" si="18"/>
        <v>13</v>
      </c>
      <c r="F188">
        <v>38</v>
      </c>
      <c r="G188" t="s">
        <v>46</v>
      </c>
      <c r="H188" t="s">
        <v>167</v>
      </c>
      <c r="I188" t="s">
        <v>119</v>
      </c>
      <c r="J188" t="s">
        <v>72</v>
      </c>
      <c r="K188" t="s">
        <v>120</v>
      </c>
      <c r="L188">
        <v>276.52</v>
      </c>
      <c r="M188" t="s">
        <v>42</v>
      </c>
      <c r="N188">
        <f t="shared" si="19"/>
        <v>0</v>
      </c>
      <c r="O188" t="s">
        <v>24</v>
      </c>
      <c r="P188" t="s">
        <v>1726</v>
      </c>
      <c r="Q188">
        <v>0</v>
      </c>
      <c r="R188">
        <v>140</v>
      </c>
      <c r="S188">
        <f t="shared" si="20"/>
        <v>1.4108120806699749</v>
      </c>
      <c r="T188">
        <f t="shared" si="21"/>
        <v>0</v>
      </c>
      <c r="U188">
        <f t="shared" si="22"/>
        <v>0</v>
      </c>
      <c r="V188">
        <f t="shared" si="23"/>
        <v>1</v>
      </c>
      <c r="W188">
        <f t="shared" si="24"/>
        <v>1</v>
      </c>
      <c r="X188">
        <f t="shared" si="25"/>
        <v>0</v>
      </c>
      <c r="Y188">
        <f t="shared" si="26"/>
        <v>0</v>
      </c>
    </row>
    <row r="189" spans="1:25" x14ac:dyDescent="0.3">
      <c r="A189" t="s">
        <v>1610</v>
      </c>
      <c r="B189" t="s">
        <v>1611</v>
      </c>
      <c r="C189" s="1">
        <v>45849</v>
      </c>
      <c r="D189" s="3">
        <v>0.44333333333333336</v>
      </c>
      <c r="E189">
        <f t="shared" si="18"/>
        <v>10</v>
      </c>
      <c r="F189">
        <v>29</v>
      </c>
      <c r="G189" t="s">
        <v>18</v>
      </c>
      <c r="H189" t="s">
        <v>47</v>
      </c>
      <c r="I189" t="s">
        <v>110</v>
      </c>
      <c r="J189" t="s">
        <v>40</v>
      </c>
      <c r="K189" t="s">
        <v>101</v>
      </c>
      <c r="L189">
        <v>276.47000000000003</v>
      </c>
      <c r="M189" t="s">
        <v>115</v>
      </c>
      <c r="N189">
        <f t="shared" si="19"/>
        <v>0</v>
      </c>
      <c r="O189" t="s">
        <v>34</v>
      </c>
      <c r="P189" t="s">
        <v>1612</v>
      </c>
      <c r="Q189">
        <v>0</v>
      </c>
      <c r="R189">
        <v>393</v>
      </c>
      <c r="S189">
        <f t="shared" si="20"/>
        <v>1.4101198676961708</v>
      </c>
      <c r="T189">
        <f t="shared" si="21"/>
        <v>0</v>
      </c>
      <c r="U189">
        <f t="shared" si="22"/>
        <v>0</v>
      </c>
      <c r="V189">
        <f t="shared" si="23"/>
        <v>0</v>
      </c>
      <c r="W189">
        <f t="shared" si="24"/>
        <v>0</v>
      </c>
      <c r="X189">
        <f t="shared" si="25"/>
        <v>0</v>
      </c>
      <c r="Y189">
        <f t="shared" si="26"/>
        <v>0</v>
      </c>
    </row>
    <row r="190" spans="1:25" x14ac:dyDescent="0.3">
      <c r="A190" t="s">
        <v>2639</v>
      </c>
      <c r="B190" t="s">
        <v>2640</v>
      </c>
      <c r="C190" s="1">
        <v>45805</v>
      </c>
      <c r="D190" s="3">
        <v>0.66035879629629635</v>
      </c>
      <c r="E190">
        <f t="shared" si="18"/>
        <v>15</v>
      </c>
      <c r="F190">
        <v>49</v>
      </c>
      <c r="G190" t="s">
        <v>28</v>
      </c>
      <c r="H190" t="s">
        <v>185</v>
      </c>
      <c r="I190" t="s">
        <v>105</v>
      </c>
      <c r="J190" t="s">
        <v>94</v>
      </c>
      <c r="K190" t="s">
        <v>114</v>
      </c>
      <c r="L190">
        <v>276.16000000000003</v>
      </c>
      <c r="M190" t="s">
        <v>42</v>
      </c>
      <c r="N190">
        <f t="shared" si="19"/>
        <v>0</v>
      </c>
      <c r="O190" t="s">
        <v>34</v>
      </c>
      <c r="P190" t="s">
        <v>2641</v>
      </c>
      <c r="Q190">
        <v>0</v>
      </c>
      <c r="R190">
        <v>72</v>
      </c>
      <c r="S190">
        <f t="shared" si="20"/>
        <v>1.4058281472585821</v>
      </c>
      <c r="T190">
        <f t="shared" si="21"/>
        <v>0</v>
      </c>
      <c r="U190">
        <f t="shared" si="22"/>
        <v>0</v>
      </c>
      <c r="V190">
        <f t="shared" si="23"/>
        <v>1</v>
      </c>
      <c r="W190">
        <f t="shared" si="24"/>
        <v>1</v>
      </c>
      <c r="X190">
        <f t="shared" si="25"/>
        <v>0</v>
      </c>
      <c r="Y190">
        <f t="shared" si="26"/>
        <v>0</v>
      </c>
    </row>
    <row r="191" spans="1:25" x14ac:dyDescent="0.3">
      <c r="A191" t="s">
        <v>4787</v>
      </c>
      <c r="B191" t="s">
        <v>4788</v>
      </c>
      <c r="C191" s="1">
        <v>45729</v>
      </c>
      <c r="D191" s="3">
        <v>0.74624999999999997</v>
      </c>
      <c r="E191">
        <f t="shared" si="18"/>
        <v>17</v>
      </c>
      <c r="F191">
        <v>35</v>
      </c>
      <c r="G191" t="s">
        <v>46</v>
      </c>
      <c r="H191" t="s">
        <v>185</v>
      </c>
      <c r="I191" t="s">
        <v>110</v>
      </c>
      <c r="J191" t="s">
        <v>40</v>
      </c>
      <c r="K191" t="s">
        <v>101</v>
      </c>
      <c r="L191">
        <v>276.08999999999997</v>
      </c>
      <c r="M191" t="s">
        <v>33</v>
      </c>
      <c r="N191">
        <f t="shared" si="19"/>
        <v>0</v>
      </c>
      <c r="O191" t="s">
        <v>34</v>
      </c>
      <c r="P191" t="s">
        <v>4789</v>
      </c>
      <c r="Q191">
        <v>0</v>
      </c>
      <c r="R191">
        <v>463</v>
      </c>
      <c r="S191">
        <f t="shared" si="20"/>
        <v>1.4048590490952548</v>
      </c>
      <c r="T191">
        <f t="shared" si="21"/>
        <v>0</v>
      </c>
      <c r="U191">
        <f t="shared" si="22"/>
        <v>0</v>
      </c>
      <c r="V191">
        <f t="shared" si="23"/>
        <v>0</v>
      </c>
      <c r="W191">
        <f t="shared" si="24"/>
        <v>0</v>
      </c>
      <c r="X191">
        <f t="shared" si="25"/>
        <v>0</v>
      </c>
      <c r="Y191">
        <f t="shared" si="26"/>
        <v>0</v>
      </c>
    </row>
    <row r="192" spans="1:25" x14ac:dyDescent="0.3">
      <c r="A192" t="s">
        <v>3491</v>
      </c>
      <c r="B192" t="s">
        <v>3492</v>
      </c>
      <c r="C192" s="1">
        <v>45870</v>
      </c>
      <c r="D192" s="3">
        <v>0.23118055555555556</v>
      </c>
      <c r="E192">
        <f t="shared" si="18"/>
        <v>5</v>
      </c>
      <c r="F192">
        <v>53</v>
      </c>
      <c r="G192" t="s">
        <v>46</v>
      </c>
      <c r="H192" t="s">
        <v>90</v>
      </c>
      <c r="I192" t="s">
        <v>110</v>
      </c>
      <c r="J192" t="s">
        <v>132</v>
      </c>
      <c r="K192" t="s">
        <v>50</v>
      </c>
      <c r="L192">
        <v>276.08</v>
      </c>
      <c r="M192" t="s">
        <v>33</v>
      </c>
      <c r="N192">
        <f t="shared" si="19"/>
        <v>0</v>
      </c>
      <c r="O192" t="s">
        <v>24</v>
      </c>
      <c r="P192" t="s">
        <v>3493</v>
      </c>
      <c r="Q192">
        <v>0</v>
      </c>
      <c r="R192">
        <v>136</v>
      </c>
      <c r="S192">
        <f t="shared" si="20"/>
        <v>1.4047206065004942</v>
      </c>
      <c r="T192">
        <f t="shared" si="21"/>
        <v>0</v>
      </c>
      <c r="U192">
        <f t="shared" si="22"/>
        <v>1</v>
      </c>
      <c r="V192">
        <f t="shared" si="23"/>
        <v>1</v>
      </c>
      <c r="W192">
        <f t="shared" si="24"/>
        <v>3</v>
      </c>
      <c r="X192">
        <f t="shared" si="25"/>
        <v>0</v>
      </c>
      <c r="Y192">
        <f t="shared" si="26"/>
        <v>0</v>
      </c>
    </row>
    <row r="193" spans="1:25" x14ac:dyDescent="0.3">
      <c r="A193" t="s">
        <v>3968</v>
      </c>
      <c r="B193" t="s">
        <v>3969</v>
      </c>
      <c r="C193" s="1">
        <v>45875</v>
      </c>
      <c r="D193" s="3">
        <v>0.98405092592592591</v>
      </c>
      <c r="E193">
        <f t="shared" si="18"/>
        <v>23</v>
      </c>
      <c r="F193">
        <v>63</v>
      </c>
      <c r="G193" t="s">
        <v>6479</v>
      </c>
      <c r="H193" t="s">
        <v>185</v>
      </c>
      <c r="I193" t="s">
        <v>30</v>
      </c>
      <c r="J193" t="s">
        <v>31</v>
      </c>
      <c r="K193" t="s">
        <v>41</v>
      </c>
      <c r="L193">
        <v>276.04000000000002</v>
      </c>
      <c r="M193" t="s">
        <v>23</v>
      </c>
      <c r="N193">
        <f t="shared" si="19"/>
        <v>0</v>
      </c>
      <c r="O193" t="s">
        <v>86</v>
      </c>
      <c r="P193" t="s">
        <v>3970</v>
      </c>
      <c r="Q193">
        <v>0</v>
      </c>
      <c r="R193">
        <v>438</v>
      </c>
      <c r="S193">
        <f t="shared" si="20"/>
        <v>1.404166836121451</v>
      </c>
      <c r="T193">
        <f t="shared" si="21"/>
        <v>0</v>
      </c>
      <c r="U193">
        <f t="shared" si="22"/>
        <v>0</v>
      </c>
      <c r="V193">
        <f t="shared" si="23"/>
        <v>0</v>
      </c>
      <c r="W193">
        <f t="shared" si="24"/>
        <v>0</v>
      </c>
      <c r="X193">
        <f t="shared" si="25"/>
        <v>0</v>
      </c>
      <c r="Y193">
        <f t="shared" si="26"/>
        <v>0</v>
      </c>
    </row>
    <row r="194" spans="1:25" x14ac:dyDescent="0.3">
      <c r="A194" t="s">
        <v>4328</v>
      </c>
      <c r="B194" t="s">
        <v>4329</v>
      </c>
      <c r="C194" s="1">
        <v>45733</v>
      </c>
      <c r="D194" s="3">
        <v>0.98843749999999997</v>
      </c>
      <c r="E194">
        <f t="shared" ref="E194:E257" si="27">HOUR(D194)</f>
        <v>23</v>
      </c>
      <c r="F194">
        <v>64</v>
      </c>
      <c r="G194" t="s">
        <v>60</v>
      </c>
      <c r="H194" t="s">
        <v>232</v>
      </c>
      <c r="I194" t="s">
        <v>71</v>
      </c>
      <c r="J194" t="s">
        <v>132</v>
      </c>
      <c r="K194" t="s">
        <v>62</v>
      </c>
      <c r="L194">
        <v>275.58999999999997</v>
      </c>
      <c r="M194" t="s">
        <v>115</v>
      </c>
      <c r="N194">
        <f t="shared" ref="N194:N257" si="28">IF(M194="Unknown",1,0)</f>
        <v>0</v>
      </c>
      <c r="O194" t="s">
        <v>86</v>
      </c>
      <c r="P194" t="s">
        <v>4330</v>
      </c>
      <c r="Q194">
        <v>0</v>
      </c>
      <c r="R194">
        <v>401</v>
      </c>
      <c r="S194">
        <f t="shared" ref="S194:S257" si="29">(L194-$P$2137)/$P$2138</f>
        <v>1.3979369193572087</v>
      </c>
      <c r="T194">
        <f t="shared" ref="T194:T257" si="30">IF(ABS(Z194)&gt;3,1,0)</f>
        <v>0</v>
      </c>
      <c r="U194">
        <f t="shared" ref="U194:U257" si="31">IF(AND(E194&gt;=0,E194&lt;=5),1,0)</f>
        <v>0</v>
      </c>
      <c r="V194">
        <f t="shared" ref="V194:V257" si="32">IF(R194&lt;AVERAGE($R:$R),1,0)</f>
        <v>0</v>
      </c>
      <c r="W194">
        <f t="shared" ref="W194:W257" si="33">T194*3+U194*2+V194*1+N194*2</f>
        <v>0</v>
      </c>
      <c r="X194">
        <f t="shared" ref="X194:X257" si="34">IF(W194&gt;=5,1,0)</f>
        <v>0</v>
      </c>
      <c r="Y194">
        <f t="shared" ref="Y194:Y257" si="35">IF(M194="Unknown",1,0)</f>
        <v>0</v>
      </c>
    </row>
    <row r="195" spans="1:25" x14ac:dyDescent="0.3">
      <c r="A195" t="s">
        <v>2252</v>
      </c>
      <c r="B195" t="s">
        <v>2253</v>
      </c>
      <c r="C195" s="1">
        <v>45822</v>
      </c>
      <c r="D195" s="3">
        <v>4.8437500000000001E-2</v>
      </c>
      <c r="E195">
        <f t="shared" si="27"/>
        <v>1</v>
      </c>
      <c r="F195">
        <v>30</v>
      </c>
      <c r="G195" t="s">
        <v>60</v>
      </c>
      <c r="H195" t="s">
        <v>131</v>
      </c>
      <c r="I195" t="s">
        <v>66</v>
      </c>
      <c r="J195" t="s">
        <v>127</v>
      </c>
      <c r="K195" t="s">
        <v>168</v>
      </c>
      <c r="L195">
        <v>275.55</v>
      </c>
      <c r="M195" t="s">
        <v>42</v>
      </c>
      <c r="N195">
        <f t="shared" si="28"/>
        <v>0</v>
      </c>
      <c r="O195" t="s">
        <v>86</v>
      </c>
      <c r="P195" t="s">
        <v>2254</v>
      </c>
      <c r="Q195">
        <v>0</v>
      </c>
      <c r="R195">
        <v>313</v>
      </c>
      <c r="S195">
        <f t="shared" si="29"/>
        <v>1.3973831489781656</v>
      </c>
      <c r="T195">
        <f t="shared" si="30"/>
        <v>0</v>
      </c>
      <c r="U195">
        <f t="shared" si="31"/>
        <v>1</v>
      </c>
      <c r="V195">
        <f t="shared" si="32"/>
        <v>0</v>
      </c>
      <c r="W195">
        <f t="shared" si="33"/>
        <v>2</v>
      </c>
      <c r="X195">
        <f t="shared" si="34"/>
        <v>0</v>
      </c>
      <c r="Y195">
        <f t="shared" si="35"/>
        <v>0</v>
      </c>
    </row>
    <row r="196" spans="1:25" x14ac:dyDescent="0.3">
      <c r="A196" t="s">
        <v>2150</v>
      </c>
      <c r="B196" t="s">
        <v>2151</v>
      </c>
      <c r="C196" s="1">
        <v>45788</v>
      </c>
      <c r="D196" s="3">
        <v>0.32467592592592592</v>
      </c>
      <c r="E196">
        <f t="shared" si="27"/>
        <v>7</v>
      </c>
      <c r="F196">
        <v>48</v>
      </c>
      <c r="G196" t="s">
        <v>18</v>
      </c>
      <c r="H196" t="s">
        <v>80</v>
      </c>
      <c r="I196" t="s">
        <v>105</v>
      </c>
      <c r="J196" t="s">
        <v>127</v>
      </c>
      <c r="K196" t="s">
        <v>41</v>
      </c>
      <c r="L196">
        <v>275.54000000000002</v>
      </c>
      <c r="M196" t="s">
        <v>23</v>
      </c>
      <c r="N196">
        <f t="shared" si="28"/>
        <v>0</v>
      </c>
      <c r="O196" t="s">
        <v>86</v>
      </c>
      <c r="P196" t="s">
        <v>2152</v>
      </c>
      <c r="Q196">
        <v>0</v>
      </c>
      <c r="R196">
        <v>341</v>
      </c>
      <c r="S196">
        <f t="shared" si="29"/>
        <v>1.3972447063834048</v>
      </c>
      <c r="T196">
        <f t="shared" si="30"/>
        <v>0</v>
      </c>
      <c r="U196">
        <f t="shared" si="31"/>
        <v>0</v>
      </c>
      <c r="V196">
        <f t="shared" si="32"/>
        <v>0</v>
      </c>
      <c r="W196">
        <f t="shared" si="33"/>
        <v>0</v>
      </c>
      <c r="X196">
        <f t="shared" si="34"/>
        <v>0</v>
      </c>
      <c r="Y196">
        <f t="shared" si="35"/>
        <v>0</v>
      </c>
    </row>
    <row r="197" spans="1:25" x14ac:dyDescent="0.3">
      <c r="A197" t="s">
        <v>3083</v>
      </c>
      <c r="B197" t="s">
        <v>3084</v>
      </c>
      <c r="C197" s="1">
        <v>45847</v>
      </c>
      <c r="D197" s="3">
        <v>0.96015046296296291</v>
      </c>
      <c r="E197">
        <f t="shared" si="27"/>
        <v>23</v>
      </c>
      <c r="F197">
        <v>37</v>
      </c>
      <c r="G197" t="s">
        <v>18</v>
      </c>
      <c r="H197" t="s">
        <v>175</v>
      </c>
      <c r="I197" t="s">
        <v>20</v>
      </c>
      <c r="J197" t="s">
        <v>40</v>
      </c>
      <c r="K197" t="s">
        <v>32</v>
      </c>
      <c r="L197">
        <v>275.18</v>
      </c>
      <c r="M197" t="s">
        <v>33</v>
      </c>
      <c r="N197">
        <f t="shared" si="28"/>
        <v>0</v>
      </c>
      <c r="O197" t="s">
        <v>24</v>
      </c>
      <c r="P197" t="s">
        <v>3085</v>
      </c>
      <c r="Q197">
        <v>0</v>
      </c>
      <c r="R197">
        <v>425</v>
      </c>
      <c r="S197">
        <f t="shared" si="29"/>
        <v>1.3922607729720113</v>
      </c>
      <c r="T197">
        <f t="shared" si="30"/>
        <v>0</v>
      </c>
      <c r="U197">
        <f t="shared" si="31"/>
        <v>0</v>
      </c>
      <c r="V197">
        <f t="shared" si="32"/>
        <v>0</v>
      </c>
      <c r="W197">
        <f t="shared" si="33"/>
        <v>0</v>
      </c>
      <c r="X197">
        <f t="shared" si="34"/>
        <v>0</v>
      </c>
      <c r="Y197">
        <f t="shared" si="35"/>
        <v>0</v>
      </c>
    </row>
    <row r="198" spans="1:25" x14ac:dyDescent="0.3">
      <c r="A198" t="s">
        <v>2531</v>
      </c>
      <c r="B198" t="s">
        <v>2532</v>
      </c>
      <c r="C198" s="1">
        <v>45858</v>
      </c>
      <c r="D198" s="3">
        <v>0.20077546296296298</v>
      </c>
      <c r="E198">
        <f t="shared" si="27"/>
        <v>4</v>
      </c>
      <c r="F198">
        <v>50</v>
      </c>
      <c r="G198" t="s">
        <v>46</v>
      </c>
      <c r="H198" t="s">
        <v>61</v>
      </c>
      <c r="I198" t="s">
        <v>48</v>
      </c>
      <c r="J198" t="s">
        <v>56</v>
      </c>
      <c r="K198" t="s">
        <v>120</v>
      </c>
      <c r="L198">
        <v>275.16000000000003</v>
      </c>
      <c r="M198" t="s">
        <v>115</v>
      </c>
      <c r="N198">
        <f t="shared" si="28"/>
        <v>0</v>
      </c>
      <c r="O198" t="s">
        <v>86</v>
      </c>
      <c r="P198" t="s">
        <v>2533</v>
      </c>
      <c r="Q198">
        <v>0</v>
      </c>
      <c r="R198">
        <v>406</v>
      </c>
      <c r="S198">
        <f t="shared" si="29"/>
        <v>1.3919838877824897</v>
      </c>
      <c r="T198">
        <f t="shared" si="30"/>
        <v>0</v>
      </c>
      <c r="U198">
        <f t="shared" si="31"/>
        <v>1</v>
      </c>
      <c r="V198">
        <f t="shared" si="32"/>
        <v>0</v>
      </c>
      <c r="W198">
        <f t="shared" si="33"/>
        <v>2</v>
      </c>
      <c r="X198">
        <f t="shared" si="34"/>
        <v>0</v>
      </c>
      <c r="Y198">
        <f t="shared" si="35"/>
        <v>0</v>
      </c>
    </row>
    <row r="199" spans="1:25" x14ac:dyDescent="0.3">
      <c r="A199" t="s">
        <v>6470</v>
      </c>
      <c r="B199" t="s">
        <v>6471</v>
      </c>
      <c r="C199" s="1">
        <v>45875</v>
      </c>
      <c r="D199" s="3">
        <v>0.44078703703703703</v>
      </c>
      <c r="E199">
        <f t="shared" si="27"/>
        <v>10</v>
      </c>
      <c r="F199">
        <v>27</v>
      </c>
      <c r="G199" t="s">
        <v>60</v>
      </c>
      <c r="H199" t="s">
        <v>84</v>
      </c>
      <c r="I199" t="s">
        <v>105</v>
      </c>
      <c r="J199" t="s">
        <v>94</v>
      </c>
      <c r="K199" t="s">
        <v>50</v>
      </c>
      <c r="L199">
        <v>275.14999999999998</v>
      </c>
      <c r="M199" t="s">
        <v>33</v>
      </c>
      <c r="N199">
        <f t="shared" si="28"/>
        <v>0</v>
      </c>
      <c r="O199" t="s">
        <v>24</v>
      </c>
      <c r="P199" t="s">
        <v>6472</v>
      </c>
      <c r="Q199">
        <v>0</v>
      </c>
      <c r="R199">
        <v>192</v>
      </c>
      <c r="S199">
        <f t="shared" si="29"/>
        <v>1.391845445187728</v>
      </c>
      <c r="T199">
        <f t="shared" si="30"/>
        <v>0</v>
      </c>
      <c r="U199">
        <f t="shared" si="31"/>
        <v>0</v>
      </c>
      <c r="V199">
        <f t="shared" si="32"/>
        <v>1</v>
      </c>
      <c r="W199">
        <f t="shared" si="33"/>
        <v>1</v>
      </c>
      <c r="X199">
        <f t="shared" si="34"/>
        <v>0</v>
      </c>
      <c r="Y199">
        <f t="shared" si="35"/>
        <v>0</v>
      </c>
    </row>
    <row r="200" spans="1:25" x14ac:dyDescent="0.3">
      <c r="A200" t="s">
        <v>5060</v>
      </c>
      <c r="B200" t="s">
        <v>5061</v>
      </c>
      <c r="C200" s="1">
        <v>45767</v>
      </c>
      <c r="D200" s="3">
        <v>8.9583333333333334E-2</v>
      </c>
      <c r="E200">
        <f t="shared" si="27"/>
        <v>2</v>
      </c>
      <c r="F200">
        <v>45</v>
      </c>
      <c r="G200" t="s">
        <v>46</v>
      </c>
      <c r="H200" t="s">
        <v>131</v>
      </c>
      <c r="I200" t="s">
        <v>20</v>
      </c>
      <c r="J200" t="s">
        <v>40</v>
      </c>
      <c r="K200" t="s">
        <v>168</v>
      </c>
      <c r="L200">
        <v>274.99</v>
      </c>
      <c r="M200" t="s">
        <v>23</v>
      </c>
      <c r="N200">
        <f t="shared" si="28"/>
        <v>0</v>
      </c>
      <c r="O200" t="s">
        <v>34</v>
      </c>
      <c r="P200" t="s">
        <v>5062</v>
      </c>
      <c r="Q200">
        <v>0</v>
      </c>
      <c r="R200">
        <v>196</v>
      </c>
      <c r="S200">
        <f t="shared" si="29"/>
        <v>1.3896303636715537</v>
      </c>
      <c r="T200">
        <f t="shared" si="30"/>
        <v>0</v>
      </c>
      <c r="U200">
        <f t="shared" si="31"/>
        <v>1</v>
      </c>
      <c r="V200">
        <f t="shared" si="32"/>
        <v>1</v>
      </c>
      <c r="W200">
        <f t="shared" si="33"/>
        <v>3</v>
      </c>
      <c r="X200">
        <f t="shared" si="34"/>
        <v>0</v>
      </c>
      <c r="Y200">
        <f t="shared" si="35"/>
        <v>0</v>
      </c>
    </row>
    <row r="201" spans="1:25" x14ac:dyDescent="0.3">
      <c r="A201" s="2" t="s">
        <v>6464</v>
      </c>
      <c r="B201" t="s">
        <v>6465</v>
      </c>
      <c r="C201" s="1">
        <v>45738</v>
      </c>
      <c r="D201" s="3">
        <v>0.94267361111111114</v>
      </c>
      <c r="E201">
        <f t="shared" si="27"/>
        <v>22</v>
      </c>
      <c r="F201">
        <v>43</v>
      </c>
      <c r="G201" t="s">
        <v>18</v>
      </c>
      <c r="H201" t="s">
        <v>185</v>
      </c>
      <c r="I201" t="s">
        <v>48</v>
      </c>
      <c r="J201" t="s">
        <v>21</v>
      </c>
      <c r="K201" t="s">
        <v>101</v>
      </c>
      <c r="L201">
        <v>274.97000000000003</v>
      </c>
      <c r="M201" t="s">
        <v>42</v>
      </c>
      <c r="N201">
        <f t="shared" si="28"/>
        <v>0</v>
      </c>
      <c r="O201" t="s">
        <v>24</v>
      </c>
      <c r="P201" t="s">
        <v>6466</v>
      </c>
      <c r="Q201">
        <v>0</v>
      </c>
      <c r="R201">
        <v>302</v>
      </c>
      <c r="S201">
        <f t="shared" si="29"/>
        <v>1.3893534784820321</v>
      </c>
      <c r="T201">
        <f t="shared" si="30"/>
        <v>0</v>
      </c>
      <c r="U201">
        <f t="shared" si="31"/>
        <v>0</v>
      </c>
      <c r="V201">
        <f t="shared" si="32"/>
        <v>0</v>
      </c>
      <c r="W201">
        <f t="shared" si="33"/>
        <v>0</v>
      </c>
      <c r="X201">
        <f t="shared" si="34"/>
        <v>0</v>
      </c>
      <c r="Y201">
        <f t="shared" si="35"/>
        <v>0</v>
      </c>
    </row>
    <row r="202" spans="1:25" x14ac:dyDescent="0.3">
      <c r="A202" t="s">
        <v>4925</v>
      </c>
      <c r="B202" t="s">
        <v>4926</v>
      </c>
      <c r="C202" s="1">
        <v>45781</v>
      </c>
      <c r="D202" s="3">
        <v>0.20905092592592592</v>
      </c>
      <c r="E202">
        <f t="shared" si="27"/>
        <v>5</v>
      </c>
      <c r="F202">
        <v>35</v>
      </c>
      <c r="G202" t="s">
        <v>6479</v>
      </c>
      <c r="H202" t="s">
        <v>19</v>
      </c>
      <c r="I202" t="s">
        <v>119</v>
      </c>
      <c r="J202" t="s">
        <v>94</v>
      </c>
      <c r="K202" t="s">
        <v>41</v>
      </c>
      <c r="L202">
        <v>274.79000000000002</v>
      </c>
      <c r="M202" t="s">
        <v>33</v>
      </c>
      <c r="N202">
        <f t="shared" si="28"/>
        <v>0</v>
      </c>
      <c r="O202" t="s">
        <v>24</v>
      </c>
      <c r="P202" t="s">
        <v>4927</v>
      </c>
      <c r="Q202">
        <v>0</v>
      </c>
      <c r="R202">
        <v>110</v>
      </c>
      <c r="S202">
        <f t="shared" si="29"/>
        <v>1.3868615117763354</v>
      </c>
      <c r="T202">
        <f t="shared" si="30"/>
        <v>0</v>
      </c>
      <c r="U202">
        <f t="shared" si="31"/>
        <v>1</v>
      </c>
      <c r="V202">
        <f t="shared" si="32"/>
        <v>1</v>
      </c>
      <c r="W202">
        <f t="shared" si="33"/>
        <v>3</v>
      </c>
      <c r="X202">
        <f t="shared" si="34"/>
        <v>0</v>
      </c>
      <c r="Y202">
        <f t="shared" si="35"/>
        <v>0</v>
      </c>
    </row>
    <row r="203" spans="1:25" x14ac:dyDescent="0.3">
      <c r="A203" t="s">
        <v>4658</v>
      </c>
      <c r="B203" t="s">
        <v>4659</v>
      </c>
      <c r="C203" s="1">
        <v>45726</v>
      </c>
      <c r="D203" s="3">
        <v>0.33004629629629628</v>
      </c>
      <c r="E203">
        <f t="shared" si="27"/>
        <v>7</v>
      </c>
      <c r="F203">
        <v>21</v>
      </c>
      <c r="G203" t="s">
        <v>46</v>
      </c>
      <c r="H203" t="s">
        <v>80</v>
      </c>
      <c r="I203" t="s">
        <v>119</v>
      </c>
      <c r="J203" t="s">
        <v>72</v>
      </c>
      <c r="K203" t="s">
        <v>101</v>
      </c>
      <c r="L203">
        <v>274.52999999999997</v>
      </c>
      <c r="M203" t="s">
        <v>33</v>
      </c>
      <c r="N203">
        <f t="shared" si="28"/>
        <v>0</v>
      </c>
      <c r="O203" t="s">
        <v>86</v>
      </c>
      <c r="P203" t="s">
        <v>4660</v>
      </c>
      <c r="Q203">
        <v>0</v>
      </c>
      <c r="R203">
        <v>330</v>
      </c>
      <c r="S203">
        <f t="shared" si="29"/>
        <v>1.3832620043125508</v>
      </c>
      <c r="T203">
        <f t="shared" si="30"/>
        <v>0</v>
      </c>
      <c r="U203">
        <f t="shared" si="31"/>
        <v>0</v>
      </c>
      <c r="V203">
        <f t="shared" si="32"/>
        <v>0</v>
      </c>
      <c r="W203">
        <f t="shared" si="33"/>
        <v>0</v>
      </c>
      <c r="X203">
        <f t="shared" si="34"/>
        <v>0</v>
      </c>
      <c r="Y203">
        <f t="shared" si="35"/>
        <v>0</v>
      </c>
    </row>
    <row r="204" spans="1:25" x14ac:dyDescent="0.3">
      <c r="A204" t="s">
        <v>908</v>
      </c>
      <c r="B204" t="s">
        <v>909</v>
      </c>
      <c r="C204" s="1">
        <v>45748</v>
      </c>
      <c r="D204" s="3">
        <v>0.3853240740740741</v>
      </c>
      <c r="E204">
        <f t="shared" si="27"/>
        <v>9</v>
      </c>
      <c r="F204" s="4">
        <v>41</v>
      </c>
      <c r="G204" t="s">
        <v>99</v>
      </c>
      <c r="H204" t="s">
        <v>55</v>
      </c>
      <c r="I204" t="s">
        <v>66</v>
      </c>
      <c r="J204" t="s">
        <v>21</v>
      </c>
      <c r="K204" t="s">
        <v>95</v>
      </c>
      <c r="L204">
        <v>274.47000000000003</v>
      </c>
      <c r="M204" t="s">
        <v>42</v>
      </c>
      <c r="N204">
        <f t="shared" si="28"/>
        <v>0</v>
      </c>
      <c r="O204" t="s">
        <v>24</v>
      </c>
      <c r="P204" t="s">
        <v>910</v>
      </c>
      <c r="Q204">
        <v>0</v>
      </c>
      <c r="R204">
        <v>129</v>
      </c>
      <c r="S204">
        <f t="shared" si="29"/>
        <v>1.3824313487439859</v>
      </c>
      <c r="T204">
        <f t="shared" si="30"/>
        <v>0</v>
      </c>
      <c r="U204">
        <f t="shared" si="31"/>
        <v>0</v>
      </c>
      <c r="V204">
        <f t="shared" si="32"/>
        <v>1</v>
      </c>
      <c r="W204">
        <f t="shared" si="33"/>
        <v>1</v>
      </c>
      <c r="X204">
        <f t="shared" si="34"/>
        <v>0</v>
      </c>
      <c r="Y204">
        <f t="shared" si="35"/>
        <v>0</v>
      </c>
    </row>
    <row r="205" spans="1:25" x14ac:dyDescent="0.3">
      <c r="A205" t="s">
        <v>2093</v>
      </c>
      <c r="B205" t="s">
        <v>2094</v>
      </c>
      <c r="C205" s="1">
        <v>45849</v>
      </c>
      <c r="D205" s="3">
        <v>0.96605324074074073</v>
      </c>
      <c r="E205">
        <f t="shared" si="27"/>
        <v>23</v>
      </c>
      <c r="F205">
        <v>61</v>
      </c>
      <c r="G205" t="s">
        <v>99</v>
      </c>
      <c r="H205" t="s">
        <v>90</v>
      </c>
      <c r="I205" t="s">
        <v>71</v>
      </c>
      <c r="J205" t="s">
        <v>31</v>
      </c>
      <c r="K205" t="s">
        <v>114</v>
      </c>
      <c r="L205">
        <v>274.44</v>
      </c>
      <c r="M205" t="s">
        <v>42</v>
      </c>
      <c r="N205">
        <f t="shared" si="28"/>
        <v>0</v>
      </c>
      <c r="O205" t="s">
        <v>34</v>
      </c>
      <c r="P205" t="s">
        <v>2095</v>
      </c>
      <c r="Q205">
        <v>0</v>
      </c>
      <c r="R205">
        <v>367</v>
      </c>
      <c r="S205">
        <f t="shared" si="29"/>
        <v>1.3820160209597028</v>
      </c>
      <c r="T205">
        <f t="shared" si="30"/>
        <v>0</v>
      </c>
      <c r="U205">
        <f t="shared" si="31"/>
        <v>0</v>
      </c>
      <c r="V205">
        <f t="shared" si="32"/>
        <v>0</v>
      </c>
      <c r="W205">
        <f t="shared" si="33"/>
        <v>0</v>
      </c>
      <c r="X205">
        <f t="shared" si="34"/>
        <v>0</v>
      </c>
      <c r="Y205">
        <f t="shared" si="35"/>
        <v>0</v>
      </c>
    </row>
    <row r="206" spans="1:25" x14ac:dyDescent="0.3">
      <c r="A206" t="s">
        <v>1130</v>
      </c>
      <c r="B206" t="s">
        <v>1131</v>
      </c>
      <c r="C206" s="1">
        <v>45754</v>
      </c>
      <c r="D206" s="3">
        <v>0.86318287037037034</v>
      </c>
      <c r="E206">
        <f t="shared" si="27"/>
        <v>20</v>
      </c>
      <c r="F206">
        <v>58</v>
      </c>
      <c r="G206" t="s">
        <v>60</v>
      </c>
      <c r="H206" t="s">
        <v>61</v>
      </c>
      <c r="I206" t="s">
        <v>39</v>
      </c>
      <c r="J206" t="s">
        <v>132</v>
      </c>
      <c r="K206" t="s">
        <v>95</v>
      </c>
      <c r="L206">
        <v>274.37</v>
      </c>
      <c r="M206" t="s">
        <v>115</v>
      </c>
      <c r="N206">
        <f t="shared" si="28"/>
        <v>0</v>
      </c>
      <c r="O206" t="s">
        <v>86</v>
      </c>
      <c r="P206" t="s">
        <v>1132</v>
      </c>
      <c r="Q206">
        <v>0</v>
      </c>
      <c r="R206">
        <v>171</v>
      </c>
      <c r="S206">
        <f t="shared" si="29"/>
        <v>1.3810469227963764</v>
      </c>
      <c r="T206">
        <f t="shared" si="30"/>
        <v>0</v>
      </c>
      <c r="U206">
        <f t="shared" si="31"/>
        <v>0</v>
      </c>
      <c r="V206">
        <f t="shared" si="32"/>
        <v>1</v>
      </c>
      <c r="W206">
        <f t="shared" si="33"/>
        <v>1</v>
      </c>
      <c r="X206">
        <f t="shared" si="34"/>
        <v>0</v>
      </c>
      <c r="Y206">
        <f t="shared" si="35"/>
        <v>0</v>
      </c>
    </row>
    <row r="207" spans="1:25" x14ac:dyDescent="0.3">
      <c r="A207" t="s">
        <v>1655</v>
      </c>
      <c r="B207" t="s">
        <v>1656</v>
      </c>
      <c r="C207" s="1">
        <v>45786</v>
      </c>
      <c r="D207" s="3">
        <v>0.87443287037037032</v>
      </c>
      <c r="E207">
        <f t="shared" si="27"/>
        <v>20</v>
      </c>
      <c r="F207">
        <v>30</v>
      </c>
      <c r="G207" t="s">
        <v>46</v>
      </c>
      <c r="H207" t="s">
        <v>47</v>
      </c>
      <c r="I207" t="s">
        <v>110</v>
      </c>
      <c r="J207" t="s">
        <v>31</v>
      </c>
      <c r="K207" t="s">
        <v>101</v>
      </c>
      <c r="L207">
        <v>274.26</v>
      </c>
      <c r="M207" t="s">
        <v>23</v>
      </c>
      <c r="N207">
        <f t="shared" si="28"/>
        <v>0</v>
      </c>
      <c r="O207" t="s">
        <v>51</v>
      </c>
      <c r="P207" t="s">
        <v>1657</v>
      </c>
      <c r="Q207">
        <v>0</v>
      </c>
      <c r="R207">
        <v>468</v>
      </c>
      <c r="S207">
        <f t="shared" si="29"/>
        <v>1.3795240542540059</v>
      </c>
      <c r="T207">
        <f t="shared" si="30"/>
        <v>0</v>
      </c>
      <c r="U207">
        <f t="shared" si="31"/>
        <v>0</v>
      </c>
      <c r="V207">
        <f t="shared" si="32"/>
        <v>0</v>
      </c>
      <c r="W207">
        <f t="shared" si="33"/>
        <v>0</v>
      </c>
      <c r="X207">
        <f t="shared" si="34"/>
        <v>0</v>
      </c>
      <c r="Y207">
        <f t="shared" si="35"/>
        <v>0</v>
      </c>
    </row>
    <row r="208" spans="1:25" x14ac:dyDescent="0.3">
      <c r="A208" t="s">
        <v>6335</v>
      </c>
      <c r="B208" t="s">
        <v>6336</v>
      </c>
      <c r="C208" s="1">
        <v>45829</v>
      </c>
      <c r="D208" s="3">
        <v>0.48287037037037039</v>
      </c>
      <c r="E208">
        <f t="shared" si="27"/>
        <v>11</v>
      </c>
      <c r="F208">
        <v>37</v>
      </c>
      <c r="G208" t="s">
        <v>46</v>
      </c>
      <c r="H208" t="s">
        <v>142</v>
      </c>
      <c r="I208" t="s">
        <v>110</v>
      </c>
      <c r="J208" t="s">
        <v>40</v>
      </c>
      <c r="K208" t="s">
        <v>32</v>
      </c>
      <c r="L208">
        <v>274.06</v>
      </c>
      <c r="M208" t="s">
        <v>33</v>
      </c>
      <c r="N208">
        <f t="shared" si="28"/>
        <v>0</v>
      </c>
      <c r="O208" t="s">
        <v>34</v>
      </c>
      <c r="P208" t="s">
        <v>6337</v>
      </c>
      <c r="Q208">
        <v>0</v>
      </c>
      <c r="R208">
        <v>423</v>
      </c>
      <c r="S208">
        <f t="shared" si="29"/>
        <v>1.3767552023587877</v>
      </c>
      <c r="T208">
        <f t="shared" si="30"/>
        <v>0</v>
      </c>
      <c r="U208">
        <f t="shared" si="31"/>
        <v>0</v>
      </c>
      <c r="V208">
        <f t="shared" si="32"/>
        <v>0</v>
      </c>
      <c r="W208">
        <f t="shared" si="33"/>
        <v>0</v>
      </c>
      <c r="X208">
        <f t="shared" si="34"/>
        <v>0</v>
      </c>
      <c r="Y208">
        <f t="shared" si="35"/>
        <v>0</v>
      </c>
    </row>
    <row r="209" spans="1:25" x14ac:dyDescent="0.3">
      <c r="A209" t="s">
        <v>4178</v>
      </c>
      <c r="B209" t="s">
        <v>4179</v>
      </c>
      <c r="C209" s="1">
        <v>45820</v>
      </c>
      <c r="D209" s="3">
        <v>0.7798032407407407</v>
      </c>
      <c r="E209">
        <f t="shared" si="27"/>
        <v>18</v>
      </c>
      <c r="F209">
        <v>54</v>
      </c>
      <c r="G209" t="s">
        <v>46</v>
      </c>
      <c r="H209" t="s">
        <v>100</v>
      </c>
      <c r="I209" t="s">
        <v>85</v>
      </c>
      <c r="J209" t="s">
        <v>76</v>
      </c>
      <c r="K209" t="s">
        <v>32</v>
      </c>
      <c r="L209">
        <v>273.95999999999998</v>
      </c>
      <c r="M209" t="s">
        <v>115</v>
      </c>
      <c r="N209">
        <f t="shared" si="28"/>
        <v>0</v>
      </c>
      <c r="O209" t="s">
        <v>51</v>
      </c>
      <c r="P209" t="s">
        <v>4180</v>
      </c>
      <c r="Q209">
        <v>0</v>
      </c>
      <c r="R209">
        <v>458</v>
      </c>
      <c r="S209">
        <f t="shared" si="29"/>
        <v>1.375370776411178</v>
      </c>
      <c r="T209">
        <f t="shared" si="30"/>
        <v>0</v>
      </c>
      <c r="U209">
        <f t="shared" si="31"/>
        <v>0</v>
      </c>
      <c r="V209">
        <f t="shared" si="32"/>
        <v>0</v>
      </c>
      <c r="W209">
        <f t="shared" si="33"/>
        <v>0</v>
      </c>
      <c r="X209">
        <f t="shared" si="34"/>
        <v>0</v>
      </c>
      <c r="Y209">
        <f t="shared" si="35"/>
        <v>0</v>
      </c>
    </row>
    <row r="210" spans="1:25" x14ac:dyDescent="0.3">
      <c r="A210" t="s">
        <v>5108</v>
      </c>
      <c r="B210" t="s">
        <v>5109</v>
      </c>
      <c r="C210" s="1">
        <v>45720</v>
      </c>
      <c r="D210" s="3">
        <v>0.64216435185185183</v>
      </c>
      <c r="E210">
        <f t="shared" si="27"/>
        <v>15</v>
      </c>
      <c r="F210">
        <v>23</v>
      </c>
      <c r="G210" t="s">
        <v>6479</v>
      </c>
      <c r="H210" t="s">
        <v>29</v>
      </c>
      <c r="I210" t="s">
        <v>30</v>
      </c>
      <c r="J210" t="s">
        <v>21</v>
      </c>
      <c r="K210" t="s">
        <v>168</v>
      </c>
      <c r="L210">
        <v>273.89999999999998</v>
      </c>
      <c r="M210" t="s">
        <v>23</v>
      </c>
      <c r="N210">
        <f t="shared" si="28"/>
        <v>0</v>
      </c>
      <c r="O210" t="s">
        <v>24</v>
      </c>
      <c r="P210" t="s">
        <v>5110</v>
      </c>
      <c r="Q210">
        <v>0</v>
      </c>
      <c r="R210">
        <v>243</v>
      </c>
      <c r="S210">
        <f t="shared" si="29"/>
        <v>1.3745401208426125</v>
      </c>
      <c r="T210">
        <f t="shared" si="30"/>
        <v>0</v>
      </c>
      <c r="U210">
        <f t="shared" si="31"/>
        <v>0</v>
      </c>
      <c r="V210">
        <f t="shared" si="32"/>
        <v>1</v>
      </c>
      <c r="W210">
        <f t="shared" si="33"/>
        <v>1</v>
      </c>
      <c r="X210">
        <f t="shared" si="34"/>
        <v>0</v>
      </c>
      <c r="Y210">
        <f t="shared" si="35"/>
        <v>0</v>
      </c>
    </row>
    <row r="211" spans="1:25" x14ac:dyDescent="0.3">
      <c r="A211" t="s">
        <v>1826</v>
      </c>
      <c r="B211" s="2" t="s">
        <v>1827</v>
      </c>
      <c r="C211" s="1">
        <v>45752</v>
      </c>
      <c r="D211" s="3">
        <v>0.96233796296296292</v>
      </c>
      <c r="E211">
        <f t="shared" si="27"/>
        <v>23</v>
      </c>
      <c r="F211">
        <v>36</v>
      </c>
      <c r="G211" t="s">
        <v>99</v>
      </c>
      <c r="H211" t="s">
        <v>142</v>
      </c>
      <c r="I211" t="s">
        <v>30</v>
      </c>
      <c r="J211" t="s">
        <v>31</v>
      </c>
      <c r="K211" t="s">
        <v>114</v>
      </c>
      <c r="L211">
        <v>273.85000000000002</v>
      </c>
      <c r="M211" t="s">
        <v>33</v>
      </c>
      <c r="N211">
        <f t="shared" si="28"/>
        <v>0</v>
      </c>
      <c r="O211" t="s">
        <v>86</v>
      </c>
      <c r="P211" t="s">
        <v>1828</v>
      </c>
      <c r="Q211">
        <v>0</v>
      </c>
      <c r="R211">
        <v>476</v>
      </c>
      <c r="S211">
        <f t="shared" si="29"/>
        <v>1.3738479078688084</v>
      </c>
      <c r="T211">
        <f t="shared" si="30"/>
        <v>0</v>
      </c>
      <c r="U211">
        <f t="shared" si="31"/>
        <v>0</v>
      </c>
      <c r="V211">
        <f t="shared" si="32"/>
        <v>0</v>
      </c>
      <c r="W211">
        <f t="shared" si="33"/>
        <v>0</v>
      </c>
      <c r="X211">
        <f t="shared" si="34"/>
        <v>0</v>
      </c>
      <c r="Y211">
        <f t="shared" si="35"/>
        <v>0</v>
      </c>
    </row>
    <row r="212" spans="1:25" x14ac:dyDescent="0.3">
      <c r="A212" t="s">
        <v>725</v>
      </c>
      <c r="B212" t="s">
        <v>726</v>
      </c>
      <c r="C212" s="1">
        <v>45834</v>
      </c>
      <c r="D212" s="3">
        <v>0.92199074074074072</v>
      </c>
      <c r="E212">
        <f t="shared" si="27"/>
        <v>22</v>
      </c>
      <c r="F212">
        <v>36</v>
      </c>
      <c r="G212" t="s">
        <v>46</v>
      </c>
      <c r="H212" t="s">
        <v>100</v>
      </c>
      <c r="I212" t="s">
        <v>105</v>
      </c>
      <c r="J212" t="s">
        <v>31</v>
      </c>
      <c r="K212" t="s">
        <v>101</v>
      </c>
      <c r="L212">
        <v>273.69</v>
      </c>
      <c r="M212" t="s">
        <v>33</v>
      </c>
      <c r="N212">
        <f t="shared" si="28"/>
        <v>0</v>
      </c>
      <c r="O212" t="s">
        <v>34</v>
      </c>
      <c r="P212" t="s">
        <v>727</v>
      </c>
      <c r="Q212">
        <v>0</v>
      </c>
      <c r="R212">
        <v>304</v>
      </c>
      <c r="S212">
        <f t="shared" si="29"/>
        <v>1.3716328263526334</v>
      </c>
      <c r="T212">
        <f t="shared" si="30"/>
        <v>0</v>
      </c>
      <c r="U212">
        <f t="shared" si="31"/>
        <v>0</v>
      </c>
      <c r="V212">
        <f t="shared" si="32"/>
        <v>0</v>
      </c>
      <c r="W212">
        <f t="shared" si="33"/>
        <v>0</v>
      </c>
      <c r="X212">
        <f t="shared" si="34"/>
        <v>0</v>
      </c>
      <c r="Y212">
        <f t="shared" si="35"/>
        <v>0</v>
      </c>
    </row>
    <row r="213" spans="1:25" x14ac:dyDescent="0.3">
      <c r="A213" t="s">
        <v>512</v>
      </c>
      <c r="B213" t="s">
        <v>513</v>
      </c>
      <c r="C213" s="1">
        <v>45821</v>
      </c>
      <c r="D213" s="3">
        <v>0.98866898148148152</v>
      </c>
      <c r="E213">
        <f t="shared" si="27"/>
        <v>23</v>
      </c>
      <c r="F213">
        <v>32</v>
      </c>
      <c r="G213" t="s">
        <v>18</v>
      </c>
      <c r="H213" t="s">
        <v>90</v>
      </c>
      <c r="I213" t="s">
        <v>119</v>
      </c>
      <c r="J213" t="s">
        <v>132</v>
      </c>
      <c r="K213" t="s">
        <v>101</v>
      </c>
      <c r="L213">
        <v>273.60000000000002</v>
      </c>
      <c r="M213" t="s">
        <v>6479</v>
      </c>
      <c r="N213">
        <f t="shared" si="28"/>
        <v>1</v>
      </c>
      <c r="O213" t="s">
        <v>86</v>
      </c>
      <c r="P213" t="s">
        <v>514</v>
      </c>
      <c r="Q213">
        <v>0</v>
      </c>
      <c r="R213">
        <v>295</v>
      </c>
      <c r="S213">
        <f t="shared" si="29"/>
        <v>1.3703868429997854</v>
      </c>
      <c r="T213">
        <f t="shared" si="30"/>
        <v>0</v>
      </c>
      <c r="U213">
        <f t="shared" si="31"/>
        <v>0</v>
      </c>
      <c r="V213">
        <f t="shared" si="32"/>
        <v>0</v>
      </c>
      <c r="W213">
        <f t="shared" si="33"/>
        <v>2</v>
      </c>
      <c r="X213">
        <f t="shared" si="34"/>
        <v>0</v>
      </c>
      <c r="Y213">
        <f t="shared" si="35"/>
        <v>1</v>
      </c>
    </row>
    <row r="214" spans="1:25" x14ac:dyDescent="0.3">
      <c r="A214" t="s">
        <v>5726</v>
      </c>
      <c r="B214" t="s">
        <v>5727</v>
      </c>
      <c r="C214" s="1">
        <v>45854</v>
      </c>
      <c r="D214" s="3">
        <v>0.18563657407407408</v>
      </c>
      <c r="E214">
        <f t="shared" si="27"/>
        <v>4</v>
      </c>
      <c r="F214">
        <v>29</v>
      </c>
      <c r="G214" t="s">
        <v>46</v>
      </c>
      <c r="H214" t="s">
        <v>167</v>
      </c>
      <c r="I214" t="s">
        <v>48</v>
      </c>
      <c r="J214" t="s">
        <v>76</v>
      </c>
      <c r="K214" t="s">
        <v>62</v>
      </c>
      <c r="L214">
        <v>273.5</v>
      </c>
      <c r="M214" t="s">
        <v>23</v>
      </c>
      <c r="N214">
        <f t="shared" si="28"/>
        <v>0</v>
      </c>
      <c r="O214" t="s">
        <v>51</v>
      </c>
      <c r="P214" t="s">
        <v>5728</v>
      </c>
      <c r="Q214">
        <v>0</v>
      </c>
      <c r="R214">
        <v>130</v>
      </c>
      <c r="S214">
        <f t="shared" si="29"/>
        <v>1.3690024170521757</v>
      </c>
      <c r="T214">
        <f t="shared" si="30"/>
        <v>0</v>
      </c>
      <c r="U214">
        <f t="shared" si="31"/>
        <v>1</v>
      </c>
      <c r="V214">
        <f t="shared" si="32"/>
        <v>1</v>
      </c>
      <c r="W214">
        <f t="shared" si="33"/>
        <v>3</v>
      </c>
      <c r="X214">
        <f t="shared" si="34"/>
        <v>0</v>
      </c>
      <c r="Y214">
        <f t="shared" si="35"/>
        <v>0</v>
      </c>
    </row>
    <row r="215" spans="1:25" x14ac:dyDescent="0.3">
      <c r="A215" t="s">
        <v>5390</v>
      </c>
      <c r="B215" t="s">
        <v>5391</v>
      </c>
      <c r="C215" s="1">
        <v>45775</v>
      </c>
      <c r="D215" s="3">
        <v>0.34962962962962962</v>
      </c>
      <c r="E215">
        <f t="shared" si="27"/>
        <v>8</v>
      </c>
      <c r="F215">
        <v>32</v>
      </c>
      <c r="G215" t="s">
        <v>46</v>
      </c>
      <c r="H215" t="s">
        <v>84</v>
      </c>
      <c r="I215" t="s">
        <v>48</v>
      </c>
      <c r="J215" t="s">
        <v>31</v>
      </c>
      <c r="K215" t="s">
        <v>22</v>
      </c>
      <c r="L215">
        <v>273.49</v>
      </c>
      <c r="M215" t="s">
        <v>115</v>
      </c>
      <c r="N215">
        <f t="shared" si="28"/>
        <v>0</v>
      </c>
      <c r="O215" t="s">
        <v>34</v>
      </c>
      <c r="P215" t="s">
        <v>5392</v>
      </c>
      <c r="Q215">
        <v>0</v>
      </c>
      <c r="R215">
        <v>253</v>
      </c>
      <c r="S215">
        <f t="shared" si="29"/>
        <v>1.3688639744574149</v>
      </c>
      <c r="T215">
        <f t="shared" si="30"/>
        <v>0</v>
      </c>
      <c r="U215">
        <f t="shared" si="31"/>
        <v>0</v>
      </c>
      <c r="V215">
        <f t="shared" si="32"/>
        <v>1</v>
      </c>
      <c r="W215">
        <f t="shared" si="33"/>
        <v>1</v>
      </c>
      <c r="X215">
        <f t="shared" si="34"/>
        <v>0</v>
      </c>
      <c r="Y215">
        <f t="shared" si="35"/>
        <v>0</v>
      </c>
    </row>
    <row r="216" spans="1:25" x14ac:dyDescent="0.3">
      <c r="A216" t="s">
        <v>1694</v>
      </c>
      <c r="B216" t="s">
        <v>1695</v>
      </c>
      <c r="C216" s="1">
        <v>45777</v>
      </c>
      <c r="D216" s="3">
        <v>0.30418981481481483</v>
      </c>
      <c r="E216">
        <f t="shared" si="27"/>
        <v>7</v>
      </c>
      <c r="F216">
        <v>43</v>
      </c>
      <c r="G216" t="s">
        <v>60</v>
      </c>
      <c r="H216" t="s">
        <v>19</v>
      </c>
      <c r="I216" t="s">
        <v>105</v>
      </c>
      <c r="J216" t="s">
        <v>31</v>
      </c>
      <c r="K216" t="s">
        <v>41</v>
      </c>
      <c r="L216">
        <v>273.45</v>
      </c>
      <c r="M216" t="s">
        <v>115</v>
      </c>
      <c r="N216">
        <f t="shared" si="28"/>
        <v>0</v>
      </c>
      <c r="O216" t="s">
        <v>24</v>
      </c>
      <c r="P216" t="s">
        <v>1696</v>
      </c>
      <c r="Q216">
        <v>0</v>
      </c>
      <c r="R216">
        <v>151</v>
      </c>
      <c r="S216">
        <f t="shared" si="29"/>
        <v>1.368310204078371</v>
      </c>
      <c r="T216">
        <f t="shared" si="30"/>
        <v>0</v>
      </c>
      <c r="U216">
        <f t="shared" si="31"/>
        <v>0</v>
      </c>
      <c r="V216">
        <f t="shared" si="32"/>
        <v>1</v>
      </c>
      <c r="W216">
        <f t="shared" si="33"/>
        <v>1</v>
      </c>
      <c r="X216">
        <f t="shared" si="34"/>
        <v>0</v>
      </c>
      <c r="Y216">
        <f t="shared" si="35"/>
        <v>0</v>
      </c>
    </row>
    <row r="217" spans="1:25" x14ac:dyDescent="0.3">
      <c r="A217" t="s">
        <v>4070</v>
      </c>
      <c r="B217" t="s">
        <v>4071</v>
      </c>
      <c r="C217" s="1">
        <v>45721</v>
      </c>
      <c r="D217" s="3">
        <v>0.26424768518518521</v>
      </c>
      <c r="E217">
        <f t="shared" si="27"/>
        <v>6</v>
      </c>
      <c r="F217">
        <v>22</v>
      </c>
      <c r="G217" t="s">
        <v>60</v>
      </c>
      <c r="H217" t="s">
        <v>131</v>
      </c>
      <c r="I217" t="s">
        <v>119</v>
      </c>
      <c r="J217" t="s">
        <v>127</v>
      </c>
      <c r="K217" t="s">
        <v>22</v>
      </c>
      <c r="L217">
        <v>273.26</v>
      </c>
      <c r="M217" t="s">
        <v>42</v>
      </c>
      <c r="N217">
        <f t="shared" si="28"/>
        <v>0</v>
      </c>
      <c r="O217" t="s">
        <v>24</v>
      </c>
      <c r="P217" t="s">
        <v>4072</v>
      </c>
      <c r="Q217">
        <v>0</v>
      </c>
      <c r="R217">
        <v>381</v>
      </c>
      <c r="S217">
        <f t="shared" si="29"/>
        <v>1.3656797947779136</v>
      </c>
      <c r="T217">
        <f t="shared" si="30"/>
        <v>0</v>
      </c>
      <c r="U217">
        <f t="shared" si="31"/>
        <v>0</v>
      </c>
      <c r="V217">
        <f t="shared" si="32"/>
        <v>0</v>
      </c>
      <c r="W217">
        <f t="shared" si="33"/>
        <v>0</v>
      </c>
      <c r="X217">
        <f t="shared" si="34"/>
        <v>0</v>
      </c>
      <c r="Y217">
        <f t="shared" si="35"/>
        <v>0</v>
      </c>
    </row>
    <row r="218" spans="1:25" x14ac:dyDescent="0.3">
      <c r="A218" t="s">
        <v>2615</v>
      </c>
      <c r="B218" t="s">
        <v>2616</v>
      </c>
      <c r="C218" s="1">
        <v>45823</v>
      </c>
      <c r="D218" s="3">
        <v>0.26092592592592595</v>
      </c>
      <c r="E218">
        <f t="shared" si="27"/>
        <v>6</v>
      </c>
      <c r="F218">
        <v>28</v>
      </c>
      <c r="G218" t="s">
        <v>46</v>
      </c>
      <c r="H218" t="s">
        <v>70</v>
      </c>
      <c r="I218" t="s">
        <v>30</v>
      </c>
      <c r="J218" t="s">
        <v>31</v>
      </c>
      <c r="K218" t="s">
        <v>101</v>
      </c>
      <c r="L218">
        <v>273.14999999999998</v>
      </c>
      <c r="M218" t="s">
        <v>23</v>
      </c>
      <c r="N218">
        <f t="shared" si="28"/>
        <v>0</v>
      </c>
      <c r="O218" t="s">
        <v>34</v>
      </c>
      <c r="P218" t="s">
        <v>2617</v>
      </c>
      <c r="Q218">
        <v>0</v>
      </c>
      <c r="R218">
        <v>183</v>
      </c>
      <c r="S218">
        <f t="shared" si="29"/>
        <v>1.3641569262355431</v>
      </c>
      <c r="T218">
        <f t="shared" si="30"/>
        <v>0</v>
      </c>
      <c r="U218">
        <f t="shared" si="31"/>
        <v>0</v>
      </c>
      <c r="V218">
        <f t="shared" si="32"/>
        <v>1</v>
      </c>
      <c r="W218">
        <f t="shared" si="33"/>
        <v>1</v>
      </c>
      <c r="X218">
        <f t="shared" si="34"/>
        <v>0</v>
      </c>
      <c r="Y218">
        <f t="shared" si="35"/>
        <v>0</v>
      </c>
    </row>
    <row r="219" spans="1:25" x14ac:dyDescent="0.3">
      <c r="A219" t="s">
        <v>4007</v>
      </c>
      <c r="B219" t="s">
        <v>4008</v>
      </c>
      <c r="C219" s="1">
        <v>45795</v>
      </c>
      <c r="D219" s="3">
        <v>2.494212962962963E-2</v>
      </c>
      <c r="E219">
        <f t="shared" si="27"/>
        <v>0</v>
      </c>
      <c r="F219">
        <v>50</v>
      </c>
      <c r="G219" t="s">
        <v>46</v>
      </c>
      <c r="H219" t="s">
        <v>232</v>
      </c>
      <c r="I219" t="s">
        <v>85</v>
      </c>
      <c r="J219" t="s">
        <v>40</v>
      </c>
      <c r="K219" t="s">
        <v>32</v>
      </c>
      <c r="L219">
        <v>273.14</v>
      </c>
      <c r="M219" t="s">
        <v>23</v>
      </c>
      <c r="N219">
        <f t="shared" si="28"/>
        <v>0</v>
      </c>
      <c r="O219" t="s">
        <v>34</v>
      </c>
      <c r="P219" t="s">
        <v>4009</v>
      </c>
      <c r="Q219">
        <v>0</v>
      </c>
      <c r="R219">
        <v>122</v>
      </c>
      <c r="S219">
        <f t="shared" si="29"/>
        <v>1.3640184836407823</v>
      </c>
      <c r="T219">
        <f t="shared" si="30"/>
        <v>0</v>
      </c>
      <c r="U219">
        <f t="shared" si="31"/>
        <v>1</v>
      </c>
      <c r="V219">
        <f t="shared" si="32"/>
        <v>1</v>
      </c>
      <c r="W219">
        <f t="shared" si="33"/>
        <v>3</v>
      </c>
      <c r="X219">
        <f t="shared" si="34"/>
        <v>0</v>
      </c>
      <c r="Y219">
        <f t="shared" si="35"/>
        <v>0</v>
      </c>
    </row>
    <row r="220" spans="1:25" x14ac:dyDescent="0.3">
      <c r="A220" t="s">
        <v>4769</v>
      </c>
      <c r="B220" t="s">
        <v>4770</v>
      </c>
      <c r="C220" s="1">
        <v>45831</v>
      </c>
      <c r="D220" s="3">
        <v>0.96493055555555551</v>
      </c>
      <c r="E220">
        <f t="shared" si="27"/>
        <v>23</v>
      </c>
      <c r="F220">
        <v>47</v>
      </c>
      <c r="G220" t="s">
        <v>18</v>
      </c>
      <c r="H220" t="s">
        <v>19</v>
      </c>
      <c r="I220" t="s">
        <v>66</v>
      </c>
      <c r="J220" t="s">
        <v>21</v>
      </c>
      <c r="K220" t="s">
        <v>62</v>
      </c>
      <c r="L220">
        <v>273.08</v>
      </c>
      <c r="M220" t="s">
        <v>23</v>
      </c>
      <c r="N220">
        <f t="shared" si="28"/>
        <v>0</v>
      </c>
      <c r="O220" t="s">
        <v>34</v>
      </c>
      <c r="P220" t="s">
        <v>4771</v>
      </c>
      <c r="Q220">
        <v>0</v>
      </c>
      <c r="R220">
        <v>485</v>
      </c>
      <c r="S220">
        <f t="shared" si="29"/>
        <v>1.3631878280722167</v>
      </c>
      <c r="T220">
        <f t="shared" si="30"/>
        <v>0</v>
      </c>
      <c r="U220">
        <f t="shared" si="31"/>
        <v>0</v>
      </c>
      <c r="V220">
        <f t="shared" si="32"/>
        <v>0</v>
      </c>
      <c r="W220">
        <f t="shared" si="33"/>
        <v>0</v>
      </c>
      <c r="X220">
        <f t="shared" si="34"/>
        <v>0</v>
      </c>
      <c r="Y220">
        <f t="shared" si="35"/>
        <v>0</v>
      </c>
    </row>
    <row r="221" spans="1:25" x14ac:dyDescent="0.3">
      <c r="A221" t="s">
        <v>1820</v>
      </c>
      <c r="B221" t="s">
        <v>1821</v>
      </c>
      <c r="C221" s="1">
        <v>45781</v>
      </c>
      <c r="D221" s="3">
        <v>0.4788310185185185</v>
      </c>
      <c r="E221">
        <f t="shared" si="27"/>
        <v>11</v>
      </c>
      <c r="F221">
        <v>29</v>
      </c>
      <c r="G221" t="s">
        <v>18</v>
      </c>
      <c r="H221" t="s">
        <v>167</v>
      </c>
      <c r="I221" t="s">
        <v>119</v>
      </c>
      <c r="J221" t="s">
        <v>76</v>
      </c>
      <c r="K221" t="s">
        <v>120</v>
      </c>
      <c r="L221">
        <v>273.01</v>
      </c>
      <c r="M221" t="s">
        <v>33</v>
      </c>
      <c r="N221">
        <f t="shared" si="28"/>
        <v>0</v>
      </c>
      <c r="O221" t="s">
        <v>51</v>
      </c>
      <c r="P221" t="s">
        <v>1822</v>
      </c>
      <c r="Q221">
        <v>0</v>
      </c>
      <c r="R221">
        <v>59</v>
      </c>
      <c r="S221">
        <f t="shared" si="29"/>
        <v>1.3622187299088904</v>
      </c>
      <c r="T221">
        <f t="shared" si="30"/>
        <v>0</v>
      </c>
      <c r="U221">
        <f t="shared" si="31"/>
        <v>0</v>
      </c>
      <c r="V221">
        <f t="shared" si="32"/>
        <v>1</v>
      </c>
      <c r="W221">
        <f t="shared" si="33"/>
        <v>1</v>
      </c>
      <c r="X221">
        <f t="shared" si="34"/>
        <v>0</v>
      </c>
      <c r="Y221">
        <f t="shared" si="35"/>
        <v>0</v>
      </c>
    </row>
    <row r="222" spans="1:25" x14ac:dyDescent="0.3">
      <c r="A222" t="s">
        <v>3752</v>
      </c>
      <c r="B222" t="s">
        <v>3753</v>
      </c>
      <c r="C222" s="1">
        <v>45764</v>
      </c>
      <c r="D222" s="3">
        <v>0.72517361111111112</v>
      </c>
      <c r="E222">
        <f t="shared" si="27"/>
        <v>17</v>
      </c>
      <c r="F222">
        <v>43</v>
      </c>
      <c r="G222" t="s">
        <v>6479</v>
      </c>
      <c r="H222" t="s">
        <v>55</v>
      </c>
      <c r="I222" t="s">
        <v>85</v>
      </c>
      <c r="J222" t="s">
        <v>72</v>
      </c>
      <c r="K222" t="s">
        <v>62</v>
      </c>
      <c r="L222">
        <v>272.95</v>
      </c>
      <c r="M222" t="s">
        <v>42</v>
      </c>
      <c r="N222">
        <f t="shared" si="28"/>
        <v>0</v>
      </c>
      <c r="O222" t="s">
        <v>51</v>
      </c>
      <c r="P222" t="s">
        <v>3754</v>
      </c>
      <c r="Q222">
        <v>0</v>
      </c>
      <c r="R222">
        <v>145</v>
      </c>
      <c r="S222">
        <f t="shared" si="29"/>
        <v>1.3613880743403248</v>
      </c>
      <c r="T222">
        <f t="shared" si="30"/>
        <v>0</v>
      </c>
      <c r="U222">
        <f t="shared" si="31"/>
        <v>0</v>
      </c>
      <c r="V222">
        <f t="shared" si="32"/>
        <v>1</v>
      </c>
      <c r="W222">
        <f t="shared" si="33"/>
        <v>1</v>
      </c>
      <c r="X222">
        <f t="shared" si="34"/>
        <v>0</v>
      </c>
      <c r="Y222">
        <f t="shared" si="35"/>
        <v>0</v>
      </c>
    </row>
    <row r="223" spans="1:25" x14ac:dyDescent="0.3">
      <c r="A223" t="s">
        <v>3581</v>
      </c>
      <c r="B223" t="s">
        <v>3582</v>
      </c>
      <c r="C223" s="1">
        <v>45734</v>
      </c>
      <c r="D223" s="3">
        <v>8.1365740740740738E-2</v>
      </c>
      <c r="E223">
        <f t="shared" si="27"/>
        <v>1</v>
      </c>
      <c r="F223">
        <v>65</v>
      </c>
      <c r="G223" t="s">
        <v>60</v>
      </c>
      <c r="H223" t="s">
        <v>84</v>
      </c>
      <c r="I223" t="s">
        <v>66</v>
      </c>
      <c r="J223" t="s">
        <v>72</v>
      </c>
      <c r="K223" t="s">
        <v>101</v>
      </c>
      <c r="L223">
        <v>272.82</v>
      </c>
      <c r="M223" t="s">
        <v>115</v>
      </c>
      <c r="N223">
        <f t="shared" si="28"/>
        <v>0</v>
      </c>
      <c r="O223" t="s">
        <v>51</v>
      </c>
      <c r="P223" t="s">
        <v>3583</v>
      </c>
      <c r="Q223">
        <v>0</v>
      </c>
      <c r="R223">
        <v>346</v>
      </c>
      <c r="S223">
        <f t="shared" si="29"/>
        <v>1.3595883206084329</v>
      </c>
      <c r="T223">
        <f t="shared" si="30"/>
        <v>0</v>
      </c>
      <c r="U223">
        <f t="shared" si="31"/>
        <v>1</v>
      </c>
      <c r="V223">
        <f t="shared" si="32"/>
        <v>0</v>
      </c>
      <c r="W223">
        <f t="shared" si="33"/>
        <v>2</v>
      </c>
      <c r="X223">
        <f t="shared" si="34"/>
        <v>0</v>
      </c>
      <c r="Y223">
        <f t="shared" si="35"/>
        <v>0</v>
      </c>
    </row>
    <row r="224" spans="1:25" x14ac:dyDescent="0.3">
      <c r="A224" t="s">
        <v>599</v>
      </c>
      <c r="B224" t="s">
        <v>600</v>
      </c>
      <c r="C224" s="1">
        <v>45741</v>
      </c>
      <c r="D224" s="3">
        <v>0.64630787037037041</v>
      </c>
      <c r="E224">
        <f t="shared" si="27"/>
        <v>15</v>
      </c>
      <c r="F224">
        <v>61</v>
      </c>
      <c r="G224" t="s">
        <v>46</v>
      </c>
      <c r="H224" t="s">
        <v>189</v>
      </c>
      <c r="I224" t="s">
        <v>66</v>
      </c>
      <c r="J224" t="s">
        <v>40</v>
      </c>
      <c r="K224" t="s">
        <v>101</v>
      </c>
      <c r="L224">
        <v>272.70999999999998</v>
      </c>
      <c r="M224" t="s">
        <v>33</v>
      </c>
      <c r="N224">
        <f t="shared" si="28"/>
        <v>0</v>
      </c>
      <c r="O224" t="s">
        <v>86</v>
      </c>
      <c r="P224" t="s">
        <v>601</v>
      </c>
      <c r="Q224">
        <v>0</v>
      </c>
      <c r="R224">
        <v>415</v>
      </c>
      <c r="S224">
        <f t="shared" si="29"/>
        <v>1.3580654520660624</v>
      </c>
      <c r="T224">
        <f t="shared" si="30"/>
        <v>0</v>
      </c>
      <c r="U224">
        <f t="shared" si="31"/>
        <v>0</v>
      </c>
      <c r="V224">
        <f t="shared" si="32"/>
        <v>0</v>
      </c>
      <c r="W224">
        <f t="shared" si="33"/>
        <v>0</v>
      </c>
      <c r="X224">
        <f t="shared" si="34"/>
        <v>0</v>
      </c>
      <c r="Y224">
        <f t="shared" si="35"/>
        <v>0</v>
      </c>
    </row>
    <row r="225" spans="1:25" x14ac:dyDescent="0.3">
      <c r="A225" t="s">
        <v>1763</v>
      </c>
      <c r="B225" t="s">
        <v>1764</v>
      </c>
      <c r="C225" s="1">
        <v>45821</v>
      </c>
      <c r="D225" s="3">
        <v>0.72057870370370369</v>
      </c>
      <c r="E225">
        <f t="shared" si="27"/>
        <v>17</v>
      </c>
      <c r="F225">
        <v>41</v>
      </c>
      <c r="G225" t="s">
        <v>28</v>
      </c>
      <c r="H225" t="s">
        <v>142</v>
      </c>
      <c r="I225" t="s">
        <v>71</v>
      </c>
      <c r="J225" t="s">
        <v>132</v>
      </c>
      <c r="K225" t="s">
        <v>120</v>
      </c>
      <c r="L225">
        <v>272.69</v>
      </c>
      <c r="M225" t="s">
        <v>23</v>
      </c>
      <c r="N225">
        <f t="shared" si="28"/>
        <v>0</v>
      </c>
      <c r="O225" t="s">
        <v>51</v>
      </c>
      <c r="P225" t="s">
        <v>1765</v>
      </c>
      <c r="Q225">
        <v>0</v>
      </c>
      <c r="R225">
        <v>389</v>
      </c>
      <c r="S225">
        <f t="shared" si="29"/>
        <v>1.3577885668765408</v>
      </c>
      <c r="T225">
        <f t="shared" si="30"/>
        <v>0</v>
      </c>
      <c r="U225">
        <f t="shared" si="31"/>
        <v>0</v>
      </c>
      <c r="V225">
        <f t="shared" si="32"/>
        <v>0</v>
      </c>
      <c r="W225">
        <f t="shared" si="33"/>
        <v>0</v>
      </c>
      <c r="X225">
        <f t="shared" si="34"/>
        <v>0</v>
      </c>
      <c r="Y225">
        <f t="shared" si="35"/>
        <v>0</v>
      </c>
    </row>
    <row r="226" spans="1:25" x14ac:dyDescent="0.3">
      <c r="A226" t="s">
        <v>6326</v>
      </c>
      <c r="B226" t="s">
        <v>6327</v>
      </c>
      <c r="C226" s="1">
        <v>45749</v>
      </c>
      <c r="D226" s="3">
        <v>0.33819444444444446</v>
      </c>
      <c r="E226">
        <f t="shared" si="27"/>
        <v>8</v>
      </c>
      <c r="F226">
        <v>19</v>
      </c>
      <c r="G226" t="s">
        <v>46</v>
      </c>
      <c r="H226" t="s">
        <v>38</v>
      </c>
      <c r="I226" t="s">
        <v>105</v>
      </c>
      <c r="J226" t="s">
        <v>132</v>
      </c>
      <c r="K226" t="s">
        <v>50</v>
      </c>
      <c r="L226">
        <v>272.64999999999998</v>
      </c>
      <c r="M226" t="s">
        <v>23</v>
      </c>
      <c r="N226">
        <f t="shared" si="28"/>
        <v>0</v>
      </c>
      <c r="O226" t="s">
        <v>86</v>
      </c>
      <c r="P226" t="s">
        <v>6328</v>
      </c>
      <c r="Q226">
        <v>0</v>
      </c>
      <c r="R226">
        <v>299</v>
      </c>
      <c r="S226">
        <f t="shared" si="29"/>
        <v>1.3572347964974969</v>
      </c>
      <c r="T226">
        <f t="shared" si="30"/>
        <v>0</v>
      </c>
      <c r="U226">
        <f t="shared" si="31"/>
        <v>0</v>
      </c>
      <c r="V226">
        <f t="shared" si="32"/>
        <v>0</v>
      </c>
      <c r="W226">
        <f t="shared" si="33"/>
        <v>0</v>
      </c>
      <c r="X226">
        <f t="shared" si="34"/>
        <v>0</v>
      </c>
      <c r="Y226">
        <f t="shared" si="35"/>
        <v>0</v>
      </c>
    </row>
    <row r="227" spans="1:25" x14ac:dyDescent="0.3">
      <c r="A227" t="s">
        <v>4583</v>
      </c>
      <c r="B227" t="s">
        <v>4584</v>
      </c>
      <c r="C227" s="1">
        <v>45842</v>
      </c>
      <c r="D227" s="3">
        <v>0.42211805555555554</v>
      </c>
      <c r="E227">
        <f t="shared" si="27"/>
        <v>10</v>
      </c>
      <c r="F227">
        <v>35</v>
      </c>
      <c r="G227" t="s">
        <v>60</v>
      </c>
      <c r="H227" t="s">
        <v>55</v>
      </c>
      <c r="I227" t="s">
        <v>105</v>
      </c>
      <c r="J227" t="s">
        <v>127</v>
      </c>
      <c r="K227" t="s">
        <v>114</v>
      </c>
      <c r="L227">
        <v>272.60000000000002</v>
      </c>
      <c r="M227" t="s">
        <v>33</v>
      </c>
      <c r="N227">
        <f t="shared" si="28"/>
        <v>0</v>
      </c>
      <c r="O227" t="s">
        <v>24</v>
      </c>
      <c r="P227" t="s">
        <v>4585</v>
      </c>
      <c r="Q227">
        <v>0</v>
      </c>
      <c r="R227">
        <v>184</v>
      </c>
      <c r="S227">
        <f t="shared" si="29"/>
        <v>1.3565425835236928</v>
      </c>
      <c r="T227">
        <f t="shared" si="30"/>
        <v>0</v>
      </c>
      <c r="U227">
        <f t="shared" si="31"/>
        <v>0</v>
      </c>
      <c r="V227">
        <f t="shared" si="32"/>
        <v>1</v>
      </c>
      <c r="W227">
        <f t="shared" si="33"/>
        <v>1</v>
      </c>
      <c r="X227">
        <f t="shared" si="34"/>
        <v>0</v>
      </c>
      <c r="Y227">
        <f t="shared" si="35"/>
        <v>0</v>
      </c>
    </row>
    <row r="228" spans="1:25" x14ac:dyDescent="0.3">
      <c r="A228" t="s">
        <v>2990</v>
      </c>
      <c r="B228" t="s">
        <v>2991</v>
      </c>
      <c r="C228" s="1">
        <v>45878</v>
      </c>
      <c r="D228" s="3">
        <v>0.28766203703703702</v>
      </c>
      <c r="E228">
        <f t="shared" si="27"/>
        <v>6</v>
      </c>
      <c r="F228">
        <v>20</v>
      </c>
      <c r="G228" t="s">
        <v>6479</v>
      </c>
      <c r="H228" t="s">
        <v>185</v>
      </c>
      <c r="I228" t="s">
        <v>119</v>
      </c>
      <c r="J228" t="s">
        <v>94</v>
      </c>
      <c r="K228" t="s">
        <v>22</v>
      </c>
      <c r="L228">
        <v>272.49</v>
      </c>
      <c r="M228" t="s">
        <v>42</v>
      </c>
      <c r="N228">
        <f t="shared" si="28"/>
        <v>0</v>
      </c>
      <c r="O228" t="s">
        <v>51</v>
      </c>
      <c r="P228" t="s">
        <v>2992</v>
      </c>
      <c r="Q228">
        <v>0</v>
      </c>
      <c r="R228">
        <v>137</v>
      </c>
      <c r="S228">
        <f t="shared" si="29"/>
        <v>1.3550197149813226</v>
      </c>
      <c r="T228">
        <f t="shared" si="30"/>
        <v>0</v>
      </c>
      <c r="U228">
        <f t="shared" si="31"/>
        <v>0</v>
      </c>
      <c r="V228">
        <f t="shared" si="32"/>
        <v>1</v>
      </c>
      <c r="W228">
        <f t="shared" si="33"/>
        <v>1</v>
      </c>
      <c r="X228">
        <f t="shared" si="34"/>
        <v>0</v>
      </c>
      <c r="Y228">
        <f t="shared" si="35"/>
        <v>0</v>
      </c>
    </row>
    <row r="229" spans="1:25" x14ac:dyDescent="0.3">
      <c r="A229" t="s">
        <v>5645</v>
      </c>
      <c r="B229" t="s">
        <v>5646</v>
      </c>
      <c r="C229" s="1">
        <v>45867</v>
      </c>
      <c r="D229" s="3">
        <v>3.0555555555555557E-3</v>
      </c>
      <c r="E229">
        <f t="shared" si="27"/>
        <v>0</v>
      </c>
      <c r="F229">
        <v>41</v>
      </c>
      <c r="G229" t="s">
        <v>46</v>
      </c>
      <c r="H229" t="s">
        <v>55</v>
      </c>
      <c r="I229" t="s">
        <v>71</v>
      </c>
      <c r="J229" t="s">
        <v>132</v>
      </c>
      <c r="K229" t="s">
        <v>101</v>
      </c>
      <c r="L229">
        <v>272.31</v>
      </c>
      <c r="M229" t="s">
        <v>33</v>
      </c>
      <c r="N229">
        <f t="shared" si="28"/>
        <v>0</v>
      </c>
      <c r="O229" t="s">
        <v>86</v>
      </c>
      <c r="P229" t="s">
        <v>5647</v>
      </c>
      <c r="Q229">
        <v>0</v>
      </c>
      <c r="R229">
        <v>120</v>
      </c>
      <c r="S229">
        <f t="shared" si="29"/>
        <v>1.3525277482756259</v>
      </c>
      <c r="T229">
        <f t="shared" si="30"/>
        <v>0</v>
      </c>
      <c r="U229">
        <f t="shared" si="31"/>
        <v>1</v>
      </c>
      <c r="V229">
        <f t="shared" si="32"/>
        <v>1</v>
      </c>
      <c r="W229">
        <f t="shared" si="33"/>
        <v>3</v>
      </c>
      <c r="X229">
        <f t="shared" si="34"/>
        <v>0</v>
      </c>
      <c r="Y229">
        <f t="shared" si="35"/>
        <v>0</v>
      </c>
    </row>
    <row r="230" spans="1:25" x14ac:dyDescent="0.3">
      <c r="A230" t="s">
        <v>6386</v>
      </c>
      <c r="B230" t="s">
        <v>6387</v>
      </c>
      <c r="C230" s="1">
        <v>45777</v>
      </c>
      <c r="D230" s="3">
        <v>0.60842592592592593</v>
      </c>
      <c r="E230">
        <f t="shared" si="27"/>
        <v>14</v>
      </c>
      <c r="F230">
        <v>46</v>
      </c>
      <c r="G230" t="s">
        <v>18</v>
      </c>
      <c r="H230" t="s">
        <v>100</v>
      </c>
      <c r="I230" t="s">
        <v>30</v>
      </c>
      <c r="J230" t="s">
        <v>127</v>
      </c>
      <c r="K230" t="s">
        <v>41</v>
      </c>
      <c r="L230">
        <v>272.31</v>
      </c>
      <c r="M230" t="s">
        <v>115</v>
      </c>
      <c r="N230">
        <f t="shared" si="28"/>
        <v>0</v>
      </c>
      <c r="O230" t="s">
        <v>34</v>
      </c>
      <c r="P230" t="s">
        <v>6388</v>
      </c>
      <c r="Q230">
        <v>0</v>
      </c>
      <c r="R230">
        <v>430</v>
      </c>
      <c r="S230">
        <f t="shared" si="29"/>
        <v>1.3525277482756259</v>
      </c>
      <c r="T230">
        <f t="shared" si="30"/>
        <v>0</v>
      </c>
      <c r="U230">
        <f t="shared" si="31"/>
        <v>0</v>
      </c>
      <c r="V230">
        <f t="shared" si="32"/>
        <v>0</v>
      </c>
      <c r="W230">
        <f t="shared" si="33"/>
        <v>0</v>
      </c>
      <c r="X230">
        <f t="shared" si="34"/>
        <v>0</v>
      </c>
      <c r="Y230">
        <f t="shared" si="35"/>
        <v>0</v>
      </c>
    </row>
    <row r="231" spans="1:25" x14ac:dyDescent="0.3">
      <c r="A231" t="s">
        <v>3221</v>
      </c>
      <c r="B231" t="s">
        <v>3222</v>
      </c>
      <c r="C231" s="1">
        <v>45806</v>
      </c>
      <c r="D231" s="3">
        <v>0.38062499999999999</v>
      </c>
      <c r="E231">
        <f t="shared" si="27"/>
        <v>9</v>
      </c>
      <c r="F231">
        <v>18</v>
      </c>
      <c r="G231" t="s">
        <v>99</v>
      </c>
      <c r="H231" t="s">
        <v>239</v>
      </c>
      <c r="I231" t="s">
        <v>66</v>
      </c>
      <c r="J231" t="s">
        <v>31</v>
      </c>
      <c r="K231" t="s">
        <v>62</v>
      </c>
      <c r="L231">
        <v>272.3</v>
      </c>
      <c r="M231" t="s">
        <v>6479</v>
      </c>
      <c r="N231">
        <f t="shared" si="28"/>
        <v>1</v>
      </c>
      <c r="O231" t="s">
        <v>86</v>
      </c>
      <c r="P231" t="s">
        <v>3223</v>
      </c>
      <c r="Q231">
        <v>0</v>
      </c>
      <c r="R231">
        <v>323</v>
      </c>
      <c r="S231">
        <f t="shared" si="29"/>
        <v>1.3523893056808651</v>
      </c>
      <c r="T231">
        <f t="shared" si="30"/>
        <v>0</v>
      </c>
      <c r="U231">
        <f t="shared" si="31"/>
        <v>0</v>
      </c>
      <c r="V231">
        <f t="shared" si="32"/>
        <v>0</v>
      </c>
      <c r="W231">
        <f t="shared" si="33"/>
        <v>2</v>
      </c>
      <c r="X231">
        <f t="shared" si="34"/>
        <v>0</v>
      </c>
      <c r="Y231">
        <f t="shared" si="35"/>
        <v>1</v>
      </c>
    </row>
    <row r="232" spans="1:25" x14ac:dyDescent="0.3">
      <c r="A232" t="s">
        <v>2141</v>
      </c>
      <c r="B232" t="s">
        <v>2142</v>
      </c>
      <c r="C232" s="1">
        <v>45826</v>
      </c>
      <c r="D232" s="3">
        <v>0.22001157407407407</v>
      </c>
      <c r="E232">
        <f t="shared" si="27"/>
        <v>5</v>
      </c>
      <c r="F232">
        <v>58</v>
      </c>
      <c r="G232" t="s">
        <v>46</v>
      </c>
      <c r="H232" t="s">
        <v>239</v>
      </c>
      <c r="I232" t="s">
        <v>71</v>
      </c>
      <c r="J232" t="s">
        <v>21</v>
      </c>
      <c r="K232" t="s">
        <v>168</v>
      </c>
      <c r="L232">
        <v>272.22000000000003</v>
      </c>
      <c r="M232" t="s">
        <v>115</v>
      </c>
      <c r="N232">
        <f t="shared" si="28"/>
        <v>0</v>
      </c>
      <c r="O232" t="s">
        <v>34</v>
      </c>
      <c r="P232" t="s">
        <v>2143</v>
      </c>
      <c r="Q232">
        <v>0</v>
      </c>
      <c r="R232">
        <v>296</v>
      </c>
      <c r="S232">
        <f t="shared" si="29"/>
        <v>1.351281764922778</v>
      </c>
      <c r="T232">
        <f t="shared" si="30"/>
        <v>0</v>
      </c>
      <c r="U232">
        <f t="shared" si="31"/>
        <v>1</v>
      </c>
      <c r="V232">
        <f t="shared" si="32"/>
        <v>0</v>
      </c>
      <c r="W232">
        <f t="shared" si="33"/>
        <v>2</v>
      </c>
      <c r="X232">
        <f t="shared" si="34"/>
        <v>0</v>
      </c>
      <c r="Y232">
        <f t="shared" si="35"/>
        <v>0</v>
      </c>
    </row>
    <row r="233" spans="1:25" x14ac:dyDescent="0.3">
      <c r="A233" t="s">
        <v>5684</v>
      </c>
      <c r="B233" t="s">
        <v>5685</v>
      </c>
      <c r="C233" s="1">
        <v>45759</v>
      </c>
      <c r="D233" s="3">
        <v>0.64290509259259254</v>
      </c>
      <c r="E233">
        <f t="shared" si="27"/>
        <v>15</v>
      </c>
      <c r="F233">
        <v>55</v>
      </c>
      <c r="G233" t="s">
        <v>60</v>
      </c>
      <c r="H233" t="s">
        <v>100</v>
      </c>
      <c r="I233" t="s">
        <v>66</v>
      </c>
      <c r="J233" t="s">
        <v>49</v>
      </c>
      <c r="K233" t="s">
        <v>32</v>
      </c>
      <c r="L233">
        <v>272.2</v>
      </c>
      <c r="M233" t="s">
        <v>115</v>
      </c>
      <c r="N233">
        <f t="shared" si="28"/>
        <v>0</v>
      </c>
      <c r="O233" t="s">
        <v>86</v>
      </c>
      <c r="P233" t="s">
        <v>5686</v>
      </c>
      <c r="Q233">
        <v>0</v>
      </c>
      <c r="R233">
        <v>165</v>
      </c>
      <c r="S233">
        <f t="shared" si="29"/>
        <v>1.3510048797332554</v>
      </c>
      <c r="T233">
        <f t="shared" si="30"/>
        <v>0</v>
      </c>
      <c r="U233">
        <f t="shared" si="31"/>
        <v>0</v>
      </c>
      <c r="V233">
        <f t="shared" si="32"/>
        <v>1</v>
      </c>
      <c r="W233">
        <f t="shared" si="33"/>
        <v>1</v>
      </c>
      <c r="X233">
        <f t="shared" si="34"/>
        <v>0</v>
      </c>
      <c r="Y233">
        <f t="shared" si="35"/>
        <v>0</v>
      </c>
    </row>
    <row r="234" spans="1:25" x14ac:dyDescent="0.3">
      <c r="A234" t="s">
        <v>1088</v>
      </c>
      <c r="B234" t="s">
        <v>1089</v>
      </c>
      <c r="C234" s="1">
        <v>45847</v>
      </c>
      <c r="D234" s="3">
        <v>0.98019675925925931</v>
      </c>
      <c r="E234">
        <f t="shared" si="27"/>
        <v>23</v>
      </c>
      <c r="F234">
        <v>50</v>
      </c>
      <c r="G234" t="s">
        <v>18</v>
      </c>
      <c r="H234" t="s">
        <v>47</v>
      </c>
      <c r="I234" t="s">
        <v>66</v>
      </c>
      <c r="J234" t="s">
        <v>132</v>
      </c>
      <c r="K234" t="s">
        <v>32</v>
      </c>
      <c r="L234">
        <v>272.19</v>
      </c>
      <c r="M234" t="s">
        <v>6479</v>
      </c>
      <c r="N234">
        <f t="shared" si="28"/>
        <v>1</v>
      </c>
      <c r="O234" t="s">
        <v>24</v>
      </c>
      <c r="P234" t="s">
        <v>1090</v>
      </c>
      <c r="Q234">
        <v>1</v>
      </c>
      <c r="R234">
        <v>399</v>
      </c>
      <c r="S234">
        <f t="shared" si="29"/>
        <v>1.3508664371384946</v>
      </c>
      <c r="T234">
        <f t="shared" si="30"/>
        <v>0</v>
      </c>
      <c r="U234">
        <f t="shared" si="31"/>
        <v>0</v>
      </c>
      <c r="V234">
        <f t="shared" si="32"/>
        <v>0</v>
      </c>
      <c r="W234">
        <f t="shared" si="33"/>
        <v>2</v>
      </c>
      <c r="X234">
        <f t="shared" si="34"/>
        <v>0</v>
      </c>
      <c r="Y234">
        <f t="shared" si="35"/>
        <v>1</v>
      </c>
    </row>
    <row r="235" spans="1:25" x14ac:dyDescent="0.3">
      <c r="A235" t="s">
        <v>3473</v>
      </c>
      <c r="B235" t="s">
        <v>3474</v>
      </c>
      <c r="C235" s="1">
        <v>45770</v>
      </c>
      <c r="D235" s="3">
        <v>0.14423611111111112</v>
      </c>
      <c r="E235">
        <f t="shared" si="27"/>
        <v>3</v>
      </c>
      <c r="F235">
        <v>29</v>
      </c>
      <c r="G235" t="s">
        <v>18</v>
      </c>
      <c r="H235" t="s">
        <v>100</v>
      </c>
      <c r="I235" t="s">
        <v>105</v>
      </c>
      <c r="J235" t="s">
        <v>127</v>
      </c>
      <c r="K235" t="s">
        <v>114</v>
      </c>
      <c r="L235">
        <v>272</v>
      </c>
      <c r="M235" t="s">
        <v>115</v>
      </c>
      <c r="N235">
        <f t="shared" si="28"/>
        <v>0</v>
      </c>
      <c r="O235" t="s">
        <v>24</v>
      </c>
      <c r="P235" t="s">
        <v>3475</v>
      </c>
      <c r="Q235">
        <v>0</v>
      </c>
      <c r="R235">
        <v>362</v>
      </c>
      <c r="S235">
        <f t="shared" si="29"/>
        <v>1.3482360278380372</v>
      </c>
      <c r="T235">
        <f t="shared" si="30"/>
        <v>0</v>
      </c>
      <c r="U235">
        <f t="shared" si="31"/>
        <v>1</v>
      </c>
      <c r="V235">
        <f t="shared" si="32"/>
        <v>0</v>
      </c>
      <c r="W235">
        <f t="shared" si="33"/>
        <v>2</v>
      </c>
      <c r="X235">
        <f t="shared" si="34"/>
        <v>0</v>
      </c>
      <c r="Y235">
        <f t="shared" si="35"/>
        <v>0</v>
      </c>
    </row>
    <row r="236" spans="1:25" x14ac:dyDescent="0.3">
      <c r="A236" t="s">
        <v>5636</v>
      </c>
      <c r="B236" t="s">
        <v>5637</v>
      </c>
      <c r="C236" s="1">
        <v>45877</v>
      </c>
      <c r="D236" s="3">
        <v>0.38391203703703702</v>
      </c>
      <c r="E236">
        <f t="shared" si="27"/>
        <v>9</v>
      </c>
      <c r="F236">
        <v>65</v>
      </c>
      <c r="G236" t="s">
        <v>46</v>
      </c>
      <c r="H236" t="s">
        <v>185</v>
      </c>
      <c r="I236" t="s">
        <v>66</v>
      </c>
      <c r="J236" t="s">
        <v>31</v>
      </c>
      <c r="K236" t="s">
        <v>114</v>
      </c>
      <c r="L236">
        <v>271.98</v>
      </c>
      <c r="M236" t="s">
        <v>115</v>
      </c>
      <c r="N236">
        <f t="shared" si="28"/>
        <v>0</v>
      </c>
      <c r="O236" t="s">
        <v>51</v>
      </c>
      <c r="P236" t="s">
        <v>5638</v>
      </c>
      <c r="Q236">
        <v>0</v>
      </c>
      <c r="R236">
        <v>374</v>
      </c>
      <c r="S236">
        <f t="shared" si="29"/>
        <v>1.3479591426485156</v>
      </c>
      <c r="T236">
        <f t="shared" si="30"/>
        <v>0</v>
      </c>
      <c r="U236">
        <f t="shared" si="31"/>
        <v>0</v>
      </c>
      <c r="V236">
        <f t="shared" si="32"/>
        <v>0</v>
      </c>
      <c r="W236">
        <f t="shared" si="33"/>
        <v>0</v>
      </c>
      <c r="X236">
        <f t="shared" si="34"/>
        <v>0</v>
      </c>
      <c r="Y236">
        <f t="shared" si="35"/>
        <v>0</v>
      </c>
    </row>
    <row r="237" spans="1:25" x14ac:dyDescent="0.3">
      <c r="A237" t="s">
        <v>1889</v>
      </c>
      <c r="B237" t="s">
        <v>1890</v>
      </c>
      <c r="C237" s="1">
        <v>45703</v>
      </c>
      <c r="D237" s="3">
        <v>0.52799768518518519</v>
      </c>
      <c r="E237">
        <f t="shared" si="27"/>
        <v>12</v>
      </c>
      <c r="F237">
        <v>56</v>
      </c>
      <c r="G237" t="s">
        <v>6479</v>
      </c>
      <c r="H237" t="s">
        <v>84</v>
      </c>
      <c r="I237" t="s">
        <v>66</v>
      </c>
      <c r="J237" t="s">
        <v>49</v>
      </c>
      <c r="K237" t="s">
        <v>120</v>
      </c>
      <c r="L237">
        <v>271.79000000000002</v>
      </c>
      <c r="M237" t="s">
        <v>33</v>
      </c>
      <c r="N237">
        <f t="shared" si="28"/>
        <v>0</v>
      </c>
      <c r="O237" t="s">
        <v>51</v>
      </c>
      <c r="P237" t="s">
        <v>1891</v>
      </c>
      <c r="Q237">
        <v>0</v>
      </c>
      <c r="R237">
        <v>448</v>
      </c>
      <c r="S237">
        <f t="shared" si="29"/>
        <v>1.3453287333480579</v>
      </c>
      <c r="T237">
        <f t="shared" si="30"/>
        <v>0</v>
      </c>
      <c r="U237">
        <f t="shared" si="31"/>
        <v>0</v>
      </c>
      <c r="V237">
        <f t="shared" si="32"/>
        <v>0</v>
      </c>
      <c r="W237">
        <f t="shared" si="33"/>
        <v>0</v>
      </c>
      <c r="X237">
        <f t="shared" si="34"/>
        <v>0</v>
      </c>
      <c r="Y237">
        <f t="shared" si="35"/>
        <v>0</v>
      </c>
    </row>
    <row r="238" spans="1:25" x14ac:dyDescent="0.3">
      <c r="A238" t="s">
        <v>3809</v>
      </c>
      <c r="B238" t="s">
        <v>3810</v>
      </c>
      <c r="C238" s="1">
        <v>45865</v>
      </c>
      <c r="D238" s="3">
        <v>0.17403935185185185</v>
      </c>
      <c r="E238">
        <f t="shared" si="27"/>
        <v>4</v>
      </c>
      <c r="F238">
        <v>47</v>
      </c>
      <c r="G238" t="s">
        <v>99</v>
      </c>
      <c r="H238" t="s">
        <v>185</v>
      </c>
      <c r="I238" t="s">
        <v>105</v>
      </c>
      <c r="J238" t="s">
        <v>56</v>
      </c>
      <c r="K238" t="s">
        <v>22</v>
      </c>
      <c r="L238">
        <v>271.75</v>
      </c>
      <c r="M238" t="s">
        <v>42</v>
      </c>
      <c r="N238">
        <f t="shared" si="28"/>
        <v>0</v>
      </c>
      <c r="O238" t="s">
        <v>86</v>
      </c>
      <c r="P238" t="s">
        <v>3811</v>
      </c>
      <c r="Q238">
        <v>0</v>
      </c>
      <c r="R238">
        <v>115</v>
      </c>
      <c r="S238">
        <f t="shared" si="29"/>
        <v>1.344774962969014</v>
      </c>
      <c r="T238">
        <f t="shared" si="30"/>
        <v>0</v>
      </c>
      <c r="U238">
        <f t="shared" si="31"/>
        <v>1</v>
      </c>
      <c r="V238">
        <f t="shared" si="32"/>
        <v>1</v>
      </c>
      <c r="W238">
        <f t="shared" si="33"/>
        <v>3</v>
      </c>
      <c r="X238">
        <f t="shared" si="34"/>
        <v>0</v>
      </c>
      <c r="Y238">
        <f t="shared" si="35"/>
        <v>0</v>
      </c>
    </row>
    <row r="239" spans="1:25" x14ac:dyDescent="0.3">
      <c r="A239" t="s">
        <v>3074</v>
      </c>
      <c r="B239" t="s">
        <v>3075</v>
      </c>
      <c r="C239" s="1">
        <v>45744</v>
      </c>
      <c r="D239" s="3">
        <v>0.95950231481481485</v>
      </c>
      <c r="E239">
        <f t="shared" si="27"/>
        <v>23</v>
      </c>
      <c r="F239">
        <v>36</v>
      </c>
      <c r="G239" t="s">
        <v>46</v>
      </c>
      <c r="H239" t="s">
        <v>55</v>
      </c>
      <c r="I239" t="s">
        <v>20</v>
      </c>
      <c r="J239" t="s">
        <v>72</v>
      </c>
      <c r="K239" t="s">
        <v>101</v>
      </c>
      <c r="L239">
        <v>271.73</v>
      </c>
      <c r="M239" t="s">
        <v>33</v>
      </c>
      <c r="N239">
        <f t="shared" si="28"/>
        <v>0</v>
      </c>
      <c r="O239" t="s">
        <v>86</v>
      </c>
      <c r="P239" t="s">
        <v>3076</v>
      </c>
      <c r="Q239">
        <v>0</v>
      </c>
      <c r="R239">
        <v>225</v>
      </c>
      <c r="S239">
        <f t="shared" si="29"/>
        <v>1.3444980777794924</v>
      </c>
      <c r="T239">
        <f t="shared" si="30"/>
        <v>0</v>
      </c>
      <c r="U239">
        <f t="shared" si="31"/>
        <v>0</v>
      </c>
      <c r="V239">
        <f t="shared" si="32"/>
        <v>1</v>
      </c>
      <c r="W239">
        <f t="shared" si="33"/>
        <v>1</v>
      </c>
      <c r="X239">
        <f t="shared" si="34"/>
        <v>0</v>
      </c>
      <c r="Y239">
        <f t="shared" si="35"/>
        <v>0</v>
      </c>
    </row>
    <row r="240" spans="1:25" x14ac:dyDescent="0.3">
      <c r="A240" t="s">
        <v>4013</v>
      </c>
      <c r="B240" t="s">
        <v>4014</v>
      </c>
      <c r="C240" s="1">
        <v>45725</v>
      </c>
      <c r="D240" s="3">
        <v>4.2083333333333334E-2</v>
      </c>
      <c r="E240">
        <f t="shared" si="27"/>
        <v>1</v>
      </c>
      <c r="F240">
        <v>38</v>
      </c>
      <c r="G240" t="s">
        <v>18</v>
      </c>
      <c r="H240" t="s">
        <v>84</v>
      </c>
      <c r="I240" t="s">
        <v>110</v>
      </c>
      <c r="J240" t="s">
        <v>132</v>
      </c>
      <c r="K240" t="s">
        <v>22</v>
      </c>
      <c r="L240">
        <v>271.70999999999998</v>
      </c>
      <c r="M240" t="s">
        <v>42</v>
      </c>
      <c r="N240">
        <f t="shared" si="28"/>
        <v>0</v>
      </c>
      <c r="O240" t="s">
        <v>34</v>
      </c>
      <c r="P240" t="s">
        <v>4015</v>
      </c>
      <c r="Q240">
        <v>0</v>
      </c>
      <c r="R240">
        <v>280</v>
      </c>
      <c r="S240">
        <f t="shared" si="29"/>
        <v>1.3442211925899701</v>
      </c>
      <c r="T240">
        <f t="shared" si="30"/>
        <v>0</v>
      </c>
      <c r="U240">
        <f t="shared" si="31"/>
        <v>1</v>
      </c>
      <c r="V240">
        <f t="shared" si="32"/>
        <v>0</v>
      </c>
      <c r="W240">
        <f t="shared" si="33"/>
        <v>2</v>
      </c>
      <c r="X240">
        <f t="shared" si="34"/>
        <v>0</v>
      </c>
      <c r="Y240">
        <f t="shared" si="35"/>
        <v>0</v>
      </c>
    </row>
    <row r="241" spans="1:25" x14ac:dyDescent="0.3">
      <c r="A241" t="s">
        <v>3698</v>
      </c>
      <c r="B241" t="s">
        <v>3699</v>
      </c>
      <c r="C241" s="1">
        <v>45725</v>
      </c>
      <c r="D241" s="3">
        <v>0.48298611111111112</v>
      </c>
      <c r="E241">
        <f t="shared" si="27"/>
        <v>11</v>
      </c>
      <c r="F241">
        <v>19</v>
      </c>
      <c r="G241" t="s">
        <v>28</v>
      </c>
      <c r="H241" t="s">
        <v>29</v>
      </c>
      <c r="I241" t="s">
        <v>66</v>
      </c>
      <c r="J241" t="s">
        <v>72</v>
      </c>
      <c r="K241" t="s">
        <v>62</v>
      </c>
      <c r="L241">
        <v>271.64999999999998</v>
      </c>
      <c r="M241" t="s">
        <v>33</v>
      </c>
      <c r="N241">
        <f t="shared" si="28"/>
        <v>0</v>
      </c>
      <c r="O241" t="s">
        <v>34</v>
      </c>
      <c r="P241" t="s">
        <v>3700</v>
      </c>
      <c r="Q241">
        <v>0</v>
      </c>
      <c r="R241">
        <v>492</v>
      </c>
      <c r="S241">
        <f t="shared" si="29"/>
        <v>1.3433905370214045</v>
      </c>
      <c r="T241">
        <f t="shared" si="30"/>
        <v>0</v>
      </c>
      <c r="U241">
        <f t="shared" si="31"/>
        <v>0</v>
      </c>
      <c r="V241">
        <f t="shared" si="32"/>
        <v>0</v>
      </c>
      <c r="W241">
        <f t="shared" si="33"/>
        <v>0</v>
      </c>
      <c r="X241">
        <f t="shared" si="34"/>
        <v>0</v>
      </c>
      <c r="Y241">
        <f t="shared" si="35"/>
        <v>0</v>
      </c>
    </row>
    <row r="242" spans="1:25" x14ac:dyDescent="0.3">
      <c r="A242" t="s">
        <v>4397</v>
      </c>
      <c r="B242" t="s">
        <v>4398</v>
      </c>
      <c r="C242" s="1">
        <v>45854</v>
      </c>
      <c r="D242" s="3">
        <v>0.65918981481481487</v>
      </c>
      <c r="E242">
        <f t="shared" si="27"/>
        <v>15</v>
      </c>
      <c r="F242">
        <v>42</v>
      </c>
      <c r="G242" t="s">
        <v>46</v>
      </c>
      <c r="H242" t="s">
        <v>47</v>
      </c>
      <c r="I242" t="s">
        <v>66</v>
      </c>
      <c r="J242" t="s">
        <v>56</v>
      </c>
      <c r="K242" t="s">
        <v>95</v>
      </c>
      <c r="L242">
        <v>271.61</v>
      </c>
      <c r="M242" t="s">
        <v>115</v>
      </c>
      <c r="N242">
        <f t="shared" si="28"/>
        <v>0</v>
      </c>
      <c r="O242" t="s">
        <v>24</v>
      </c>
      <c r="P242" t="s">
        <v>4399</v>
      </c>
      <c r="Q242">
        <v>0</v>
      </c>
      <c r="R242">
        <v>490</v>
      </c>
      <c r="S242">
        <f t="shared" si="29"/>
        <v>1.3428367666423613</v>
      </c>
      <c r="T242">
        <f t="shared" si="30"/>
        <v>0</v>
      </c>
      <c r="U242">
        <f t="shared" si="31"/>
        <v>0</v>
      </c>
      <c r="V242">
        <f t="shared" si="32"/>
        <v>0</v>
      </c>
      <c r="W242">
        <f t="shared" si="33"/>
        <v>0</v>
      </c>
      <c r="X242">
        <f t="shared" si="34"/>
        <v>0</v>
      </c>
      <c r="Y242">
        <f t="shared" si="35"/>
        <v>0</v>
      </c>
    </row>
    <row r="243" spans="1:25" x14ac:dyDescent="0.3">
      <c r="A243" t="s">
        <v>3695</v>
      </c>
      <c r="B243" s="2" t="s">
        <v>3696</v>
      </c>
      <c r="C243" s="1">
        <v>45760</v>
      </c>
      <c r="D243" s="3">
        <v>0.92208333333333337</v>
      </c>
      <c r="E243">
        <f t="shared" si="27"/>
        <v>22</v>
      </c>
      <c r="F243">
        <v>55</v>
      </c>
      <c r="G243" t="s">
        <v>60</v>
      </c>
      <c r="H243" t="s">
        <v>131</v>
      </c>
      <c r="I243" t="s">
        <v>48</v>
      </c>
      <c r="J243" t="s">
        <v>72</v>
      </c>
      <c r="K243" t="s">
        <v>32</v>
      </c>
      <c r="L243">
        <v>271.38</v>
      </c>
      <c r="M243" t="s">
        <v>42</v>
      </c>
      <c r="N243">
        <f t="shared" si="28"/>
        <v>0</v>
      </c>
      <c r="O243" t="s">
        <v>34</v>
      </c>
      <c r="P243" t="s">
        <v>3697</v>
      </c>
      <c r="Q243">
        <v>0</v>
      </c>
      <c r="R243">
        <v>218</v>
      </c>
      <c r="S243">
        <f t="shared" si="29"/>
        <v>1.3396525869628597</v>
      </c>
      <c r="T243">
        <f t="shared" si="30"/>
        <v>0</v>
      </c>
      <c r="U243">
        <f t="shared" si="31"/>
        <v>0</v>
      </c>
      <c r="V243">
        <f t="shared" si="32"/>
        <v>1</v>
      </c>
      <c r="W243">
        <f t="shared" si="33"/>
        <v>1</v>
      </c>
      <c r="X243">
        <f t="shared" si="34"/>
        <v>0</v>
      </c>
      <c r="Y243">
        <f t="shared" si="35"/>
        <v>0</v>
      </c>
    </row>
    <row r="244" spans="1:25" x14ac:dyDescent="0.3">
      <c r="A244" t="s">
        <v>3848</v>
      </c>
      <c r="B244" t="s">
        <v>3849</v>
      </c>
      <c r="C244" s="1">
        <v>45790</v>
      </c>
      <c r="D244" s="3">
        <v>9.8773148148148152E-2</v>
      </c>
      <c r="E244">
        <f t="shared" si="27"/>
        <v>2</v>
      </c>
      <c r="F244">
        <v>45</v>
      </c>
      <c r="G244" t="s">
        <v>46</v>
      </c>
      <c r="H244" t="s">
        <v>90</v>
      </c>
      <c r="I244" t="s">
        <v>20</v>
      </c>
      <c r="J244" t="s">
        <v>94</v>
      </c>
      <c r="K244" t="s">
        <v>41</v>
      </c>
      <c r="L244">
        <v>271.27999999999997</v>
      </c>
      <c r="M244" t="s">
        <v>23</v>
      </c>
      <c r="N244">
        <f t="shared" si="28"/>
        <v>0</v>
      </c>
      <c r="O244" t="s">
        <v>34</v>
      </c>
      <c r="P244" t="s">
        <v>3850</v>
      </c>
      <c r="Q244">
        <v>0</v>
      </c>
      <c r="R244">
        <v>228</v>
      </c>
      <c r="S244">
        <f t="shared" si="29"/>
        <v>1.3382681610152503</v>
      </c>
      <c r="T244">
        <f t="shared" si="30"/>
        <v>0</v>
      </c>
      <c r="U244">
        <f t="shared" si="31"/>
        <v>1</v>
      </c>
      <c r="V244">
        <f t="shared" si="32"/>
        <v>1</v>
      </c>
      <c r="W244">
        <f t="shared" si="33"/>
        <v>3</v>
      </c>
      <c r="X244">
        <f t="shared" si="34"/>
        <v>0</v>
      </c>
      <c r="Y244">
        <f t="shared" si="35"/>
        <v>0</v>
      </c>
    </row>
    <row r="245" spans="1:25" x14ac:dyDescent="0.3">
      <c r="A245" t="s">
        <v>5732</v>
      </c>
      <c r="B245" t="s">
        <v>5733</v>
      </c>
      <c r="C245" s="1">
        <v>45741</v>
      </c>
      <c r="D245" s="3">
        <v>0.71403935185185186</v>
      </c>
      <c r="E245">
        <f t="shared" si="27"/>
        <v>17</v>
      </c>
      <c r="F245">
        <v>49</v>
      </c>
      <c r="G245" t="s">
        <v>60</v>
      </c>
      <c r="H245" t="s">
        <v>19</v>
      </c>
      <c r="I245" t="s">
        <v>105</v>
      </c>
      <c r="J245" t="s">
        <v>21</v>
      </c>
      <c r="K245" t="s">
        <v>120</v>
      </c>
      <c r="L245">
        <v>271.27999999999997</v>
      </c>
      <c r="M245" t="s">
        <v>42</v>
      </c>
      <c r="N245">
        <f t="shared" si="28"/>
        <v>0</v>
      </c>
      <c r="O245" t="s">
        <v>24</v>
      </c>
      <c r="P245" t="s">
        <v>5734</v>
      </c>
      <c r="Q245">
        <v>0</v>
      </c>
      <c r="R245">
        <v>136</v>
      </c>
      <c r="S245">
        <f t="shared" si="29"/>
        <v>1.3382681610152503</v>
      </c>
      <c r="T245">
        <f t="shared" si="30"/>
        <v>0</v>
      </c>
      <c r="U245">
        <f t="shared" si="31"/>
        <v>0</v>
      </c>
      <c r="V245">
        <f t="shared" si="32"/>
        <v>1</v>
      </c>
      <c r="W245">
        <f t="shared" si="33"/>
        <v>1</v>
      </c>
      <c r="X245">
        <f t="shared" si="34"/>
        <v>0</v>
      </c>
      <c r="Y245">
        <f t="shared" si="35"/>
        <v>0</v>
      </c>
    </row>
    <row r="246" spans="1:25" x14ac:dyDescent="0.3">
      <c r="A246" t="s">
        <v>5594</v>
      </c>
      <c r="B246" t="s">
        <v>5595</v>
      </c>
      <c r="C246" s="1">
        <v>45880</v>
      </c>
      <c r="D246" s="3">
        <v>0.31943287037037038</v>
      </c>
      <c r="E246">
        <f t="shared" si="27"/>
        <v>7</v>
      </c>
      <c r="F246">
        <v>20</v>
      </c>
      <c r="G246" t="s">
        <v>46</v>
      </c>
      <c r="H246" t="s">
        <v>38</v>
      </c>
      <c r="I246" t="s">
        <v>105</v>
      </c>
      <c r="J246" t="s">
        <v>127</v>
      </c>
      <c r="K246" t="s">
        <v>22</v>
      </c>
      <c r="L246">
        <v>271.18</v>
      </c>
      <c r="M246" t="s">
        <v>33</v>
      </c>
      <c r="N246">
        <f t="shared" si="28"/>
        <v>0</v>
      </c>
      <c r="O246" t="s">
        <v>24</v>
      </c>
      <c r="P246" t="s">
        <v>5596</v>
      </c>
      <c r="Q246">
        <v>0</v>
      </c>
      <c r="R246">
        <v>478</v>
      </c>
      <c r="S246">
        <f t="shared" si="29"/>
        <v>1.3368837350676415</v>
      </c>
      <c r="T246">
        <f t="shared" si="30"/>
        <v>0</v>
      </c>
      <c r="U246">
        <f t="shared" si="31"/>
        <v>0</v>
      </c>
      <c r="V246">
        <f t="shared" si="32"/>
        <v>0</v>
      </c>
      <c r="W246">
        <f t="shared" si="33"/>
        <v>0</v>
      </c>
      <c r="X246">
        <f t="shared" si="34"/>
        <v>0</v>
      </c>
      <c r="Y246">
        <f t="shared" si="35"/>
        <v>0</v>
      </c>
    </row>
    <row r="247" spans="1:25" x14ac:dyDescent="0.3">
      <c r="A247" t="s">
        <v>3779</v>
      </c>
      <c r="B247" t="s">
        <v>3780</v>
      </c>
      <c r="C247" s="1">
        <v>45858</v>
      </c>
      <c r="D247" s="3">
        <v>0.86510416666666667</v>
      </c>
      <c r="E247">
        <f t="shared" si="27"/>
        <v>20</v>
      </c>
      <c r="F247">
        <v>45</v>
      </c>
      <c r="G247" t="s">
        <v>46</v>
      </c>
      <c r="H247" t="s">
        <v>61</v>
      </c>
      <c r="I247" t="s">
        <v>48</v>
      </c>
      <c r="J247" t="s">
        <v>56</v>
      </c>
      <c r="K247" t="s">
        <v>62</v>
      </c>
      <c r="L247">
        <v>271.04000000000002</v>
      </c>
      <c r="M247" t="s">
        <v>23</v>
      </c>
      <c r="N247">
        <f t="shared" si="28"/>
        <v>0</v>
      </c>
      <c r="O247" t="s">
        <v>86</v>
      </c>
      <c r="P247" t="s">
        <v>3781</v>
      </c>
      <c r="Q247">
        <v>0</v>
      </c>
      <c r="R247">
        <v>430</v>
      </c>
      <c r="S247">
        <f t="shared" si="29"/>
        <v>1.3349455387409888</v>
      </c>
      <c r="T247">
        <f t="shared" si="30"/>
        <v>0</v>
      </c>
      <c r="U247">
        <f t="shared" si="31"/>
        <v>0</v>
      </c>
      <c r="V247">
        <f t="shared" si="32"/>
        <v>0</v>
      </c>
      <c r="W247">
        <f t="shared" si="33"/>
        <v>0</v>
      </c>
      <c r="X247">
        <f t="shared" si="34"/>
        <v>0</v>
      </c>
      <c r="Y247">
        <f t="shared" si="35"/>
        <v>0</v>
      </c>
    </row>
    <row r="248" spans="1:25" x14ac:dyDescent="0.3">
      <c r="A248" t="s">
        <v>4505</v>
      </c>
      <c r="B248" t="s">
        <v>4506</v>
      </c>
      <c r="C248" s="1">
        <v>45713</v>
      </c>
      <c r="D248" s="3">
        <v>0.52755787037037039</v>
      </c>
      <c r="E248">
        <f t="shared" si="27"/>
        <v>12</v>
      </c>
      <c r="F248">
        <v>42</v>
      </c>
      <c r="G248" t="s">
        <v>60</v>
      </c>
      <c r="H248" t="s">
        <v>189</v>
      </c>
      <c r="I248" t="s">
        <v>119</v>
      </c>
      <c r="J248" t="s">
        <v>21</v>
      </c>
      <c r="K248" t="s">
        <v>32</v>
      </c>
      <c r="L248">
        <v>270.97000000000003</v>
      </c>
      <c r="M248" t="s">
        <v>23</v>
      </c>
      <c r="N248">
        <f t="shared" si="28"/>
        <v>0</v>
      </c>
      <c r="O248" t="s">
        <v>24</v>
      </c>
      <c r="P248" t="s">
        <v>4507</v>
      </c>
      <c r="Q248">
        <v>0</v>
      </c>
      <c r="R248">
        <v>152</v>
      </c>
      <c r="S248">
        <f t="shared" si="29"/>
        <v>1.3339764405776624</v>
      </c>
      <c r="T248">
        <f t="shared" si="30"/>
        <v>0</v>
      </c>
      <c r="U248">
        <f t="shared" si="31"/>
        <v>0</v>
      </c>
      <c r="V248">
        <f t="shared" si="32"/>
        <v>1</v>
      </c>
      <c r="W248">
        <f t="shared" si="33"/>
        <v>1</v>
      </c>
      <c r="X248">
        <f t="shared" si="34"/>
        <v>0</v>
      </c>
      <c r="Y248">
        <f t="shared" si="35"/>
        <v>0</v>
      </c>
    </row>
    <row r="249" spans="1:25" x14ac:dyDescent="0.3">
      <c r="A249" t="s">
        <v>1697</v>
      </c>
      <c r="B249" t="s">
        <v>1698</v>
      </c>
      <c r="C249" s="1">
        <v>45843</v>
      </c>
      <c r="D249" s="3">
        <v>0.3434490740740741</v>
      </c>
      <c r="E249">
        <f t="shared" si="27"/>
        <v>8</v>
      </c>
      <c r="F249">
        <v>51</v>
      </c>
      <c r="G249" t="s">
        <v>60</v>
      </c>
      <c r="H249" t="s">
        <v>19</v>
      </c>
      <c r="I249" t="s">
        <v>105</v>
      </c>
      <c r="J249" t="s">
        <v>49</v>
      </c>
      <c r="K249" t="s">
        <v>95</v>
      </c>
      <c r="L249">
        <v>270.95999999999998</v>
      </c>
      <c r="M249" t="s">
        <v>115</v>
      </c>
      <c r="N249">
        <f t="shared" si="28"/>
        <v>0</v>
      </c>
      <c r="O249" t="s">
        <v>51</v>
      </c>
      <c r="P249" t="s">
        <v>1699</v>
      </c>
      <c r="Q249">
        <v>0</v>
      </c>
      <c r="R249">
        <v>335</v>
      </c>
      <c r="S249">
        <f t="shared" si="29"/>
        <v>1.3338379979829007</v>
      </c>
      <c r="T249">
        <f t="shared" si="30"/>
        <v>0</v>
      </c>
      <c r="U249">
        <f t="shared" si="31"/>
        <v>0</v>
      </c>
      <c r="V249">
        <f t="shared" si="32"/>
        <v>0</v>
      </c>
      <c r="W249">
        <f t="shared" si="33"/>
        <v>0</v>
      </c>
      <c r="X249">
        <f t="shared" si="34"/>
        <v>0</v>
      </c>
      <c r="Y249">
        <f t="shared" si="35"/>
        <v>0</v>
      </c>
    </row>
    <row r="250" spans="1:25" x14ac:dyDescent="0.3">
      <c r="A250" t="s">
        <v>2966</v>
      </c>
      <c r="B250" t="s">
        <v>2967</v>
      </c>
      <c r="C250" s="1">
        <v>45763</v>
      </c>
      <c r="D250" s="3">
        <v>0.30799768518518517</v>
      </c>
      <c r="E250">
        <f t="shared" si="27"/>
        <v>7</v>
      </c>
      <c r="F250">
        <v>65</v>
      </c>
      <c r="G250" t="s">
        <v>46</v>
      </c>
      <c r="H250" t="s">
        <v>175</v>
      </c>
      <c r="I250" t="s">
        <v>48</v>
      </c>
      <c r="J250" t="s">
        <v>31</v>
      </c>
      <c r="K250" t="s">
        <v>62</v>
      </c>
      <c r="L250">
        <v>270.77999999999997</v>
      </c>
      <c r="M250" t="s">
        <v>42</v>
      </c>
      <c r="N250">
        <f t="shared" si="28"/>
        <v>0</v>
      </c>
      <c r="O250" t="s">
        <v>51</v>
      </c>
      <c r="P250" t="s">
        <v>2968</v>
      </c>
      <c r="Q250">
        <v>0</v>
      </c>
      <c r="R250">
        <v>292</v>
      </c>
      <c r="S250">
        <f t="shared" si="29"/>
        <v>1.3313460312772041</v>
      </c>
      <c r="T250">
        <f t="shared" si="30"/>
        <v>0</v>
      </c>
      <c r="U250">
        <f t="shared" si="31"/>
        <v>0</v>
      </c>
      <c r="V250">
        <f t="shared" si="32"/>
        <v>0</v>
      </c>
      <c r="W250">
        <f t="shared" si="33"/>
        <v>0</v>
      </c>
      <c r="X250">
        <f t="shared" si="34"/>
        <v>0</v>
      </c>
      <c r="Y250">
        <f t="shared" si="35"/>
        <v>0</v>
      </c>
    </row>
    <row r="251" spans="1:25" x14ac:dyDescent="0.3">
      <c r="A251" t="s">
        <v>2897</v>
      </c>
      <c r="B251" t="s">
        <v>2898</v>
      </c>
      <c r="C251" s="1">
        <v>45854</v>
      </c>
      <c r="D251" s="3">
        <v>0.66300925925925924</v>
      </c>
      <c r="E251">
        <f t="shared" si="27"/>
        <v>15</v>
      </c>
      <c r="F251">
        <v>53</v>
      </c>
      <c r="G251" t="s">
        <v>46</v>
      </c>
      <c r="H251" t="s">
        <v>84</v>
      </c>
      <c r="I251" t="s">
        <v>105</v>
      </c>
      <c r="J251" t="s">
        <v>76</v>
      </c>
      <c r="K251" t="s">
        <v>114</v>
      </c>
      <c r="L251">
        <v>270.74</v>
      </c>
      <c r="M251" t="s">
        <v>23</v>
      </c>
      <c r="N251">
        <f t="shared" si="28"/>
        <v>0</v>
      </c>
      <c r="O251" t="s">
        <v>24</v>
      </c>
      <c r="P251" t="s">
        <v>2899</v>
      </c>
      <c r="Q251">
        <v>0</v>
      </c>
      <c r="R251">
        <v>227</v>
      </c>
      <c r="S251">
        <f t="shared" si="29"/>
        <v>1.3307922608981608</v>
      </c>
      <c r="T251">
        <f t="shared" si="30"/>
        <v>0</v>
      </c>
      <c r="U251">
        <f t="shared" si="31"/>
        <v>0</v>
      </c>
      <c r="V251">
        <f t="shared" si="32"/>
        <v>1</v>
      </c>
      <c r="W251">
        <f t="shared" si="33"/>
        <v>1</v>
      </c>
      <c r="X251">
        <f t="shared" si="34"/>
        <v>0</v>
      </c>
      <c r="Y251">
        <f t="shared" si="35"/>
        <v>0</v>
      </c>
    </row>
    <row r="252" spans="1:25" x14ac:dyDescent="0.3">
      <c r="A252" t="s">
        <v>286</v>
      </c>
      <c r="B252" t="s">
        <v>287</v>
      </c>
      <c r="C252" s="1">
        <v>45799</v>
      </c>
      <c r="D252" s="3">
        <v>0.56283564814814813</v>
      </c>
      <c r="E252">
        <f t="shared" si="27"/>
        <v>13</v>
      </c>
      <c r="F252">
        <v>61</v>
      </c>
      <c r="G252" t="s">
        <v>46</v>
      </c>
      <c r="H252" t="s">
        <v>19</v>
      </c>
      <c r="I252" t="s">
        <v>119</v>
      </c>
      <c r="J252" t="s">
        <v>76</v>
      </c>
      <c r="K252" t="s">
        <v>120</v>
      </c>
      <c r="L252">
        <v>270.43</v>
      </c>
      <c r="M252" t="s">
        <v>42</v>
      </c>
      <c r="N252">
        <f t="shared" si="28"/>
        <v>0</v>
      </c>
      <c r="O252" t="s">
        <v>51</v>
      </c>
      <c r="P252" t="s">
        <v>288</v>
      </c>
      <c r="Q252">
        <v>0</v>
      </c>
      <c r="R252">
        <v>107</v>
      </c>
      <c r="S252">
        <f t="shared" si="29"/>
        <v>1.3265005404605721</v>
      </c>
      <c r="T252">
        <f t="shared" si="30"/>
        <v>0</v>
      </c>
      <c r="U252">
        <f t="shared" si="31"/>
        <v>0</v>
      </c>
      <c r="V252">
        <f t="shared" si="32"/>
        <v>1</v>
      </c>
      <c r="W252">
        <f t="shared" si="33"/>
        <v>1</v>
      </c>
      <c r="X252">
        <f t="shared" si="34"/>
        <v>0</v>
      </c>
      <c r="Y252">
        <f t="shared" si="35"/>
        <v>0</v>
      </c>
    </row>
    <row r="253" spans="1:25" x14ac:dyDescent="0.3">
      <c r="A253" t="s">
        <v>2573</v>
      </c>
      <c r="B253" t="s">
        <v>2574</v>
      </c>
      <c r="C253" s="1">
        <v>45854</v>
      </c>
      <c r="D253" s="3">
        <v>0.17483796296296297</v>
      </c>
      <c r="E253">
        <f t="shared" si="27"/>
        <v>4</v>
      </c>
      <c r="F253">
        <v>41</v>
      </c>
      <c r="G253" t="s">
        <v>18</v>
      </c>
      <c r="H253" t="s">
        <v>185</v>
      </c>
      <c r="I253" t="s">
        <v>20</v>
      </c>
      <c r="J253" t="s">
        <v>94</v>
      </c>
      <c r="K253" t="s">
        <v>22</v>
      </c>
      <c r="L253">
        <v>270.39</v>
      </c>
      <c r="M253" t="s">
        <v>42</v>
      </c>
      <c r="N253">
        <f t="shared" si="28"/>
        <v>0</v>
      </c>
      <c r="O253" t="s">
        <v>51</v>
      </c>
      <c r="P253" t="s">
        <v>2575</v>
      </c>
      <c r="Q253">
        <v>0</v>
      </c>
      <c r="R253">
        <v>420</v>
      </c>
      <c r="S253">
        <f t="shared" si="29"/>
        <v>1.3259467700815282</v>
      </c>
      <c r="T253">
        <f t="shared" si="30"/>
        <v>0</v>
      </c>
      <c r="U253">
        <f t="shared" si="31"/>
        <v>1</v>
      </c>
      <c r="V253">
        <f t="shared" si="32"/>
        <v>0</v>
      </c>
      <c r="W253">
        <f t="shared" si="33"/>
        <v>2</v>
      </c>
      <c r="X253">
        <f t="shared" si="34"/>
        <v>0</v>
      </c>
      <c r="Y253">
        <f t="shared" si="35"/>
        <v>0</v>
      </c>
    </row>
    <row r="254" spans="1:25" x14ac:dyDescent="0.3">
      <c r="A254" t="s">
        <v>108</v>
      </c>
      <c r="B254" t="s">
        <v>109</v>
      </c>
      <c r="C254" s="1">
        <v>45725</v>
      </c>
      <c r="D254" s="3">
        <v>0.95730324074074069</v>
      </c>
      <c r="E254">
        <f t="shared" si="27"/>
        <v>22</v>
      </c>
      <c r="F254">
        <v>20</v>
      </c>
      <c r="G254" t="s">
        <v>99</v>
      </c>
      <c r="H254" t="s">
        <v>38</v>
      </c>
      <c r="I254" t="s">
        <v>110</v>
      </c>
      <c r="J254" t="s">
        <v>40</v>
      </c>
      <c r="K254" t="s">
        <v>50</v>
      </c>
      <c r="L254">
        <v>270.14</v>
      </c>
      <c r="M254" t="s">
        <v>6479</v>
      </c>
      <c r="N254">
        <f t="shared" si="28"/>
        <v>1</v>
      </c>
      <c r="O254" t="s">
        <v>86</v>
      </c>
      <c r="P254" t="s">
        <v>111</v>
      </c>
      <c r="Q254">
        <v>0</v>
      </c>
      <c r="R254">
        <v>65</v>
      </c>
      <c r="S254">
        <f t="shared" si="29"/>
        <v>1.322485705212505</v>
      </c>
      <c r="T254">
        <f t="shared" si="30"/>
        <v>0</v>
      </c>
      <c r="U254">
        <f t="shared" si="31"/>
        <v>0</v>
      </c>
      <c r="V254">
        <f t="shared" si="32"/>
        <v>1</v>
      </c>
      <c r="W254">
        <f t="shared" si="33"/>
        <v>3</v>
      </c>
      <c r="X254">
        <f t="shared" si="34"/>
        <v>0</v>
      </c>
      <c r="Y254">
        <f t="shared" si="35"/>
        <v>1</v>
      </c>
    </row>
    <row r="255" spans="1:25" x14ac:dyDescent="0.3">
      <c r="A255" t="s">
        <v>5501</v>
      </c>
      <c r="B255" t="s">
        <v>5502</v>
      </c>
      <c r="C255" s="1">
        <v>45795</v>
      </c>
      <c r="D255" s="3">
        <v>0.9072337962962963</v>
      </c>
      <c r="E255">
        <f t="shared" si="27"/>
        <v>21</v>
      </c>
      <c r="F255">
        <v>23</v>
      </c>
      <c r="G255" t="s">
        <v>46</v>
      </c>
      <c r="H255" t="s">
        <v>167</v>
      </c>
      <c r="I255" t="s">
        <v>85</v>
      </c>
      <c r="J255" t="s">
        <v>132</v>
      </c>
      <c r="K255" t="s">
        <v>95</v>
      </c>
      <c r="L255">
        <v>269.98</v>
      </c>
      <c r="M255" t="s">
        <v>42</v>
      </c>
      <c r="N255">
        <f t="shared" si="28"/>
        <v>0</v>
      </c>
      <c r="O255" t="s">
        <v>34</v>
      </c>
      <c r="P255" t="s">
        <v>5503</v>
      </c>
      <c r="Q255">
        <v>0</v>
      </c>
      <c r="R255">
        <v>299</v>
      </c>
      <c r="S255">
        <f t="shared" si="29"/>
        <v>1.3202706236963306</v>
      </c>
      <c r="T255">
        <f t="shared" si="30"/>
        <v>0</v>
      </c>
      <c r="U255">
        <f t="shared" si="31"/>
        <v>0</v>
      </c>
      <c r="V255">
        <f t="shared" si="32"/>
        <v>0</v>
      </c>
      <c r="W255">
        <f t="shared" si="33"/>
        <v>0</v>
      </c>
      <c r="X255">
        <f t="shared" si="34"/>
        <v>0</v>
      </c>
      <c r="Y255">
        <f t="shared" si="35"/>
        <v>0</v>
      </c>
    </row>
    <row r="256" spans="1:25" x14ac:dyDescent="0.3">
      <c r="A256" t="s">
        <v>5702</v>
      </c>
      <c r="B256" t="s">
        <v>5703</v>
      </c>
      <c r="C256" s="1">
        <v>45831</v>
      </c>
      <c r="D256" s="3">
        <v>0.53949074074074077</v>
      </c>
      <c r="E256">
        <f t="shared" si="27"/>
        <v>12</v>
      </c>
      <c r="F256">
        <v>55</v>
      </c>
      <c r="G256" t="s">
        <v>60</v>
      </c>
      <c r="H256" t="s">
        <v>312</v>
      </c>
      <c r="I256" t="s">
        <v>71</v>
      </c>
      <c r="J256" t="s">
        <v>56</v>
      </c>
      <c r="K256" t="s">
        <v>120</v>
      </c>
      <c r="L256">
        <v>269.95</v>
      </c>
      <c r="M256" t="s">
        <v>42</v>
      </c>
      <c r="N256">
        <f t="shared" si="28"/>
        <v>0</v>
      </c>
      <c r="O256" t="s">
        <v>86</v>
      </c>
      <c r="P256" t="s">
        <v>5704</v>
      </c>
      <c r="Q256">
        <v>0</v>
      </c>
      <c r="R256">
        <v>154</v>
      </c>
      <c r="S256">
        <f t="shared" si="29"/>
        <v>1.3198552959120475</v>
      </c>
      <c r="T256">
        <f t="shared" si="30"/>
        <v>0</v>
      </c>
      <c r="U256">
        <f t="shared" si="31"/>
        <v>0</v>
      </c>
      <c r="V256">
        <f t="shared" si="32"/>
        <v>1</v>
      </c>
      <c r="W256">
        <f t="shared" si="33"/>
        <v>1</v>
      </c>
      <c r="X256">
        <f t="shared" si="34"/>
        <v>0</v>
      </c>
      <c r="Y256">
        <f t="shared" si="35"/>
        <v>0</v>
      </c>
    </row>
    <row r="257" spans="1:25" x14ac:dyDescent="0.3">
      <c r="A257" t="s">
        <v>3278</v>
      </c>
      <c r="B257" t="s">
        <v>3279</v>
      </c>
      <c r="C257" s="1">
        <v>45784</v>
      </c>
      <c r="D257" s="3">
        <v>7.0902777777777773E-2</v>
      </c>
      <c r="E257">
        <f t="shared" si="27"/>
        <v>1</v>
      </c>
      <c r="F257">
        <v>62</v>
      </c>
      <c r="G257" t="s">
        <v>18</v>
      </c>
      <c r="H257" t="s">
        <v>232</v>
      </c>
      <c r="I257" t="s">
        <v>66</v>
      </c>
      <c r="J257" t="s">
        <v>76</v>
      </c>
      <c r="K257" t="s">
        <v>22</v>
      </c>
      <c r="L257">
        <v>269.92</v>
      </c>
      <c r="M257" t="s">
        <v>33</v>
      </c>
      <c r="N257">
        <f t="shared" si="28"/>
        <v>0</v>
      </c>
      <c r="O257" t="s">
        <v>34</v>
      </c>
      <c r="P257" t="s">
        <v>3280</v>
      </c>
      <c r="Q257">
        <v>0</v>
      </c>
      <c r="R257">
        <v>235</v>
      </c>
      <c r="S257">
        <f t="shared" si="29"/>
        <v>1.3194399681277651</v>
      </c>
      <c r="T257">
        <f t="shared" si="30"/>
        <v>0</v>
      </c>
      <c r="U257">
        <f t="shared" si="31"/>
        <v>1</v>
      </c>
      <c r="V257">
        <f t="shared" si="32"/>
        <v>1</v>
      </c>
      <c r="W257">
        <f t="shared" si="33"/>
        <v>3</v>
      </c>
      <c r="X257">
        <f t="shared" si="34"/>
        <v>0</v>
      </c>
      <c r="Y257">
        <f t="shared" si="35"/>
        <v>0</v>
      </c>
    </row>
    <row r="258" spans="1:25" x14ac:dyDescent="0.3">
      <c r="A258" t="s">
        <v>3977</v>
      </c>
      <c r="B258" t="s">
        <v>3978</v>
      </c>
      <c r="C258" s="1">
        <v>45737</v>
      </c>
      <c r="D258" s="3">
        <v>0.1380787037037037</v>
      </c>
      <c r="E258">
        <f t="shared" ref="E258:E321" si="36">HOUR(D258)</f>
        <v>3</v>
      </c>
      <c r="F258">
        <v>21</v>
      </c>
      <c r="G258" t="s">
        <v>46</v>
      </c>
      <c r="H258" t="s">
        <v>189</v>
      </c>
      <c r="I258" t="s">
        <v>105</v>
      </c>
      <c r="J258" t="s">
        <v>132</v>
      </c>
      <c r="K258" t="s">
        <v>22</v>
      </c>
      <c r="L258">
        <v>269.73</v>
      </c>
      <c r="M258" t="s">
        <v>42</v>
      </c>
      <c r="N258">
        <f t="shared" ref="N258:N321" si="37">IF(M258="Unknown",1,0)</f>
        <v>0</v>
      </c>
      <c r="O258" t="s">
        <v>34</v>
      </c>
      <c r="P258" t="s">
        <v>3979</v>
      </c>
      <c r="Q258">
        <v>0</v>
      </c>
      <c r="R258">
        <v>101</v>
      </c>
      <c r="S258">
        <f t="shared" ref="S258:S321" si="38">(L258-$P$2137)/$P$2138</f>
        <v>1.3168095588273074</v>
      </c>
      <c r="T258">
        <f t="shared" ref="T258:T321" si="39">IF(ABS(Z258)&gt;3,1,0)</f>
        <v>0</v>
      </c>
      <c r="U258">
        <f t="shared" ref="U258:U321" si="40">IF(AND(E258&gt;=0,E258&lt;=5),1,0)</f>
        <v>1</v>
      </c>
      <c r="V258">
        <f t="shared" ref="V258:V321" si="41">IF(R258&lt;AVERAGE($R:$R),1,0)</f>
        <v>1</v>
      </c>
      <c r="W258">
        <f t="shared" ref="W258:W321" si="42">T258*3+U258*2+V258*1+N258*2</f>
        <v>3</v>
      </c>
      <c r="X258">
        <f t="shared" ref="X258:X321" si="43">IF(W258&gt;=5,1,0)</f>
        <v>0</v>
      </c>
      <c r="Y258">
        <f t="shared" ref="Y258:Y321" si="44">IF(M258="Unknown",1,0)</f>
        <v>0</v>
      </c>
    </row>
    <row r="259" spans="1:25" x14ac:dyDescent="0.3">
      <c r="A259" t="s">
        <v>5930</v>
      </c>
      <c r="B259" t="s">
        <v>5931</v>
      </c>
      <c r="C259" s="1">
        <v>45797</v>
      </c>
      <c r="D259" s="3">
        <v>0.58699074074074076</v>
      </c>
      <c r="E259">
        <f t="shared" si="36"/>
        <v>14</v>
      </c>
      <c r="F259">
        <v>42</v>
      </c>
      <c r="G259" t="s">
        <v>46</v>
      </c>
      <c r="H259" t="s">
        <v>167</v>
      </c>
      <c r="I259" t="s">
        <v>66</v>
      </c>
      <c r="J259" t="s">
        <v>94</v>
      </c>
      <c r="K259" t="s">
        <v>114</v>
      </c>
      <c r="L259">
        <v>269.7</v>
      </c>
      <c r="M259" t="s">
        <v>42</v>
      </c>
      <c r="N259">
        <f t="shared" si="37"/>
        <v>0</v>
      </c>
      <c r="O259" t="s">
        <v>24</v>
      </c>
      <c r="P259" t="s">
        <v>5932</v>
      </c>
      <c r="Q259">
        <v>0</v>
      </c>
      <c r="R259">
        <v>497</v>
      </c>
      <c r="S259">
        <f t="shared" si="38"/>
        <v>1.3163942310430243</v>
      </c>
      <c r="T259">
        <f t="shared" si="39"/>
        <v>0</v>
      </c>
      <c r="U259">
        <f t="shared" si="40"/>
        <v>0</v>
      </c>
      <c r="V259">
        <f t="shared" si="41"/>
        <v>0</v>
      </c>
      <c r="W259">
        <f t="shared" si="42"/>
        <v>0</v>
      </c>
      <c r="X259">
        <f t="shared" si="43"/>
        <v>0</v>
      </c>
      <c r="Y259">
        <f t="shared" si="44"/>
        <v>0</v>
      </c>
    </row>
    <row r="260" spans="1:25" x14ac:dyDescent="0.3">
      <c r="A260" t="s">
        <v>5168</v>
      </c>
      <c r="B260" t="s">
        <v>5169</v>
      </c>
      <c r="C260" s="1">
        <v>45860</v>
      </c>
      <c r="D260" s="3">
        <v>0.48690972222222223</v>
      </c>
      <c r="E260">
        <f t="shared" si="36"/>
        <v>11</v>
      </c>
      <c r="F260">
        <v>62</v>
      </c>
      <c r="G260" t="s">
        <v>60</v>
      </c>
      <c r="H260" t="s">
        <v>142</v>
      </c>
      <c r="I260" t="s">
        <v>105</v>
      </c>
      <c r="J260" t="s">
        <v>40</v>
      </c>
      <c r="K260" t="s">
        <v>95</v>
      </c>
      <c r="L260">
        <v>269.69</v>
      </c>
      <c r="M260" t="s">
        <v>33</v>
      </c>
      <c r="N260">
        <f t="shared" si="37"/>
        <v>0</v>
      </c>
      <c r="O260" t="s">
        <v>34</v>
      </c>
      <c r="P260" t="s">
        <v>5170</v>
      </c>
      <c r="Q260">
        <v>0</v>
      </c>
      <c r="R260">
        <v>109</v>
      </c>
      <c r="S260">
        <f t="shared" si="38"/>
        <v>1.3162557884482635</v>
      </c>
      <c r="T260">
        <f t="shared" si="39"/>
        <v>0</v>
      </c>
      <c r="U260">
        <f t="shared" si="40"/>
        <v>0</v>
      </c>
      <c r="V260">
        <f t="shared" si="41"/>
        <v>1</v>
      </c>
      <c r="W260">
        <f t="shared" si="42"/>
        <v>1</v>
      </c>
      <c r="X260">
        <f t="shared" si="43"/>
        <v>0</v>
      </c>
      <c r="Y260">
        <f t="shared" si="44"/>
        <v>0</v>
      </c>
    </row>
    <row r="261" spans="1:25" x14ac:dyDescent="0.3">
      <c r="A261" t="s">
        <v>851</v>
      </c>
      <c r="B261" t="s">
        <v>852</v>
      </c>
      <c r="C261" s="1">
        <v>45810</v>
      </c>
      <c r="D261" s="3">
        <v>0.19877314814814814</v>
      </c>
      <c r="E261">
        <f t="shared" si="36"/>
        <v>4</v>
      </c>
      <c r="F261">
        <v>45</v>
      </c>
      <c r="G261" t="s">
        <v>18</v>
      </c>
      <c r="H261" t="s">
        <v>38</v>
      </c>
      <c r="I261" t="s">
        <v>20</v>
      </c>
      <c r="J261" t="s">
        <v>49</v>
      </c>
      <c r="K261" t="s">
        <v>120</v>
      </c>
      <c r="L261">
        <v>269.63</v>
      </c>
      <c r="M261" t="s">
        <v>23</v>
      </c>
      <c r="N261">
        <f t="shared" si="37"/>
        <v>0</v>
      </c>
      <c r="O261" t="s">
        <v>34</v>
      </c>
      <c r="P261" t="s">
        <v>853</v>
      </c>
      <c r="Q261">
        <v>0</v>
      </c>
      <c r="R261">
        <v>102</v>
      </c>
      <c r="S261">
        <f t="shared" si="38"/>
        <v>1.315425132879698</v>
      </c>
      <c r="T261">
        <f t="shared" si="39"/>
        <v>0</v>
      </c>
      <c r="U261">
        <f t="shared" si="40"/>
        <v>1</v>
      </c>
      <c r="V261">
        <f t="shared" si="41"/>
        <v>1</v>
      </c>
      <c r="W261">
        <f t="shared" si="42"/>
        <v>3</v>
      </c>
      <c r="X261">
        <f t="shared" si="43"/>
        <v>0</v>
      </c>
      <c r="Y261">
        <f t="shared" si="44"/>
        <v>0</v>
      </c>
    </row>
    <row r="262" spans="1:25" x14ac:dyDescent="0.3">
      <c r="A262" t="s">
        <v>533</v>
      </c>
      <c r="B262" t="s">
        <v>534</v>
      </c>
      <c r="C262" s="1">
        <v>45876</v>
      </c>
      <c r="D262" s="3">
        <v>0.43775462962962963</v>
      </c>
      <c r="E262">
        <f t="shared" si="36"/>
        <v>10</v>
      </c>
      <c r="F262">
        <v>21</v>
      </c>
      <c r="G262" t="s">
        <v>46</v>
      </c>
      <c r="H262" t="s">
        <v>185</v>
      </c>
      <c r="I262" t="s">
        <v>71</v>
      </c>
      <c r="J262" t="s">
        <v>76</v>
      </c>
      <c r="K262" t="s">
        <v>62</v>
      </c>
      <c r="L262">
        <v>269.45999999999998</v>
      </c>
      <c r="M262" t="s">
        <v>42</v>
      </c>
      <c r="N262">
        <f t="shared" si="37"/>
        <v>0</v>
      </c>
      <c r="O262" t="s">
        <v>24</v>
      </c>
      <c r="P262" t="s">
        <v>535</v>
      </c>
      <c r="Q262">
        <v>0</v>
      </c>
      <c r="R262">
        <v>147</v>
      </c>
      <c r="S262">
        <f t="shared" si="38"/>
        <v>1.3130716087687619</v>
      </c>
      <c r="T262">
        <f t="shared" si="39"/>
        <v>0</v>
      </c>
      <c r="U262">
        <f t="shared" si="40"/>
        <v>0</v>
      </c>
      <c r="V262">
        <f t="shared" si="41"/>
        <v>1</v>
      </c>
      <c r="W262">
        <f t="shared" si="42"/>
        <v>1</v>
      </c>
      <c r="X262">
        <f t="shared" si="43"/>
        <v>0</v>
      </c>
      <c r="Y262">
        <f t="shared" si="44"/>
        <v>0</v>
      </c>
    </row>
    <row r="263" spans="1:25" x14ac:dyDescent="0.3">
      <c r="A263" t="s">
        <v>5126</v>
      </c>
      <c r="B263" t="s">
        <v>5127</v>
      </c>
      <c r="C263" s="1">
        <v>45721</v>
      </c>
      <c r="D263" s="3">
        <v>0.38359953703703703</v>
      </c>
      <c r="E263">
        <f t="shared" si="36"/>
        <v>9</v>
      </c>
      <c r="F263">
        <v>50</v>
      </c>
      <c r="G263" t="s">
        <v>18</v>
      </c>
      <c r="H263" t="s">
        <v>29</v>
      </c>
      <c r="I263" t="s">
        <v>30</v>
      </c>
      <c r="J263" t="s">
        <v>76</v>
      </c>
      <c r="K263" t="s">
        <v>50</v>
      </c>
      <c r="L263">
        <v>269.41000000000003</v>
      </c>
      <c r="M263" t="s">
        <v>42</v>
      </c>
      <c r="N263">
        <f t="shared" si="37"/>
        <v>0</v>
      </c>
      <c r="O263" t="s">
        <v>34</v>
      </c>
      <c r="P263" t="s">
        <v>5128</v>
      </c>
      <c r="Q263">
        <v>0</v>
      </c>
      <c r="R263">
        <v>251</v>
      </c>
      <c r="S263">
        <f t="shared" si="38"/>
        <v>1.3123793957949581</v>
      </c>
      <c r="T263">
        <f t="shared" si="39"/>
        <v>0</v>
      </c>
      <c r="U263">
        <f t="shared" si="40"/>
        <v>0</v>
      </c>
      <c r="V263">
        <f t="shared" si="41"/>
        <v>1</v>
      </c>
      <c r="W263">
        <f t="shared" si="42"/>
        <v>1</v>
      </c>
      <c r="X263">
        <f t="shared" si="43"/>
        <v>0</v>
      </c>
      <c r="Y263">
        <f t="shared" si="44"/>
        <v>0</v>
      </c>
    </row>
    <row r="264" spans="1:25" x14ac:dyDescent="0.3">
      <c r="A264" t="s">
        <v>4253</v>
      </c>
      <c r="B264" t="s">
        <v>4254</v>
      </c>
      <c r="C264" s="1">
        <v>45808</v>
      </c>
      <c r="D264" s="3">
        <v>0.1744212962962963</v>
      </c>
      <c r="E264">
        <f t="shared" si="36"/>
        <v>4</v>
      </c>
      <c r="F264">
        <v>29</v>
      </c>
      <c r="G264" t="s">
        <v>28</v>
      </c>
      <c r="H264" t="s">
        <v>29</v>
      </c>
      <c r="I264" t="s">
        <v>30</v>
      </c>
      <c r="J264" t="s">
        <v>132</v>
      </c>
      <c r="K264" t="s">
        <v>168</v>
      </c>
      <c r="L264">
        <v>269.37</v>
      </c>
      <c r="M264" t="s">
        <v>23</v>
      </c>
      <c r="N264">
        <f t="shared" si="37"/>
        <v>0</v>
      </c>
      <c r="O264" t="s">
        <v>34</v>
      </c>
      <c r="P264" t="s">
        <v>4255</v>
      </c>
      <c r="Q264">
        <v>0</v>
      </c>
      <c r="R264">
        <v>342</v>
      </c>
      <c r="S264">
        <f t="shared" si="38"/>
        <v>1.311825625415914</v>
      </c>
      <c r="T264">
        <f t="shared" si="39"/>
        <v>0</v>
      </c>
      <c r="U264">
        <f t="shared" si="40"/>
        <v>1</v>
      </c>
      <c r="V264">
        <f t="shared" si="41"/>
        <v>0</v>
      </c>
      <c r="W264">
        <f t="shared" si="42"/>
        <v>2</v>
      </c>
      <c r="X264">
        <f t="shared" si="43"/>
        <v>0</v>
      </c>
      <c r="Y264">
        <f t="shared" si="44"/>
        <v>0</v>
      </c>
    </row>
    <row r="265" spans="1:25" x14ac:dyDescent="0.3">
      <c r="A265" t="s">
        <v>1802</v>
      </c>
      <c r="B265" t="s">
        <v>1803</v>
      </c>
      <c r="C265" s="1">
        <v>45864</v>
      </c>
      <c r="D265" s="3">
        <v>0.19212962962962962</v>
      </c>
      <c r="E265">
        <f t="shared" si="36"/>
        <v>4</v>
      </c>
      <c r="F265">
        <v>65</v>
      </c>
      <c r="G265" t="s">
        <v>46</v>
      </c>
      <c r="H265" t="s">
        <v>175</v>
      </c>
      <c r="I265" t="s">
        <v>66</v>
      </c>
      <c r="J265" t="s">
        <v>132</v>
      </c>
      <c r="K265" t="s">
        <v>120</v>
      </c>
      <c r="L265">
        <v>269.29000000000002</v>
      </c>
      <c r="M265" t="s">
        <v>115</v>
      </c>
      <c r="N265">
        <f t="shared" si="37"/>
        <v>0</v>
      </c>
      <c r="O265" t="s">
        <v>24</v>
      </c>
      <c r="P265" t="s">
        <v>1804</v>
      </c>
      <c r="Q265">
        <v>0</v>
      </c>
      <c r="R265">
        <v>212</v>
      </c>
      <c r="S265">
        <f t="shared" si="38"/>
        <v>1.3107180846578268</v>
      </c>
      <c r="T265">
        <f t="shared" si="39"/>
        <v>0</v>
      </c>
      <c r="U265">
        <f t="shared" si="40"/>
        <v>1</v>
      </c>
      <c r="V265">
        <f t="shared" si="41"/>
        <v>1</v>
      </c>
      <c r="W265">
        <f t="shared" si="42"/>
        <v>3</v>
      </c>
      <c r="X265">
        <f t="shared" si="43"/>
        <v>0</v>
      </c>
      <c r="Y265">
        <f t="shared" si="44"/>
        <v>0</v>
      </c>
    </row>
    <row r="266" spans="1:25" x14ac:dyDescent="0.3">
      <c r="A266" t="s">
        <v>4808</v>
      </c>
      <c r="B266" t="s">
        <v>4809</v>
      </c>
      <c r="C266" s="1">
        <v>45759</v>
      </c>
      <c r="D266" s="3">
        <v>0.48304398148148148</v>
      </c>
      <c r="E266">
        <f t="shared" si="36"/>
        <v>11</v>
      </c>
      <c r="F266">
        <v>26</v>
      </c>
      <c r="G266" t="s">
        <v>18</v>
      </c>
      <c r="H266" t="s">
        <v>70</v>
      </c>
      <c r="I266" t="s">
        <v>71</v>
      </c>
      <c r="J266" t="s">
        <v>40</v>
      </c>
      <c r="K266" t="s">
        <v>101</v>
      </c>
      <c r="L266">
        <v>268.55</v>
      </c>
      <c r="M266" t="s">
        <v>23</v>
      </c>
      <c r="N266">
        <f t="shared" si="37"/>
        <v>0</v>
      </c>
      <c r="O266" t="s">
        <v>51</v>
      </c>
      <c r="P266" t="s">
        <v>4810</v>
      </c>
      <c r="Q266">
        <v>0</v>
      </c>
      <c r="R266">
        <v>450</v>
      </c>
      <c r="S266">
        <f t="shared" si="38"/>
        <v>1.3004733326455182</v>
      </c>
      <c r="T266">
        <f t="shared" si="39"/>
        <v>0</v>
      </c>
      <c r="U266">
        <f t="shared" si="40"/>
        <v>0</v>
      </c>
      <c r="V266">
        <f t="shared" si="41"/>
        <v>0</v>
      </c>
      <c r="W266">
        <f t="shared" si="42"/>
        <v>0</v>
      </c>
      <c r="X266">
        <f t="shared" si="43"/>
        <v>0</v>
      </c>
      <c r="Y266">
        <f t="shared" si="44"/>
        <v>0</v>
      </c>
    </row>
    <row r="267" spans="1:25" x14ac:dyDescent="0.3">
      <c r="A267" t="s">
        <v>4682</v>
      </c>
      <c r="B267" t="s">
        <v>4683</v>
      </c>
      <c r="C267" s="1">
        <v>45877</v>
      </c>
      <c r="D267" s="3">
        <v>0.64142361111111112</v>
      </c>
      <c r="E267">
        <f t="shared" si="36"/>
        <v>15</v>
      </c>
      <c r="F267">
        <v>62</v>
      </c>
      <c r="G267" t="s">
        <v>99</v>
      </c>
      <c r="H267" t="s">
        <v>90</v>
      </c>
      <c r="I267" t="s">
        <v>85</v>
      </c>
      <c r="J267" t="s">
        <v>72</v>
      </c>
      <c r="K267" t="s">
        <v>101</v>
      </c>
      <c r="L267">
        <v>268.31</v>
      </c>
      <c r="M267" t="s">
        <v>6479</v>
      </c>
      <c r="N267">
        <f t="shared" si="37"/>
        <v>1</v>
      </c>
      <c r="O267" t="s">
        <v>24</v>
      </c>
      <c r="P267" t="s">
        <v>4684</v>
      </c>
      <c r="Q267">
        <v>0</v>
      </c>
      <c r="R267">
        <v>99</v>
      </c>
      <c r="S267">
        <f t="shared" si="38"/>
        <v>1.2971507103712561</v>
      </c>
      <c r="T267">
        <f t="shared" si="39"/>
        <v>0</v>
      </c>
      <c r="U267">
        <f t="shared" si="40"/>
        <v>0</v>
      </c>
      <c r="V267">
        <f t="shared" si="41"/>
        <v>1</v>
      </c>
      <c r="W267">
        <f t="shared" si="42"/>
        <v>3</v>
      </c>
      <c r="X267">
        <f t="shared" si="43"/>
        <v>0</v>
      </c>
      <c r="Y267">
        <f t="shared" si="44"/>
        <v>1</v>
      </c>
    </row>
    <row r="268" spans="1:25" x14ac:dyDescent="0.3">
      <c r="A268" t="s">
        <v>6320</v>
      </c>
      <c r="B268" t="s">
        <v>6321</v>
      </c>
      <c r="C268" s="1">
        <v>45800</v>
      </c>
      <c r="D268" s="3">
        <v>0.61258101851851854</v>
      </c>
      <c r="E268">
        <f t="shared" si="36"/>
        <v>14</v>
      </c>
      <c r="F268">
        <v>37</v>
      </c>
      <c r="G268" t="s">
        <v>60</v>
      </c>
      <c r="H268" t="s">
        <v>61</v>
      </c>
      <c r="I268" t="s">
        <v>48</v>
      </c>
      <c r="J268" t="s">
        <v>31</v>
      </c>
      <c r="K268" t="s">
        <v>50</v>
      </c>
      <c r="L268">
        <v>268.10000000000002</v>
      </c>
      <c r="M268" t="s">
        <v>42</v>
      </c>
      <c r="N268">
        <f t="shared" si="37"/>
        <v>0</v>
      </c>
      <c r="O268" t="s">
        <v>24</v>
      </c>
      <c r="P268" t="s">
        <v>6322</v>
      </c>
      <c r="Q268">
        <v>0</v>
      </c>
      <c r="R268">
        <v>433</v>
      </c>
      <c r="S268">
        <f t="shared" si="38"/>
        <v>1.2942434158812768</v>
      </c>
      <c r="T268">
        <f t="shared" si="39"/>
        <v>0</v>
      </c>
      <c r="U268">
        <f t="shared" si="40"/>
        <v>0</v>
      </c>
      <c r="V268">
        <f t="shared" si="41"/>
        <v>0</v>
      </c>
      <c r="W268">
        <f t="shared" si="42"/>
        <v>0</v>
      </c>
      <c r="X268">
        <f t="shared" si="43"/>
        <v>0</v>
      </c>
      <c r="Y268">
        <f t="shared" si="44"/>
        <v>0</v>
      </c>
    </row>
    <row r="269" spans="1:25" x14ac:dyDescent="0.3">
      <c r="A269" t="s">
        <v>5381</v>
      </c>
      <c r="B269" t="s">
        <v>5382</v>
      </c>
      <c r="C269" s="1">
        <v>45711</v>
      </c>
      <c r="D269" s="3">
        <v>0.31706018518518519</v>
      </c>
      <c r="E269">
        <f t="shared" si="36"/>
        <v>7</v>
      </c>
      <c r="F269">
        <v>50</v>
      </c>
      <c r="G269" t="s">
        <v>60</v>
      </c>
      <c r="H269" t="s">
        <v>100</v>
      </c>
      <c r="I269" t="s">
        <v>30</v>
      </c>
      <c r="J269" t="s">
        <v>76</v>
      </c>
      <c r="K269" t="s">
        <v>168</v>
      </c>
      <c r="L269">
        <v>268.04000000000002</v>
      </c>
      <c r="M269" t="s">
        <v>23</v>
      </c>
      <c r="N269">
        <f t="shared" si="37"/>
        <v>0</v>
      </c>
      <c r="O269" t="s">
        <v>24</v>
      </c>
      <c r="P269" t="s">
        <v>5383</v>
      </c>
      <c r="Q269">
        <v>0</v>
      </c>
      <c r="R269">
        <v>273</v>
      </c>
      <c r="S269">
        <f t="shared" si="38"/>
        <v>1.2934127603127112</v>
      </c>
      <c r="T269">
        <f t="shared" si="39"/>
        <v>0</v>
      </c>
      <c r="U269">
        <f t="shared" si="40"/>
        <v>0</v>
      </c>
      <c r="V269">
        <f t="shared" si="41"/>
        <v>0</v>
      </c>
      <c r="W269">
        <f t="shared" si="42"/>
        <v>0</v>
      </c>
      <c r="X269">
        <f t="shared" si="43"/>
        <v>0</v>
      </c>
      <c r="Y269">
        <f t="shared" si="44"/>
        <v>0</v>
      </c>
    </row>
    <row r="270" spans="1:25" x14ac:dyDescent="0.3">
      <c r="A270" t="s">
        <v>6143</v>
      </c>
      <c r="B270" t="s">
        <v>6144</v>
      </c>
      <c r="C270" s="1">
        <v>45822</v>
      </c>
      <c r="D270" s="3">
        <v>0.84236111111111112</v>
      </c>
      <c r="E270">
        <f t="shared" si="36"/>
        <v>20</v>
      </c>
      <c r="F270">
        <v>22</v>
      </c>
      <c r="G270" t="s">
        <v>18</v>
      </c>
      <c r="H270" t="s">
        <v>38</v>
      </c>
      <c r="I270" t="s">
        <v>85</v>
      </c>
      <c r="J270" t="s">
        <v>76</v>
      </c>
      <c r="K270" t="s">
        <v>22</v>
      </c>
      <c r="L270">
        <v>267.77999999999997</v>
      </c>
      <c r="M270" t="s">
        <v>23</v>
      </c>
      <c r="N270">
        <f t="shared" si="37"/>
        <v>0</v>
      </c>
      <c r="O270" t="s">
        <v>51</v>
      </c>
      <c r="P270" t="s">
        <v>6145</v>
      </c>
      <c r="Q270">
        <v>0</v>
      </c>
      <c r="R270">
        <v>346</v>
      </c>
      <c r="S270">
        <f t="shared" si="38"/>
        <v>1.2898132528489266</v>
      </c>
      <c r="T270">
        <f t="shared" si="39"/>
        <v>0</v>
      </c>
      <c r="U270">
        <f t="shared" si="40"/>
        <v>0</v>
      </c>
      <c r="V270">
        <f t="shared" si="41"/>
        <v>0</v>
      </c>
      <c r="W270">
        <f t="shared" si="42"/>
        <v>0</v>
      </c>
      <c r="X270">
        <f t="shared" si="43"/>
        <v>0</v>
      </c>
      <c r="Y270">
        <f t="shared" si="44"/>
        <v>0</v>
      </c>
    </row>
    <row r="271" spans="1:25" x14ac:dyDescent="0.3">
      <c r="A271" t="s">
        <v>4274</v>
      </c>
      <c r="B271" t="s">
        <v>4275</v>
      </c>
      <c r="C271" s="1">
        <v>45710</v>
      </c>
      <c r="D271" s="3">
        <v>0.87043981481481481</v>
      </c>
      <c r="E271">
        <f t="shared" si="36"/>
        <v>20</v>
      </c>
      <c r="F271">
        <v>38</v>
      </c>
      <c r="G271" t="s">
        <v>46</v>
      </c>
      <c r="H271" t="s">
        <v>167</v>
      </c>
      <c r="I271" t="s">
        <v>66</v>
      </c>
      <c r="J271" t="s">
        <v>72</v>
      </c>
      <c r="K271" t="s">
        <v>50</v>
      </c>
      <c r="L271">
        <v>267.68</v>
      </c>
      <c r="M271" t="s">
        <v>6479</v>
      </c>
      <c r="N271">
        <f t="shared" si="37"/>
        <v>1</v>
      </c>
      <c r="O271" t="s">
        <v>34</v>
      </c>
      <c r="P271" t="s">
        <v>4276</v>
      </c>
      <c r="Q271">
        <v>0</v>
      </c>
      <c r="R271">
        <v>402</v>
      </c>
      <c r="S271">
        <f t="shared" si="38"/>
        <v>1.2884288269013178</v>
      </c>
      <c r="T271">
        <f t="shared" si="39"/>
        <v>0</v>
      </c>
      <c r="U271">
        <f t="shared" si="40"/>
        <v>0</v>
      </c>
      <c r="V271">
        <f t="shared" si="41"/>
        <v>0</v>
      </c>
      <c r="W271">
        <f t="shared" si="42"/>
        <v>2</v>
      </c>
      <c r="X271">
        <f t="shared" si="43"/>
        <v>0</v>
      </c>
      <c r="Y271">
        <f t="shared" si="44"/>
        <v>1</v>
      </c>
    </row>
    <row r="272" spans="1:25" x14ac:dyDescent="0.3">
      <c r="A272" t="s">
        <v>1787</v>
      </c>
      <c r="B272" t="s">
        <v>1788</v>
      </c>
      <c r="C272" s="1">
        <v>45870</v>
      </c>
      <c r="D272" s="3">
        <v>0.1978587962962963</v>
      </c>
      <c r="E272">
        <f t="shared" si="36"/>
        <v>4</v>
      </c>
      <c r="F272">
        <v>52</v>
      </c>
      <c r="G272" t="s">
        <v>99</v>
      </c>
      <c r="H272" t="s">
        <v>312</v>
      </c>
      <c r="I272" t="s">
        <v>66</v>
      </c>
      <c r="J272" t="s">
        <v>132</v>
      </c>
      <c r="K272" t="s">
        <v>62</v>
      </c>
      <c r="L272">
        <v>267.42</v>
      </c>
      <c r="M272" t="s">
        <v>6479</v>
      </c>
      <c r="N272">
        <f t="shared" si="37"/>
        <v>1</v>
      </c>
      <c r="O272" t="s">
        <v>24</v>
      </c>
      <c r="P272" t="s">
        <v>1789</v>
      </c>
      <c r="Q272">
        <v>0</v>
      </c>
      <c r="R272">
        <v>379</v>
      </c>
      <c r="S272">
        <f t="shared" si="38"/>
        <v>1.284829319437534</v>
      </c>
      <c r="T272">
        <f t="shared" si="39"/>
        <v>0</v>
      </c>
      <c r="U272">
        <f t="shared" si="40"/>
        <v>1</v>
      </c>
      <c r="V272">
        <f t="shared" si="41"/>
        <v>0</v>
      </c>
      <c r="W272">
        <f t="shared" si="42"/>
        <v>4</v>
      </c>
      <c r="X272">
        <f t="shared" si="43"/>
        <v>0</v>
      </c>
      <c r="Y272">
        <f t="shared" si="44"/>
        <v>1</v>
      </c>
    </row>
    <row r="273" spans="1:25" x14ac:dyDescent="0.3">
      <c r="A273" t="s">
        <v>4091</v>
      </c>
      <c r="B273" t="s">
        <v>4092</v>
      </c>
      <c r="C273" s="1">
        <v>45795</v>
      </c>
      <c r="D273" s="3">
        <v>0.32346064814814812</v>
      </c>
      <c r="E273">
        <f t="shared" si="36"/>
        <v>7</v>
      </c>
      <c r="F273">
        <v>52</v>
      </c>
      <c r="G273" t="s">
        <v>99</v>
      </c>
      <c r="H273" t="s">
        <v>19</v>
      </c>
      <c r="I273" t="s">
        <v>119</v>
      </c>
      <c r="J273" t="s">
        <v>94</v>
      </c>
      <c r="K273" t="s">
        <v>101</v>
      </c>
      <c r="L273">
        <v>267.24</v>
      </c>
      <c r="M273" t="s">
        <v>23</v>
      </c>
      <c r="N273">
        <f t="shared" si="37"/>
        <v>0</v>
      </c>
      <c r="O273" t="s">
        <v>86</v>
      </c>
      <c r="P273" t="s">
        <v>4093</v>
      </c>
      <c r="Q273">
        <v>0</v>
      </c>
      <c r="R273">
        <v>60</v>
      </c>
      <c r="S273">
        <f t="shared" si="38"/>
        <v>1.2823373527318371</v>
      </c>
      <c r="T273">
        <f t="shared" si="39"/>
        <v>0</v>
      </c>
      <c r="U273">
        <f t="shared" si="40"/>
        <v>0</v>
      </c>
      <c r="V273">
        <f t="shared" si="41"/>
        <v>1</v>
      </c>
      <c r="W273">
        <f t="shared" si="42"/>
        <v>1</v>
      </c>
      <c r="X273">
        <f t="shared" si="43"/>
        <v>0</v>
      </c>
      <c r="Y273">
        <f t="shared" si="44"/>
        <v>0</v>
      </c>
    </row>
    <row r="274" spans="1:25" x14ac:dyDescent="0.3">
      <c r="A274" t="s">
        <v>4055</v>
      </c>
      <c r="B274" t="s">
        <v>4056</v>
      </c>
      <c r="C274" s="1">
        <v>45825</v>
      </c>
      <c r="D274" s="3">
        <v>0.13386574074074073</v>
      </c>
      <c r="E274">
        <f t="shared" si="36"/>
        <v>3</v>
      </c>
      <c r="F274">
        <v>19</v>
      </c>
      <c r="G274" t="s">
        <v>46</v>
      </c>
      <c r="H274" t="s">
        <v>80</v>
      </c>
      <c r="I274" t="s">
        <v>66</v>
      </c>
      <c r="J274" t="s">
        <v>56</v>
      </c>
      <c r="K274" t="s">
        <v>50</v>
      </c>
      <c r="L274">
        <v>267.13</v>
      </c>
      <c r="M274" t="s">
        <v>33</v>
      </c>
      <c r="N274">
        <f t="shared" si="37"/>
        <v>0</v>
      </c>
      <c r="O274" t="s">
        <v>51</v>
      </c>
      <c r="P274" t="s">
        <v>4057</v>
      </c>
      <c r="Q274">
        <v>0</v>
      </c>
      <c r="R274">
        <v>130</v>
      </c>
      <c r="S274">
        <f t="shared" si="38"/>
        <v>1.2808144841894669</v>
      </c>
      <c r="T274">
        <f t="shared" si="39"/>
        <v>0</v>
      </c>
      <c r="U274">
        <f t="shared" si="40"/>
        <v>1</v>
      </c>
      <c r="V274">
        <f t="shared" si="41"/>
        <v>1</v>
      </c>
      <c r="W274">
        <f t="shared" si="42"/>
        <v>3</v>
      </c>
      <c r="X274">
        <f t="shared" si="43"/>
        <v>0</v>
      </c>
      <c r="Y274">
        <f t="shared" si="44"/>
        <v>0</v>
      </c>
    </row>
    <row r="275" spans="1:25" x14ac:dyDescent="0.3">
      <c r="A275" t="s">
        <v>5894</v>
      </c>
      <c r="B275" t="s">
        <v>5895</v>
      </c>
      <c r="C275" s="1">
        <v>45758</v>
      </c>
      <c r="D275" s="3">
        <v>0.39525462962962965</v>
      </c>
      <c r="E275">
        <f t="shared" si="36"/>
        <v>9</v>
      </c>
      <c r="F275">
        <v>39</v>
      </c>
      <c r="G275" t="s">
        <v>60</v>
      </c>
      <c r="H275" t="s">
        <v>80</v>
      </c>
      <c r="I275" t="s">
        <v>119</v>
      </c>
      <c r="J275" t="s">
        <v>56</v>
      </c>
      <c r="K275" t="s">
        <v>32</v>
      </c>
      <c r="L275">
        <v>267.13</v>
      </c>
      <c r="M275" t="s">
        <v>115</v>
      </c>
      <c r="N275">
        <f t="shared" si="37"/>
        <v>0</v>
      </c>
      <c r="O275" t="s">
        <v>86</v>
      </c>
      <c r="P275" t="s">
        <v>5896</v>
      </c>
      <c r="Q275">
        <v>0</v>
      </c>
      <c r="R275">
        <v>429</v>
      </c>
      <c r="S275">
        <f t="shared" si="38"/>
        <v>1.2808144841894669</v>
      </c>
      <c r="T275">
        <f t="shared" si="39"/>
        <v>0</v>
      </c>
      <c r="U275">
        <f t="shared" si="40"/>
        <v>0</v>
      </c>
      <c r="V275">
        <f t="shared" si="41"/>
        <v>0</v>
      </c>
      <c r="W275">
        <f t="shared" si="42"/>
        <v>0</v>
      </c>
      <c r="X275">
        <f t="shared" si="43"/>
        <v>0</v>
      </c>
      <c r="Y275">
        <f t="shared" si="44"/>
        <v>0</v>
      </c>
    </row>
    <row r="276" spans="1:25" x14ac:dyDescent="0.3">
      <c r="A276" t="s">
        <v>2903</v>
      </c>
      <c r="B276" t="s">
        <v>2904</v>
      </c>
      <c r="C276" s="1">
        <v>45759</v>
      </c>
      <c r="D276" s="3">
        <v>0.29744212962962963</v>
      </c>
      <c r="E276">
        <f t="shared" si="36"/>
        <v>7</v>
      </c>
      <c r="F276">
        <v>39</v>
      </c>
      <c r="G276" t="s">
        <v>18</v>
      </c>
      <c r="H276" t="s">
        <v>29</v>
      </c>
      <c r="I276" t="s">
        <v>48</v>
      </c>
      <c r="J276" t="s">
        <v>72</v>
      </c>
      <c r="K276" t="s">
        <v>114</v>
      </c>
      <c r="L276">
        <v>267.12</v>
      </c>
      <c r="M276" t="s">
        <v>42</v>
      </c>
      <c r="N276">
        <f t="shared" si="37"/>
        <v>0</v>
      </c>
      <c r="O276" t="s">
        <v>24</v>
      </c>
      <c r="P276" t="s">
        <v>2905</v>
      </c>
      <c r="Q276">
        <v>0</v>
      </c>
      <c r="R276">
        <v>461</v>
      </c>
      <c r="S276">
        <f t="shared" si="38"/>
        <v>1.280676041594706</v>
      </c>
      <c r="T276">
        <f t="shared" si="39"/>
        <v>0</v>
      </c>
      <c r="U276">
        <f t="shared" si="40"/>
        <v>0</v>
      </c>
      <c r="V276">
        <f t="shared" si="41"/>
        <v>0</v>
      </c>
      <c r="W276">
        <f t="shared" si="42"/>
        <v>0</v>
      </c>
      <c r="X276">
        <f t="shared" si="43"/>
        <v>0</v>
      </c>
      <c r="Y276">
        <f t="shared" si="44"/>
        <v>0</v>
      </c>
    </row>
    <row r="277" spans="1:25" x14ac:dyDescent="0.3">
      <c r="A277" t="s">
        <v>4034</v>
      </c>
      <c r="B277" t="s">
        <v>4035</v>
      </c>
      <c r="C277" s="1">
        <v>45840</v>
      </c>
      <c r="D277" s="3">
        <v>0.21850694444444443</v>
      </c>
      <c r="E277">
        <f t="shared" si="36"/>
        <v>5</v>
      </c>
      <c r="F277">
        <v>19</v>
      </c>
      <c r="G277" t="s">
        <v>60</v>
      </c>
      <c r="H277" t="s">
        <v>19</v>
      </c>
      <c r="I277" t="s">
        <v>85</v>
      </c>
      <c r="J277" t="s">
        <v>40</v>
      </c>
      <c r="K277" t="s">
        <v>32</v>
      </c>
      <c r="L277">
        <v>266.91000000000003</v>
      </c>
      <c r="M277" t="s">
        <v>42</v>
      </c>
      <c r="N277">
        <f t="shared" si="37"/>
        <v>0</v>
      </c>
      <c r="O277" t="s">
        <v>24</v>
      </c>
      <c r="P277" t="s">
        <v>4036</v>
      </c>
      <c r="Q277">
        <v>0</v>
      </c>
      <c r="R277">
        <v>341</v>
      </c>
      <c r="S277">
        <f t="shared" si="38"/>
        <v>1.277768747104727</v>
      </c>
      <c r="T277">
        <f t="shared" si="39"/>
        <v>0</v>
      </c>
      <c r="U277">
        <f t="shared" si="40"/>
        <v>1</v>
      </c>
      <c r="V277">
        <f t="shared" si="41"/>
        <v>0</v>
      </c>
      <c r="W277">
        <f t="shared" si="42"/>
        <v>2</v>
      </c>
      <c r="X277">
        <f t="shared" si="43"/>
        <v>0</v>
      </c>
      <c r="Y277">
        <f t="shared" si="44"/>
        <v>0</v>
      </c>
    </row>
    <row r="278" spans="1:25" x14ac:dyDescent="0.3">
      <c r="A278" t="s">
        <v>353</v>
      </c>
      <c r="B278" t="s">
        <v>354</v>
      </c>
      <c r="C278" s="1">
        <v>45799</v>
      </c>
      <c r="D278" s="3">
        <v>0.86354166666666665</v>
      </c>
      <c r="E278">
        <f t="shared" si="36"/>
        <v>20</v>
      </c>
      <c r="F278">
        <v>46</v>
      </c>
      <c r="G278" t="s">
        <v>18</v>
      </c>
      <c r="H278" t="s">
        <v>189</v>
      </c>
      <c r="I278" t="s">
        <v>105</v>
      </c>
      <c r="J278" t="s">
        <v>49</v>
      </c>
      <c r="K278" t="s">
        <v>50</v>
      </c>
      <c r="L278">
        <v>266.89</v>
      </c>
      <c r="M278" t="s">
        <v>115</v>
      </c>
      <c r="N278">
        <f t="shared" si="37"/>
        <v>0</v>
      </c>
      <c r="O278" t="s">
        <v>34</v>
      </c>
      <c r="P278" t="s">
        <v>355</v>
      </c>
      <c r="Q278">
        <v>0</v>
      </c>
      <c r="R278">
        <v>123</v>
      </c>
      <c r="S278">
        <f t="shared" si="38"/>
        <v>1.2774918619152045</v>
      </c>
      <c r="T278">
        <f t="shared" si="39"/>
        <v>0</v>
      </c>
      <c r="U278">
        <f t="shared" si="40"/>
        <v>0</v>
      </c>
      <c r="V278">
        <f t="shared" si="41"/>
        <v>1</v>
      </c>
      <c r="W278">
        <f t="shared" si="42"/>
        <v>1</v>
      </c>
      <c r="X278">
        <f t="shared" si="43"/>
        <v>0</v>
      </c>
      <c r="Y278">
        <f t="shared" si="44"/>
        <v>0</v>
      </c>
    </row>
    <row r="279" spans="1:25" x14ac:dyDescent="0.3">
      <c r="A279" t="s">
        <v>2591</v>
      </c>
      <c r="B279" t="s">
        <v>2592</v>
      </c>
      <c r="C279" s="1">
        <v>45750</v>
      </c>
      <c r="D279" s="3">
        <v>0.75484953703703705</v>
      </c>
      <c r="E279">
        <f t="shared" si="36"/>
        <v>18</v>
      </c>
      <c r="F279">
        <v>60</v>
      </c>
      <c r="G279" t="s">
        <v>18</v>
      </c>
      <c r="H279" t="s">
        <v>167</v>
      </c>
      <c r="I279" t="s">
        <v>110</v>
      </c>
      <c r="J279" t="s">
        <v>56</v>
      </c>
      <c r="K279" t="s">
        <v>120</v>
      </c>
      <c r="L279">
        <v>266.7</v>
      </c>
      <c r="M279" t="s">
        <v>42</v>
      </c>
      <c r="N279">
        <f t="shared" si="37"/>
        <v>0</v>
      </c>
      <c r="O279" t="s">
        <v>24</v>
      </c>
      <c r="P279" t="s">
        <v>2593</v>
      </c>
      <c r="Q279">
        <v>0</v>
      </c>
      <c r="R279">
        <v>108</v>
      </c>
      <c r="S279">
        <f t="shared" si="38"/>
        <v>1.274861452614747</v>
      </c>
      <c r="T279">
        <f t="shared" si="39"/>
        <v>0</v>
      </c>
      <c r="U279">
        <f t="shared" si="40"/>
        <v>0</v>
      </c>
      <c r="V279">
        <f t="shared" si="41"/>
        <v>1</v>
      </c>
      <c r="W279">
        <f t="shared" si="42"/>
        <v>1</v>
      </c>
      <c r="X279">
        <f t="shared" si="43"/>
        <v>0</v>
      </c>
      <c r="Y279">
        <f t="shared" si="44"/>
        <v>0</v>
      </c>
    </row>
    <row r="280" spans="1:25" x14ac:dyDescent="0.3">
      <c r="A280" t="s">
        <v>2159</v>
      </c>
      <c r="B280" t="s">
        <v>2160</v>
      </c>
      <c r="C280" s="1">
        <v>45805</v>
      </c>
      <c r="D280" s="3">
        <v>0.64124999999999999</v>
      </c>
      <c r="E280">
        <f t="shared" si="36"/>
        <v>15</v>
      </c>
      <c r="F280">
        <v>33</v>
      </c>
      <c r="G280" t="s">
        <v>18</v>
      </c>
      <c r="H280" t="s">
        <v>55</v>
      </c>
      <c r="I280" t="s">
        <v>39</v>
      </c>
      <c r="J280" t="s">
        <v>127</v>
      </c>
      <c r="K280" t="s">
        <v>32</v>
      </c>
      <c r="L280">
        <v>266.52999999999997</v>
      </c>
      <c r="M280" t="s">
        <v>23</v>
      </c>
      <c r="N280">
        <f t="shared" si="37"/>
        <v>0</v>
      </c>
      <c r="O280" t="s">
        <v>34</v>
      </c>
      <c r="P280" t="s">
        <v>2161</v>
      </c>
      <c r="Q280">
        <v>0</v>
      </c>
      <c r="R280">
        <v>163</v>
      </c>
      <c r="S280">
        <f t="shared" si="38"/>
        <v>1.272507928503811</v>
      </c>
      <c r="T280">
        <f t="shared" si="39"/>
        <v>0</v>
      </c>
      <c r="U280">
        <f t="shared" si="40"/>
        <v>0</v>
      </c>
      <c r="V280">
        <f t="shared" si="41"/>
        <v>1</v>
      </c>
      <c r="W280">
        <f t="shared" si="42"/>
        <v>1</v>
      </c>
      <c r="X280">
        <f t="shared" si="43"/>
        <v>0</v>
      </c>
      <c r="Y280">
        <f t="shared" si="44"/>
        <v>0</v>
      </c>
    </row>
    <row r="281" spans="1:25" x14ac:dyDescent="0.3">
      <c r="A281" t="s">
        <v>1925</v>
      </c>
      <c r="B281" t="s">
        <v>1926</v>
      </c>
      <c r="C281" s="1">
        <v>45818</v>
      </c>
      <c r="D281" s="3">
        <v>0.11586805555555556</v>
      </c>
      <c r="E281">
        <f t="shared" si="36"/>
        <v>2</v>
      </c>
      <c r="F281">
        <v>26</v>
      </c>
      <c r="G281" t="s">
        <v>46</v>
      </c>
      <c r="H281" t="s">
        <v>185</v>
      </c>
      <c r="I281" t="s">
        <v>20</v>
      </c>
      <c r="J281" t="s">
        <v>132</v>
      </c>
      <c r="K281" t="s">
        <v>120</v>
      </c>
      <c r="L281">
        <v>266.45999999999998</v>
      </c>
      <c r="M281" t="s">
        <v>23</v>
      </c>
      <c r="N281">
        <f t="shared" si="37"/>
        <v>0</v>
      </c>
      <c r="O281" t="s">
        <v>24</v>
      </c>
      <c r="P281" t="s">
        <v>1927</v>
      </c>
      <c r="Q281">
        <v>0</v>
      </c>
      <c r="R281">
        <v>341</v>
      </c>
      <c r="S281">
        <f t="shared" si="38"/>
        <v>1.2715388303404846</v>
      </c>
      <c r="T281">
        <f t="shared" si="39"/>
        <v>0</v>
      </c>
      <c r="U281">
        <f t="shared" si="40"/>
        <v>1</v>
      </c>
      <c r="V281">
        <f t="shared" si="41"/>
        <v>0</v>
      </c>
      <c r="W281">
        <f t="shared" si="42"/>
        <v>2</v>
      </c>
      <c r="X281">
        <f t="shared" si="43"/>
        <v>0</v>
      </c>
      <c r="Y281">
        <f t="shared" si="44"/>
        <v>0</v>
      </c>
    </row>
    <row r="282" spans="1:25" x14ac:dyDescent="0.3">
      <c r="A282" t="s">
        <v>3413</v>
      </c>
      <c r="B282" t="s">
        <v>3414</v>
      </c>
      <c r="C282" s="1">
        <v>45776</v>
      </c>
      <c r="D282" s="3">
        <v>0.57078703703703704</v>
      </c>
      <c r="E282">
        <f t="shared" si="36"/>
        <v>13</v>
      </c>
      <c r="F282" s="4">
        <v>41</v>
      </c>
      <c r="G282" t="s">
        <v>46</v>
      </c>
      <c r="H282" t="s">
        <v>189</v>
      </c>
      <c r="I282" t="s">
        <v>20</v>
      </c>
      <c r="J282" t="s">
        <v>40</v>
      </c>
      <c r="K282" t="s">
        <v>120</v>
      </c>
      <c r="L282">
        <v>266.3</v>
      </c>
      <c r="M282" t="s">
        <v>115</v>
      </c>
      <c r="N282">
        <f t="shared" si="37"/>
        <v>0</v>
      </c>
      <c r="O282" t="s">
        <v>86</v>
      </c>
      <c r="P282" t="s">
        <v>3415</v>
      </c>
      <c r="Q282">
        <v>0</v>
      </c>
      <c r="R282">
        <v>398</v>
      </c>
      <c r="S282">
        <f t="shared" si="38"/>
        <v>1.2693237488243103</v>
      </c>
      <c r="T282">
        <f t="shared" si="39"/>
        <v>0</v>
      </c>
      <c r="U282">
        <f t="shared" si="40"/>
        <v>0</v>
      </c>
      <c r="V282">
        <f t="shared" si="41"/>
        <v>0</v>
      </c>
      <c r="W282">
        <f t="shared" si="42"/>
        <v>0</v>
      </c>
      <c r="X282">
        <f t="shared" si="43"/>
        <v>0</v>
      </c>
      <c r="Y282">
        <f t="shared" si="44"/>
        <v>0</v>
      </c>
    </row>
    <row r="283" spans="1:25" x14ac:dyDescent="0.3">
      <c r="A283" t="s">
        <v>344</v>
      </c>
      <c r="B283" t="s">
        <v>345</v>
      </c>
      <c r="C283" s="1">
        <v>45764</v>
      </c>
      <c r="D283" s="3">
        <v>0.3011226851851852</v>
      </c>
      <c r="E283">
        <f t="shared" si="36"/>
        <v>7</v>
      </c>
      <c r="F283">
        <v>42</v>
      </c>
      <c r="G283" t="s">
        <v>18</v>
      </c>
      <c r="H283" t="s">
        <v>185</v>
      </c>
      <c r="I283" t="s">
        <v>20</v>
      </c>
      <c r="J283" t="s">
        <v>127</v>
      </c>
      <c r="K283" t="s">
        <v>32</v>
      </c>
      <c r="L283">
        <v>266.19</v>
      </c>
      <c r="M283" t="s">
        <v>33</v>
      </c>
      <c r="N283">
        <f t="shared" si="37"/>
        <v>0</v>
      </c>
      <c r="O283" t="s">
        <v>86</v>
      </c>
      <c r="P283" t="s">
        <v>346</v>
      </c>
      <c r="Q283">
        <v>0</v>
      </c>
      <c r="R283">
        <v>331</v>
      </c>
      <c r="S283">
        <f t="shared" si="38"/>
        <v>1.26780088028194</v>
      </c>
      <c r="T283">
        <f t="shared" si="39"/>
        <v>0</v>
      </c>
      <c r="U283">
        <f t="shared" si="40"/>
        <v>0</v>
      </c>
      <c r="V283">
        <f t="shared" si="41"/>
        <v>0</v>
      </c>
      <c r="W283">
        <f t="shared" si="42"/>
        <v>0</v>
      </c>
      <c r="X283">
        <f t="shared" si="43"/>
        <v>0</v>
      </c>
      <c r="Y283">
        <f t="shared" si="44"/>
        <v>0</v>
      </c>
    </row>
    <row r="284" spans="1:25" x14ac:dyDescent="0.3">
      <c r="A284" t="s">
        <v>3845</v>
      </c>
      <c r="B284" t="s">
        <v>3846</v>
      </c>
      <c r="C284" s="1">
        <v>45815</v>
      </c>
      <c r="D284" s="3">
        <v>0.73223379629629626</v>
      </c>
      <c r="E284">
        <f t="shared" si="36"/>
        <v>17</v>
      </c>
      <c r="F284">
        <v>19</v>
      </c>
      <c r="G284" t="s">
        <v>46</v>
      </c>
      <c r="H284" t="s">
        <v>70</v>
      </c>
      <c r="I284" t="s">
        <v>119</v>
      </c>
      <c r="J284" t="s">
        <v>21</v>
      </c>
      <c r="K284" t="s">
        <v>101</v>
      </c>
      <c r="L284">
        <v>266.19</v>
      </c>
      <c r="M284" t="s">
        <v>23</v>
      </c>
      <c r="N284">
        <f t="shared" si="37"/>
        <v>0</v>
      </c>
      <c r="O284" t="s">
        <v>34</v>
      </c>
      <c r="P284" t="s">
        <v>3847</v>
      </c>
      <c r="Q284">
        <v>1</v>
      </c>
      <c r="R284">
        <v>423</v>
      </c>
      <c r="S284">
        <f t="shared" si="38"/>
        <v>1.26780088028194</v>
      </c>
      <c r="T284">
        <f t="shared" si="39"/>
        <v>0</v>
      </c>
      <c r="U284">
        <f t="shared" si="40"/>
        <v>0</v>
      </c>
      <c r="V284">
        <f t="shared" si="41"/>
        <v>0</v>
      </c>
      <c r="W284">
        <f t="shared" si="42"/>
        <v>0</v>
      </c>
      <c r="X284">
        <f t="shared" si="43"/>
        <v>0</v>
      </c>
      <c r="Y284">
        <f t="shared" si="44"/>
        <v>0</v>
      </c>
    </row>
    <row r="285" spans="1:25" x14ac:dyDescent="0.3">
      <c r="A285" t="s">
        <v>5798</v>
      </c>
      <c r="B285" t="s">
        <v>5799</v>
      </c>
      <c r="C285" s="1">
        <v>45796</v>
      </c>
      <c r="D285" s="3">
        <v>0.31821759259259258</v>
      </c>
      <c r="E285">
        <f t="shared" si="36"/>
        <v>7</v>
      </c>
      <c r="F285">
        <v>19</v>
      </c>
      <c r="G285" t="s">
        <v>46</v>
      </c>
      <c r="H285" t="s">
        <v>175</v>
      </c>
      <c r="I285" t="s">
        <v>48</v>
      </c>
      <c r="J285" t="s">
        <v>40</v>
      </c>
      <c r="K285" t="s">
        <v>32</v>
      </c>
      <c r="L285">
        <v>266.18</v>
      </c>
      <c r="M285" t="s">
        <v>6479</v>
      </c>
      <c r="N285">
        <f t="shared" si="37"/>
        <v>1</v>
      </c>
      <c r="O285" t="s">
        <v>86</v>
      </c>
      <c r="P285" t="s">
        <v>5800</v>
      </c>
      <c r="Q285">
        <v>0</v>
      </c>
      <c r="R285">
        <v>271</v>
      </c>
      <c r="S285">
        <f t="shared" si="38"/>
        <v>1.2676624376871792</v>
      </c>
      <c r="T285">
        <f t="shared" si="39"/>
        <v>0</v>
      </c>
      <c r="U285">
        <f t="shared" si="40"/>
        <v>0</v>
      </c>
      <c r="V285">
        <f t="shared" si="41"/>
        <v>1</v>
      </c>
      <c r="W285">
        <f t="shared" si="42"/>
        <v>3</v>
      </c>
      <c r="X285">
        <f t="shared" si="43"/>
        <v>0</v>
      </c>
      <c r="Y285">
        <f t="shared" si="44"/>
        <v>1</v>
      </c>
    </row>
    <row r="286" spans="1:25" x14ac:dyDescent="0.3">
      <c r="A286" t="s">
        <v>5897</v>
      </c>
      <c r="B286" t="s">
        <v>5898</v>
      </c>
      <c r="C286" s="1">
        <v>45817</v>
      </c>
      <c r="D286" s="3">
        <v>0.55461805555555554</v>
      </c>
      <c r="E286">
        <f t="shared" si="36"/>
        <v>13</v>
      </c>
      <c r="F286">
        <v>43</v>
      </c>
      <c r="G286" t="s">
        <v>46</v>
      </c>
      <c r="H286" t="s">
        <v>29</v>
      </c>
      <c r="I286" t="s">
        <v>39</v>
      </c>
      <c r="J286" t="s">
        <v>94</v>
      </c>
      <c r="K286" t="s">
        <v>22</v>
      </c>
      <c r="L286">
        <v>266.10000000000002</v>
      </c>
      <c r="M286" t="s">
        <v>33</v>
      </c>
      <c r="N286">
        <f t="shared" si="37"/>
        <v>0</v>
      </c>
      <c r="O286" t="s">
        <v>34</v>
      </c>
      <c r="P286" t="s">
        <v>5899</v>
      </c>
      <c r="Q286">
        <v>0</v>
      </c>
      <c r="R286">
        <v>166</v>
      </c>
      <c r="S286">
        <f t="shared" si="38"/>
        <v>1.2665548969290921</v>
      </c>
      <c r="T286">
        <f t="shared" si="39"/>
        <v>0</v>
      </c>
      <c r="U286">
        <f t="shared" si="40"/>
        <v>0</v>
      </c>
      <c r="V286">
        <f t="shared" si="41"/>
        <v>1</v>
      </c>
      <c r="W286">
        <f t="shared" si="42"/>
        <v>1</v>
      </c>
      <c r="X286">
        <f t="shared" si="43"/>
        <v>0</v>
      </c>
      <c r="Y286">
        <f t="shared" si="44"/>
        <v>0</v>
      </c>
    </row>
    <row r="287" spans="1:25" x14ac:dyDescent="0.3">
      <c r="A287" t="s">
        <v>3530</v>
      </c>
      <c r="B287" t="s">
        <v>3531</v>
      </c>
      <c r="C287" s="1">
        <v>45750</v>
      </c>
      <c r="D287" s="3">
        <v>0.51807870370370368</v>
      </c>
      <c r="E287">
        <f t="shared" si="36"/>
        <v>12</v>
      </c>
      <c r="F287">
        <v>64</v>
      </c>
      <c r="G287" t="s">
        <v>46</v>
      </c>
      <c r="H287" t="s">
        <v>142</v>
      </c>
      <c r="I287" t="s">
        <v>48</v>
      </c>
      <c r="J287" t="s">
        <v>21</v>
      </c>
      <c r="K287" t="s">
        <v>120</v>
      </c>
      <c r="L287">
        <v>265.76</v>
      </c>
      <c r="M287" t="s">
        <v>115</v>
      </c>
      <c r="N287">
        <f t="shared" si="37"/>
        <v>0</v>
      </c>
      <c r="O287" t="s">
        <v>24</v>
      </c>
      <c r="P287" t="s">
        <v>3532</v>
      </c>
      <c r="Q287">
        <v>0</v>
      </c>
      <c r="R287">
        <v>222</v>
      </c>
      <c r="S287">
        <f t="shared" si="38"/>
        <v>1.26184784870722</v>
      </c>
      <c r="T287">
        <f t="shared" si="39"/>
        <v>0</v>
      </c>
      <c r="U287">
        <f t="shared" si="40"/>
        <v>0</v>
      </c>
      <c r="V287">
        <f t="shared" si="41"/>
        <v>1</v>
      </c>
      <c r="W287">
        <f t="shared" si="42"/>
        <v>1</v>
      </c>
      <c r="X287">
        <f t="shared" si="43"/>
        <v>0</v>
      </c>
      <c r="Y287">
        <f t="shared" si="44"/>
        <v>0</v>
      </c>
    </row>
    <row r="288" spans="1:25" x14ac:dyDescent="0.3">
      <c r="A288" t="s">
        <v>1133</v>
      </c>
      <c r="B288" t="s">
        <v>1134</v>
      </c>
      <c r="C288" s="1">
        <v>45873</v>
      </c>
      <c r="D288" s="3">
        <v>0.83229166666666665</v>
      </c>
      <c r="E288">
        <f t="shared" si="36"/>
        <v>19</v>
      </c>
      <c r="F288">
        <v>54</v>
      </c>
      <c r="G288" t="s">
        <v>46</v>
      </c>
      <c r="H288" t="s">
        <v>142</v>
      </c>
      <c r="I288" t="s">
        <v>66</v>
      </c>
      <c r="J288" t="s">
        <v>72</v>
      </c>
      <c r="K288" t="s">
        <v>41</v>
      </c>
      <c r="L288">
        <v>265.7</v>
      </c>
      <c r="M288" t="s">
        <v>6479</v>
      </c>
      <c r="N288">
        <f t="shared" si="37"/>
        <v>1</v>
      </c>
      <c r="O288" t="s">
        <v>34</v>
      </c>
      <c r="P288" t="s">
        <v>1135</v>
      </c>
      <c r="Q288">
        <v>0</v>
      </c>
      <c r="R288">
        <v>410</v>
      </c>
      <c r="S288">
        <f t="shared" si="38"/>
        <v>1.2610171931386545</v>
      </c>
      <c r="T288">
        <f t="shared" si="39"/>
        <v>0</v>
      </c>
      <c r="U288">
        <f t="shared" si="40"/>
        <v>0</v>
      </c>
      <c r="V288">
        <f t="shared" si="41"/>
        <v>0</v>
      </c>
      <c r="W288">
        <f t="shared" si="42"/>
        <v>2</v>
      </c>
      <c r="X288">
        <f t="shared" si="43"/>
        <v>0</v>
      </c>
      <c r="Y288">
        <f t="shared" si="44"/>
        <v>1</v>
      </c>
    </row>
    <row r="289" spans="1:25" x14ac:dyDescent="0.3">
      <c r="A289" t="s">
        <v>5051</v>
      </c>
      <c r="B289" t="s">
        <v>5052</v>
      </c>
      <c r="C289" s="1">
        <v>45779</v>
      </c>
      <c r="D289" s="3">
        <v>0.13769675925925925</v>
      </c>
      <c r="E289">
        <f t="shared" si="36"/>
        <v>3</v>
      </c>
      <c r="F289">
        <v>54</v>
      </c>
      <c r="G289" t="s">
        <v>6479</v>
      </c>
      <c r="H289" t="s">
        <v>232</v>
      </c>
      <c r="I289" t="s">
        <v>39</v>
      </c>
      <c r="J289" t="s">
        <v>49</v>
      </c>
      <c r="K289" t="s">
        <v>114</v>
      </c>
      <c r="L289">
        <v>265.58</v>
      </c>
      <c r="M289" t="s">
        <v>115</v>
      </c>
      <c r="N289">
        <f t="shared" si="37"/>
        <v>0</v>
      </c>
      <c r="O289" t="s">
        <v>51</v>
      </c>
      <c r="P289" t="s">
        <v>5053</v>
      </c>
      <c r="Q289">
        <v>0</v>
      </c>
      <c r="R289">
        <v>263</v>
      </c>
      <c r="S289">
        <f t="shared" si="38"/>
        <v>1.2593558820015234</v>
      </c>
      <c r="T289">
        <f t="shared" si="39"/>
        <v>0</v>
      </c>
      <c r="U289">
        <f t="shared" si="40"/>
        <v>1</v>
      </c>
      <c r="V289">
        <f t="shared" si="41"/>
        <v>1</v>
      </c>
      <c r="W289">
        <f t="shared" si="42"/>
        <v>3</v>
      </c>
      <c r="X289">
        <f t="shared" si="43"/>
        <v>0</v>
      </c>
      <c r="Y289">
        <f t="shared" si="44"/>
        <v>0</v>
      </c>
    </row>
    <row r="290" spans="1:25" x14ac:dyDescent="0.3">
      <c r="A290" t="s">
        <v>5408</v>
      </c>
      <c r="B290" t="s">
        <v>5409</v>
      </c>
      <c r="C290" s="1">
        <v>45831</v>
      </c>
      <c r="D290" s="3">
        <v>0.28773148148148148</v>
      </c>
      <c r="E290">
        <f t="shared" si="36"/>
        <v>6</v>
      </c>
      <c r="F290">
        <v>63</v>
      </c>
      <c r="G290" t="s">
        <v>46</v>
      </c>
      <c r="H290" t="s">
        <v>70</v>
      </c>
      <c r="I290" t="s">
        <v>110</v>
      </c>
      <c r="J290" t="s">
        <v>72</v>
      </c>
      <c r="K290" t="s">
        <v>120</v>
      </c>
      <c r="L290">
        <v>265.49</v>
      </c>
      <c r="M290" t="s">
        <v>33</v>
      </c>
      <c r="N290">
        <f t="shared" si="37"/>
        <v>0</v>
      </c>
      <c r="O290" t="s">
        <v>24</v>
      </c>
      <c r="P290" t="s">
        <v>5410</v>
      </c>
      <c r="Q290">
        <v>0</v>
      </c>
      <c r="R290">
        <v>110</v>
      </c>
      <c r="S290">
        <f t="shared" si="38"/>
        <v>1.2581098986486754</v>
      </c>
      <c r="T290">
        <f t="shared" si="39"/>
        <v>0</v>
      </c>
      <c r="U290">
        <f t="shared" si="40"/>
        <v>0</v>
      </c>
      <c r="V290">
        <f t="shared" si="41"/>
        <v>1</v>
      </c>
      <c r="W290">
        <f t="shared" si="42"/>
        <v>1</v>
      </c>
      <c r="X290">
        <f t="shared" si="43"/>
        <v>0</v>
      </c>
      <c r="Y290">
        <f t="shared" si="44"/>
        <v>0</v>
      </c>
    </row>
    <row r="291" spans="1:25" x14ac:dyDescent="0.3">
      <c r="A291" s="2" t="s">
        <v>5384</v>
      </c>
      <c r="B291" t="s">
        <v>5385</v>
      </c>
      <c r="C291" s="1">
        <v>45716</v>
      </c>
      <c r="D291" s="3">
        <v>0.26723379629629629</v>
      </c>
      <c r="E291">
        <f t="shared" si="36"/>
        <v>6</v>
      </c>
      <c r="F291">
        <v>23</v>
      </c>
      <c r="G291" t="s">
        <v>60</v>
      </c>
      <c r="H291" t="s">
        <v>167</v>
      </c>
      <c r="I291" t="s">
        <v>20</v>
      </c>
      <c r="J291" t="s">
        <v>56</v>
      </c>
      <c r="K291" t="s">
        <v>120</v>
      </c>
      <c r="L291">
        <v>265.45</v>
      </c>
      <c r="M291" t="s">
        <v>115</v>
      </c>
      <c r="N291">
        <f t="shared" si="37"/>
        <v>0</v>
      </c>
      <c r="O291" t="s">
        <v>51</v>
      </c>
      <c r="P291" t="s">
        <v>5386</v>
      </c>
      <c r="Q291">
        <v>0</v>
      </c>
      <c r="R291">
        <v>267</v>
      </c>
      <c r="S291">
        <f t="shared" si="38"/>
        <v>1.2575561282696315</v>
      </c>
      <c r="T291">
        <f t="shared" si="39"/>
        <v>0</v>
      </c>
      <c r="U291">
        <f t="shared" si="40"/>
        <v>0</v>
      </c>
      <c r="V291">
        <f t="shared" si="41"/>
        <v>1</v>
      </c>
      <c r="W291">
        <f t="shared" si="42"/>
        <v>1</v>
      </c>
      <c r="X291">
        <f t="shared" si="43"/>
        <v>0</v>
      </c>
      <c r="Y291">
        <f t="shared" si="44"/>
        <v>0</v>
      </c>
    </row>
    <row r="292" spans="1:25" x14ac:dyDescent="0.3">
      <c r="A292" t="s">
        <v>320</v>
      </c>
      <c r="B292" t="s">
        <v>321</v>
      </c>
      <c r="C292" s="1">
        <v>45881</v>
      </c>
      <c r="D292" s="3">
        <v>0.5527199074074074</v>
      </c>
      <c r="E292">
        <f t="shared" si="36"/>
        <v>13</v>
      </c>
      <c r="F292" s="4">
        <v>41</v>
      </c>
      <c r="G292" t="s">
        <v>18</v>
      </c>
      <c r="H292" t="s">
        <v>55</v>
      </c>
      <c r="I292" t="s">
        <v>39</v>
      </c>
      <c r="J292" t="s">
        <v>21</v>
      </c>
      <c r="K292" t="s">
        <v>168</v>
      </c>
      <c r="L292">
        <v>265.32</v>
      </c>
      <c r="M292" t="s">
        <v>23</v>
      </c>
      <c r="N292">
        <f t="shared" si="37"/>
        <v>0</v>
      </c>
      <c r="O292" t="s">
        <v>51</v>
      </c>
      <c r="P292" t="s">
        <v>322</v>
      </c>
      <c r="Q292">
        <v>0</v>
      </c>
      <c r="R292">
        <v>462</v>
      </c>
      <c r="S292">
        <f t="shared" si="38"/>
        <v>1.2557563745377394</v>
      </c>
      <c r="T292">
        <f t="shared" si="39"/>
        <v>0</v>
      </c>
      <c r="U292">
        <f t="shared" si="40"/>
        <v>0</v>
      </c>
      <c r="V292">
        <f t="shared" si="41"/>
        <v>0</v>
      </c>
      <c r="W292">
        <f t="shared" si="42"/>
        <v>0</v>
      </c>
      <c r="X292">
        <f t="shared" si="43"/>
        <v>0</v>
      </c>
      <c r="Y292">
        <f t="shared" si="44"/>
        <v>0</v>
      </c>
    </row>
    <row r="293" spans="1:25" x14ac:dyDescent="0.3">
      <c r="A293" t="s">
        <v>2102</v>
      </c>
      <c r="B293" t="s">
        <v>2103</v>
      </c>
      <c r="C293" s="1">
        <v>45703</v>
      </c>
      <c r="D293" s="3">
        <v>0.64065972222222223</v>
      </c>
      <c r="E293">
        <f t="shared" si="36"/>
        <v>15</v>
      </c>
      <c r="F293">
        <v>62</v>
      </c>
      <c r="G293" t="s">
        <v>60</v>
      </c>
      <c r="H293" t="s">
        <v>100</v>
      </c>
      <c r="I293" t="s">
        <v>110</v>
      </c>
      <c r="J293" t="s">
        <v>72</v>
      </c>
      <c r="K293" t="s">
        <v>22</v>
      </c>
      <c r="L293">
        <v>265.18</v>
      </c>
      <c r="M293" t="s">
        <v>115</v>
      </c>
      <c r="N293">
        <f t="shared" si="37"/>
        <v>0</v>
      </c>
      <c r="O293" t="s">
        <v>51</v>
      </c>
      <c r="P293" t="s">
        <v>2104</v>
      </c>
      <c r="Q293">
        <v>0</v>
      </c>
      <c r="R293">
        <v>128</v>
      </c>
      <c r="S293">
        <f t="shared" si="38"/>
        <v>1.2538181782110867</v>
      </c>
      <c r="T293">
        <f t="shared" si="39"/>
        <v>0</v>
      </c>
      <c r="U293">
        <f t="shared" si="40"/>
        <v>0</v>
      </c>
      <c r="V293">
        <f t="shared" si="41"/>
        <v>1</v>
      </c>
      <c r="W293">
        <f t="shared" si="42"/>
        <v>1</v>
      </c>
      <c r="X293">
        <f t="shared" si="43"/>
        <v>0</v>
      </c>
      <c r="Y293">
        <f t="shared" si="44"/>
        <v>0</v>
      </c>
    </row>
    <row r="294" spans="1:25" x14ac:dyDescent="0.3">
      <c r="A294" t="s">
        <v>1811</v>
      </c>
      <c r="B294" t="s">
        <v>1812</v>
      </c>
      <c r="C294" s="1">
        <v>45725</v>
      </c>
      <c r="D294" s="3">
        <v>0.86870370370370376</v>
      </c>
      <c r="E294">
        <f t="shared" si="36"/>
        <v>20</v>
      </c>
      <c r="F294">
        <v>30</v>
      </c>
      <c r="G294" t="s">
        <v>46</v>
      </c>
      <c r="H294" t="s">
        <v>312</v>
      </c>
      <c r="I294" t="s">
        <v>48</v>
      </c>
      <c r="J294" t="s">
        <v>56</v>
      </c>
      <c r="K294" t="s">
        <v>95</v>
      </c>
      <c r="L294">
        <v>265.16000000000003</v>
      </c>
      <c r="M294" t="s">
        <v>23</v>
      </c>
      <c r="N294">
        <f t="shared" si="37"/>
        <v>0</v>
      </c>
      <c r="O294" t="s">
        <v>51</v>
      </c>
      <c r="P294" t="s">
        <v>1813</v>
      </c>
      <c r="Q294">
        <v>0</v>
      </c>
      <c r="R294">
        <v>376</v>
      </c>
      <c r="S294">
        <f t="shared" si="38"/>
        <v>1.253541293021565</v>
      </c>
      <c r="T294">
        <f t="shared" si="39"/>
        <v>0</v>
      </c>
      <c r="U294">
        <f t="shared" si="40"/>
        <v>0</v>
      </c>
      <c r="V294">
        <f t="shared" si="41"/>
        <v>0</v>
      </c>
      <c r="W294">
        <f t="shared" si="42"/>
        <v>0</v>
      </c>
      <c r="X294">
        <f t="shared" si="43"/>
        <v>0</v>
      </c>
      <c r="Y294">
        <f t="shared" si="44"/>
        <v>0</v>
      </c>
    </row>
    <row r="295" spans="1:25" x14ac:dyDescent="0.3">
      <c r="A295" t="s">
        <v>2729</v>
      </c>
      <c r="B295" t="s">
        <v>2730</v>
      </c>
      <c r="C295" s="1">
        <v>45825</v>
      </c>
      <c r="D295" s="3">
        <v>0.64718750000000003</v>
      </c>
      <c r="E295">
        <f t="shared" si="36"/>
        <v>15</v>
      </c>
      <c r="F295">
        <v>47</v>
      </c>
      <c r="G295" t="s">
        <v>46</v>
      </c>
      <c r="H295" t="s">
        <v>29</v>
      </c>
      <c r="I295" t="s">
        <v>48</v>
      </c>
      <c r="J295" t="s">
        <v>40</v>
      </c>
      <c r="K295" t="s">
        <v>114</v>
      </c>
      <c r="L295">
        <v>265.14999999999998</v>
      </c>
      <c r="M295" t="s">
        <v>42</v>
      </c>
      <c r="N295">
        <f t="shared" si="37"/>
        <v>0</v>
      </c>
      <c r="O295" t="s">
        <v>24</v>
      </c>
      <c r="P295" t="s">
        <v>2731</v>
      </c>
      <c r="Q295">
        <v>0</v>
      </c>
      <c r="R295">
        <v>276</v>
      </c>
      <c r="S295">
        <f t="shared" si="38"/>
        <v>1.2534028504268035</v>
      </c>
      <c r="T295">
        <f t="shared" si="39"/>
        <v>0</v>
      </c>
      <c r="U295">
        <f t="shared" si="40"/>
        <v>0</v>
      </c>
      <c r="V295">
        <f t="shared" si="41"/>
        <v>0</v>
      </c>
      <c r="W295">
        <f t="shared" si="42"/>
        <v>0</v>
      </c>
      <c r="X295">
        <f t="shared" si="43"/>
        <v>0</v>
      </c>
      <c r="Y295">
        <f t="shared" si="44"/>
        <v>0</v>
      </c>
    </row>
    <row r="296" spans="1:25" x14ac:dyDescent="0.3">
      <c r="A296" t="s">
        <v>6185</v>
      </c>
      <c r="B296" t="s">
        <v>6186</v>
      </c>
      <c r="C296" s="1">
        <v>45850</v>
      </c>
      <c r="D296" s="3">
        <v>0.6235532407407407</v>
      </c>
      <c r="E296">
        <f t="shared" si="36"/>
        <v>14</v>
      </c>
      <c r="F296">
        <v>45</v>
      </c>
      <c r="G296" t="s">
        <v>46</v>
      </c>
      <c r="H296" t="s">
        <v>142</v>
      </c>
      <c r="I296" t="s">
        <v>71</v>
      </c>
      <c r="J296" t="s">
        <v>40</v>
      </c>
      <c r="K296" t="s">
        <v>95</v>
      </c>
      <c r="L296">
        <v>264.79000000000002</v>
      </c>
      <c r="M296" t="s">
        <v>23</v>
      </c>
      <c r="N296">
        <f t="shared" si="37"/>
        <v>0</v>
      </c>
      <c r="O296" t="s">
        <v>51</v>
      </c>
      <c r="P296" t="s">
        <v>6187</v>
      </c>
      <c r="Q296">
        <v>0</v>
      </c>
      <c r="R296">
        <v>278</v>
      </c>
      <c r="S296">
        <f t="shared" si="38"/>
        <v>1.2484189170154107</v>
      </c>
      <c r="T296">
        <f t="shared" si="39"/>
        <v>0</v>
      </c>
      <c r="U296">
        <f t="shared" si="40"/>
        <v>0</v>
      </c>
      <c r="V296">
        <f t="shared" si="41"/>
        <v>0</v>
      </c>
      <c r="W296">
        <f t="shared" si="42"/>
        <v>0</v>
      </c>
      <c r="X296">
        <f t="shared" si="43"/>
        <v>0</v>
      </c>
      <c r="Y296">
        <f t="shared" si="44"/>
        <v>0</v>
      </c>
    </row>
    <row r="297" spans="1:25" x14ac:dyDescent="0.3">
      <c r="A297" t="s">
        <v>6053</v>
      </c>
      <c r="B297" t="s">
        <v>6054</v>
      </c>
      <c r="C297" s="1">
        <v>45854</v>
      </c>
      <c r="D297" s="3">
        <v>0.71630787037037036</v>
      </c>
      <c r="E297">
        <f t="shared" si="36"/>
        <v>17</v>
      </c>
      <c r="F297">
        <v>51</v>
      </c>
      <c r="G297" t="s">
        <v>46</v>
      </c>
      <c r="H297" t="s">
        <v>47</v>
      </c>
      <c r="I297" t="s">
        <v>20</v>
      </c>
      <c r="J297" t="s">
        <v>40</v>
      </c>
      <c r="K297" t="s">
        <v>22</v>
      </c>
      <c r="L297">
        <v>264.69</v>
      </c>
      <c r="M297" t="s">
        <v>115</v>
      </c>
      <c r="N297">
        <f t="shared" si="37"/>
        <v>0</v>
      </c>
      <c r="O297" t="s">
        <v>86</v>
      </c>
      <c r="P297" t="s">
        <v>6055</v>
      </c>
      <c r="Q297">
        <v>0</v>
      </c>
      <c r="R297">
        <v>452</v>
      </c>
      <c r="S297">
        <f t="shared" si="38"/>
        <v>1.2470344910678013</v>
      </c>
      <c r="T297">
        <f t="shared" si="39"/>
        <v>0</v>
      </c>
      <c r="U297">
        <f t="shared" si="40"/>
        <v>0</v>
      </c>
      <c r="V297">
        <f t="shared" si="41"/>
        <v>0</v>
      </c>
      <c r="W297">
        <f t="shared" si="42"/>
        <v>0</v>
      </c>
      <c r="X297">
        <f t="shared" si="43"/>
        <v>0</v>
      </c>
      <c r="Y297">
        <f t="shared" si="44"/>
        <v>0</v>
      </c>
    </row>
    <row r="298" spans="1:25" x14ac:dyDescent="0.3">
      <c r="A298" t="s">
        <v>1580</v>
      </c>
      <c r="B298" t="s">
        <v>1581</v>
      </c>
      <c r="C298" s="1">
        <v>45729</v>
      </c>
      <c r="D298" s="3">
        <v>0.98606481481481478</v>
      </c>
      <c r="E298">
        <f t="shared" si="36"/>
        <v>23</v>
      </c>
      <c r="F298">
        <v>21</v>
      </c>
      <c r="G298" t="s">
        <v>46</v>
      </c>
      <c r="H298" t="s">
        <v>239</v>
      </c>
      <c r="I298" t="s">
        <v>105</v>
      </c>
      <c r="J298" t="s">
        <v>31</v>
      </c>
      <c r="K298" t="s">
        <v>114</v>
      </c>
      <c r="L298">
        <v>264.58</v>
      </c>
      <c r="M298" t="s">
        <v>42</v>
      </c>
      <c r="N298">
        <f t="shared" si="37"/>
        <v>0</v>
      </c>
      <c r="O298" t="s">
        <v>24</v>
      </c>
      <c r="P298" t="s">
        <v>1582</v>
      </c>
      <c r="Q298">
        <v>0</v>
      </c>
      <c r="R298">
        <v>420</v>
      </c>
      <c r="S298">
        <f t="shared" si="38"/>
        <v>1.245511622525431</v>
      </c>
      <c r="T298">
        <f t="shared" si="39"/>
        <v>0</v>
      </c>
      <c r="U298">
        <f t="shared" si="40"/>
        <v>0</v>
      </c>
      <c r="V298">
        <f t="shared" si="41"/>
        <v>0</v>
      </c>
      <c r="W298">
        <f t="shared" si="42"/>
        <v>0</v>
      </c>
      <c r="X298">
        <f t="shared" si="43"/>
        <v>0</v>
      </c>
      <c r="Y298">
        <f t="shared" si="44"/>
        <v>0</v>
      </c>
    </row>
    <row r="299" spans="1:25" x14ac:dyDescent="0.3">
      <c r="A299" t="s">
        <v>1322</v>
      </c>
      <c r="B299" t="s">
        <v>1323</v>
      </c>
      <c r="C299" s="1">
        <v>45772</v>
      </c>
      <c r="D299" s="3">
        <v>9.1284722222222225E-2</v>
      </c>
      <c r="E299">
        <f t="shared" si="36"/>
        <v>2</v>
      </c>
      <c r="F299" s="4">
        <v>41</v>
      </c>
      <c r="G299" t="s">
        <v>28</v>
      </c>
      <c r="H299" t="s">
        <v>175</v>
      </c>
      <c r="I299" t="s">
        <v>48</v>
      </c>
      <c r="J299" t="s">
        <v>132</v>
      </c>
      <c r="K299" t="s">
        <v>32</v>
      </c>
      <c r="L299">
        <v>264.33</v>
      </c>
      <c r="M299" t="s">
        <v>115</v>
      </c>
      <c r="N299">
        <f t="shared" si="37"/>
        <v>0</v>
      </c>
      <c r="O299" t="s">
        <v>34</v>
      </c>
      <c r="P299" t="s">
        <v>1324</v>
      </c>
      <c r="Q299">
        <v>0</v>
      </c>
      <c r="R299">
        <v>468</v>
      </c>
      <c r="S299">
        <f t="shared" si="38"/>
        <v>1.2420505576564078</v>
      </c>
      <c r="T299">
        <f t="shared" si="39"/>
        <v>0</v>
      </c>
      <c r="U299">
        <f t="shared" si="40"/>
        <v>1</v>
      </c>
      <c r="V299">
        <f t="shared" si="41"/>
        <v>0</v>
      </c>
      <c r="W299">
        <f t="shared" si="42"/>
        <v>2</v>
      </c>
      <c r="X299">
        <f t="shared" si="43"/>
        <v>0</v>
      </c>
      <c r="Y299">
        <f t="shared" si="44"/>
        <v>0</v>
      </c>
    </row>
    <row r="300" spans="1:25" x14ac:dyDescent="0.3">
      <c r="A300" t="s">
        <v>5705</v>
      </c>
      <c r="B300" t="s">
        <v>5706</v>
      </c>
      <c r="C300" s="1">
        <v>45840</v>
      </c>
      <c r="D300" s="3">
        <v>2.4502314814814814E-2</v>
      </c>
      <c r="E300">
        <f t="shared" si="36"/>
        <v>0</v>
      </c>
      <c r="F300" s="4">
        <v>41</v>
      </c>
      <c r="G300" t="s">
        <v>106</v>
      </c>
      <c r="H300" t="s">
        <v>142</v>
      </c>
      <c r="I300" t="s">
        <v>48</v>
      </c>
      <c r="J300" t="s">
        <v>40</v>
      </c>
      <c r="K300" t="s">
        <v>168</v>
      </c>
      <c r="L300">
        <v>264.3</v>
      </c>
      <c r="M300" t="s">
        <v>115</v>
      </c>
      <c r="N300">
        <f t="shared" si="37"/>
        <v>0</v>
      </c>
      <c r="O300" t="s">
        <v>86</v>
      </c>
      <c r="P300" t="s">
        <v>5707</v>
      </c>
      <c r="Q300">
        <v>0</v>
      </c>
      <c r="R300">
        <v>84</v>
      </c>
      <c r="S300">
        <f t="shared" si="38"/>
        <v>1.2416352298721254</v>
      </c>
      <c r="T300">
        <f t="shared" si="39"/>
        <v>0</v>
      </c>
      <c r="U300">
        <f t="shared" si="40"/>
        <v>1</v>
      </c>
      <c r="V300">
        <f t="shared" si="41"/>
        <v>1</v>
      </c>
      <c r="W300">
        <f t="shared" si="42"/>
        <v>3</v>
      </c>
      <c r="X300">
        <f t="shared" si="43"/>
        <v>0</v>
      </c>
      <c r="Y300">
        <f t="shared" si="44"/>
        <v>0</v>
      </c>
    </row>
    <row r="301" spans="1:25" x14ac:dyDescent="0.3">
      <c r="A301" t="s">
        <v>4550</v>
      </c>
      <c r="B301" t="s">
        <v>4551</v>
      </c>
      <c r="C301" s="1">
        <v>45720</v>
      </c>
      <c r="D301" s="3">
        <v>0.27291666666666664</v>
      </c>
      <c r="E301">
        <f t="shared" si="36"/>
        <v>6</v>
      </c>
      <c r="F301">
        <v>38</v>
      </c>
      <c r="G301" t="s">
        <v>18</v>
      </c>
      <c r="H301" t="s">
        <v>131</v>
      </c>
      <c r="I301" t="s">
        <v>48</v>
      </c>
      <c r="J301" t="s">
        <v>21</v>
      </c>
      <c r="K301" t="s">
        <v>95</v>
      </c>
      <c r="L301">
        <v>264.16000000000003</v>
      </c>
      <c r="M301" t="s">
        <v>23</v>
      </c>
      <c r="N301">
        <f t="shared" si="37"/>
        <v>0</v>
      </c>
      <c r="O301" t="s">
        <v>34</v>
      </c>
      <c r="P301" t="s">
        <v>4552</v>
      </c>
      <c r="Q301">
        <v>0</v>
      </c>
      <c r="R301">
        <v>364</v>
      </c>
      <c r="S301">
        <f t="shared" si="38"/>
        <v>1.2396970335454727</v>
      </c>
      <c r="T301">
        <f t="shared" si="39"/>
        <v>0</v>
      </c>
      <c r="U301">
        <f t="shared" si="40"/>
        <v>0</v>
      </c>
      <c r="V301">
        <f t="shared" si="41"/>
        <v>0</v>
      </c>
      <c r="W301">
        <f t="shared" si="42"/>
        <v>0</v>
      </c>
      <c r="X301">
        <f t="shared" si="43"/>
        <v>0</v>
      </c>
      <c r="Y301">
        <f t="shared" si="44"/>
        <v>0</v>
      </c>
    </row>
    <row r="302" spans="1:25" x14ac:dyDescent="0.3">
      <c r="A302" t="s">
        <v>971</v>
      </c>
      <c r="B302" t="s">
        <v>972</v>
      </c>
      <c r="C302" s="1">
        <v>45744</v>
      </c>
      <c r="D302" s="3">
        <v>0.7313425925925926</v>
      </c>
      <c r="E302">
        <f t="shared" si="36"/>
        <v>17</v>
      </c>
      <c r="F302">
        <v>46</v>
      </c>
      <c r="G302" t="s">
        <v>6479</v>
      </c>
      <c r="H302" t="s">
        <v>84</v>
      </c>
      <c r="I302" t="s">
        <v>71</v>
      </c>
      <c r="J302" t="s">
        <v>76</v>
      </c>
      <c r="K302" t="s">
        <v>41</v>
      </c>
      <c r="L302">
        <v>264.14</v>
      </c>
      <c r="M302" t="s">
        <v>115</v>
      </c>
      <c r="N302">
        <f t="shared" si="37"/>
        <v>0</v>
      </c>
      <c r="O302" t="s">
        <v>51</v>
      </c>
      <c r="P302" t="s">
        <v>973</v>
      </c>
      <c r="Q302">
        <v>0</v>
      </c>
      <c r="R302">
        <v>339</v>
      </c>
      <c r="S302">
        <f t="shared" si="38"/>
        <v>1.2394201483559502</v>
      </c>
      <c r="T302">
        <f t="shared" si="39"/>
        <v>0</v>
      </c>
      <c r="U302">
        <f t="shared" si="40"/>
        <v>0</v>
      </c>
      <c r="V302">
        <f t="shared" si="41"/>
        <v>0</v>
      </c>
      <c r="W302">
        <f t="shared" si="42"/>
        <v>0</v>
      </c>
      <c r="X302">
        <f t="shared" si="43"/>
        <v>0</v>
      </c>
      <c r="Y302">
        <f t="shared" si="44"/>
        <v>0</v>
      </c>
    </row>
    <row r="303" spans="1:25" x14ac:dyDescent="0.3">
      <c r="A303" t="s">
        <v>4499</v>
      </c>
      <c r="B303" s="2" t="s">
        <v>4500</v>
      </c>
      <c r="C303" s="1">
        <v>45758</v>
      </c>
      <c r="D303" s="3">
        <v>0.10974537037037037</v>
      </c>
      <c r="E303">
        <f t="shared" si="36"/>
        <v>2</v>
      </c>
      <c r="F303">
        <v>42</v>
      </c>
      <c r="G303" t="s">
        <v>46</v>
      </c>
      <c r="H303" t="s">
        <v>185</v>
      </c>
      <c r="I303" t="s">
        <v>39</v>
      </c>
      <c r="J303" t="s">
        <v>40</v>
      </c>
      <c r="K303" t="s">
        <v>101</v>
      </c>
      <c r="L303">
        <v>264.14</v>
      </c>
      <c r="M303" t="s">
        <v>115</v>
      </c>
      <c r="N303">
        <f t="shared" si="37"/>
        <v>0</v>
      </c>
      <c r="O303" t="s">
        <v>24</v>
      </c>
      <c r="P303" t="s">
        <v>4501</v>
      </c>
      <c r="Q303">
        <v>0</v>
      </c>
      <c r="R303">
        <v>241</v>
      </c>
      <c r="S303">
        <f t="shared" si="38"/>
        <v>1.2394201483559502</v>
      </c>
      <c r="T303">
        <f t="shared" si="39"/>
        <v>0</v>
      </c>
      <c r="U303">
        <f t="shared" si="40"/>
        <v>1</v>
      </c>
      <c r="V303">
        <f t="shared" si="41"/>
        <v>1</v>
      </c>
      <c r="W303">
        <f t="shared" si="42"/>
        <v>3</v>
      </c>
      <c r="X303">
        <f t="shared" si="43"/>
        <v>0</v>
      </c>
      <c r="Y303">
        <f t="shared" si="44"/>
        <v>0</v>
      </c>
    </row>
    <row r="304" spans="1:25" x14ac:dyDescent="0.3">
      <c r="A304" t="s">
        <v>3674</v>
      </c>
      <c r="B304" t="s">
        <v>3675</v>
      </c>
      <c r="C304" s="1">
        <v>45711</v>
      </c>
      <c r="D304" s="3">
        <v>0.73626157407407411</v>
      </c>
      <c r="E304">
        <f t="shared" si="36"/>
        <v>17</v>
      </c>
      <c r="F304">
        <v>27</v>
      </c>
      <c r="G304" t="s">
        <v>18</v>
      </c>
      <c r="H304" t="s">
        <v>61</v>
      </c>
      <c r="I304" t="s">
        <v>105</v>
      </c>
      <c r="J304" t="s">
        <v>40</v>
      </c>
      <c r="K304" t="s">
        <v>32</v>
      </c>
      <c r="L304">
        <v>264.11</v>
      </c>
      <c r="M304" t="s">
        <v>115</v>
      </c>
      <c r="N304">
        <f t="shared" si="37"/>
        <v>0</v>
      </c>
      <c r="O304" t="s">
        <v>86</v>
      </c>
      <c r="P304" t="s">
        <v>3676</v>
      </c>
      <c r="Q304">
        <v>0</v>
      </c>
      <c r="R304">
        <v>444</v>
      </c>
      <c r="S304">
        <f t="shared" si="38"/>
        <v>1.2390048205716679</v>
      </c>
      <c r="T304">
        <f t="shared" si="39"/>
        <v>0</v>
      </c>
      <c r="U304">
        <f t="shared" si="40"/>
        <v>0</v>
      </c>
      <c r="V304">
        <f t="shared" si="41"/>
        <v>0</v>
      </c>
      <c r="W304">
        <f t="shared" si="42"/>
        <v>0</v>
      </c>
      <c r="X304">
        <f t="shared" si="43"/>
        <v>0</v>
      </c>
      <c r="Y304">
        <f t="shared" si="44"/>
        <v>0</v>
      </c>
    </row>
    <row r="305" spans="1:25" x14ac:dyDescent="0.3">
      <c r="A305" t="s">
        <v>500</v>
      </c>
      <c r="B305" t="s">
        <v>501</v>
      </c>
      <c r="C305" s="1">
        <v>45718</v>
      </c>
      <c r="D305" s="3">
        <v>0.51401620370370371</v>
      </c>
      <c r="E305">
        <f t="shared" si="36"/>
        <v>12</v>
      </c>
      <c r="F305">
        <v>56</v>
      </c>
      <c r="G305" t="s">
        <v>99</v>
      </c>
      <c r="H305" t="s">
        <v>84</v>
      </c>
      <c r="I305" t="s">
        <v>105</v>
      </c>
      <c r="J305" t="s">
        <v>31</v>
      </c>
      <c r="K305" t="s">
        <v>41</v>
      </c>
      <c r="L305">
        <v>264.04000000000002</v>
      </c>
      <c r="M305" t="s">
        <v>115</v>
      </c>
      <c r="N305">
        <f t="shared" si="37"/>
        <v>0</v>
      </c>
      <c r="O305" t="s">
        <v>34</v>
      </c>
      <c r="P305" t="s">
        <v>502</v>
      </c>
      <c r="Q305">
        <v>0</v>
      </c>
      <c r="R305">
        <v>408</v>
      </c>
      <c r="S305">
        <f t="shared" si="38"/>
        <v>1.2380357224083416</v>
      </c>
      <c r="T305">
        <f t="shared" si="39"/>
        <v>0</v>
      </c>
      <c r="U305">
        <f t="shared" si="40"/>
        <v>0</v>
      </c>
      <c r="V305">
        <f t="shared" si="41"/>
        <v>0</v>
      </c>
      <c r="W305">
        <f t="shared" si="42"/>
        <v>0</v>
      </c>
      <c r="X305">
        <f t="shared" si="43"/>
        <v>0</v>
      </c>
      <c r="Y305">
        <f t="shared" si="44"/>
        <v>0</v>
      </c>
    </row>
    <row r="306" spans="1:25" x14ac:dyDescent="0.3">
      <c r="A306" t="s">
        <v>3599</v>
      </c>
      <c r="B306" t="s">
        <v>3600</v>
      </c>
      <c r="C306" s="1">
        <v>45727</v>
      </c>
      <c r="D306" s="3">
        <v>0.50936342592592587</v>
      </c>
      <c r="E306">
        <f t="shared" si="36"/>
        <v>12</v>
      </c>
      <c r="F306">
        <v>45</v>
      </c>
      <c r="G306" t="s">
        <v>46</v>
      </c>
      <c r="H306" t="s">
        <v>167</v>
      </c>
      <c r="I306" t="s">
        <v>39</v>
      </c>
      <c r="J306" t="s">
        <v>49</v>
      </c>
      <c r="K306" t="s">
        <v>41</v>
      </c>
      <c r="L306">
        <v>263.88</v>
      </c>
      <c r="M306" t="s">
        <v>42</v>
      </c>
      <c r="N306">
        <f t="shared" si="37"/>
        <v>0</v>
      </c>
      <c r="O306" t="s">
        <v>24</v>
      </c>
      <c r="P306" t="s">
        <v>3601</v>
      </c>
      <c r="Q306">
        <v>0</v>
      </c>
      <c r="R306">
        <v>321</v>
      </c>
      <c r="S306">
        <f t="shared" si="38"/>
        <v>1.2358206408921664</v>
      </c>
      <c r="T306">
        <f t="shared" si="39"/>
        <v>0</v>
      </c>
      <c r="U306">
        <f t="shared" si="40"/>
        <v>0</v>
      </c>
      <c r="V306">
        <f t="shared" si="41"/>
        <v>0</v>
      </c>
      <c r="W306">
        <f t="shared" si="42"/>
        <v>0</v>
      </c>
      <c r="X306">
        <f t="shared" si="43"/>
        <v>0</v>
      </c>
      <c r="Y306">
        <f t="shared" si="44"/>
        <v>0</v>
      </c>
    </row>
    <row r="307" spans="1:25" x14ac:dyDescent="0.3">
      <c r="A307" t="s">
        <v>362</v>
      </c>
      <c r="B307" t="s">
        <v>363</v>
      </c>
      <c r="C307" s="1">
        <v>45878</v>
      </c>
      <c r="D307" s="3">
        <v>0.36554398148148148</v>
      </c>
      <c r="E307">
        <f t="shared" si="36"/>
        <v>8</v>
      </c>
      <c r="F307">
        <v>18</v>
      </c>
      <c r="G307" t="s">
        <v>18</v>
      </c>
      <c r="H307" t="s">
        <v>175</v>
      </c>
      <c r="I307" t="s">
        <v>85</v>
      </c>
      <c r="J307" t="s">
        <v>94</v>
      </c>
      <c r="K307" t="s">
        <v>101</v>
      </c>
      <c r="L307">
        <v>263.37</v>
      </c>
      <c r="M307" t="s">
        <v>33</v>
      </c>
      <c r="N307">
        <f t="shared" si="37"/>
        <v>0</v>
      </c>
      <c r="O307" t="s">
        <v>51</v>
      </c>
      <c r="P307" t="s">
        <v>364</v>
      </c>
      <c r="Q307">
        <v>0</v>
      </c>
      <c r="R307">
        <v>145</v>
      </c>
      <c r="S307">
        <f t="shared" si="38"/>
        <v>1.2287600685593594</v>
      </c>
      <c r="T307">
        <f t="shared" si="39"/>
        <v>0</v>
      </c>
      <c r="U307">
        <f t="shared" si="40"/>
        <v>0</v>
      </c>
      <c r="V307">
        <f t="shared" si="41"/>
        <v>1</v>
      </c>
      <c r="W307">
        <f t="shared" si="42"/>
        <v>1</v>
      </c>
      <c r="X307">
        <f t="shared" si="43"/>
        <v>0</v>
      </c>
      <c r="Y307">
        <f t="shared" si="44"/>
        <v>0</v>
      </c>
    </row>
    <row r="308" spans="1:25" x14ac:dyDescent="0.3">
      <c r="A308" t="s">
        <v>2648</v>
      </c>
      <c r="B308" t="s">
        <v>2649</v>
      </c>
      <c r="C308" s="1">
        <v>45780</v>
      </c>
      <c r="D308" s="3">
        <v>0.5867013888888889</v>
      </c>
      <c r="E308">
        <f t="shared" si="36"/>
        <v>14</v>
      </c>
      <c r="F308">
        <v>46</v>
      </c>
      <c r="G308" t="s">
        <v>18</v>
      </c>
      <c r="H308" t="s">
        <v>175</v>
      </c>
      <c r="I308" t="s">
        <v>105</v>
      </c>
      <c r="J308" t="s">
        <v>21</v>
      </c>
      <c r="K308" t="s">
        <v>22</v>
      </c>
      <c r="L308">
        <v>263.29000000000002</v>
      </c>
      <c r="M308" t="s">
        <v>115</v>
      </c>
      <c r="N308">
        <f t="shared" si="37"/>
        <v>0</v>
      </c>
      <c r="O308" t="s">
        <v>34</v>
      </c>
      <c r="P308" t="s">
        <v>2650</v>
      </c>
      <c r="Q308">
        <v>0</v>
      </c>
      <c r="R308">
        <v>193</v>
      </c>
      <c r="S308">
        <f t="shared" si="38"/>
        <v>1.2276525278012722</v>
      </c>
      <c r="T308">
        <f t="shared" si="39"/>
        <v>0</v>
      </c>
      <c r="U308">
        <f t="shared" si="40"/>
        <v>0</v>
      </c>
      <c r="V308">
        <f t="shared" si="41"/>
        <v>1</v>
      </c>
      <c r="W308">
        <f t="shared" si="42"/>
        <v>1</v>
      </c>
      <c r="X308">
        <f t="shared" si="43"/>
        <v>0</v>
      </c>
      <c r="Y308">
        <f t="shared" si="44"/>
        <v>0</v>
      </c>
    </row>
    <row r="309" spans="1:25" x14ac:dyDescent="0.3">
      <c r="A309" t="s">
        <v>6017</v>
      </c>
      <c r="B309" t="s">
        <v>6018</v>
      </c>
      <c r="C309" s="1">
        <v>45762</v>
      </c>
      <c r="D309" s="3">
        <v>0.72059027777777773</v>
      </c>
      <c r="E309">
        <f t="shared" si="36"/>
        <v>17</v>
      </c>
      <c r="F309">
        <v>48</v>
      </c>
      <c r="G309" t="s">
        <v>18</v>
      </c>
      <c r="H309" t="s">
        <v>80</v>
      </c>
      <c r="I309" t="s">
        <v>119</v>
      </c>
      <c r="J309" t="s">
        <v>49</v>
      </c>
      <c r="K309" t="s">
        <v>32</v>
      </c>
      <c r="L309">
        <v>263.29000000000002</v>
      </c>
      <c r="M309" t="s">
        <v>42</v>
      </c>
      <c r="N309">
        <f t="shared" si="37"/>
        <v>0</v>
      </c>
      <c r="O309" t="s">
        <v>51</v>
      </c>
      <c r="P309" t="s">
        <v>6019</v>
      </c>
      <c r="Q309">
        <v>0</v>
      </c>
      <c r="R309">
        <v>88</v>
      </c>
      <c r="S309">
        <f t="shared" si="38"/>
        <v>1.2276525278012722</v>
      </c>
      <c r="T309">
        <f t="shared" si="39"/>
        <v>0</v>
      </c>
      <c r="U309">
        <f t="shared" si="40"/>
        <v>0</v>
      </c>
      <c r="V309">
        <f t="shared" si="41"/>
        <v>1</v>
      </c>
      <c r="W309">
        <f t="shared" si="42"/>
        <v>1</v>
      </c>
      <c r="X309">
        <f t="shared" si="43"/>
        <v>0</v>
      </c>
      <c r="Y309">
        <f t="shared" si="44"/>
        <v>0</v>
      </c>
    </row>
    <row r="310" spans="1:25" x14ac:dyDescent="0.3">
      <c r="A310" t="s">
        <v>5351</v>
      </c>
      <c r="B310" t="s">
        <v>5352</v>
      </c>
      <c r="C310" s="1">
        <v>45779</v>
      </c>
      <c r="D310" s="3">
        <v>0.89439814814814811</v>
      </c>
      <c r="E310">
        <f t="shared" si="36"/>
        <v>21</v>
      </c>
      <c r="F310">
        <v>31</v>
      </c>
      <c r="G310" t="s">
        <v>18</v>
      </c>
      <c r="H310" t="s">
        <v>131</v>
      </c>
      <c r="I310" t="s">
        <v>48</v>
      </c>
      <c r="J310" t="s">
        <v>49</v>
      </c>
      <c r="K310" t="s">
        <v>41</v>
      </c>
      <c r="L310">
        <v>263</v>
      </c>
      <c r="M310" t="s">
        <v>33</v>
      </c>
      <c r="N310">
        <f t="shared" si="37"/>
        <v>0</v>
      </c>
      <c r="O310" t="s">
        <v>86</v>
      </c>
      <c r="P310" t="s">
        <v>5353</v>
      </c>
      <c r="Q310">
        <v>0</v>
      </c>
      <c r="R310">
        <v>113</v>
      </c>
      <c r="S310">
        <f t="shared" si="38"/>
        <v>1.2236376925532051</v>
      </c>
      <c r="T310">
        <f t="shared" si="39"/>
        <v>0</v>
      </c>
      <c r="U310">
        <f t="shared" si="40"/>
        <v>0</v>
      </c>
      <c r="V310">
        <f t="shared" si="41"/>
        <v>1</v>
      </c>
      <c r="W310">
        <f t="shared" si="42"/>
        <v>1</v>
      </c>
      <c r="X310">
        <f t="shared" si="43"/>
        <v>0</v>
      </c>
      <c r="Y310">
        <f t="shared" si="44"/>
        <v>0</v>
      </c>
    </row>
    <row r="311" spans="1:25" x14ac:dyDescent="0.3">
      <c r="A311" t="s">
        <v>941</v>
      </c>
      <c r="B311" t="s">
        <v>942</v>
      </c>
      <c r="C311" s="1">
        <v>45705</v>
      </c>
      <c r="D311" s="3">
        <v>5.7418981481481481E-2</v>
      </c>
      <c r="E311">
        <f t="shared" si="36"/>
        <v>1</v>
      </c>
      <c r="F311">
        <v>25</v>
      </c>
      <c r="G311" t="s">
        <v>6479</v>
      </c>
      <c r="H311" t="s">
        <v>84</v>
      </c>
      <c r="I311" t="s">
        <v>71</v>
      </c>
      <c r="J311" t="s">
        <v>72</v>
      </c>
      <c r="K311" t="s">
        <v>168</v>
      </c>
      <c r="L311">
        <v>262.81</v>
      </c>
      <c r="M311" t="s">
        <v>115</v>
      </c>
      <c r="N311">
        <f t="shared" si="37"/>
        <v>0</v>
      </c>
      <c r="O311" t="s">
        <v>24</v>
      </c>
      <c r="P311" t="s">
        <v>943</v>
      </c>
      <c r="Q311">
        <v>0</v>
      </c>
      <c r="R311">
        <v>311</v>
      </c>
      <c r="S311">
        <f t="shared" si="38"/>
        <v>1.2210072832527474</v>
      </c>
      <c r="T311">
        <f t="shared" si="39"/>
        <v>0</v>
      </c>
      <c r="U311">
        <f t="shared" si="40"/>
        <v>1</v>
      </c>
      <c r="V311">
        <f t="shared" si="41"/>
        <v>0</v>
      </c>
      <c r="W311">
        <f t="shared" si="42"/>
        <v>2</v>
      </c>
      <c r="X311">
        <f t="shared" si="43"/>
        <v>0</v>
      </c>
      <c r="Y311">
        <f t="shared" si="44"/>
        <v>0</v>
      </c>
    </row>
    <row r="312" spans="1:25" x14ac:dyDescent="0.3">
      <c r="A312" t="s">
        <v>2789</v>
      </c>
      <c r="B312" t="s">
        <v>2790</v>
      </c>
      <c r="C312" s="1">
        <v>45776</v>
      </c>
      <c r="D312" s="3">
        <v>0.78996527777777781</v>
      </c>
      <c r="E312">
        <f t="shared" si="36"/>
        <v>18</v>
      </c>
      <c r="F312">
        <v>43</v>
      </c>
      <c r="G312" t="s">
        <v>60</v>
      </c>
      <c r="H312" t="s">
        <v>80</v>
      </c>
      <c r="I312" t="s">
        <v>20</v>
      </c>
      <c r="J312" t="s">
        <v>49</v>
      </c>
      <c r="K312" t="s">
        <v>114</v>
      </c>
      <c r="L312">
        <v>262.7</v>
      </c>
      <c r="M312" t="s">
        <v>23</v>
      </c>
      <c r="N312">
        <f t="shared" si="37"/>
        <v>0</v>
      </c>
      <c r="O312" t="s">
        <v>24</v>
      </c>
      <c r="P312" t="s">
        <v>2791</v>
      </c>
      <c r="Q312">
        <v>0</v>
      </c>
      <c r="R312">
        <v>465</v>
      </c>
      <c r="S312">
        <f t="shared" si="38"/>
        <v>1.2194844147103772</v>
      </c>
      <c r="T312">
        <f t="shared" si="39"/>
        <v>0</v>
      </c>
      <c r="U312">
        <f t="shared" si="40"/>
        <v>0</v>
      </c>
      <c r="V312">
        <f t="shared" si="41"/>
        <v>0</v>
      </c>
      <c r="W312">
        <f t="shared" si="42"/>
        <v>0</v>
      </c>
      <c r="X312">
        <f t="shared" si="43"/>
        <v>0</v>
      </c>
      <c r="Y312">
        <f t="shared" si="44"/>
        <v>0</v>
      </c>
    </row>
    <row r="313" spans="1:25" x14ac:dyDescent="0.3">
      <c r="A313" t="s">
        <v>5453</v>
      </c>
      <c r="B313" t="s">
        <v>5454</v>
      </c>
      <c r="C313" s="1">
        <v>45717</v>
      </c>
      <c r="D313" s="3">
        <v>0.94763888888888892</v>
      </c>
      <c r="E313">
        <f t="shared" si="36"/>
        <v>22</v>
      </c>
      <c r="F313">
        <v>64</v>
      </c>
      <c r="G313" t="s">
        <v>18</v>
      </c>
      <c r="H313" t="s">
        <v>90</v>
      </c>
      <c r="I313" t="s">
        <v>39</v>
      </c>
      <c r="J313" t="s">
        <v>21</v>
      </c>
      <c r="K313" t="s">
        <v>120</v>
      </c>
      <c r="L313">
        <v>262.55</v>
      </c>
      <c r="M313" t="s">
        <v>115</v>
      </c>
      <c r="N313">
        <f t="shared" si="37"/>
        <v>0</v>
      </c>
      <c r="O313" t="s">
        <v>24</v>
      </c>
      <c r="P313" t="s">
        <v>5455</v>
      </c>
      <c r="Q313">
        <v>0</v>
      </c>
      <c r="R313">
        <v>367</v>
      </c>
      <c r="S313">
        <f t="shared" si="38"/>
        <v>1.2174077757889636</v>
      </c>
      <c r="T313">
        <f t="shared" si="39"/>
        <v>0</v>
      </c>
      <c r="U313">
        <f t="shared" si="40"/>
        <v>0</v>
      </c>
      <c r="V313">
        <f t="shared" si="41"/>
        <v>0</v>
      </c>
      <c r="W313">
        <f t="shared" si="42"/>
        <v>0</v>
      </c>
      <c r="X313">
        <f t="shared" si="43"/>
        <v>0</v>
      </c>
      <c r="Y313">
        <f t="shared" si="44"/>
        <v>0</v>
      </c>
    </row>
    <row r="314" spans="1:25" x14ac:dyDescent="0.3">
      <c r="A314" t="s">
        <v>4421</v>
      </c>
      <c r="B314" t="s">
        <v>4422</v>
      </c>
      <c r="C314" s="1">
        <v>45730</v>
      </c>
      <c r="D314" s="3">
        <v>0.4349884259259259</v>
      </c>
      <c r="E314">
        <f t="shared" si="36"/>
        <v>10</v>
      </c>
      <c r="F314">
        <v>54</v>
      </c>
      <c r="G314" t="s">
        <v>18</v>
      </c>
      <c r="H314" t="s">
        <v>232</v>
      </c>
      <c r="I314" t="s">
        <v>39</v>
      </c>
      <c r="J314" t="s">
        <v>127</v>
      </c>
      <c r="K314" t="s">
        <v>62</v>
      </c>
      <c r="L314">
        <v>262.42</v>
      </c>
      <c r="M314" t="s">
        <v>115</v>
      </c>
      <c r="N314">
        <f t="shared" si="37"/>
        <v>0</v>
      </c>
      <c r="O314" t="s">
        <v>51</v>
      </c>
      <c r="P314" t="s">
        <v>4423</v>
      </c>
      <c r="Q314">
        <v>0</v>
      </c>
      <c r="R314">
        <v>290</v>
      </c>
      <c r="S314">
        <f t="shared" si="38"/>
        <v>1.2156080220570717</v>
      </c>
      <c r="T314">
        <f t="shared" si="39"/>
        <v>0</v>
      </c>
      <c r="U314">
        <f t="shared" si="40"/>
        <v>0</v>
      </c>
      <c r="V314">
        <f t="shared" si="41"/>
        <v>0</v>
      </c>
      <c r="W314">
        <f t="shared" si="42"/>
        <v>0</v>
      </c>
      <c r="X314">
        <f t="shared" si="43"/>
        <v>0</v>
      </c>
      <c r="Y314">
        <f t="shared" si="44"/>
        <v>0</v>
      </c>
    </row>
    <row r="315" spans="1:25" x14ac:dyDescent="0.3">
      <c r="A315" t="s">
        <v>5087</v>
      </c>
      <c r="B315" t="s">
        <v>5088</v>
      </c>
      <c r="C315" s="1">
        <v>45799</v>
      </c>
      <c r="D315" s="3">
        <v>0.36972222222222223</v>
      </c>
      <c r="E315">
        <f t="shared" si="36"/>
        <v>8</v>
      </c>
      <c r="F315">
        <v>57</v>
      </c>
      <c r="G315" t="s">
        <v>46</v>
      </c>
      <c r="H315" t="s">
        <v>100</v>
      </c>
      <c r="I315" t="s">
        <v>119</v>
      </c>
      <c r="J315" t="s">
        <v>72</v>
      </c>
      <c r="K315" t="s">
        <v>120</v>
      </c>
      <c r="L315">
        <v>262.42</v>
      </c>
      <c r="M315" t="s">
        <v>33</v>
      </c>
      <c r="N315">
        <f t="shared" si="37"/>
        <v>0</v>
      </c>
      <c r="O315" t="s">
        <v>86</v>
      </c>
      <c r="P315" t="s">
        <v>5089</v>
      </c>
      <c r="Q315">
        <v>0</v>
      </c>
      <c r="R315">
        <v>224</v>
      </c>
      <c r="S315">
        <f t="shared" si="38"/>
        <v>1.2156080220570717</v>
      </c>
      <c r="T315">
        <f t="shared" si="39"/>
        <v>0</v>
      </c>
      <c r="U315">
        <f t="shared" si="40"/>
        <v>0</v>
      </c>
      <c r="V315">
        <f t="shared" si="41"/>
        <v>1</v>
      </c>
      <c r="W315">
        <f t="shared" si="42"/>
        <v>1</v>
      </c>
      <c r="X315">
        <f t="shared" si="43"/>
        <v>0</v>
      </c>
      <c r="Y315">
        <f t="shared" si="44"/>
        <v>0</v>
      </c>
    </row>
    <row r="316" spans="1:25" x14ac:dyDescent="0.3">
      <c r="A316" t="s">
        <v>5879</v>
      </c>
      <c r="B316" t="s">
        <v>5880</v>
      </c>
      <c r="C316" s="1">
        <v>45817</v>
      </c>
      <c r="D316" s="3">
        <v>0.96012731481481484</v>
      </c>
      <c r="E316">
        <f t="shared" si="36"/>
        <v>23</v>
      </c>
      <c r="F316">
        <v>28</v>
      </c>
      <c r="G316" t="s">
        <v>6479</v>
      </c>
      <c r="H316" t="s">
        <v>84</v>
      </c>
      <c r="I316" t="s">
        <v>119</v>
      </c>
      <c r="J316" t="s">
        <v>40</v>
      </c>
      <c r="K316" t="s">
        <v>95</v>
      </c>
      <c r="L316">
        <v>262.37</v>
      </c>
      <c r="M316" t="s">
        <v>23</v>
      </c>
      <c r="N316">
        <f t="shared" si="37"/>
        <v>0</v>
      </c>
      <c r="O316" t="s">
        <v>51</v>
      </c>
      <c r="P316" t="s">
        <v>5881</v>
      </c>
      <c r="Q316">
        <v>0</v>
      </c>
      <c r="R316">
        <v>106</v>
      </c>
      <c r="S316">
        <f t="shared" si="38"/>
        <v>1.2149158090832668</v>
      </c>
      <c r="T316">
        <f t="shared" si="39"/>
        <v>0</v>
      </c>
      <c r="U316">
        <f t="shared" si="40"/>
        <v>0</v>
      </c>
      <c r="V316">
        <f t="shared" si="41"/>
        <v>1</v>
      </c>
      <c r="W316">
        <f t="shared" si="42"/>
        <v>1</v>
      </c>
      <c r="X316">
        <f t="shared" si="43"/>
        <v>0</v>
      </c>
      <c r="Y316">
        <f t="shared" si="44"/>
        <v>0</v>
      </c>
    </row>
    <row r="317" spans="1:25" x14ac:dyDescent="0.3">
      <c r="A317" t="s">
        <v>6380</v>
      </c>
      <c r="B317" t="s">
        <v>6381</v>
      </c>
      <c r="C317" s="1">
        <v>45785</v>
      </c>
      <c r="D317" s="3">
        <v>0.95048611111111114</v>
      </c>
      <c r="E317">
        <f t="shared" si="36"/>
        <v>22</v>
      </c>
      <c r="F317">
        <v>51</v>
      </c>
      <c r="G317" t="s">
        <v>46</v>
      </c>
      <c r="H317" t="s">
        <v>70</v>
      </c>
      <c r="I317" t="s">
        <v>48</v>
      </c>
      <c r="J317" t="s">
        <v>56</v>
      </c>
      <c r="K317" t="s">
        <v>32</v>
      </c>
      <c r="L317">
        <v>262.35000000000002</v>
      </c>
      <c r="M317" t="s">
        <v>33</v>
      </c>
      <c r="N317">
        <f t="shared" si="37"/>
        <v>0</v>
      </c>
      <c r="O317" t="s">
        <v>86</v>
      </c>
      <c r="P317" t="s">
        <v>6382</v>
      </c>
      <c r="Q317">
        <v>0</v>
      </c>
      <c r="R317">
        <v>229</v>
      </c>
      <c r="S317">
        <f t="shared" si="38"/>
        <v>1.2146389238937452</v>
      </c>
      <c r="T317">
        <f t="shared" si="39"/>
        <v>0</v>
      </c>
      <c r="U317">
        <f t="shared" si="40"/>
        <v>0</v>
      </c>
      <c r="V317">
        <f t="shared" si="41"/>
        <v>1</v>
      </c>
      <c r="W317">
        <f t="shared" si="42"/>
        <v>1</v>
      </c>
      <c r="X317">
        <f t="shared" si="43"/>
        <v>0</v>
      </c>
      <c r="Y317">
        <f t="shared" si="44"/>
        <v>0</v>
      </c>
    </row>
    <row r="318" spans="1:25" x14ac:dyDescent="0.3">
      <c r="A318" t="s">
        <v>3173</v>
      </c>
      <c r="B318" t="s">
        <v>3174</v>
      </c>
      <c r="C318" s="1">
        <v>45849</v>
      </c>
      <c r="D318" s="3">
        <v>0.84120370370370368</v>
      </c>
      <c r="E318">
        <f t="shared" si="36"/>
        <v>20</v>
      </c>
      <c r="F318">
        <v>28</v>
      </c>
      <c r="G318" t="s">
        <v>28</v>
      </c>
      <c r="H318" t="s">
        <v>29</v>
      </c>
      <c r="I318" t="s">
        <v>85</v>
      </c>
      <c r="J318" t="s">
        <v>94</v>
      </c>
      <c r="K318" t="s">
        <v>120</v>
      </c>
      <c r="L318">
        <v>262.14</v>
      </c>
      <c r="M318" t="s">
        <v>23</v>
      </c>
      <c r="N318">
        <f t="shared" si="37"/>
        <v>0</v>
      </c>
      <c r="O318" t="s">
        <v>24</v>
      </c>
      <c r="P318" t="s">
        <v>3175</v>
      </c>
      <c r="Q318">
        <v>0</v>
      </c>
      <c r="R318">
        <v>139</v>
      </c>
      <c r="S318">
        <f t="shared" si="38"/>
        <v>1.2117316294037654</v>
      </c>
      <c r="T318">
        <f t="shared" si="39"/>
        <v>0</v>
      </c>
      <c r="U318">
        <f t="shared" si="40"/>
        <v>0</v>
      </c>
      <c r="V318">
        <f t="shared" si="41"/>
        <v>1</v>
      </c>
      <c r="W318">
        <f t="shared" si="42"/>
        <v>1</v>
      </c>
      <c r="X318">
        <f t="shared" si="43"/>
        <v>0</v>
      </c>
      <c r="Y318">
        <f t="shared" si="44"/>
        <v>0</v>
      </c>
    </row>
    <row r="319" spans="1:25" x14ac:dyDescent="0.3">
      <c r="A319" t="s">
        <v>671</v>
      </c>
      <c r="B319" t="s">
        <v>672</v>
      </c>
      <c r="C319" s="1">
        <v>45870</v>
      </c>
      <c r="D319" s="3">
        <v>0.97349537037037037</v>
      </c>
      <c r="E319">
        <f t="shared" si="36"/>
        <v>23</v>
      </c>
      <c r="F319">
        <v>49</v>
      </c>
      <c r="G319" t="s">
        <v>60</v>
      </c>
      <c r="H319" t="s">
        <v>239</v>
      </c>
      <c r="I319" t="s">
        <v>48</v>
      </c>
      <c r="J319" t="s">
        <v>76</v>
      </c>
      <c r="K319" t="s">
        <v>22</v>
      </c>
      <c r="L319">
        <v>261.89</v>
      </c>
      <c r="M319" t="s">
        <v>33</v>
      </c>
      <c r="N319">
        <f t="shared" si="37"/>
        <v>0</v>
      </c>
      <c r="O319" t="s">
        <v>24</v>
      </c>
      <c r="P319" t="s">
        <v>673</v>
      </c>
      <c r="Q319">
        <v>0</v>
      </c>
      <c r="R319">
        <v>299</v>
      </c>
      <c r="S319">
        <f t="shared" si="38"/>
        <v>1.2082705645347422</v>
      </c>
      <c r="T319">
        <f t="shared" si="39"/>
        <v>0</v>
      </c>
      <c r="U319">
        <f t="shared" si="40"/>
        <v>0</v>
      </c>
      <c r="V319">
        <f t="shared" si="41"/>
        <v>0</v>
      </c>
      <c r="W319">
        <f t="shared" si="42"/>
        <v>0</v>
      </c>
      <c r="X319">
        <f t="shared" si="43"/>
        <v>0</v>
      </c>
      <c r="Y319">
        <f t="shared" si="44"/>
        <v>0</v>
      </c>
    </row>
    <row r="320" spans="1:25" x14ac:dyDescent="0.3">
      <c r="A320" t="s">
        <v>2981</v>
      </c>
      <c r="B320" t="s">
        <v>2982</v>
      </c>
      <c r="C320" s="1">
        <v>45702</v>
      </c>
      <c r="D320" s="3">
        <v>0.92034722222222221</v>
      </c>
      <c r="E320">
        <f t="shared" si="36"/>
        <v>22</v>
      </c>
      <c r="F320">
        <v>48</v>
      </c>
      <c r="G320" t="s">
        <v>46</v>
      </c>
      <c r="H320" t="s">
        <v>131</v>
      </c>
      <c r="I320" t="s">
        <v>39</v>
      </c>
      <c r="J320" t="s">
        <v>49</v>
      </c>
      <c r="K320" t="s">
        <v>101</v>
      </c>
      <c r="L320">
        <v>261.89</v>
      </c>
      <c r="M320" t="s">
        <v>115</v>
      </c>
      <c r="N320">
        <f t="shared" si="37"/>
        <v>0</v>
      </c>
      <c r="O320" t="s">
        <v>34</v>
      </c>
      <c r="P320" t="s">
        <v>2983</v>
      </c>
      <c r="Q320">
        <v>0</v>
      </c>
      <c r="R320">
        <v>194</v>
      </c>
      <c r="S320">
        <f t="shared" si="38"/>
        <v>1.2082705645347422</v>
      </c>
      <c r="T320">
        <f t="shared" si="39"/>
        <v>0</v>
      </c>
      <c r="U320">
        <f t="shared" si="40"/>
        <v>0</v>
      </c>
      <c r="V320">
        <f t="shared" si="41"/>
        <v>1</v>
      </c>
      <c r="W320">
        <f t="shared" si="42"/>
        <v>1</v>
      </c>
      <c r="X320">
        <f t="shared" si="43"/>
        <v>0</v>
      </c>
      <c r="Y320">
        <f t="shared" si="44"/>
        <v>0</v>
      </c>
    </row>
    <row r="321" spans="1:25" x14ac:dyDescent="0.3">
      <c r="A321" t="s">
        <v>5357</v>
      </c>
      <c r="B321" t="s">
        <v>5358</v>
      </c>
      <c r="C321" s="1">
        <v>45853</v>
      </c>
      <c r="D321" s="3">
        <v>0.23292824074074073</v>
      </c>
      <c r="E321">
        <f t="shared" si="36"/>
        <v>5</v>
      </c>
      <c r="F321">
        <v>46</v>
      </c>
      <c r="G321" t="s">
        <v>46</v>
      </c>
      <c r="H321" t="s">
        <v>70</v>
      </c>
      <c r="I321" t="s">
        <v>66</v>
      </c>
      <c r="J321" t="s">
        <v>56</v>
      </c>
      <c r="K321" t="s">
        <v>101</v>
      </c>
      <c r="L321">
        <v>261.8</v>
      </c>
      <c r="M321" t="s">
        <v>6479</v>
      </c>
      <c r="N321">
        <f t="shared" si="37"/>
        <v>1</v>
      </c>
      <c r="O321" t="s">
        <v>34</v>
      </c>
      <c r="P321" t="s">
        <v>5359</v>
      </c>
      <c r="Q321">
        <v>0</v>
      </c>
      <c r="R321">
        <v>287</v>
      </c>
      <c r="S321">
        <f t="shared" si="38"/>
        <v>1.2070245811818943</v>
      </c>
      <c r="T321">
        <f t="shared" si="39"/>
        <v>0</v>
      </c>
      <c r="U321">
        <f t="shared" si="40"/>
        <v>1</v>
      </c>
      <c r="V321">
        <f t="shared" si="41"/>
        <v>0</v>
      </c>
      <c r="W321">
        <f t="shared" si="42"/>
        <v>4</v>
      </c>
      <c r="X321">
        <f t="shared" si="43"/>
        <v>0</v>
      </c>
      <c r="Y321">
        <f t="shared" si="44"/>
        <v>1</v>
      </c>
    </row>
    <row r="322" spans="1:25" x14ac:dyDescent="0.3">
      <c r="A322" t="s">
        <v>830</v>
      </c>
      <c r="B322" t="s">
        <v>831</v>
      </c>
      <c r="C322" s="1">
        <v>45806</v>
      </c>
      <c r="D322" s="3">
        <v>0.55829861111111112</v>
      </c>
      <c r="E322">
        <f t="shared" ref="E322:E385" si="45">HOUR(D322)</f>
        <v>13</v>
      </c>
      <c r="F322">
        <v>50</v>
      </c>
      <c r="G322" t="s">
        <v>18</v>
      </c>
      <c r="H322" t="s">
        <v>312</v>
      </c>
      <c r="I322" t="s">
        <v>105</v>
      </c>
      <c r="J322" t="s">
        <v>31</v>
      </c>
      <c r="K322" t="s">
        <v>41</v>
      </c>
      <c r="L322">
        <v>261.68</v>
      </c>
      <c r="M322" t="s">
        <v>23</v>
      </c>
      <c r="N322">
        <f t="shared" ref="N322:N385" si="46">IF(M322="Unknown",1,0)</f>
        <v>0</v>
      </c>
      <c r="O322" t="s">
        <v>51</v>
      </c>
      <c r="P322" t="s">
        <v>832</v>
      </c>
      <c r="Q322">
        <v>0</v>
      </c>
      <c r="R322">
        <v>385</v>
      </c>
      <c r="S322">
        <f t="shared" ref="S322:S385" si="47">(L322-$P$2137)/$P$2138</f>
        <v>1.2053632700447632</v>
      </c>
      <c r="T322">
        <f t="shared" ref="T322:T385" si="48">IF(ABS(Z322)&gt;3,1,0)</f>
        <v>0</v>
      </c>
      <c r="U322">
        <f t="shared" ref="U322:U385" si="49">IF(AND(E322&gt;=0,E322&lt;=5),1,0)</f>
        <v>0</v>
      </c>
      <c r="V322">
        <f t="shared" ref="V322:V385" si="50">IF(R322&lt;AVERAGE($R:$R),1,0)</f>
        <v>0</v>
      </c>
      <c r="W322">
        <f t="shared" ref="W322:W385" si="51">T322*3+U322*2+V322*1+N322*2</f>
        <v>0</v>
      </c>
      <c r="X322">
        <f t="shared" ref="X322:X385" si="52">IF(W322&gt;=5,1,0)</f>
        <v>0</v>
      </c>
      <c r="Y322">
        <f t="shared" ref="Y322:Y385" si="53">IF(M322="Unknown",1,0)</f>
        <v>0</v>
      </c>
    </row>
    <row r="323" spans="1:25" x14ac:dyDescent="0.3">
      <c r="A323" t="s">
        <v>5309</v>
      </c>
      <c r="B323" t="s">
        <v>5310</v>
      </c>
      <c r="C323" s="1">
        <v>45876</v>
      </c>
      <c r="D323" s="3">
        <v>0.57804398148148151</v>
      </c>
      <c r="E323">
        <f t="shared" si="45"/>
        <v>13</v>
      </c>
      <c r="F323">
        <v>37</v>
      </c>
      <c r="G323" t="s">
        <v>46</v>
      </c>
      <c r="H323" t="s">
        <v>84</v>
      </c>
      <c r="I323" t="s">
        <v>71</v>
      </c>
      <c r="J323" t="s">
        <v>76</v>
      </c>
      <c r="K323" t="s">
        <v>41</v>
      </c>
      <c r="L323">
        <v>261.66000000000003</v>
      </c>
      <c r="M323" t="s">
        <v>23</v>
      </c>
      <c r="N323">
        <f t="shared" si="46"/>
        <v>0</v>
      </c>
      <c r="O323" t="s">
        <v>51</v>
      </c>
      <c r="P323" t="s">
        <v>5311</v>
      </c>
      <c r="Q323">
        <v>0</v>
      </c>
      <c r="R323">
        <v>60</v>
      </c>
      <c r="S323">
        <f t="shared" si="47"/>
        <v>1.2050863848552416</v>
      </c>
      <c r="T323">
        <f t="shared" si="48"/>
        <v>0</v>
      </c>
      <c r="U323">
        <f t="shared" si="49"/>
        <v>0</v>
      </c>
      <c r="V323">
        <f t="shared" si="50"/>
        <v>1</v>
      </c>
      <c r="W323">
        <f t="shared" si="51"/>
        <v>1</v>
      </c>
      <c r="X323">
        <f t="shared" si="52"/>
        <v>0</v>
      </c>
      <c r="Y323">
        <f t="shared" si="53"/>
        <v>0</v>
      </c>
    </row>
    <row r="324" spans="1:25" x14ac:dyDescent="0.3">
      <c r="A324" t="s">
        <v>4139</v>
      </c>
      <c r="B324" t="s">
        <v>4140</v>
      </c>
      <c r="C324" s="1">
        <v>45729</v>
      </c>
      <c r="D324" s="3">
        <v>6.6157407407407401E-2</v>
      </c>
      <c r="E324">
        <f t="shared" si="45"/>
        <v>1</v>
      </c>
      <c r="F324">
        <v>62</v>
      </c>
      <c r="G324" t="s">
        <v>18</v>
      </c>
      <c r="H324" t="s">
        <v>55</v>
      </c>
      <c r="I324" t="s">
        <v>71</v>
      </c>
      <c r="J324" t="s">
        <v>56</v>
      </c>
      <c r="K324" t="s">
        <v>62</v>
      </c>
      <c r="L324">
        <v>261.57</v>
      </c>
      <c r="M324" t="s">
        <v>42</v>
      </c>
      <c r="N324">
        <f t="shared" si="46"/>
        <v>0</v>
      </c>
      <c r="O324" t="s">
        <v>86</v>
      </c>
      <c r="P324" t="s">
        <v>4141</v>
      </c>
      <c r="Q324">
        <v>0</v>
      </c>
      <c r="R324">
        <v>91</v>
      </c>
      <c r="S324">
        <f t="shared" si="47"/>
        <v>1.2038404015023927</v>
      </c>
      <c r="T324">
        <f t="shared" si="48"/>
        <v>0</v>
      </c>
      <c r="U324">
        <f t="shared" si="49"/>
        <v>1</v>
      </c>
      <c r="V324">
        <f t="shared" si="50"/>
        <v>1</v>
      </c>
      <c r="W324">
        <f t="shared" si="51"/>
        <v>3</v>
      </c>
      <c r="X324">
        <f t="shared" si="52"/>
        <v>0</v>
      </c>
      <c r="Y324">
        <f t="shared" si="53"/>
        <v>0</v>
      </c>
    </row>
    <row r="325" spans="1:25" x14ac:dyDescent="0.3">
      <c r="A325" s="2" t="s">
        <v>1373</v>
      </c>
      <c r="B325" t="s">
        <v>1374</v>
      </c>
      <c r="C325" s="1">
        <v>45841</v>
      </c>
      <c r="D325" s="3">
        <v>0.46961805555555558</v>
      </c>
      <c r="E325">
        <f t="shared" si="45"/>
        <v>11</v>
      </c>
      <c r="F325">
        <v>64</v>
      </c>
      <c r="G325" t="s">
        <v>18</v>
      </c>
      <c r="H325" t="s">
        <v>167</v>
      </c>
      <c r="I325" t="s">
        <v>66</v>
      </c>
      <c r="J325" t="s">
        <v>49</v>
      </c>
      <c r="K325" t="s">
        <v>22</v>
      </c>
      <c r="L325">
        <v>261.5</v>
      </c>
      <c r="M325" t="s">
        <v>23</v>
      </c>
      <c r="N325">
        <f t="shared" si="46"/>
        <v>0</v>
      </c>
      <c r="O325" t="s">
        <v>51</v>
      </c>
      <c r="P325" t="s">
        <v>1375</v>
      </c>
      <c r="Q325">
        <v>0</v>
      </c>
      <c r="R325">
        <v>77</v>
      </c>
      <c r="S325">
        <f t="shared" si="47"/>
        <v>1.2028713033390663</v>
      </c>
      <c r="T325">
        <f t="shared" si="48"/>
        <v>0</v>
      </c>
      <c r="U325">
        <f t="shared" si="49"/>
        <v>0</v>
      </c>
      <c r="V325">
        <f t="shared" si="50"/>
        <v>1</v>
      </c>
      <c r="W325">
        <f t="shared" si="51"/>
        <v>1</v>
      </c>
      <c r="X325">
        <f t="shared" si="52"/>
        <v>0</v>
      </c>
      <c r="Y325">
        <f t="shared" si="53"/>
        <v>0</v>
      </c>
    </row>
    <row r="326" spans="1:25" x14ac:dyDescent="0.3">
      <c r="A326" t="s">
        <v>5792</v>
      </c>
      <c r="B326" t="s">
        <v>5793</v>
      </c>
      <c r="C326" s="1">
        <v>45822</v>
      </c>
      <c r="D326" s="3">
        <v>0.8189467592592593</v>
      </c>
      <c r="E326">
        <f t="shared" si="45"/>
        <v>19</v>
      </c>
      <c r="F326">
        <v>39</v>
      </c>
      <c r="G326" t="s">
        <v>46</v>
      </c>
      <c r="H326" t="s">
        <v>61</v>
      </c>
      <c r="I326" t="s">
        <v>71</v>
      </c>
      <c r="J326" t="s">
        <v>21</v>
      </c>
      <c r="K326" t="s">
        <v>168</v>
      </c>
      <c r="L326">
        <v>261.47000000000003</v>
      </c>
      <c r="M326" t="s">
        <v>42</v>
      </c>
      <c r="N326">
        <f t="shared" si="46"/>
        <v>0</v>
      </c>
      <c r="O326" t="s">
        <v>24</v>
      </c>
      <c r="P326" t="s">
        <v>5794</v>
      </c>
      <c r="Q326">
        <v>0</v>
      </c>
      <c r="R326">
        <v>133</v>
      </c>
      <c r="S326">
        <f t="shared" si="47"/>
        <v>1.2024559755547839</v>
      </c>
      <c r="T326">
        <f t="shared" si="48"/>
        <v>0</v>
      </c>
      <c r="U326">
        <f t="shared" si="49"/>
        <v>0</v>
      </c>
      <c r="V326">
        <f t="shared" si="50"/>
        <v>1</v>
      </c>
      <c r="W326">
        <f t="shared" si="51"/>
        <v>1</v>
      </c>
      <c r="X326">
        <f t="shared" si="52"/>
        <v>0</v>
      </c>
      <c r="Y326">
        <f t="shared" si="53"/>
        <v>0</v>
      </c>
    </row>
    <row r="327" spans="1:25" x14ac:dyDescent="0.3">
      <c r="A327" t="s">
        <v>2993</v>
      </c>
      <c r="B327" t="s">
        <v>2994</v>
      </c>
      <c r="C327" s="1">
        <v>45854</v>
      </c>
      <c r="D327" s="3">
        <v>0.84355324074074078</v>
      </c>
      <c r="E327">
        <f t="shared" si="45"/>
        <v>20</v>
      </c>
      <c r="F327">
        <v>48</v>
      </c>
      <c r="G327" t="s">
        <v>60</v>
      </c>
      <c r="H327" t="s">
        <v>239</v>
      </c>
      <c r="I327" t="s">
        <v>110</v>
      </c>
      <c r="J327" t="s">
        <v>132</v>
      </c>
      <c r="K327" t="s">
        <v>101</v>
      </c>
      <c r="L327">
        <v>261.33</v>
      </c>
      <c r="M327" t="s">
        <v>23</v>
      </c>
      <c r="N327">
        <f t="shared" si="46"/>
        <v>0</v>
      </c>
      <c r="O327" t="s">
        <v>34</v>
      </c>
      <c r="P327" t="s">
        <v>2995</v>
      </c>
      <c r="Q327">
        <v>0</v>
      </c>
      <c r="R327">
        <v>69</v>
      </c>
      <c r="S327">
        <f t="shared" si="47"/>
        <v>1.2005177792281305</v>
      </c>
      <c r="T327">
        <f t="shared" si="48"/>
        <v>0</v>
      </c>
      <c r="U327">
        <f t="shared" si="49"/>
        <v>0</v>
      </c>
      <c r="V327">
        <f t="shared" si="50"/>
        <v>1</v>
      </c>
      <c r="W327">
        <f t="shared" si="51"/>
        <v>1</v>
      </c>
      <c r="X327">
        <f t="shared" si="52"/>
        <v>0</v>
      </c>
      <c r="Y327">
        <f t="shared" si="53"/>
        <v>0</v>
      </c>
    </row>
    <row r="328" spans="1:25" x14ac:dyDescent="0.3">
      <c r="A328" t="s">
        <v>4631</v>
      </c>
      <c r="B328" t="s">
        <v>4632</v>
      </c>
      <c r="C328" s="1">
        <v>45757</v>
      </c>
      <c r="D328" s="3">
        <v>0.10119212962962963</v>
      </c>
      <c r="E328">
        <f t="shared" si="45"/>
        <v>2</v>
      </c>
      <c r="F328">
        <v>20</v>
      </c>
      <c r="G328" t="s">
        <v>28</v>
      </c>
      <c r="H328" t="s">
        <v>100</v>
      </c>
      <c r="I328" t="s">
        <v>48</v>
      </c>
      <c r="J328" t="s">
        <v>76</v>
      </c>
      <c r="K328" t="s">
        <v>95</v>
      </c>
      <c r="L328">
        <v>261.23</v>
      </c>
      <c r="M328" t="s">
        <v>115</v>
      </c>
      <c r="N328">
        <f t="shared" si="46"/>
        <v>0</v>
      </c>
      <c r="O328" t="s">
        <v>86</v>
      </c>
      <c r="P328" t="s">
        <v>4633</v>
      </c>
      <c r="Q328">
        <v>0</v>
      </c>
      <c r="R328">
        <v>138</v>
      </c>
      <c r="S328">
        <f t="shared" si="47"/>
        <v>1.1991333532805217</v>
      </c>
      <c r="T328">
        <f t="shared" si="48"/>
        <v>0</v>
      </c>
      <c r="U328">
        <f t="shared" si="49"/>
        <v>1</v>
      </c>
      <c r="V328">
        <f t="shared" si="50"/>
        <v>1</v>
      </c>
      <c r="W328">
        <f t="shared" si="51"/>
        <v>3</v>
      </c>
      <c r="X328">
        <f t="shared" si="52"/>
        <v>0</v>
      </c>
      <c r="Y328">
        <f t="shared" si="53"/>
        <v>0</v>
      </c>
    </row>
    <row r="329" spans="1:25" x14ac:dyDescent="0.3">
      <c r="A329" t="s">
        <v>4628</v>
      </c>
      <c r="B329" t="s">
        <v>4629</v>
      </c>
      <c r="C329" s="1">
        <v>45843</v>
      </c>
      <c r="D329" s="3">
        <v>0.34395833333333331</v>
      </c>
      <c r="E329">
        <f t="shared" si="45"/>
        <v>8</v>
      </c>
      <c r="F329">
        <v>51</v>
      </c>
      <c r="G329" t="s">
        <v>18</v>
      </c>
      <c r="H329" t="s">
        <v>47</v>
      </c>
      <c r="I329" t="s">
        <v>85</v>
      </c>
      <c r="J329" t="s">
        <v>40</v>
      </c>
      <c r="K329" t="s">
        <v>62</v>
      </c>
      <c r="L329">
        <v>261.08999999999997</v>
      </c>
      <c r="M329" t="s">
        <v>42</v>
      </c>
      <c r="N329">
        <f t="shared" si="46"/>
        <v>0</v>
      </c>
      <c r="O329" t="s">
        <v>34</v>
      </c>
      <c r="P329" t="s">
        <v>4630</v>
      </c>
      <c r="Q329">
        <v>0</v>
      </c>
      <c r="R329">
        <v>320</v>
      </c>
      <c r="S329">
        <f t="shared" si="47"/>
        <v>1.1971951569538681</v>
      </c>
      <c r="T329">
        <f t="shared" si="48"/>
        <v>0</v>
      </c>
      <c r="U329">
        <f t="shared" si="49"/>
        <v>0</v>
      </c>
      <c r="V329">
        <f t="shared" si="50"/>
        <v>0</v>
      </c>
      <c r="W329">
        <f t="shared" si="51"/>
        <v>0</v>
      </c>
      <c r="X329">
        <f t="shared" si="52"/>
        <v>0</v>
      </c>
      <c r="Y329">
        <f t="shared" si="53"/>
        <v>0</v>
      </c>
    </row>
    <row r="330" spans="1:25" x14ac:dyDescent="0.3">
      <c r="A330" t="s">
        <v>4280</v>
      </c>
      <c r="B330" t="s">
        <v>4281</v>
      </c>
      <c r="C330" s="1">
        <v>45796</v>
      </c>
      <c r="D330" s="3">
        <v>0.19209490740740739</v>
      </c>
      <c r="E330">
        <f t="shared" si="45"/>
        <v>4</v>
      </c>
      <c r="F330">
        <v>63</v>
      </c>
      <c r="G330" t="s">
        <v>46</v>
      </c>
      <c r="H330" t="s">
        <v>189</v>
      </c>
      <c r="I330" t="s">
        <v>39</v>
      </c>
      <c r="J330" t="s">
        <v>72</v>
      </c>
      <c r="K330" t="s">
        <v>168</v>
      </c>
      <c r="L330">
        <v>260.91000000000003</v>
      </c>
      <c r="M330" t="s">
        <v>115</v>
      </c>
      <c r="N330">
        <f t="shared" si="46"/>
        <v>0</v>
      </c>
      <c r="O330" t="s">
        <v>51</v>
      </c>
      <c r="P330" t="s">
        <v>4282</v>
      </c>
      <c r="Q330">
        <v>0</v>
      </c>
      <c r="R330">
        <v>429</v>
      </c>
      <c r="S330">
        <f t="shared" si="47"/>
        <v>1.1947031902481722</v>
      </c>
      <c r="T330">
        <f t="shared" si="48"/>
        <v>0</v>
      </c>
      <c r="U330">
        <f t="shared" si="49"/>
        <v>1</v>
      </c>
      <c r="V330">
        <f t="shared" si="50"/>
        <v>0</v>
      </c>
      <c r="W330">
        <f t="shared" si="51"/>
        <v>2</v>
      </c>
      <c r="X330">
        <f t="shared" si="52"/>
        <v>0</v>
      </c>
      <c r="Y330">
        <f t="shared" si="53"/>
        <v>0</v>
      </c>
    </row>
    <row r="331" spans="1:25" x14ac:dyDescent="0.3">
      <c r="A331" t="s">
        <v>1445</v>
      </c>
      <c r="B331" t="s">
        <v>1446</v>
      </c>
      <c r="C331" s="1">
        <v>45743</v>
      </c>
      <c r="D331" s="3">
        <v>0.57188657407407406</v>
      </c>
      <c r="E331">
        <f t="shared" si="45"/>
        <v>13</v>
      </c>
      <c r="F331">
        <v>57</v>
      </c>
      <c r="G331" t="s">
        <v>99</v>
      </c>
      <c r="H331" t="s">
        <v>90</v>
      </c>
      <c r="I331" t="s">
        <v>48</v>
      </c>
      <c r="J331" t="s">
        <v>72</v>
      </c>
      <c r="K331" t="s">
        <v>62</v>
      </c>
      <c r="L331">
        <v>260.7</v>
      </c>
      <c r="M331" t="s">
        <v>23</v>
      </c>
      <c r="N331">
        <f t="shared" si="46"/>
        <v>0</v>
      </c>
      <c r="O331" t="s">
        <v>86</v>
      </c>
      <c r="P331" t="s">
        <v>1447</v>
      </c>
      <c r="Q331">
        <v>0</v>
      </c>
      <c r="R331">
        <v>464</v>
      </c>
      <c r="S331">
        <f t="shared" si="47"/>
        <v>1.1917958957581922</v>
      </c>
      <c r="T331">
        <f t="shared" si="48"/>
        <v>0</v>
      </c>
      <c r="U331">
        <f t="shared" si="49"/>
        <v>0</v>
      </c>
      <c r="V331">
        <f t="shared" si="50"/>
        <v>0</v>
      </c>
      <c r="W331">
        <f t="shared" si="51"/>
        <v>0</v>
      </c>
      <c r="X331">
        <f t="shared" si="52"/>
        <v>0</v>
      </c>
      <c r="Y331">
        <f t="shared" si="53"/>
        <v>0</v>
      </c>
    </row>
    <row r="332" spans="1:25" x14ac:dyDescent="0.3">
      <c r="A332" t="s">
        <v>2810</v>
      </c>
      <c r="B332" t="s">
        <v>2811</v>
      </c>
      <c r="C332" s="1">
        <v>45848</v>
      </c>
      <c r="D332" s="3">
        <v>0.28657407407407409</v>
      </c>
      <c r="E332">
        <f t="shared" si="45"/>
        <v>6</v>
      </c>
      <c r="F332">
        <v>60</v>
      </c>
      <c r="G332" t="s">
        <v>18</v>
      </c>
      <c r="H332" t="s">
        <v>175</v>
      </c>
      <c r="I332" t="s">
        <v>110</v>
      </c>
      <c r="J332" t="s">
        <v>76</v>
      </c>
      <c r="K332" t="s">
        <v>120</v>
      </c>
      <c r="L332">
        <v>260.62</v>
      </c>
      <c r="M332" t="s">
        <v>6479</v>
      </c>
      <c r="N332">
        <f t="shared" si="46"/>
        <v>1</v>
      </c>
      <c r="O332" t="s">
        <v>24</v>
      </c>
      <c r="P332" t="s">
        <v>2812</v>
      </c>
      <c r="Q332">
        <v>1</v>
      </c>
      <c r="R332">
        <v>454</v>
      </c>
      <c r="S332">
        <f t="shared" si="47"/>
        <v>1.1906883550001051</v>
      </c>
      <c r="T332">
        <f t="shared" si="48"/>
        <v>0</v>
      </c>
      <c r="U332">
        <f t="shared" si="49"/>
        <v>0</v>
      </c>
      <c r="V332">
        <f t="shared" si="50"/>
        <v>0</v>
      </c>
      <c r="W332">
        <f t="shared" si="51"/>
        <v>2</v>
      </c>
      <c r="X332">
        <f t="shared" si="52"/>
        <v>0</v>
      </c>
      <c r="Y332">
        <f t="shared" si="53"/>
        <v>1</v>
      </c>
    </row>
    <row r="333" spans="1:25" x14ac:dyDescent="0.3">
      <c r="A333" t="s">
        <v>1844</v>
      </c>
      <c r="B333" t="s">
        <v>1845</v>
      </c>
      <c r="C333" s="1">
        <v>45858</v>
      </c>
      <c r="D333" s="3">
        <v>0.45368055555555553</v>
      </c>
      <c r="E333">
        <f t="shared" si="45"/>
        <v>10</v>
      </c>
      <c r="F333">
        <v>48</v>
      </c>
      <c r="G333" t="s">
        <v>46</v>
      </c>
      <c r="H333" t="s">
        <v>55</v>
      </c>
      <c r="I333" t="s">
        <v>110</v>
      </c>
      <c r="J333" t="s">
        <v>49</v>
      </c>
      <c r="K333" t="s">
        <v>168</v>
      </c>
      <c r="L333">
        <v>260.61</v>
      </c>
      <c r="M333" t="s">
        <v>42</v>
      </c>
      <c r="N333">
        <f t="shared" si="46"/>
        <v>0</v>
      </c>
      <c r="O333" t="s">
        <v>86</v>
      </c>
      <c r="P333" t="s">
        <v>1846</v>
      </c>
      <c r="Q333">
        <v>0</v>
      </c>
      <c r="R333">
        <v>382</v>
      </c>
      <c r="S333">
        <f t="shared" si="47"/>
        <v>1.1905499124053442</v>
      </c>
      <c r="T333">
        <f t="shared" si="48"/>
        <v>0</v>
      </c>
      <c r="U333">
        <f t="shared" si="49"/>
        <v>0</v>
      </c>
      <c r="V333">
        <f t="shared" si="50"/>
        <v>0</v>
      </c>
      <c r="W333">
        <f t="shared" si="51"/>
        <v>0</v>
      </c>
      <c r="X333">
        <f t="shared" si="52"/>
        <v>0</v>
      </c>
      <c r="Y333">
        <f t="shared" si="53"/>
        <v>0</v>
      </c>
    </row>
    <row r="334" spans="1:25" x14ac:dyDescent="0.3">
      <c r="A334" t="s">
        <v>2447</v>
      </c>
      <c r="B334" t="s">
        <v>2448</v>
      </c>
      <c r="C334" s="1">
        <v>45809</v>
      </c>
      <c r="D334" s="3">
        <v>0.51193287037037039</v>
      </c>
      <c r="E334">
        <f t="shared" si="45"/>
        <v>12</v>
      </c>
      <c r="F334">
        <v>20</v>
      </c>
      <c r="G334" t="s">
        <v>60</v>
      </c>
      <c r="H334" t="s">
        <v>232</v>
      </c>
      <c r="I334" t="s">
        <v>119</v>
      </c>
      <c r="J334" t="s">
        <v>31</v>
      </c>
      <c r="K334" t="s">
        <v>95</v>
      </c>
      <c r="L334">
        <v>260.49</v>
      </c>
      <c r="M334" t="s">
        <v>23</v>
      </c>
      <c r="N334">
        <f t="shared" si="46"/>
        <v>0</v>
      </c>
      <c r="O334" t="s">
        <v>34</v>
      </c>
      <c r="P334" t="s">
        <v>2449</v>
      </c>
      <c r="Q334">
        <v>0</v>
      </c>
      <c r="R334">
        <v>357</v>
      </c>
      <c r="S334">
        <f t="shared" si="47"/>
        <v>1.1888886012682132</v>
      </c>
      <c r="T334">
        <f t="shared" si="48"/>
        <v>0</v>
      </c>
      <c r="U334">
        <f t="shared" si="49"/>
        <v>0</v>
      </c>
      <c r="V334">
        <f t="shared" si="50"/>
        <v>0</v>
      </c>
      <c r="W334">
        <f t="shared" si="51"/>
        <v>0</v>
      </c>
      <c r="X334">
        <f t="shared" si="52"/>
        <v>0</v>
      </c>
      <c r="Y334">
        <f t="shared" si="53"/>
        <v>0</v>
      </c>
    </row>
    <row r="335" spans="1:25" x14ac:dyDescent="0.3">
      <c r="A335" t="s">
        <v>3422</v>
      </c>
      <c r="B335" t="s">
        <v>3423</v>
      </c>
      <c r="C335" s="1">
        <v>45808</v>
      </c>
      <c r="D335" s="3">
        <v>0.21280092592592592</v>
      </c>
      <c r="E335">
        <f t="shared" si="45"/>
        <v>5</v>
      </c>
      <c r="F335" s="4">
        <v>41</v>
      </c>
      <c r="G335" t="s">
        <v>46</v>
      </c>
      <c r="H335" t="s">
        <v>29</v>
      </c>
      <c r="I335" t="s">
        <v>20</v>
      </c>
      <c r="J335" t="s">
        <v>76</v>
      </c>
      <c r="K335" t="s">
        <v>120</v>
      </c>
      <c r="L335">
        <v>260.49</v>
      </c>
      <c r="M335" t="s">
        <v>42</v>
      </c>
      <c r="N335">
        <f t="shared" si="46"/>
        <v>0</v>
      </c>
      <c r="O335" t="s">
        <v>34</v>
      </c>
      <c r="P335" t="s">
        <v>3424</v>
      </c>
      <c r="Q335">
        <v>0</v>
      </c>
      <c r="R335">
        <v>352</v>
      </c>
      <c r="S335">
        <f t="shared" si="47"/>
        <v>1.1888886012682132</v>
      </c>
      <c r="T335">
        <f t="shared" si="48"/>
        <v>0</v>
      </c>
      <c r="U335">
        <f t="shared" si="49"/>
        <v>1</v>
      </c>
      <c r="V335">
        <f t="shared" si="50"/>
        <v>0</v>
      </c>
      <c r="W335">
        <f t="shared" si="51"/>
        <v>2</v>
      </c>
      <c r="X335">
        <f t="shared" si="52"/>
        <v>0</v>
      </c>
      <c r="Y335">
        <f t="shared" si="53"/>
        <v>0</v>
      </c>
    </row>
    <row r="336" spans="1:25" x14ac:dyDescent="0.3">
      <c r="A336" t="s">
        <v>4688</v>
      </c>
      <c r="B336" t="s">
        <v>4689</v>
      </c>
      <c r="C336" s="1">
        <v>45719</v>
      </c>
      <c r="D336" s="3">
        <v>0.78839120370370375</v>
      </c>
      <c r="E336">
        <f t="shared" si="45"/>
        <v>18</v>
      </c>
      <c r="F336">
        <v>61</v>
      </c>
      <c r="G336" t="s">
        <v>18</v>
      </c>
      <c r="H336" t="s">
        <v>84</v>
      </c>
      <c r="I336" t="s">
        <v>119</v>
      </c>
      <c r="J336" t="s">
        <v>40</v>
      </c>
      <c r="K336" t="s">
        <v>101</v>
      </c>
      <c r="L336">
        <v>260.38</v>
      </c>
      <c r="M336" t="s">
        <v>115</v>
      </c>
      <c r="N336">
        <f t="shared" si="46"/>
        <v>0</v>
      </c>
      <c r="O336" t="s">
        <v>51</v>
      </c>
      <c r="P336" t="s">
        <v>4690</v>
      </c>
      <c r="Q336">
        <v>0</v>
      </c>
      <c r="R336">
        <v>214</v>
      </c>
      <c r="S336">
        <f t="shared" si="47"/>
        <v>1.1873657327258427</v>
      </c>
      <c r="T336">
        <f t="shared" si="48"/>
        <v>0</v>
      </c>
      <c r="U336">
        <f t="shared" si="49"/>
        <v>0</v>
      </c>
      <c r="V336">
        <f t="shared" si="50"/>
        <v>1</v>
      </c>
      <c r="W336">
        <f t="shared" si="51"/>
        <v>1</v>
      </c>
      <c r="X336">
        <f t="shared" si="52"/>
        <v>0</v>
      </c>
      <c r="Y336">
        <f t="shared" si="53"/>
        <v>0</v>
      </c>
    </row>
    <row r="337" spans="1:25" x14ac:dyDescent="0.3">
      <c r="A337" t="s">
        <v>177</v>
      </c>
      <c r="B337" t="s">
        <v>178</v>
      </c>
      <c r="C337" s="1">
        <v>45810</v>
      </c>
      <c r="D337" s="3">
        <v>0.6482175925925926</v>
      </c>
      <c r="E337">
        <f t="shared" si="45"/>
        <v>15</v>
      </c>
      <c r="F337">
        <v>64</v>
      </c>
      <c r="G337" t="s">
        <v>46</v>
      </c>
      <c r="H337" t="s">
        <v>70</v>
      </c>
      <c r="I337" t="s">
        <v>20</v>
      </c>
      <c r="J337" t="s">
        <v>76</v>
      </c>
      <c r="K337" t="s">
        <v>62</v>
      </c>
      <c r="L337">
        <v>260.14</v>
      </c>
      <c r="M337" t="s">
        <v>23</v>
      </c>
      <c r="N337">
        <f t="shared" si="46"/>
        <v>0</v>
      </c>
      <c r="O337" t="s">
        <v>51</v>
      </c>
      <c r="P337" t="s">
        <v>179</v>
      </c>
      <c r="Q337">
        <v>0</v>
      </c>
      <c r="R337">
        <v>428</v>
      </c>
      <c r="S337">
        <f t="shared" si="47"/>
        <v>1.1840431104515805</v>
      </c>
      <c r="T337">
        <f t="shared" si="48"/>
        <v>0</v>
      </c>
      <c r="U337">
        <f t="shared" si="49"/>
        <v>0</v>
      </c>
      <c r="V337">
        <f t="shared" si="50"/>
        <v>0</v>
      </c>
      <c r="W337">
        <f t="shared" si="51"/>
        <v>0</v>
      </c>
      <c r="X337">
        <f t="shared" si="52"/>
        <v>0</v>
      </c>
      <c r="Y337">
        <f t="shared" si="53"/>
        <v>0</v>
      </c>
    </row>
    <row r="338" spans="1:25" x14ac:dyDescent="0.3">
      <c r="A338" t="s">
        <v>6230</v>
      </c>
      <c r="B338" t="s">
        <v>6231</v>
      </c>
      <c r="C338" s="1">
        <v>45736</v>
      </c>
      <c r="D338" s="3">
        <v>0.40687499999999999</v>
      </c>
      <c r="E338">
        <f t="shared" si="45"/>
        <v>9</v>
      </c>
      <c r="F338">
        <v>20</v>
      </c>
      <c r="G338" t="s">
        <v>60</v>
      </c>
      <c r="H338" t="s">
        <v>47</v>
      </c>
      <c r="I338" t="s">
        <v>66</v>
      </c>
      <c r="J338" t="s">
        <v>31</v>
      </c>
      <c r="K338" t="s">
        <v>120</v>
      </c>
      <c r="L338">
        <v>260</v>
      </c>
      <c r="M338" t="s">
        <v>115</v>
      </c>
      <c r="N338">
        <f t="shared" si="46"/>
        <v>0</v>
      </c>
      <c r="O338" t="s">
        <v>86</v>
      </c>
      <c r="P338" t="s">
        <v>6232</v>
      </c>
      <c r="Q338">
        <v>0</v>
      </c>
      <c r="R338">
        <v>68</v>
      </c>
      <c r="S338">
        <f t="shared" si="47"/>
        <v>1.1821049141249278</v>
      </c>
      <c r="T338">
        <f t="shared" si="48"/>
        <v>0</v>
      </c>
      <c r="U338">
        <f t="shared" si="49"/>
        <v>0</v>
      </c>
      <c r="V338">
        <f t="shared" si="50"/>
        <v>1</v>
      </c>
      <c r="W338">
        <f t="shared" si="51"/>
        <v>1</v>
      </c>
      <c r="X338">
        <f t="shared" si="52"/>
        <v>0</v>
      </c>
      <c r="Y338">
        <f t="shared" si="53"/>
        <v>0</v>
      </c>
    </row>
    <row r="339" spans="1:25" x14ac:dyDescent="0.3">
      <c r="A339" t="s">
        <v>4268</v>
      </c>
      <c r="B339" t="s">
        <v>4269</v>
      </c>
      <c r="C339" s="1">
        <v>45806</v>
      </c>
      <c r="D339" s="3">
        <v>0.89618055555555554</v>
      </c>
      <c r="E339">
        <f t="shared" si="45"/>
        <v>21</v>
      </c>
      <c r="F339">
        <v>34</v>
      </c>
      <c r="G339" t="s">
        <v>46</v>
      </c>
      <c r="H339" t="s">
        <v>189</v>
      </c>
      <c r="I339" t="s">
        <v>119</v>
      </c>
      <c r="J339" t="s">
        <v>40</v>
      </c>
      <c r="K339" t="s">
        <v>114</v>
      </c>
      <c r="L339">
        <v>259.77</v>
      </c>
      <c r="M339" t="s">
        <v>115</v>
      </c>
      <c r="N339">
        <f t="shared" si="46"/>
        <v>0</v>
      </c>
      <c r="O339" t="s">
        <v>24</v>
      </c>
      <c r="P339" t="s">
        <v>4270</v>
      </c>
      <c r="Q339">
        <v>0</v>
      </c>
      <c r="R339">
        <v>179</v>
      </c>
      <c r="S339">
        <f t="shared" si="47"/>
        <v>1.1789207344454262</v>
      </c>
      <c r="T339">
        <f t="shared" si="48"/>
        <v>0</v>
      </c>
      <c r="U339">
        <f t="shared" si="49"/>
        <v>0</v>
      </c>
      <c r="V339">
        <f t="shared" si="50"/>
        <v>1</v>
      </c>
      <c r="W339">
        <f t="shared" si="51"/>
        <v>1</v>
      </c>
      <c r="X339">
        <f t="shared" si="52"/>
        <v>0</v>
      </c>
      <c r="Y339">
        <f t="shared" si="53"/>
        <v>0</v>
      </c>
    </row>
    <row r="340" spans="1:25" x14ac:dyDescent="0.3">
      <c r="A340" t="s">
        <v>5243</v>
      </c>
      <c r="B340" t="s">
        <v>5244</v>
      </c>
      <c r="C340" s="1">
        <v>45751</v>
      </c>
      <c r="D340" s="3">
        <v>0.96159722222222221</v>
      </c>
      <c r="E340">
        <f t="shared" si="45"/>
        <v>23</v>
      </c>
      <c r="F340">
        <v>57</v>
      </c>
      <c r="G340" t="s">
        <v>46</v>
      </c>
      <c r="H340" t="s">
        <v>131</v>
      </c>
      <c r="I340" t="s">
        <v>85</v>
      </c>
      <c r="J340" t="s">
        <v>49</v>
      </c>
      <c r="K340" t="s">
        <v>50</v>
      </c>
      <c r="L340">
        <v>259.63</v>
      </c>
      <c r="M340" t="s">
        <v>33</v>
      </c>
      <c r="N340">
        <f t="shared" si="46"/>
        <v>0</v>
      </c>
      <c r="O340" t="s">
        <v>86</v>
      </c>
      <c r="P340" t="s">
        <v>5245</v>
      </c>
      <c r="Q340">
        <v>0</v>
      </c>
      <c r="R340">
        <v>89</v>
      </c>
      <c r="S340">
        <f t="shared" si="47"/>
        <v>1.1769825381187735</v>
      </c>
      <c r="T340">
        <f t="shared" si="48"/>
        <v>0</v>
      </c>
      <c r="U340">
        <f t="shared" si="49"/>
        <v>0</v>
      </c>
      <c r="V340">
        <f t="shared" si="50"/>
        <v>1</v>
      </c>
      <c r="W340">
        <f t="shared" si="51"/>
        <v>1</v>
      </c>
      <c r="X340">
        <f t="shared" si="52"/>
        <v>0</v>
      </c>
      <c r="Y340">
        <f t="shared" si="53"/>
        <v>0</v>
      </c>
    </row>
    <row r="341" spans="1:25" x14ac:dyDescent="0.3">
      <c r="A341" t="s">
        <v>3596</v>
      </c>
      <c r="B341" t="s">
        <v>3597</v>
      </c>
      <c r="C341" s="1">
        <v>45814</v>
      </c>
      <c r="D341" s="3">
        <v>0.16659722222222223</v>
      </c>
      <c r="E341">
        <f t="shared" si="45"/>
        <v>3</v>
      </c>
      <c r="F341">
        <v>59</v>
      </c>
      <c r="G341" t="s">
        <v>28</v>
      </c>
      <c r="H341" t="s">
        <v>38</v>
      </c>
      <c r="I341" t="s">
        <v>71</v>
      </c>
      <c r="J341" t="s">
        <v>76</v>
      </c>
      <c r="K341" t="s">
        <v>32</v>
      </c>
      <c r="L341">
        <v>259.60000000000002</v>
      </c>
      <c r="M341" t="s">
        <v>115</v>
      </c>
      <c r="N341">
        <f t="shared" si="46"/>
        <v>0</v>
      </c>
      <c r="O341" t="s">
        <v>34</v>
      </c>
      <c r="P341" t="s">
        <v>3598</v>
      </c>
      <c r="Q341">
        <v>0</v>
      </c>
      <c r="R341">
        <v>78</v>
      </c>
      <c r="S341">
        <f t="shared" si="47"/>
        <v>1.1765672103344911</v>
      </c>
      <c r="T341">
        <f t="shared" si="48"/>
        <v>0</v>
      </c>
      <c r="U341">
        <f t="shared" si="49"/>
        <v>1</v>
      </c>
      <c r="V341">
        <f t="shared" si="50"/>
        <v>1</v>
      </c>
      <c r="W341">
        <f t="shared" si="51"/>
        <v>3</v>
      </c>
      <c r="X341">
        <f t="shared" si="52"/>
        <v>0</v>
      </c>
      <c r="Y341">
        <f t="shared" si="53"/>
        <v>0</v>
      </c>
    </row>
    <row r="342" spans="1:25" x14ac:dyDescent="0.3">
      <c r="A342" t="s">
        <v>2711</v>
      </c>
      <c r="B342" t="s">
        <v>2712</v>
      </c>
      <c r="C342" s="1">
        <v>45732</v>
      </c>
      <c r="D342" s="3">
        <v>0.9032175925925926</v>
      </c>
      <c r="E342">
        <f t="shared" si="45"/>
        <v>21</v>
      </c>
      <c r="F342">
        <v>44</v>
      </c>
      <c r="G342" t="s">
        <v>18</v>
      </c>
      <c r="H342" t="s">
        <v>131</v>
      </c>
      <c r="I342" t="s">
        <v>66</v>
      </c>
      <c r="J342" t="s">
        <v>56</v>
      </c>
      <c r="K342" t="s">
        <v>50</v>
      </c>
      <c r="L342">
        <v>259.57</v>
      </c>
      <c r="M342" t="s">
        <v>42</v>
      </c>
      <c r="N342">
        <f t="shared" si="46"/>
        <v>0</v>
      </c>
      <c r="O342" t="s">
        <v>86</v>
      </c>
      <c r="P342" t="s">
        <v>2713</v>
      </c>
      <c r="Q342">
        <v>0</v>
      </c>
      <c r="R342">
        <v>317</v>
      </c>
      <c r="S342">
        <f t="shared" si="47"/>
        <v>1.1761518825502078</v>
      </c>
      <c r="T342">
        <f t="shared" si="48"/>
        <v>0</v>
      </c>
      <c r="U342">
        <f t="shared" si="49"/>
        <v>0</v>
      </c>
      <c r="V342">
        <f t="shared" si="50"/>
        <v>0</v>
      </c>
      <c r="W342">
        <f t="shared" si="51"/>
        <v>0</v>
      </c>
      <c r="X342">
        <f t="shared" si="52"/>
        <v>0</v>
      </c>
      <c r="Y342">
        <f t="shared" si="53"/>
        <v>0</v>
      </c>
    </row>
    <row r="343" spans="1:25" x14ac:dyDescent="0.3">
      <c r="A343" t="s">
        <v>5582</v>
      </c>
      <c r="B343" t="s">
        <v>5583</v>
      </c>
      <c r="C343" s="1">
        <v>45738</v>
      </c>
      <c r="D343" s="3">
        <v>0.30049768518518516</v>
      </c>
      <c r="E343">
        <f t="shared" si="45"/>
        <v>7</v>
      </c>
      <c r="F343">
        <v>20</v>
      </c>
      <c r="G343" t="s">
        <v>46</v>
      </c>
      <c r="H343" t="s">
        <v>90</v>
      </c>
      <c r="I343" t="s">
        <v>30</v>
      </c>
      <c r="J343" t="s">
        <v>76</v>
      </c>
      <c r="K343" t="s">
        <v>120</v>
      </c>
      <c r="L343">
        <v>259.44</v>
      </c>
      <c r="M343" t="s">
        <v>23</v>
      </c>
      <c r="N343">
        <f t="shared" si="46"/>
        <v>0</v>
      </c>
      <c r="O343" t="s">
        <v>24</v>
      </c>
      <c r="P343" t="s">
        <v>5584</v>
      </c>
      <c r="Q343">
        <v>0</v>
      </c>
      <c r="R343">
        <v>352</v>
      </c>
      <c r="S343">
        <f t="shared" si="47"/>
        <v>1.1743521288183159</v>
      </c>
      <c r="T343">
        <f t="shared" si="48"/>
        <v>0</v>
      </c>
      <c r="U343">
        <f t="shared" si="49"/>
        <v>0</v>
      </c>
      <c r="V343">
        <f t="shared" si="50"/>
        <v>0</v>
      </c>
      <c r="W343">
        <f t="shared" si="51"/>
        <v>0</v>
      </c>
      <c r="X343">
        <f t="shared" si="52"/>
        <v>0</v>
      </c>
      <c r="Y343">
        <f t="shared" si="53"/>
        <v>0</v>
      </c>
    </row>
    <row r="344" spans="1:25" x14ac:dyDescent="0.3">
      <c r="A344" t="s">
        <v>4742</v>
      </c>
      <c r="B344" t="s">
        <v>4743</v>
      </c>
      <c r="C344" s="1">
        <v>45872</v>
      </c>
      <c r="D344" s="3">
        <v>0.55099537037037039</v>
      </c>
      <c r="E344">
        <f t="shared" si="45"/>
        <v>13</v>
      </c>
      <c r="F344">
        <v>61</v>
      </c>
      <c r="G344" t="s">
        <v>6479</v>
      </c>
      <c r="H344" t="s">
        <v>131</v>
      </c>
      <c r="I344" t="s">
        <v>71</v>
      </c>
      <c r="J344" t="s">
        <v>31</v>
      </c>
      <c r="K344" t="s">
        <v>95</v>
      </c>
      <c r="L344">
        <v>259.43</v>
      </c>
      <c r="M344" t="s">
        <v>33</v>
      </c>
      <c r="N344">
        <f t="shared" si="46"/>
        <v>0</v>
      </c>
      <c r="O344" t="s">
        <v>86</v>
      </c>
      <c r="P344" t="s">
        <v>4744</v>
      </c>
      <c r="Q344">
        <v>0</v>
      </c>
      <c r="R344">
        <v>456</v>
      </c>
      <c r="S344">
        <f t="shared" si="47"/>
        <v>1.174213686223555</v>
      </c>
      <c r="T344">
        <f t="shared" si="48"/>
        <v>0</v>
      </c>
      <c r="U344">
        <f t="shared" si="49"/>
        <v>0</v>
      </c>
      <c r="V344">
        <f t="shared" si="50"/>
        <v>0</v>
      </c>
      <c r="W344">
        <f t="shared" si="51"/>
        <v>0</v>
      </c>
      <c r="X344">
        <f t="shared" si="52"/>
        <v>0</v>
      </c>
      <c r="Y344">
        <f t="shared" si="53"/>
        <v>0</v>
      </c>
    </row>
    <row r="345" spans="1:25" x14ac:dyDescent="0.3">
      <c r="A345" t="s">
        <v>5288</v>
      </c>
      <c r="B345" t="s">
        <v>5289</v>
      </c>
      <c r="C345" s="1">
        <v>45747</v>
      </c>
      <c r="D345" s="3">
        <v>0.7611458333333333</v>
      </c>
      <c r="E345">
        <f t="shared" si="45"/>
        <v>18</v>
      </c>
      <c r="F345">
        <v>45</v>
      </c>
      <c r="G345" t="s">
        <v>46</v>
      </c>
      <c r="H345" t="s">
        <v>175</v>
      </c>
      <c r="I345" t="s">
        <v>66</v>
      </c>
      <c r="J345" t="s">
        <v>21</v>
      </c>
      <c r="K345" t="s">
        <v>95</v>
      </c>
      <c r="L345">
        <v>259.38</v>
      </c>
      <c r="M345" t="s">
        <v>6479</v>
      </c>
      <c r="N345">
        <f t="shared" si="46"/>
        <v>1</v>
      </c>
      <c r="O345" t="s">
        <v>86</v>
      </c>
      <c r="P345" t="s">
        <v>5290</v>
      </c>
      <c r="Q345">
        <v>0</v>
      </c>
      <c r="R345">
        <v>259</v>
      </c>
      <c r="S345">
        <f t="shared" si="47"/>
        <v>1.1735214732497503</v>
      </c>
      <c r="T345">
        <f t="shared" si="48"/>
        <v>0</v>
      </c>
      <c r="U345">
        <f t="shared" si="49"/>
        <v>0</v>
      </c>
      <c r="V345">
        <f t="shared" si="50"/>
        <v>1</v>
      </c>
      <c r="W345">
        <f t="shared" si="51"/>
        <v>3</v>
      </c>
      <c r="X345">
        <f t="shared" si="52"/>
        <v>0</v>
      </c>
      <c r="Y345">
        <f t="shared" si="53"/>
        <v>1</v>
      </c>
    </row>
    <row r="346" spans="1:25" x14ac:dyDescent="0.3">
      <c r="A346" t="s">
        <v>5123</v>
      </c>
      <c r="B346" t="s">
        <v>5124</v>
      </c>
      <c r="C346" s="1">
        <v>45819</v>
      </c>
      <c r="D346" s="3">
        <v>0.35462962962962963</v>
      </c>
      <c r="E346">
        <f t="shared" si="45"/>
        <v>8</v>
      </c>
      <c r="F346">
        <v>45</v>
      </c>
      <c r="G346" t="s">
        <v>28</v>
      </c>
      <c r="H346" t="s">
        <v>185</v>
      </c>
      <c r="I346" t="s">
        <v>105</v>
      </c>
      <c r="J346" t="s">
        <v>72</v>
      </c>
      <c r="K346" t="s">
        <v>32</v>
      </c>
      <c r="L346">
        <v>259.33</v>
      </c>
      <c r="M346" t="s">
        <v>115</v>
      </c>
      <c r="N346">
        <f t="shared" si="46"/>
        <v>0</v>
      </c>
      <c r="O346" t="s">
        <v>51</v>
      </c>
      <c r="P346" t="s">
        <v>5125</v>
      </c>
      <c r="Q346">
        <v>0</v>
      </c>
      <c r="R346">
        <v>127</v>
      </c>
      <c r="S346">
        <f t="shared" si="47"/>
        <v>1.1728292602759456</v>
      </c>
      <c r="T346">
        <f t="shared" si="48"/>
        <v>0</v>
      </c>
      <c r="U346">
        <f t="shared" si="49"/>
        <v>0</v>
      </c>
      <c r="V346">
        <f t="shared" si="50"/>
        <v>1</v>
      </c>
      <c r="W346">
        <f t="shared" si="51"/>
        <v>1</v>
      </c>
      <c r="X346">
        <f t="shared" si="52"/>
        <v>0</v>
      </c>
      <c r="Y346">
        <f t="shared" si="53"/>
        <v>0</v>
      </c>
    </row>
    <row r="347" spans="1:25" x14ac:dyDescent="0.3">
      <c r="A347" t="s">
        <v>3683</v>
      </c>
      <c r="B347" t="s">
        <v>3684</v>
      </c>
      <c r="C347" s="1">
        <v>45762</v>
      </c>
      <c r="D347" s="3">
        <v>0.49910879629629629</v>
      </c>
      <c r="E347">
        <f t="shared" si="45"/>
        <v>11</v>
      </c>
      <c r="F347">
        <v>52</v>
      </c>
      <c r="G347" t="s">
        <v>46</v>
      </c>
      <c r="H347" t="s">
        <v>61</v>
      </c>
      <c r="I347" t="s">
        <v>110</v>
      </c>
      <c r="J347" t="s">
        <v>31</v>
      </c>
      <c r="K347" t="s">
        <v>41</v>
      </c>
      <c r="L347">
        <v>259</v>
      </c>
      <c r="M347" t="s">
        <v>23</v>
      </c>
      <c r="N347">
        <f t="shared" si="46"/>
        <v>0</v>
      </c>
      <c r="O347" t="s">
        <v>34</v>
      </c>
      <c r="P347" t="s">
        <v>3685</v>
      </c>
      <c r="Q347">
        <v>0</v>
      </c>
      <c r="R347">
        <v>400</v>
      </c>
      <c r="S347">
        <f t="shared" si="47"/>
        <v>1.1682606546488352</v>
      </c>
      <c r="T347">
        <f t="shared" si="48"/>
        <v>0</v>
      </c>
      <c r="U347">
        <f t="shared" si="49"/>
        <v>0</v>
      </c>
      <c r="V347">
        <f t="shared" si="50"/>
        <v>0</v>
      </c>
      <c r="W347">
        <f t="shared" si="51"/>
        <v>0</v>
      </c>
      <c r="X347">
        <f t="shared" si="52"/>
        <v>0</v>
      </c>
      <c r="Y347">
        <f t="shared" si="53"/>
        <v>0</v>
      </c>
    </row>
    <row r="348" spans="1:25" x14ac:dyDescent="0.3">
      <c r="A348" t="s">
        <v>224</v>
      </c>
      <c r="B348" t="s">
        <v>225</v>
      </c>
      <c r="C348" s="1">
        <v>45819</v>
      </c>
      <c r="D348" s="3">
        <v>0.85783564814814817</v>
      </c>
      <c r="E348">
        <f t="shared" si="45"/>
        <v>20</v>
      </c>
      <c r="F348">
        <v>37</v>
      </c>
      <c r="G348" t="s">
        <v>6479</v>
      </c>
      <c r="H348" t="s">
        <v>70</v>
      </c>
      <c r="I348" t="s">
        <v>105</v>
      </c>
      <c r="J348" t="s">
        <v>127</v>
      </c>
      <c r="K348" t="s">
        <v>114</v>
      </c>
      <c r="L348">
        <v>258.98</v>
      </c>
      <c r="M348" t="s">
        <v>33</v>
      </c>
      <c r="N348">
        <f t="shared" si="46"/>
        <v>0</v>
      </c>
      <c r="O348" t="s">
        <v>24</v>
      </c>
      <c r="P348" t="s">
        <v>226</v>
      </c>
      <c r="Q348">
        <v>0</v>
      </c>
      <c r="R348">
        <v>105</v>
      </c>
      <c r="S348">
        <f t="shared" si="47"/>
        <v>1.1679837694593136</v>
      </c>
      <c r="T348">
        <f t="shared" si="48"/>
        <v>0</v>
      </c>
      <c r="U348">
        <f t="shared" si="49"/>
        <v>0</v>
      </c>
      <c r="V348">
        <f t="shared" si="50"/>
        <v>1</v>
      </c>
      <c r="W348">
        <f t="shared" si="51"/>
        <v>1</v>
      </c>
      <c r="X348">
        <f t="shared" si="52"/>
        <v>0</v>
      </c>
      <c r="Y348">
        <f t="shared" si="53"/>
        <v>0</v>
      </c>
    </row>
    <row r="349" spans="1:25" x14ac:dyDescent="0.3">
      <c r="A349" t="s">
        <v>5171</v>
      </c>
      <c r="B349" t="s">
        <v>5172</v>
      </c>
      <c r="C349" s="1">
        <v>45819</v>
      </c>
      <c r="D349" s="3">
        <v>0.94085648148148149</v>
      </c>
      <c r="E349">
        <f t="shared" si="45"/>
        <v>22</v>
      </c>
      <c r="F349">
        <v>48</v>
      </c>
      <c r="G349" t="s">
        <v>60</v>
      </c>
      <c r="H349" t="s">
        <v>100</v>
      </c>
      <c r="I349" t="s">
        <v>119</v>
      </c>
      <c r="J349" t="s">
        <v>56</v>
      </c>
      <c r="K349" t="s">
        <v>101</v>
      </c>
      <c r="L349">
        <v>258.94</v>
      </c>
      <c r="M349" t="s">
        <v>23</v>
      </c>
      <c r="N349">
        <f t="shared" si="46"/>
        <v>0</v>
      </c>
      <c r="O349" t="s">
        <v>51</v>
      </c>
      <c r="P349" t="s">
        <v>5173</v>
      </c>
      <c r="Q349">
        <v>0</v>
      </c>
      <c r="R349">
        <v>351</v>
      </c>
      <c r="S349">
        <f t="shared" si="47"/>
        <v>1.1674299990802697</v>
      </c>
      <c r="T349">
        <f t="shared" si="48"/>
        <v>0</v>
      </c>
      <c r="U349">
        <f t="shared" si="49"/>
        <v>0</v>
      </c>
      <c r="V349">
        <f t="shared" si="50"/>
        <v>0</v>
      </c>
      <c r="W349">
        <f t="shared" si="51"/>
        <v>0</v>
      </c>
      <c r="X349">
        <f t="shared" si="52"/>
        <v>0</v>
      </c>
      <c r="Y349">
        <f t="shared" si="53"/>
        <v>0</v>
      </c>
    </row>
    <row r="350" spans="1:25" x14ac:dyDescent="0.3">
      <c r="A350" t="s">
        <v>1751</v>
      </c>
      <c r="B350" t="s">
        <v>1752</v>
      </c>
      <c r="C350" s="1">
        <v>45850</v>
      </c>
      <c r="D350" s="3">
        <v>0.81975694444444447</v>
      </c>
      <c r="E350">
        <f t="shared" si="45"/>
        <v>19</v>
      </c>
      <c r="F350">
        <v>53</v>
      </c>
      <c r="G350" t="s">
        <v>46</v>
      </c>
      <c r="H350" t="s">
        <v>142</v>
      </c>
      <c r="I350" t="s">
        <v>119</v>
      </c>
      <c r="J350" t="s">
        <v>56</v>
      </c>
      <c r="K350" t="s">
        <v>50</v>
      </c>
      <c r="L350">
        <v>258.92</v>
      </c>
      <c r="M350" t="s">
        <v>42</v>
      </c>
      <c r="N350">
        <f t="shared" si="46"/>
        <v>0</v>
      </c>
      <c r="O350" t="s">
        <v>24</v>
      </c>
      <c r="P350" t="s">
        <v>1753</v>
      </c>
      <c r="Q350">
        <v>0</v>
      </c>
      <c r="R350">
        <v>248</v>
      </c>
      <c r="S350">
        <f t="shared" si="47"/>
        <v>1.1671531138907481</v>
      </c>
      <c r="T350">
        <f t="shared" si="48"/>
        <v>0</v>
      </c>
      <c r="U350">
        <f t="shared" si="49"/>
        <v>0</v>
      </c>
      <c r="V350">
        <f t="shared" si="50"/>
        <v>1</v>
      </c>
      <c r="W350">
        <f t="shared" si="51"/>
        <v>1</v>
      </c>
      <c r="X350">
        <f t="shared" si="52"/>
        <v>0</v>
      </c>
      <c r="Y350">
        <f t="shared" si="53"/>
        <v>0</v>
      </c>
    </row>
    <row r="351" spans="1:25" x14ac:dyDescent="0.3">
      <c r="A351" t="s">
        <v>2408</v>
      </c>
      <c r="B351" t="s">
        <v>2409</v>
      </c>
      <c r="C351" s="1">
        <v>45732</v>
      </c>
      <c r="D351" s="3">
        <v>0.16850694444444445</v>
      </c>
      <c r="E351">
        <f t="shared" si="45"/>
        <v>4</v>
      </c>
      <c r="F351">
        <v>62</v>
      </c>
      <c r="G351" t="s">
        <v>18</v>
      </c>
      <c r="H351" t="s">
        <v>312</v>
      </c>
      <c r="I351" t="s">
        <v>48</v>
      </c>
      <c r="J351" t="s">
        <v>94</v>
      </c>
      <c r="K351" t="s">
        <v>95</v>
      </c>
      <c r="L351">
        <v>258.72000000000003</v>
      </c>
      <c r="M351" t="s">
        <v>115</v>
      </c>
      <c r="N351">
        <f t="shared" si="46"/>
        <v>0</v>
      </c>
      <c r="O351" t="s">
        <v>51</v>
      </c>
      <c r="P351" t="s">
        <v>2410</v>
      </c>
      <c r="Q351">
        <v>0</v>
      </c>
      <c r="R351">
        <v>492</v>
      </c>
      <c r="S351">
        <f t="shared" si="47"/>
        <v>1.1643842619955298</v>
      </c>
      <c r="T351">
        <f t="shared" si="48"/>
        <v>0</v>
      </c>
      <c r="U351">
        <f t="shared" si="49"/>
        <v>1</v>
      </c>
      <c r="V351">
        <f t="shared" si="50"/>
        <v>0</v>
      </c>
      <c r="W351">
        <f t="shared" si="51"/>
        <v>2</v>
      </c>
      <c r="X351">
        <f t="shared" si="52"/>
        <v>0</v>
      </c>
      <c r="Y351">
        <f t="shared" si="53"/>
        <v>0</v>
      </c>
    </row>
    <row r="352" spans="1:25" x14ac:dyDescent="0.3">
      <c r="A352" t="s">
        <v>2975</v>
      </c>
      <c r="B352" t="s">
        <v>2976</v>
      </c>
      <c r="C352" s="1">
        <v>45721</v>
      </c>
      <c r="D352" s="3">
        <v>0.47372685185185187</v>
      </c>
      <c r="E352">
        <f t="shared" si="45"/>
        <v>11</v>
      </c>
      <c r="F352">
        <v>28</v>
      </c>
      <c r="G352" t="s">
        <v>46</v>
      </c>
      <c r="H352" t="s">
        <v>61</v>
      </c>
      <c r="I352" t="s">
        <v>39</v>
      </c>
      <c r="J352" t="s">
        <v>31</v>
      </c>
      <c r="K352" t="s">
        <v>114</v>
      </c>
      <c r="L352">
        <v>258.7</v>
      </c>
      <c r="M352" t="s">
        <v>115</v>
      </c>
      <c r="N352">
        <f t="shared" si="46"/>
        <v>0</v>
      </c>
      <c r="O352" t="s">
        <v>51</v>
      </c>
      <c r="P352" t="s">
        <v>2977</v>
      </c>
      <c r="Q352">
        <v>0</v>
      </c>
      <c r="R352">
        <v>226</v>
      </c>
      <c r="S352">
        <f t="shared" si="47"/>
        <v>1.1641073768060073</v>
      </c>
      <c r="T352">
        <f t="shared" si="48"/>
        <v>0</v>
      </c>
      <c r="U352">
        <f t="shared" si="49"/>
        <v>0</v>
      </c>
      <c r="V352">
        <f t="shared" si="50"/>
        <v>1</v>
      </c>
      <c r="W352">
        <f t="shared" si="51"/>
        <v>1</v>
      </c>
      <c r="X352">
        <f t="shared" si="52"/>
        <v>0</v>
      </c>
      <c r="Y352">
        <f t="shared" si="53"/>
        <v>0</v>
      </c>
    </row>
    <row r="353" spans="1:25" x14ac:dyDescent="0.3">
      <c r="A353" t="s">
        <v>2465</v>
      </c>
      <c r="B353" t="s">
        <v>2466</v>
      </c>
      <c r="C353" s="1">
        <v>45819</v>
      </c>
      <c r="D353" s="3">
        <v>0.13590277777777779</v>
      </c>
      <c r="E353">
        <f t="shared" si="45"/>
        <v>3</v>
      </c>
      <c r="F353">
        <v>47</v>
      </c>
      <c r="G353" t="s">
        <v>46</v>
      </c>
      <c r="H353" t="s">
        <v>38</v>
      </c>
      <c r="I353" t="s">
        <v>20</v>
      </c>
      <c r="J353" t="s">
        <v>76</v>
      </c>
      <c r="K353" t="s">
        <v>95</v>
      </c>
      <c r="L353">
        <v>258.67</v>
      </c>
      <c r="M353" t="s">
        <v>33</v>
      </c>
      <c r="N353">
        <f t="shared" si="46"/>
        <v>0</v>
      </c>
      <c r="O353" t="s">
        <v>51</v>
      </c>
      <c r="P353" t="s">
        <v>2467</v>
      </c>
      <c r="Q353">
        <v>0</v>
      </c>
      <c r="R353">
        <v>347</v>
      </c>
      <c r="S353">
        <f t="shared" si="47"/>
        <v>1.1636920490217249</v>
      </c>
      <c r="T353">
        <f t="shared" si="48"/>
        <v>0</v>
      </c>
      <c r="U353">
        <f t="shared" si="49"/>
        <v>1</v>
      </c>
      <c r="V353">
        <f t="shared" si="50"/>
        <v>0</v>
      </c>
      <c r="W353">
        <f t="shared" si="51"/>
        <v>2</v>
      </c>
      <c r="X353">
        <f t="shared" si="52"/>
        <v>0</v>
      </c>
      <c r="Y353">
        <f t="shared" si="53"/>
        <v>0</v>
      </c>
    </row>
    <row r="354" spans="1:25" x14ac:dyDescent="0.3">
      <c r="A354" t="s">
        <v>2339</v>
      </c>
      <c r="B354" t="s">
        <v>2340</v>
      </c>
      <c r="C354" s="1">
        <v>45857</v>
      </c>
      <c r="D354" s="3">
        <v>0.88837962962962957</v>
      </c>
      <c r="E354">
        <f t="shared" si="45"/>
        <v>21</v>
      </c>
      <c r="F354">
        <v>18</v>
      </c>
      <c r="G354" t="s">
        <v>60</v>
      </c>
      <c r="H354" t="s">
        <v>61</v>
      </c>
      <c r="I354" t="s">
        <v>85</v>
      </c>
      <c r="J354" t="s">
        <v>94</v>
      </c>
      <c r="K354" t="s">
        <v>95</v>
      </c>
      <c r="L354">
        <v>258.58999999999997</v>
      </c>
      <c r="M354" t="s">
        <v>42</v>
      </c>
      <c r="N354">
        <f t="shared" si="46"/>
        <v>0</v>
      </c>
      <c r="O354" t="s">
        <v>51</v>
      </c>
      <c r="P354" t="s">
        <v>2341</v>
      </c>
      <c r="Q354">
        <v>0</v>
      </c>
      <c r="R354">
        <v>344</v>
      </c>
      <c r="S354">
        <f t="shared" si="47"/>
        <v>1.162584508263637</v>
      </c>
      <c r="T354">
        <f t="shared" si="48"/>
        <v>0</v>
      </c>
      <c r="U354">
        <f t="shared" si="49"/>
        <v>0</v>
      </c>
      <c r="V354">
        <f t="shared" si="50"/>
        <v>0</v>
      </c>
      <c r="W354">
        <f t="shared" si="51"/>
        <v>0</v>
      </c>
      <c r="X354">
        <f t="shared" si="52"/>
        <v>0</v>
      </c>
      <c r="Y354">
        <f t="shared" si="53"/>
        <v>0</v>
      </c>
    </row>
    <row r="355" spans="1:25" x14ac:dyDescent="0.3">
      <c r="A355" t="s">
        <v>2657</v>
      </c>
      <c r="B355" t="s">
        <v>2658</v>
      </c>
      <c r="C355" s="1">
        <v>45796</v>
      </c>
      <c r="D355" s="3">
        <v>9.8032407407407401E-2</v>
      </c>
      <c r="E355">
        <f t="shared" si="45"/>
        <v>2</v>
      </c>
      <c r="F355">
        <v>38</v>
      </c>
      <c r="G355" t="s">
        <v>18</v>
      </c>
      <c r="H355" t="s">
        <v>70</v>
      </c>
      <c r="I355" t="s">
        <v>85</v>
      </c>
      <c r="J355" t="s">
        <v>72</v>
      </c>
      <c r="K355" t="s">
        <v>32</v>
      </c>
      <c r="L355">
        <v>258.57</v>
      </c>
      <c r="M355" t="s">
        <v>23</v>
      </c>
      <c r="N355">
        <f t="shared" si="46"/>
        <v>0</v>
      </c>
      <c r="O355" t="s">
        <v>34</v>
      </c>
      <c r="P355" t="s">
        <v>2659</v>
      </c>
      <c r="Q355">
        <v>0</v>
      </c>
      <c r="R355">
        <v>400</v>
      </c>
      <c r="S355">
        <f t="shared" si="47"/>
        <v>1.1623076230741154</v>
      </c>
      <c r="T355">
        <f t="shared" si="48"/>
        <v>0</v>
      </c>
      <c r="U355">
        <f t="shared" si="49"/>
        <v>1</v>
      </c>
      <c r="V355">
        <f t="shared" si="50"/>
        <v>0</v>
      </c>
      <c r="W355">
        <f t="shared" si="51"/>
        <v>2</v>
      </c>
      <c r="X355">
        <f t="shared" si="52"/>
        <v>0</v>
      </c>
      <c r="Y355">
        <f t="shared" si="53"/>
        <v>0</v>
      </c>
    </row>
    <row r="356" spans="1:25" x14ac:dyDescent="0.3">
      <c r="A356" t="s">
        <v>1397</v>
      </c>
      <c r="B356" t="s">
        <v>1398</v>
      </c>
      <c r="C356" s="1">
        <v>45712</v>
      </c>
      <c r="D356" s="3">
        <v>0.57837962962962963</v>
      </c>
      <c r="E356">
        <f t="shared" si="45"/>
        <v>13</v>
      </c>
      <c r="F356">
        <v>34</v>
      </c>
      <c r="G356" t="s">
        <v>46</v>
      </c>
      <c r="H356" t="s">
        <v>29</v>
      </c>
      <c r="I356" t="s">
        <v>71</v>
      </c>
      <c r="J356" t="s">
        <v>21</v>
      </c>
      <c r="K356" t="s">
        <v>168</v>
      </c>
      <c r="L356">
        <v>258.38</v>
      </c>
      <c r="M356" t="s">
        <v>115</v>
      </c>
      <c r="N356">
        <f t="shared" si="46"/>
        <v>0</v>
      </c>
      <c r="O356" t="s">
        <v>86</v>
      </c>
      <c r="P356" t="s">
        <v>1399</v>
      </c>
      <c r="Q356">
        <v>0</v>
      </c>
      <c r="R356">
        <v>388</v>
      </c>
      <c r="S356">
        <f t="shared" si="47"/>
        <v>1.159677213773658</v>
      </c>
      <c r="T356">
        <f t="shared" si="48"/>
        <v>0</v>
      </c>
      <c r="U356">
        <f t="shared" si="49"/>
        <v>0</v>
      </c>
      <c r="V356">
        <f t="shared" si="50"/>
        <v>0</v>
      </c>
      <c r="W356">
        <f t="shared" si="51"/>
        <v>0</v>
      </c>
      <c r="X356">
        <f t="shared" si="52"/>
        <v>0</v>
      </c>
      <c r="Y356">
        <f t="shared" si="53"/>
        <v>0</v>
      </c>
    </row>
    <row r="357" spans="1:25" x14ac:dyDescent="0.3">
      <c r="A357" t="s">
        <v>3980</v>
      </c>
      <c r="B357" t="s">
        <v>3981</v>
      </c>
      <c r="C357" s="1">
        <v>45862</v>
      </c>
      <c r="D357" s="3">
        <v>0.88863425925925921</v>
      </c>
      <c r="E357">
        <f t="shared" si="45"/>
        <v>21</v>
      </c>
      <c r="F357">
        <v>54</v>
      </c>
      <c r="G357" t="s">
        <v>60</v>
      </c>
      <c r="H357" t="s">
        <v>61</v>
      </c>
      <c r="I357" t="s">
        <v>71</v>
      </c>
      <c r="J357" t="s">
        <v>72</v>
      </c>
      <c r="K357" t="s">
        <v>62</v>
      </c>
      <c r="L357">
        <v>258.35000000000002</v>
      </c>
      <c r="M357" t="s">
        <v>33</v>
      </c>
      <c r="N357">
        <f t="shared" si="46"/>
        <v>0</v>
      </c>
      <c r="O357" t="s">
        <v>51</v>
      </c>
      <c r="P357" t="s">
        <v>3982</v>
      </c>
      <c r="Q357">
        <v>0</v>
      </c>
      <c r="R357">
        <v>161</v>
      </c>
      <c r="S357">
        <f t="shared" si="47"/>
        <v>1.1592618859893755</v>
      </c>
      <c r="T357">
        <f t="shared" si="48"/>
        <v>0</v>
      </c>
      <c r="U357">
        <f t="shared" si="49"/>
        <v>0</v>
      </c>
      <c r="V357">
        <f t="shared" si="50"/>
        <v>1</v>
      </c>
      <c r="W357">
        <f t="shared" si="51"/>
        <v>1</v>
      </c>
      <c r="X357">
        <f t="shared" si="52"/>
        <v>0</v>
      </c>
      <c r="Y357">
        <f t="shared" si="53"/>
        <v>0</v>
      </c>
    </row>
    <row r="358" spans="1:25" x14ac:dyDescent="0.3">
      <c r="A358" t="s">
        <v>884</v>
      </c>
      <c r="B358" t="s">
        <v>885</v>
      </c>
      <c r="C358" s="1">
        <v>45729</v>
      </c>
      <c r="D358" s="3">
        <v>1.0567129629629629E-2</v>
      </c>
      <c r="E358">
        <f t="shared" si="45"/>
        <v>0</v>
      </c>
      <c r="F358">
        <v>19</v>
      </c>
      <c r="G358" t="s">
        <v>46</v>
      </c>
      <c r="H358" t="s">
        <v>167</v>
      </c>
      <c r="I358" t="s">
        <v>71</v>
      </c>
      <c r="J358" t="s">
        <v>72</v>
      </c>
      <c r="K358" t="s">
        <v>114</v>
      </c>
      <c r="L358">
        <v>258.19</v>
      </c>
      <c r="M358" t="s">
        <v>23</v>
      </c>
      <c r="N358">
        <f t="shared" si="46"/>
        <v>0</v>
      </c>
      <c r="O358" t="s">
        <v>86</v>
      </c>
      <c r="P358" t="s">
        <v>886</v>
      </c>
      <c r="Q358">
        <v>0</v>
      </c>
      <c r="R358">
        <v>340</v>
      </c>
      <c r="S358">
        <f t="shared" si="47"/>
        <v>1.1570468044732003</v>
      </c>
      <c r="T358">
        <f t="shared" si="48"/>
        <v>0</v>
      </c>
      <c r="U358">
        <f t="shared" si="49"/>
        <v>1</v>
      </c>
      <c r="V358">
        <f t="shared" si="50"/>
        <v>0</v>
      </c>
      <c r="W358">
        <f t="shared" si="51"/>
        <v>2</v>
      </c>
      <c r="X358">
        <f t="shared" si="52"/>
        <v>0</v>
      </c>
      <c r="Y358">
        <f t="shared" si="53"/>
        <v>0</v>
      </c>
    </row>
    <row r="359" spans="1:25" x14ac:dyDescent="0.3">
      <c r="A359" t="s">
        <v>746</v>
      </c>
      <c r="B359" t="s">
        <v>747</v>
      </c>
      <c r="C359" s="1">
        <v>45707</v>
      </c>
      <c r="D359" s="3">
        <v>0.91126157407407404</v>
      </c>
      <c r="E359">
        <f t="shared" si="45"/>
        <v>21</v>
      </c>
      <c r="F359">
        <v>21</v>
      </c>
      <c r="G359" t="s">
        <v>60</v>
      </c>
      <c r="H359" t="s">
        <v>312</v>
      </c>
      <c r="I359" t="s">
        <v>48</v>
      </c>
      <c r="J359" t="s">
        <v>21</v>
      </c>
      <c r="K359" t="s">
        <v>32</v>
      </c>
      <c r="L359">
        <v>258.13</v>
      </c>
      <c r="M359" t="s">
        <v>23</v>
      </c>
      <c r="N359">
        <f t="shared" si="46"/>
        <v>0</v>
      </c>
      <c r="O359" t="s">
        <v>86</v>
      </c>
      <c r="P359" t="s">
        <v>748</v>
      </c>
      <c r="Q359">
        <v>0</v>
      </c>
      <c r="R359">
        <v>285</v>
      </c>
      <c r="S359">
        <f t="shared" si="47"/>
        <v>1.1562161489046348</v>
      </c>
      <c r="T359">
        <f t="shared" si="48"/>
        <v>0</v>
      </c>
      <c r="U359">
        <f t="shared" si="49"/>
        <v>0</v>
      </c>
      <c r="V359">
        <f t="shared" si="50"/>
        <v>0</v>
      </c>
      <c r="W359">
        <f t="shared" si="51"/>
        <v>0</v>
      </c>
      <c r="X359">
        <f t="shared" si="52"/>
        <v>0</v>
      </c>
      <c r="Y359">
        <f t="shared" si="53"/>
        <v>0</v>
      </c>
    </row>
    <row r="360" spans="1:25" x14ac:dyDescent="0.3">
      <c r="A360" t="s">
        <v>1007</v>
      </c>
      <c r="B360" t="s">
        <v>1008</v>
      </c>
      <c r="C360" s="1">
        <v>45741</v>
      </c>
      <c r="D360" s="3">
        <v>0.28886574074074073</v>
      </c>
      <c r="E360">
        <f t="shared" si="45"/>
        <v>6</v>
      </c>
      <c r="F360">
        <v>31</v>
      </c>
      <c r="G360" t="s">
        <v>18</v>
      </c>
      <c r="H360" t="s">
        <v>70</v>
      </c>
      <c r="I360" t="s">
        <v>105</v>
      </c>
      <c r="J360" t="s">
        <v>76</v>
      </c>
      <c r="K360" t="s">
        <v>120</v>
      </c>
      <c r="L360">
        <v>257.97000000000003</v>
      </c>
      <c r="M360" t="s">
        <v>23</v>
      </c>
      <c r="N360">
        <f t="shared" si="46"/>
        <v>0</v>
      </c>
      <c r="O360" t="s">
        <v>51</v>
      </c>
      <c r="P360" t="s">
        <v>1009</v>
      </c>
      <c r="Q360">
        <v>0</v>
      </c>
      <c r="R360">
        <v>97</v>
      </c>
      <c r="S360">
        <f t="shared" si="47"/>
        <v>1.1540010673884604</v>
      </c>
      <c r="T360">
        <f t="shared" si="48"/>
        <v>0</v>
      </c>
      <c r="U360">
        <f t="shared" si="49"/>
        <v>0</v>
      </c>
      <c r="V360">
        <f t="shared" si="50"/>
        <v>1</v>
      </c>
      <c r="W360">
        <f t="shared" si="51"/>
        <v>1</v>
      </c>
      <c r="X360">
        <f t="shared" si="52"/>
        <v>0</v>
      </c>
      <c r="Y360">
        <f t="shared" si="53"/>
        <v>0</v>
      </c>
    </row>
    <row r="361" spans="1:25" x14ac:dyDescent="0.3">
      <c r="A361" t="s">
        <v>1643</v>
      </c>
      <c r="B361" t="s">
        <v>1644</v>
      </c>
      <c r="C361" s="1">
        <v>45795</v>
      </c>
      <c r="D361" s="3">
        <v>0.56814814814814818</v>
      </c>
      <c r="E361">
        <f t="shared" si="45"/>
        <v>13</v>
      </c>
      <c r="F361">
        <v>27</v>
      </c>
      <c r="G361" t="s">
        <v>46</v>
      </c>
      <c r="H361" t="s">
        <v>47</v>
      </c>
      <c r="I361" t="s">
        <v>110</v>
      </c>
      <c r="J361" t="s">
        <v>40</v>
      </c>
      <c r="K361" t="s">
        <v>114</v>
      </c>
      <c r="L361">
        <v>257.76</v>
      </c>
      <c r="M361" t="s">
        <v>33</v>
      </c>
      <c r="N361">
        <f t="shared" si="46"/>
        <v>0</v>
      </c>
      <c r="O361" t="s">
        <v>24</v>
      </c>
      <c r="P361" t="s">
        <v>1645</v>
      </c>
      <c r="Q361">
        <v>0</v>
      </c>
      <c r="R361">
        <v>86</v>
      </c>
      <c r="S361">
        <f t="shared" si="47"/>
        <v>1.1510937728984805</v>
      </c>
      <c r="T361">
        <f t="shared" si="48"/>
        <v>0</v>
      </c>
      <c r="U361">
        <f t="shared" si="49"/>
        <v>0</v>
      </c>
      <c r="V361">
        <f t="shared" si="50"/>
        <v>1</v>
      </c>
      <c r="W361">
        <f t="shared" si="51"/>
        <v>1</v>
      </c>
      <c r="X361">
        <f t="shared" si="52"/>
        <v>0</v>
      </c>
      <c r="Y361">
        <f t="shared" si="53"/>
        <v>0</v>
      </c>
    </row>
    <row r="362" spans="1:25" x14ac:dyDescent="0.3">
      <c r="A362" t="s">
        <v>3602</v>
      </c>
      <c r="B362" s="2" t="s">
        <v>3603</v>
      </c>
      <c r="C362" s="1">
        <v>45836</v>
      </c>
      <c r="D362" s="3">
        <v>0.28149305555555554</v>
      </c>
      <c r="E362">
        <f t="shared" si="45"/>
        <v>6</v>
      </c>
      <c r="F362">
        <v>48</v>
      </c>
      <c r="G362" t="s">
        <v>99</v>
      </c>
      <c r="H362" t="s">
        <v>167</v>
      </c>
      <c r="I362" t="s">
        <v>66</v>
      </c>
      <c r="J362" t="s">
        <v>31</v>
      </c>
      <c r="K362" t="s">
        <v>22</v>
      </c>
      <c r="L362">
        <v>257.76</v>
      </c>
      <c r="M362" t="s">
        <v>115</v>
      </c>
      <c r="N362">
        <f t="shared" si="46"/>
        <v>0</v>
      </c>
      <c r="O362" t="s">
        <v>34</v>
      </c>
      <c r="P362" t="s">
        <v>3604</v>
      </c>
      <c r="Q362">
        <v>0</v>
      </c>
      <c r="R362">
        <v>182</v>
      </c>
      <c r="S362">
        <f t="shared" si="47"/>
        <v>1.1510937728984805</v>
      </c>
      <c r="T362">
        <f t="shared" si="48"/>
        <v>0</v>
      </c>
      <c r="U362">
        <f t="shared" si="49"/>
        <v>0</v>
      </c>
      <c r="V362">
        <f t="shared" si="50"/>
        <v>1</v>
      </c>
      <c r="W362">
        <f t="shared" si="51"/>
        <v>1</v>
      </c>
      <c r="X362">
        <f t="shared" si="52"/>
        <v>0</v>
      </c>
      <c r="Y362">
        <f t="shared" si="53"/>
        <v>0</v>
      </c>
    </row>
    <row r="363" spans="1:25" x14ac:dyDescent="0.3">
      <c r="A363" t="s">
        <v>5774</v>
      </c>
      <c r="B363" t="s">
        <v>5775</v>
      </c>
      <c r="C363" s="1">
        <v>45774</v>
      </c>
      <c r="D363" s="3">
        <v>0.55518518518518523</v>
      </c>
      <c r="E363">
        <f t="shared" si="45"/>
        <v>13</v>
      </c>
      <c r="F363">
        <v>58</v>
      </c>
      <c r="G363" t="s">
        <v>46</v>
      </c>
      <c r="H363" t="s">
        <v>55</v>
      </c>
      <c r="I363" t="s">
        <v>48</v>
      </c>
      <c r="J363" t="s">
        <v>76</v>
      </c>
      <c r="K363" t="s">
        <v>62</v>
      </c>
      <c r="L363">
        <v>257.70999999999998</v>
      </c>
      <c r="M363" t="s">
        <v>42</v>
      </c>
      <c r="N363">
        <f t="shared" si="46"/>
        <v>0</v>
      </c>
      <c r="O363" t="s">
        <v>86</v>
      </c>
      <c r="P363" t="s">
        <v>5776</v>
      </c>
      <c r="Q363">
        <v>0</v>
      </c>
      <c r="R363">
        <v>292</v>
      </c>
      <c r="S363">
        <f t="shared" si="47"/>
        <v>1.1504015599246757</v>
      </c>
      <c r="T363">
        <f t="shared" si="48"/>
        <v>0</v>
      </c>
      <c r="U363">
        <f t="shared" si="49"/>
        <v>0</v>
      </c>
      <c r="V363">
        <f t="shared" si="50"/>
        <v>0</v>
      </c>
      <c r="W363">
        <f t="shared" si="51"/>
        <v>0</v>
      </c>
      <c r="X363">
        <f t="shared" si="52"/>
        <v>0</v>
      </c>
      <c r="Y363">
        <f t="shared" si="53"/>
        <v>0</v>
      </c>
    </row>
    <row r="364" spans="1:25" x14ac:dyDescent="0.3">
      <c r="A364" t="s">
        <v>3179</v>
      </c>
      <c r="B364" t="s">
        <v>3180</v>
      </c>
      <c r="C364" s="1">
        <v>45746</v>
      </c>
      <c r="D364" s="3">
        <v>0.59528935185185183</v>
      </c>
      <c r="E364">
        <f t="shared" si="45"/>
        <v>14</v>
      </c>
      <c r="F364">
        <v>41</v>
      </c>
      <c r="G364" t="s">
        <v>18</v>
      </c>
      <c r="H364" t="s">
        <v>38</v>
      </c>
      <c r="I364" t="s">
        <v>20</v>
      </c>
      <c r="J364" t="s">
        <v>132</v>
      </c>
      <c r="K364" t="s">
        <v>114</v>
      </c>
      <c r="L364">
        <v>257.49</v>
      </c>
      <c r="M364" t="s">
        <v>33</v>
      </c>
      <c r="N364">
        <f t="shared" si="46"/>
        <v>0</v>
      </c>
      <c r="O364" t="s">
        <v>34</v>
      </c>
      <c r="P364" t="s">
        <v>3181</v>
      </c>
      <c r="Q364">
        <v>0</v>
      </c>
      <c r="R364">
        <v>268</v>
      </c>
      <c r="S364">
        <f t="shared" si="47"/>
        <v>1.1473558228399356</v>
      </c>
      <c r="T364">
        <f t="shared" si="48"/>
        <v>0</v>
      </c>
      <c r="U364">
        <f t="shared" si="49"/>
        <v>0</v>
      </c>
      <c r="V364">
        <f t="shared" si="50"/>
        <v>1</v>
      </c>
      <c r="W364">
        <f t="shared" si="51"/>
        <v>1</v>
      </c>
      <c r="X364">
        <f t="shared" si="52"/>
        <v>0</v>
      </c>
      <c r="Y364">
        <f t="shared" si="53"/>
        <v>0</v>
      </c>
    </row>
    <row r="365" spans="1:25" x14ac:dyDescent="0.3">
      <c r="A365" t="s">
        <v>2540</v>
      </c>
      <c r="B365" t="s">
        <v>2541</v>
      </c>
      <c r="C365" s="1">
        <v>45788</v>
      </c>
      <c r="D365" s="3">
        <v>0.89278935185185182</v>
      </c>
      <c r="E365">
        <f t="shared" si="45"/>
        <v>21</v>
      </c>
      <c r="F365">
        <v>47</v>
      </c>
      <c r="G365" t="s">
        <v>46</v>
      </c>
      <c r="H365" t="s">
        <v>239</v>
      </c>
      <c r="I365" t="s">
        <v>20</v>
      </c>
      <c r="J365" t="s">
        <v>49</v>
      </c>
      <c r="K365" t="s">
        <v>62</v>
      </c>
      <c r="L365">
        <v>257.3</v>
      </c>
      <c r="M365" t="s">
        <v>23</v>
      </c>
      <c r="N365">
        <f t="shared" si="46"/>
        <v>0</v>
      </c>
      <c r="O365" t="s">
        <v>86</v>
      </c>
      <c r="P365" t="s">
        <v>2542</v>
      </c>
      <c r="Q365">
        <v>0</v>
      </c>
      <c r="R365">
        <v>381</v>
      </c>
      <c r="S365">
        <f t="shared" si="47"/>
        <v>1.1447254135394782</v>
      </c>
      <c r="T365">
        <f t="shared" si="48"/>
        <v>0</v>
      </c>
      <c r="U365">
        <f t="shared" si="49"/>
        <v>0</v>
      </c>
      <c r="V365">
        <f t="shared" si="50"/>
        <v>0</v>
      </c>
      <c r="W365">
        <f t="shared" si="51"/>
        <v>0</v>
      </c>
      <c r="X365">
        <f t="shared" si="52"/>
        <v>0</v>
      </c>
      <c r="Y365">
        <f t="shared" si="53"/>
        <v>0</v>
      </c>
    </row>
    <row r="366" spans="1:25" x14ac:dyDescent="0.3">
      <c r="A366" t="s">
        <v>6344</v>
      </c>
      <c r="B366" t="s">
        <v>6345</v>
      </c>
      <c r="C366" s="1">
        <v>45770</v>
      </c>
      <c r="D366" s="3">
        <v>0.21133101851851852</v>
      </c>
      <c r="E366">
        <f t="shared" si="45"/>
        <v>5</v>
      </c>
      <c r="F366">
        <v>18</v>
      </c>
      <c r="G366" t="s">
        <v>46</v>
      </c>
      <c r="H366" t="s">
        <v>167</v>
      </c>
      <c r="I366" t="s">
        <v>85</v>
      </c>
      <c r="J366" t="s">
        <v>127</v>
      </c>
      <c r="K366" t="s">
        <v>50</v>
      </c>
      <c r="L366">
        <v>257.12</v>
      </c>
      <c r="M366" t="s">
        <v>33</v>
      </c>
      <c r="N366">
        <f t="shared" si="46"/>
        <v>0</v>
      </c>
      <c r="O366" t="s">
        <v>24</v>
      </c>
      <c r="P366" t="s">
        <v>6346</v>
      </c>
      <c r="Q366">
        <v>0</v>
      </c>
      <c r="R366">
        <v>221</v>
      </c>
      <c r="S366">
        <f t="shared" si="47"/>
        <v>1.1422334468337816</v>
      </c>
      <c r="T366">
        <f t="shared" si="48"/>
        <v>0</v>
      </c>
      <c r="U366">
        <f t="shared" si="49"/>
        <v>1</v>
      </c>
      <c r="V366">
        <f t="shared" si="50"/>
        <v>1</v>
      </c>
      <c r="W366">
        <f t="shared" si="51"/>
        <v>3</v>
      </c>
      <c r="X366">
        <f t="shared" si="52"/>
        <v>0</v>
      </c>
      <c r="Y366">
        <f t="shared" si="53"/>
        <v>0</v>
      </c>
    </row>
    <row r="367" spans="1:25" x14ac:dyDescent="0.3">
      <c r="A367" t="s">
        <v>4349</v>
      </c>
      <c r="B367" s="2" t="s">
        <v>4350</v>
      </c>
      <c r="C367" s="1">
        <v>45854</v>
      </c>
      <c r="D367" s="3">
        <v>0.2298263888888889</v>
      </c>
      <c r="E367">
        <f t="shared" si="45"/>
        <v>5</v>
      </c>
      <c r="F367">
        <v>37</v>
      </c>
      <c r="G367" t="s">
        <v>60</v>
      </c>
      <c r="H367" t="s">
        <v>19</v>
      </c>
      <c r="I367" t="s">
        <v>20</v>
      </c>
      <c r="J367" t="s">
        <v>127</v>
      </c>
      <c r="K367" t="s">
        <v>95</v>
      </c>
      <c r="L367">
        <v>256.98</v>
      </c>
      <c r="M367" t="s">
        <v>115</v>
      </c>
      <c r="N367">
        <f t="shared" si="46"/>
        <v>0</v>
      </c>
      <c r="O367" t="s">
        <v>51</v>
      </c>
      <c r="P367" t="s">
        <v>4351</v>
      </c>
      <c r="Q367">
        <v>0</v>
      </c>
      <c r="R367">
        <v>413</v>
      </c>
      <c r="S367">
        <f t="shared" si="47"/>
        <v>1.1402952505071287</v>
      </c>
      <c r="T367">
        <f t="shared" si="48"/>
        <v>0</v>
      </c>
      <c r="U367">
        <f t="shared" si="49"/>
        <v>1</v>
      </c>
      <c r="V367">
        <f t="shared" si="50"/>
        <v>0</v>
      </c>
      <c r="W367">
        <f t="shared" si="51"/>
        <v>2</v>
      </c>
      <c r="X367">
        <f t="shared" si="52"/>
        <v>0</v>
      </c>
      <c r="Y367">
        <f t="shared" si="53"/>
        <v>0</v>
      </c>
    </row>
    <row r="368" spans="1:25" x14ac:dyDescent="0.3">
      <c r="A368" t="s">
        <v>341</v>
      </c>
      <c r="B368" t="s">
        <v>342</v>
      </c>
      <c r="C368" s="1">
        <v>45838</v>
      </c>
      <c r="D368" s="3">
        <v>0.52255787037037038</v>
      </c>
      <c r="E368">
        <f t="shared" si="45"/>
        <v>12</v>
      </c>
      <c r="F368">
        <v>43</v>
      </c>
      <c r="G368" t="s">
        <v>46</v>
      </c>
      <c r="H368" t="s">
        <v>175</v>
      </c>
      <c r="I368" t="s">
        <v>105</v>
      </c>
      <c r="J368" t="s">
        <v>127</v>
      </c>
      <c r="K368" t="s">
        <v>101</v>
      </c>
      <c r="L368">
        <v>256.66000000000003</v>
      </c>
      <c r="M368" t="s">
        <v>115</v>
      </c>
      <c r="N368">
        <f t="shared" si="46"/>
        <v>0</v>
      </c>
      <c r="O368" t="s">
        <v>51</v>
      </c>
      <c r="P368" t="s">
        <v>343</v>
      </c>
      <c r="Q368">
        <v>0</v>
      </c>
      <c r="R368">
        <v>431</v>
      </c>
      <c r="S368">
        <f t="shared" si="47"/>
        <v>1.1358650874747793</v>
      </c>
      <c r="T368">
        <f t="shared" si="48"/>
        <v>0</v>
      </c>
      <c r="U368">
        <f t="shared" si="49"/>
        <v>0</v>
      </c>
      <c r="V368">
        <f t="shared" si="50"/>
        <v>0</v>
      </c>
      <c r="W368">
        <f t="shared" si="51"/>
        <v>0</v>
      </c>
      <c r="X368">
        <f t="shared" si="52"/>
        <v>0</v>
      </c>
      <c r="Y368">
        <f t="shared" si="53"/>
        <v>0</v>
      </c>
    </row>
    <row r="369" spans="1:25" x14ac:dyDescent="0.3">
      <c r="A369" t="s">
        <v>2756</v>
      </c>
      <c r="B369" t="s">
        <v>2757</v>
      </c>
      <c r="C369" s="1">
        <v>45760</v>
      </c>
      <c r="D369" s="3">
        <v>0.94590277777777776</v>
      </c>
      <c r="E369">
        <f t="shared" si="45"/>
        <v>22</v>
      </c>
      <c r="F369">
        <v>32</v>
      </c>
      <c r="G369" t="s">
        <v>46</v>
      </c>
      <c r="H369" t="s">
        <v>175</v>
      </c>
      <c r="I369" t="s">
        <v>119</v>
      </c>
      <c r="J369" t="s">
        <v>31</v>
      </c>
      <c r="K369" t="s">
        <v>41</v>
      </c>
      <c r="L369">
        <v>256.60000000000002</v>
      </c>
      <c r="M369" t="s">
        <v>23</v>
      </c>
      <c r="N369">
        <f t="shared" si="46"/>
        <v>0</v>
      </c>
      <c r="O369" t="s">
        <v>24</v>
      </c>
      <c r="P369" t="s">
        <v>2758</v>
      </c>
      <c r="Q369">
        <v>0</v>
      </c>
      <c r="R369">
        <v>342</v>
      </c>
      <c r="S369">
        <f t="shared" si="47"/>
        <v>1.1350344319062136</v>
      </c>
      <c r="T369">
        <f t="shared" si="48"/>
        <v>0</v>
      </c>
      <c r="U369">
        <f t="shared" si="49"/>
        <v>0</v>
      </c>
      <c r="V369">
        <f t="shared" si="50"/>
        <v>0</v>
      </c>
      <c r="W369">
        <f t="shared" si="51"/>
        <v>0</v>
      </c>
      <c r="X369">
        <f t="shared" si="52"/>
        <v>0</v>
      </c>
      <c r="Y369">
        <f t="shared" si="53"/>
        <v>0</v>
      </c>
    </row>
    <row r="370" spans="1:25" x14ac:dyDescent="0.3">
      <c r="A370" t="s">
        <v>3116</v>
      </c>
      <c r="B370" t="s">
        <v>3117</v>
      </c>
      <c r="C370" s="1">
        <v>45840</v>
      </c>
      <c r="D370" s="3">
        <v>0.74233796296296295</v>
      </c>
      <c r="E370">
        <f t="shared" si="45"/>
        <v>17</v>
      </c>
      <c r="F370">
        <v>60</v>
      </c>
      <c r="G370" t="s">
        <v>18</v>
      </c>
      <c r="H370" t="s">
        <v>312</v>
      </c>
      <c r="I370" t="s">
        <v>20</v>
      </c>
      <c r="J370" t="s">
        <v>21</v>
      </c>
      <c r="K370" t="s">
        <v>114</v>
      </c>
      <c r="L370">
        <v>256.58999999999997</v>
      </c>
      <c r="M370" t="s">
        <v>115</v>
      </c>
      <c r="N370">
        <f t="shared" si="46"/>
        <v>0</v>
      </c>
      <c r="O370" t="s">
        <v>34</v>
      </c>
      <c r="P370" t="s">
        <v>3118</v>
      </c>
      <c r="Q370">
        <v>0</v>
      </c>
      <c r="R370">
        <v>164</v>
      </c>
      <c r="S370">
        <f t="shared" si="47"/>
        <v>1.1348959893114521</v>
      </c>
      <c r="T370">
        <f t="shared" si="48"/>
        <v>0</v>
      </c>
      <c r="U370">
        <f t="shared" si="49"/>
        <v>0</v>
      </c>
      <c r="V370">
        <f t="shared" si="50"/>
        <v>1</v>
      </c>
      <c r="W370">
        <f t="shared" si="51"/>
        <v>1</v>
      </c>
      <c r="X370">
        <f t="shared" si="52"/>
        <v>0</v>
      </c>
      <c r="Y370">
        <f t="shared" si="53"/>
        <v>0</v>
      </c>
    </row>
    <row r="371" spans="1:25" x14ac:dyDescent="0.3">
      <c r="A371" t="s">
        <v>6107</v>
      </c>
      <c r="B371" t="s">
        <v>6108</v>
      </c>
      <c r="C371" s="1">
        <v>45873</v>
      </c>
      <c r="D371" s="3">
        <v>0.80762731481481487</v>
      </c>
      <c r="E371">
        <f t="shared" si="45"/>
        <v>19</v>
      </c>
      <c r="F371">
        <v>43</v>
      </c>
      <c r="G371" t="s">
        <v>46</v>
      </c>
      <c r="H371" t="s">
        <v>189</v>
      </c>
      <c r="I371" t="s">
        <v>119</v>
      </c>
      <c r="J371" t="s">
        <v>76</v>
      </c>
      <c r="K371" t="s">
        <v>41</v>
      </c>
      <c r="L371">
        <v>256.57</v>
      </c>
      <c r="M371" t="s">
        <v>23</v>
      </c>
      <c r="N371">
        <f t="shared" si="46"/>
        <v>0</v>
      </c>
      <c r="O371" t="s">
        <v>34</v>
      </c>
      <c r="P371" t="s">
        <v>6109</v>
      </c>
      <c r="Q371">
        <v>0</v>
      </c>
      <c r="R371">
        <v>61</v>
      </c>
      <c r="S371">
        <f t="shared" si="47"/>
        <v>1.1346191041219305</v>
      </c>
      <c r="T371">
        <f t="shared" si="48"/>
        <v>0</v>
      </c>
      <c r="U371">
        <f t="shared" si="49"/>
        <v>0</v>
      </c>
      <c r="V371">
        <f t="shared" si="50"/>
        <v>1</v>
      </c>
      <c r="W371">
        <f t="shared" si="51"/>
        <v>1</v>
      </c>
      <c r="X371">
        <f t="shared" si="52"/>
        <v>0</v>
      </c>
      <c r="Y371">
        <f t="shared" si="53"/>
        <v>0</v>
      </c>
    </row>
    <row r="372" spans="1:25" x14ac:dyDescent="0.3">
      <c r="A372" t="s">
        <v>1604</v>
      </c>
      <c r="B372" t="s">
        <v>1605</v>
      </c>
      <c r="C372" s="1">
        <v>45731</v>
      </c>
      <c r="D372" s="3">
        <v>0.13659722222222223</v>
      </c>
      <c r="E372">
        <f t="shared" si="45"/>
        <v>3</v>
      </c>
      <c r="F372" s="4">
        <v>41</v>
      </c>
      <c r="G372" t="s">
        <v>60</v>
      </c>
      <c r="H372" t="s">
        <v>185</v>
      </c>
      <c r="I372" t="s">
        <v>39</v>
      </c>
      <c r="J372" t="s">
        <v>56</v>
      </c>
      <c r="K372" t="s">
        <v>22</v>
      </c>
      <c r="L372">
        <v>256.44</v>
      </c>
      <c r="M372" t="s">
        <v>23</v>
      </c>
      <c r="N372">
        <f t="shared" si="46"/>
        <v>0</v>
      </c>
      <c r="O372" t="s">
        <v>51</v>
      </c>
      <c r="P372" t="s">
        <v>1606</v>
      </c>
      <c r="Q372">
        <v>0</v>
      </c>
      <c r="R372">
        <v>129</v>
      </c>
      <c r="S372">
        <f t="shared" si="47"/>
        <v>1.1328193503900386</v>
      </c>
      <c r="T372">
        <f t="shared" si="48"/>
        <v>0</v>
      </c>
      <c r="U372">
        <f t="shared" si="49"/>
        <v>1</v>
      </c>
      <c r="V372">
        <f t="shared" si="50"/>
        <v>1</v>
      </c>
      <c r="W372">
        <f t="shared" si="51"/>
        <v>3</v>
      </c>
      <c r="X372">
        <f t="shared" si="52"/>
        <v>0</v>
      </c>
      <c r="Y372">
        <f t="shared" si="53"/>
        <v>0</v>
      </c>
    </row>
    <row r="373" spans="1:25" x14ac:dyDescent="0.3">
      <c r="A373" t="s">
        <v>389</v>
      </c>
      <c r="B373" t="s">
        <v>390</v>
      </c>
      <c r="C373" s="1">
        <v>45804</v>
      </c>
      <c r="D373" s="3">
        <v>0.51655092592592589</v>
      </c>
      <c r="E373">
        <f t="shared" si="45"/>
        <v>12</v>
      </c>
      <c r="F373">
        <v>28</v>
      </c>
      <c r="G373" t="s">
        <v>46</v>
      </c>
      <c r="H373" t="s">
        <v>61</v>
      </c>
      <c r="I373" t="s">
        <v>85</v>
      </c>
      <c r="J373" t="s">
        <v>127</v>
      </c>
      <c r="K373" t="s">
        <v>101</v>
      </c>
      <c r="L373">
        <v>256.33</v>
      </c>
      <c r="M373" t="s">
        <v>42</v>
      </c>
      <c r="N373">
        <f t="shared" si="46"/>
        <v>0</v>
      </c>
      <c r="O373" t="s">
        <v>86</v>
      </c>
      <c r="P373" t="s">
        <v>391</v>
      </c>
      <c r="Q373">
        <v>0</v>
      </c>
      <c r="R373">
        <v>403</v>
      </c>
      <c r="S373">
        <f t="shared" si="47"/>
        <v>1.1312964818476681</v>
      </c>
      <c r="T373">
        <f t="shared" si="48"/>
        <v>0</v>
      </c>
      <c r="U373">
        <f t="shared" si="49"/>
        <v>0</v>
      </c>
      <c r="V373">
        <f t="shared" si="50"/>
        <v>0</v>
      </c>
      <c r="W373">
        <f t="shared" si="51"/>
        <v>0</v>
      </c>
      <c r="X373">
        <f t="shared" si="52"/>
        <v>0</v>
      </c>
      <c r="Y373">
        <f t="shared" si="53"/>
        <v>0</v>
      </c>
    </row>
    <row r="374" spans="1:25" x14ac:dyDescent="0.3">
      <c r="A374" t="s">
        <v>5927</v>
      </c>
      <c r="B374" t="s">
        <v>5928</v>
      </c>
      <c r="C374" s="1">
        <v>45722</v>
      </c>
      <c r="D374" s="3">
        <v>0.95638888888888884</v>
      </c>
      <c r="E374">
        <f t="shared" si="45"/>
        <v>22</v>
      </c>
      <c r="F374">
        <v>30</v>
      </c>
      <c r="G374" t="s">
        <v>46</v>
      </c>
      <c r="H374" t="s">
        <v>29</v>
      </c>
      <c r="I374" t="s">
        <v>119</v>
      </c>
      <c r="J374" t="s">
        <v>76</v>
      </c>
      <c r="K374" t="s">
        <v>101</v>
      </c>
      <c r="L374">
        <v>256</v>
      </c>
      <c r="M374" t="s">
        <v>23</v>
      </c>
      <c r="N374">
        <f t="shared" si="46"/>
        <v>0</v>
      </c>
      <c r="O374" t="s">
        <v>34</v>
      </c>
      <c r="P374" t="s">
        <v>5929</v>
      </c>
      <c r="Q374">
        <v>0</v>
      </c>
      <c r="R374">
        <v>162</v>
      </c>
      <c r="S374">
        <f t="shared" si="47"/>
        <v>1.1267278762205579</v>
      </c>
      <c r="T374">
        <f t="shared" si="48"/>
        <v>0</v>
      </c>
      <c r="U374">
        <f t="shared" si="49"/>
        <v>0</v>
      </c>
      <c r="V374">
        <f t="shared" si="50"/>
        <v>1</v>
      </c>
      <c r="W374">
        <f t="shared" si="51"/>
        <v>1</v>
      </c>
      <c r="X374">
        <f t="shared" si="52"/>
        <v>0</v>
      </c>
      <c r="Y374">
        <f t="shared" si="53"/>
        <v>0</v>
      </c>
    </row>
    <row r="375" spans="1:25" x14ac:dyDescent="0.3">
      <c r="A375" t="s">
        <v>5132</v>
      </c>
      <c r="B375" t="s">
        <v>5133</v>
      </c>
      <c r="C375" s="1">
        <v>45849</v>
      </c>
      <c r="D375" s="3">
        <v>0.25503472222222223</v>
      </c>
      <c r="E375">
        <f t="shared" si="45"/>
        <v>6</v>
      </c>
      <c r="F375">
        <v>58</v>
      </c>
      <c r="G375" t="s">
        <v>18</v>
      </c>
      <c r="H375" t="s">
        <v>189</v>
      </c>
      <c r="I375" t="s">
        <v>119</v>
      </c>
      <c r="J375" t="s">
        <v>132</v>
      </c>
      <c r="K375" t="s">
        <v>41</v>
      </c>
      <c r="L375">
        <v>255.86</v>
      </c>
      <c r="M375" t="s">
        <v>33</v>
      </c>
      <c r="N375">
        <f t="shared" si="46"/>
        <v>0</v>
      </c>
      <c r="O375" t="s">
        <v>86</v>
      </c>
      <c r="P375" t="s">
        <v>5134</v>
      </c>
      <c r="Q375">
        <v>0</v>
      </c>
      <c r="R375">
        <v>111</v>
      </c>
      <c r="S375">
        <f t="shared" si="47"/>
        <v>1.1247896798939052</v>
      </c>
      <c r="T375">
        <f t="shared" si="48"/>
        <v>0</v>
      </c>
      <c r="U375">
        <f t="shared" si="49"/>
        <v>0</v>
      </c>
      <c r="V375">
        <f t="shared" si="50"/>
        <v>1</v>
      </c>
      <c r="W375">
        <f t="shared" si="51"/>
        <v>1</v>
      </c>
      <c r="X375">
        <f t="shared" si="52"/>
        <v>0</v>
      </c>
      <c r="Y375">
        <f t="shared" si="53"/>
        <v>0</v>
      </c>
    </row>
    <row r="376" spans="1:25" x14ac:dyDescent="0.3">
      <c r="A376" t="s">
        <v>5321</v>
      </c>
      <c r="B376" t="s">
        <v>5322</v>
      </c>
      <c r="C376" s="1">
        <v>45861</v>
      </c>
      <c r="D376" s="3">
        <v>0.37792824074074072</v>
      </c>
      <c r="E376">
        <f t="shared" si="45"/>
        <v>9</v>
      </c>
      <c r="F376">
        <v>44</v>
      </c>
      <c r="G376" t="s">
        <v>46</v>
      </c>
      <c r="H376" t="s">
        <v>29</v>
      </c>
      <c r="I376" t="s">
        <v>105</v>
      </c>
      <c r="J376" t="s">
        <v>49</v>
      </c>
      <c r="K376" t="s">
        <v>62</v>
      </c>
      <c r="L376">
        <v>255.77</v>
      </c>
      <c r="M376" t="s">
        <v>42</v>
      </c>
      <c r="N376">
        <f t="shared" si="46"/>
        <v>0</v>
      </c>
      <c r="O376" t="s">
        <v>51</v>
      </c>
      <c r="P376" t="s">
        <v>5323</v>
      </c>
      <c r="Q376">
        <v>0</v>
      </c>
      <c r="R376">
        <v>137</v>
      </c>
      <c r="S376">
        <f t="shared" si="47"/>
        <v>1.1235436965410568</v>
      </c>
      <c r="T376">
        <f t="shared" si="48"/>
        <v>0</v>
      </c>
      <c r="U376">
        <f t="shared" si="49"/>
        <v>0</v>
      </c>
      <c r="V376">
        <f t="shared" si="50"/>
        <v>1</v>
      </c>
      <c r="W376">
        <f t="shared" si="51"/>
        <v>1</v>
      </c>
      <c r="X376">
        <f t="shared" si="52"/>
        <v>0</v>
      </c>
      <c r="Y376">
        <f t="shared" si="53"/>
        <v>0</v>
      </c>
    </row>
    <row r="377" spans="1:25" x14ac:dyDescent="0.3">
      <c r="A377" t="s">
        <v>3185</v>
      </c>
      <c r="B377" t="s">
        <v>3186</v>
      </c>
      <c r="C377" s="1">
        <v>45834</v>
      </c>
      <c r="D377" s="3">
        <v>0.23043981481481482</v>
      </c>
      <c r="E377">
        <f t="shared" si="45"/>
        <v>5</v>
      </c>
      <c r="F377">
        <v>52</v>
      </c>
      <c r="G377" t="s">
        <v>6479</v>
      </c>
      <c r="H377" t="s">
        <v>61</v>
      </c>
      <c r="I377" t="s">
        <v>20</v>
      </c>
      <c r="J377" t="s">
        <v>40</v>
      </c>
      <c r="K377" t="s">
        <v>120</v>
      </c>
      <c r="L377">
        <v>255.7</v>
      </c>
      <c r="M377" t="s">
        <v>115</v>
      </c>
      <c r="N377">
        <f t="shared" si="46"/>
        <v>0</v>
      </c>
      <c r="O377" t="s">
        <v>24</v>
      </c>
      <c r="P377" t="s">
        <v>3187</v>
      </c>
      <c r="Q377">
        <v>0</v>
      </c>
      <c r="R377">
        <v>453</v>
      </c>
      <c r="S377">
        <f t="shared" si="47"/>
        <v>1.12257459837773</v>
      </c>
      <c r="T377">
        <f t="shared" si="48"/>
        <v>0</v>
      </c>
      <c r="U377">
        <f t="shared" si="49"/>
        <v>1</v>
      </c>
      <c r="V377">
        <f t="shared" si="50"/>
        <v>0</v>
      </c>
      <c r="W377">
        <f t="shared" si="51"/>
        <v>2</v>
      </c>
      <c r="X377">
        <f t="shared" si="52"/>
        <v>0</v>
      </c>
      <c r="Y377">
        <f t="shared" si="53"/>
        <v>0</v>
      </c>
    </row>
    <row r="378" spans="1:25" x14ac:dyDescent="0.3">
      <c r="A378" t="s">
        <v>36</v>
      </c>
      <c r="B378" t="s">
        <v>37</v>
      </c>
      <c r="C378" s="1">
        <v>45708</v>
      </c>
      <c r="D378" s="3">
        <v>0.5250231481481481</v>
      </c>
      <c r="E378">
        <f t="shared" si="45"/>
        <v>12</v>
      </c>
      <c r="F378">
        <v>32</v>
      </c>
      <c r="G378" t="s">
        <v>18</v>
      </c>
      <c r="H378" t="s">
        <v>38</v>
      </c>
      <c r="I378" t="s">
        <v>39</v>
      </c>
      <c r="J378" t="s">
        <v>40</v>
      </c>
      <c r="K378" t="s">
        <v>41</v>
      </c>
      <c r="L378">
        <v>255.69</v>
      </c>
      <c r="M378" t="s">
        <v>42</v>
      </c>
      <c r="N378">
        <f t="shared" si="46"/>
        <v>0</v>
      </c>
      <c r="O378" t="s">
        <v>24</v>
      </c>
      <c r="P378" t="s">
        <v>43</v>
      </c>
      <c r="Q378">
        <v>0</v>
      </c>
      <c r="R378">
        <v>96</v>
      </c>
      <c r="S378">
        <f t="shared" si="47"/>
        <v>1.1224361557829692</v>
      </c>
      <c r="T378">
        <f t="shared" si="48"/>
        <v>0</v>
      </c>
      <c r="U378">
        <f t="shared" si="49"/>
        <v>0</v>
      </c>
      <c r="V378">
        <f t="shared" si="50"/>
        <v>1</v>
      </c>
      <c r="W378">
        <f t="shared" si="51"/>
        <v>1</v>
      </c>
      <c r="X378">
        <f t="shared" si="52"/>
        <v>0</v>
      </c>
      <c r="Y378">
        <f t="shared" si="53"/>
        <v>0</v>
      </c>
    </row>
    <row r="379" spans="1:25" x14ac:dyDescent="0.3">
      <c r="A379" t="s">
        <v>3005</v>
      </c>
      <c r="B379" t="s">
        <v>3006</v>
      </c>
      <c r="C379" s="1">
        <v>45761</v>
      </c>
      <c r="D379" s="3">
        <v>0.19526620370370371</v>
      </c>
      <c r="E379">
        <f t="shared" si="45"/>
        <v>4</v>
      </c>
      <c r="F379">
        <v>41</v>
      </c>
      <c r="G379" t="s">
        <v>46</v>
      </c>
      <c r="H379" t="s">
        <v>61</v>
      </c>
      <c r="I379" t="s">
        <v>66</v>
      </c>
      <c r="J379" t="s">
        <v>21</v>
      </c>
      <c r="K379" t="s">
        <v>120</v>
      </c>
      <c r="L379">
        <v>255.69</v>
      </c>
      <c r="M379" t="s">
        <v>42</v>
      </c>
      <c r="N379">
        <f t="shared" si="46"/>
        <v>0</v>
      </c>
      <c r="O379" t="s">
        <v>86</v>
      </c>
      <c r="P379" t="s">
        <v>3007</v>
      </c>
      <c r="Q379">
        <v>0</v>
      </c>
      <c r="R379">
        <v>465</v>
      </c>
      <c r="S379">
        <f t="shared" si="47"/>
        <v>1.1224361557829692</v>
      </c>
      <c r="T379">
        <f t="shared" si="48"/>
        <v>0</v>
      </c>
      <c r="U379">
        <f t="shared" si="49"/>
        <v>1</v>
      </c>
      <c r="V379">
        <f t="shared" si="50"/>
        <v>0</v>
      </c>
      <c r="W379">
        <f t="shared" si="51"/>
        <v>2</v>
      </c>
      <c r="X379">
        <f t="shared" si="52"/>
        <v>0</v>
      </c>
      <c r="Y379">
        <f t="shared" si="53"/>
        <v>0</v>
      </c>
    </row>
    <row r="380" spans="1:25" x14ac:dyDescent="0.3">
      <c r="A380" t="s">
        <v>3689</v>
      </c>
      <c r="B380" s="2" t="s">
        <v>3690</v>
      </c>
      <c r="C380" s="1">
        <v>45877</v>
      </c>
      <c r="D380" s="3">
        <v>0.23094907407407408</v>
      </c>
      <c r="E380">
        <f t="shared" si="45"/>
        <v>5</v>
      </c>
      <c r="F380">
        <v>43</v>
      </c>
      <c r="G380" t="s">
        <v>60</v>
      </c>
      <c r="H380" t="s">
        <v>189</v>
      </c>
      <c r="I380" t="s">
        <v>39</v>
      </c>
      <c r="J380" t="s">
        <v>49</v>
      </c>
      <c r="K380" t="s">
        <v>50</v>
      </c>
      <c r="L380">
        <v>255.61</v>
      </c>
      <c r="M380" t="s">
        <v>23</v>
      </c>
      <c r="N380">
        <f t="shared" si="46"/>
        <v>0</v>
      </c>
      <c r="O380" t="s">
        <v>24</v>
      </c>
      <c r="P380" t="s">
        <v>3691</v>
      </c>
      <c r="Q380">
        <v>0</v>
      </c>
      <c r="R380">
        <v>298</v>
      </c>
      <c r="S380">
        <f t="shared" si="47"/>
        <v>1.121328615024882</v>
      </c>
      <c r="T380">
        <f t="shared" si="48"/>
        <v>0</v>
      </c>
      <c r="U380">
        <f t="shared" si="49"/>
        <v>1</v>
      </c>
      <c r="V380">
        <f t="shared" si="50"/>
        <v>0</v>
      </c>
      <c r="W380">
        <f t="shared" si="51"/>
        <v>2</v>
      </c>
      <c r="X380">
        <f t="shared" si="52"/>
        <v>0</v>
      </c>
      <c r="Y380">
        <f t="shared" si="53"/>
        <v>0</v>
      </c>
    </row>
    <row r="381" spans="1:25" x14ac:dyDescent="0.3">
      <c r="A381" s="2" t="s">
        <v>3947</v>
      </c>
      <c r="B381" t="s">
        <v>3948</v>
      </c>
      <c r="C381" s="1">
        <v>45857</v>
      </c>
      <c r="D381" s="3">
        <v>0.33212962962962961</v>
      </c>
      <c r="E381">
        <f t="shared" si="45"/>
        <v>7</v>
      </c>
      <c r="F381">
        <v>25</v>
      </c>
      <c r="G381" t="s">
        <v>46</v>
      </c>
      <c r="H381" t="s">
        <v>84</v>
      </c>
      <c r="I381" t="s">
        <v>48</v>
      </c>
      <c r="J381" t="s">
        <v>127</v>
      </c>
      <c r="K381" t="s">
        <v>50</v>
      </c>
      <c r="L381">
        <v>255.53</v>
      </c>
      <c r="M381" t="s">
        <v>115</v>
      </c>
      <c r="N381">
        <f t="shared" si="46"/>
        <v>0</v>
      </c>
      <c r="O381" t="s">
        <v>34</v>
      </c>
      <c r="P381" t="s">
        <v>3949</v>
      </c>
      <c r="Q381">
        <v>0</v>
      </c>
      <c r="R381">
        <v>249</v>
      </c>
      <c r="S381">
        <f t="shared" si="47"/>
        <v>1.1202210742667944</v>
      </c>
      <c r="T381">
        <f t="shared" si="48"/>
        <v>0</v>
      </c>
      <c r="U381">
        <f t="shared" si="49"/>
        <v>0</v>
      </c>
      <c r="V381">
        <f t="shared" si="50"/>
        <v>1</v>
      </c>
      <c r="W381">
        <f t="shared" si="51"/>
        <v>1</v>
      </c>
      <c r="X381">
        <f t="shared" si="52"/>
        <v>0</v>
      </c>
      <c r="Y381">
        <f t="shared" si="53"/>
        <v>0</v>
      </c>
    </row>
    <row r="382" spans="1:25" x14ac:dyDescent="0.3">
      <c r="A382" t="s">
        <v>6260</v>
      </c>
      <c r="B382" t="s">
        <v>6261</v>
      </c>
      <c r="C382" s="1">
        <v>45781</v>
      </c>
      <c r="D382" s="3">
        <v>0.66495370370370366</v>
      </c>
      <c r="E382">
        <f t="shared" si="45"/>
        <v>15</v>
      </c>
      <c r="F382">
        <v>22</v>
      </c>
      <c r="G382" t="s">
        <v>46</v>
      </c>
      <c r="H382" t="s">
        <v>47</v>
      </c>
      <c r="I382" t="s">
        <v>66</v>
      </c>
      <c r="J382" t="s">
        <v>94</v>
      </c>
      <c r="K382" t="s">
        <v>22</v>
      </c>
      <c r="L382">
        <v>255.33</v>
      </c>
      <c r="M382" t="s">
        <v>33</v>
      </c>
      <c r="N382">
        <f t="shared" si="46"/>
        <v>0</v>
      </c>
      <c r="O382" t="s">
        <v>86</v>
      </c>
      <c r="P382" t="s">
        <v>6262</v>
      </c>
      <c r="Q382">
        <v>0</v>
      </c>
      <c r="R382">
        <v>346</v>
      </c>
      <c r="S382">
        <f t="shared" si="47"/>
        <v>1.1174522223715762</v>
      </c>
      <c r="T382">
        <f t="shared" si="48"/>
        <v>0</v>
      </c>
      <c r="U382">
        <f t="shared" si="49"/>
        <v>0</v>
      </c>
      <c r="V382">
        <f t="shared" si="50"/>
        <v>0</v>
      </c>
      <c r="W382">
        <f t="shared" si="51"/>
        <v>0</v>
      </c>
      <c r="X382">
        <f t="shared" si="52"/>
        <v>0</v>
      </c>
      <c r="Y382">
        <f t="shared" si="53"/>
        <v>0</v>
      </c>
    </row>
    <row r="383" spans="1:25" x14ac:dyDescent="0.3">
      <c r="A383" t="s">
        <v>4802</v>
      </c>
      <c r="B383" t="s">
        <v>4803</v>
      </c>
      <c r="C383" s="1">
        <v>45773</v>
      </c>
      <c r="D383" s="3">
        <v>0.14498842592592592</v>
      </c>
      <c r="E383">
        <f t="shared" si="45"/>
        <v>3</v>
      </c>
      <c r="F383">
        <v>63</v>
      </c>
      <c r="G383" t="s">
        <v>46</v>
      </c>
      <c r="H383" t="s">
        <v>142</v>
      </c>
      <c r="I383" t="s">
        <v>105</v>
      </c>
      <c r="J383" t="s">
        <v>49</v>
      </c>
      <c r="K383" t="s">
        <v>95</v>
      </c>
      <c r="L383">
        <v>255.29</v>
      </c>
      <c r="M383" t="s">
        <v>115</v>
      </c>
      <c r="N383">
        <f t="shared" si="46"/>
        <v>0</v>
      </c>
      <c r="O383" t="s">
        <v>51</v>
      </c>
      <c r="P383" t="s">
        <v>4804</v>
      </c>
      <c r="Q383">
        <v>0</v>
      </c>
      <c r="R383">
        <v>95</v>
      </c>
      <c r="S383">
        <f t="shared" si="47"/>
        <v>1.116898451992532</v>
      </c>
      <c r="T383">
        <f t="shared" si="48"/>
        <v>0</v>
      </c>
      <c r="U383">
        <f t="shared" si="49"/>
        <v>1</v>
      </c>
      <c r="V383">
        <f t="shared" si="50"/>
        <v>1</v>
      </c>
      <c r="W383">
        <f t="shared" si="51"/>
        <v>3</v>
      </c>
      <c r="X383">
        <f t="shared" si="52"/>
        <v>0</v>
      </c>
      <c r="Y383">
        <f t="shared" si="53"/>
        <v>0</v>
      </c>
    </row>
    <row r="384" spans="1:25" x14ac:dyDescent="0.3">
      <c r="A384" t="s">
        <v>2549</v>
      </c>
      <c r="B384" t="s">
        <v>2550</v>
      </c>
      <c r="C384" s="1">
        <v>45785</v>
      </c>
      <c r="D384" s="3">
        <v>0.97766203703703702</v>
      </c>
      <c r="E384">
        <f t="shared" si="45"/>
        <v>23</v>
      </c>
      <c r="F384">
        <v>22</v>
      </c>
      <c r="G384" t="s">
        <v>99</v>
      </c>
      <c r="H384" t="s">
        <v>47</v>
      </c>
      <c r="I384" t="s">
        <v>30</v>
      </c>
      <c r="J384" t="s">
        <v>40</v>
      </c>
      <c r="K384" t="s">
        <v>32</v>
      </c>
      <c r="L384">
        <v>255.27</v>
      </c>
      <c r="M384" t="s">
        <v>115</v>
      </c>
      <c r="N384">
        <f t="shared" si="46"/>
        <v>0</v>
      </c>
      <c r="O384" t="s">
        <v>51</v>
      </c>
      <c r="P384" t="s">
        <v>2551</v>
      </c>
      <c r="Q384">
        <v>0</v>
      </c>
      <c r="R384">
        <v>365</v>
      </c>
      <c r="S384">
        <f t="shared" si="47"/>
        <v>1.1166215668030106</v>
      </c>
      <c r="T384">
        <f t="shared" si="48"/>
        <v>0</v>
      </c>
      <c r="U384">
        <f t="shared" si="49"/>
        <v>0</v>
      </c>
      <c r="V384">
        <f t="shared" si="50"/>
        <v>0</v>
      </c>
      <c r="W384">
        <f t="shared" si="51"/>
        <v>0</v>
      </c>
      <c r="X384">
        <f t="shared" si="52"/>
        <v>0</v>
      </c>
      <c r="Y384">
        <f t="shared" si="53"/>
        <v>0</v>
      </c>
    </row>
    <row r="385" spans="1:25" x14ac:dyDescent="0.3">
      <c r="A385" t="s">
        <v>5330</v>
      </c>
      <c r="B385" t="s">
        <v>5331</v>
      </c>
      <c r="C385" s="1">
        <v>45782</v>
      </c>
      <c r="D385" s="3">
        <v>0.50847222222222221</v>
      </c>
      <c r="E385">
        <f t="shared" si="45"/>
        <v>12</v>
      </c>
      <c r="F385">
        <v>39</v>
      </c>
      <c r="G385" t="s">
        <v>18</v>
      </c>
      <c r="H385" t="s">
        <v>312</v>
      </c>
      <c r="I385" t="s">
        <v>110</v>
      </c>
      <c r="J385" t="s">
        <v>94</v>
      </c>
      <c r="K385" t="s">
        <v>95</v>
      </c>
      <c r="L385">
        <v>255.2</v>
      </c>
      <c r="M385" t="s">
        <v>23</v>
      </c>
      <c r="N385">
        <f t="shared" si="46"/>
        <v>0</v>
      </c>
      <c r="O385" t="s">
        <v>51</v>
      </c>
      <c r="P385" t="s">
        <v>5332</v>
      </c>
      <c r="Q385">
        <v>0</v>
      </c>
      <c r="R385">
        <v>65</v>
      </c>
      <c r="S385">
        <f t="shared" si="47"/>
        <v>1.1156524686396838</v>
      </c>
      <c r="T385">
        <f t="shared" si="48"/>
        <v>0</v>
      </c>
      <c r="U385">
        <f t="shared" si="49"/>
        <v>0</v>
      </c>
      <c r="V385">
        <f t="shared" si="50"/>
        <v>1</v>
      </c>
      <c r="W385">
        <f t="shared" si="51"/>
        <v>1</v>
      </c>
      <c r="X385">
        <f t="shared" si="52"/>
        <v>0</v>
      </c>
      <c r="Y385">
        <f t="shared" si="53"/>
        <v>0</v>
      </c>
    </row>
    <row r="386" spans="1:25" x14ac:dyDescent="0.3">
      <c r="A386" t="s">
        <v>5699</v>
      </c>
      <c r="B386" t="s">
        <v>5700</v>
      </c>
      <c r="C386" s="1">
        <v>45727</v>
      </c>
      <c r="D386" s="3">
        <v>6.9629629629629625E-2</v>
      </c>
      <c r="E386">
        <f t="shared" ref="E386:E449" si="54">HOUR(D386)</f>
        <v>1</v>
      </c>
      <c r="F386">
        <v>50</v>
      </c>
      <c r="G386" t="s">
        <v>60</v>
      </c>
      <c r="H386" t="s">
        <v>70</v>
      </c>
      <c r="I386" t="s">
        <v>105</v>
      </c>
      <c r="J386" t="s">
        <v>31</v>
      </c>
      <c r="K386" t="s">
        <v>50</v>
      </c>
      <c r="L386">
        <v>255.04</v>
      </c>
      <c r="M386" t="s">
        <v>6479</v>
      </c>
      <c r="N386">
        <f t="shared" ref="N386:N449" si="55">IF(M386="Unknown",1,0)</f>
        <v>1</v>
      </c>
      <c r="O386" t="s">
        <v>34</v>
      </c>
      <c r="P386" t="s">
        <v>5701</v>
      </c>
      <c r="Q386">
        <v>0</v>
      </c>
      <c r="R386">
        <v>256</v>
      </c>
      <c r="S386">
        <f t="shared" ref="S386:S449" si="56">(L386-$P$2137)/$P$2138</f>
        <v>1.113437387123509</v>
      </c>
      <c r="T386">
        <f t="shared" ref="T386:T449" si="57">IF(ABS(Z386)&gt;3,1,0)</f>
        <v>0</v>
      </c>
      <c r="U386">
        <f t="shared" ref="U386:U449" si="58">IF(AND(E386&gt;=0,E386&lt;=5),1,0)</f>
        <v>1</v>
      </c>
      <c r="V386">
        <f t="shared" ref="V386:V449" si="59">IF(R386&lt;AVERAGE($R:$R),1,0)</f>
        <v>1</v>
      </c>
      <c r="W386">
        <f t="shared" ref="W386:W449" si="60">T386*3+U386*2+V386*1+N386*2</f>
        <v>5</v>
      </c>
      <c r="X386">
        <f t="shared" ref="X386:X449" si="61">IF(W386&gt;=5,1,0)</f>
        <v>1</v>
      </c>
      <c r="Y386">
        <f t="shared" ref="Y386:Y449" si="62">IF(M386="Unknown",1,0)</f>
        <v>1</v>
      </c>
    </row>
    <row r="387" spans="1:25" x14ac:dyDescent="0.3">
      <c r="A387" t="s">
        <v>386</v>
      </c>
      <c r="B387" t="s">
        <v>387</v>
      </c>
      <c r="C387" s="1">
        <v>45782</v>
      </c>
      <c r="D387" s="3">
        <v>0.13062499999999999</v>
      </c>
      <c r="E387">
        <f t="shared" si="54"/>
        <v>3</v>
      </c>
      <c r="F387">
        <v>41</v>
      </c>
      <c r="G387" t="s">
        <v>28</v>
      </c>
      <c r="H387" t="s">
        <v>232</v>
      </c>
      <c r="I387" t="s">
        <v>30</v>
      </c>
      <c r="J387" t="s">
        <v>56</v>
      </c>
      <c r="K387" t="s">
        <v>50</v>
      </c>
      <c r="L387">
        <v>254.88</v>
      </c>
      <c r="M387" t="s">
        <v>33</v>
      </c>
      <c r="N387">
        <f t="shared" si="55"/>
        <v>0</v>
      </c>
      <c r="O387" t="s">
        <v>34</v>
      </c>
      <c r="P387" t="s">
        <v>388</v>
      </c>
      <c r="Q387">
        <v>0</v>
      </c>
      <c r="R387">
        <v>441</v>
      </c>
      <c r="S387">
        <f t="shared" si="56"/>
        <v>1.1112223056073343</v>
      </c>
      <c r="T387">
        <f t="shared" si="57"/>
        <v>0</v>
      </c>
      <c r="U387">
        <f t="shared" si="58"/>
        <v>1</v>
      </c>
      <c r="V387">
        <f t="shared" si="59"/>
        <v>0</v>
      </c>
      <c r="W387">
        <f t="shared" si="60"/>
        <v>2</v>
      </c>
      <c r="X387">
        <f t="shared" si="61"/>
        <v>0</v>
      </c>
      <c r="Y387">
        <f t="shared" si="62"/>
        <v>0</v>
      </c>
    </row>
    <row r="388" spans="1:25" x14ac:dyDescent="0.3">
      <c r="A388" t="s">
        <v>2372</v>
      </c>
      <c r="B388" t="s">
        <v>2373</v>
      </c>
      <c r="C388" s="1">
        <v>45803</v>
      </c>
      <c r="D388" s="3">
        <v>8.4074074074074079E-2</v>
      </c>
      <c r="E388">
        <f t="shared" si="54"/>
        <v>2</v>
      </c>
      <c r="F388">
        <v>40</v>
      </c>
      <c r="G388" t="s">
        <v>46</v>
      </c>
      <c r="H388" t="s">
        <v>90</v>
      </c>
      <c r="I388" t="s">
        <v>30</v>
      </c>
      <c r="J388" t="s">
        <v>127</v>
      </c>
      <c r="K388" t="s">
        <v>95</v>
      </c>
      <c r="L388">
        <v>254.87</v>
      </c>
      <c r="M388" t="s">
        <v>42</v>
      </c>
      <c r="N388">
        <f t="shared" si="55"/>
        <v>0</v>
      </c>
      <c r="O388" t="s">
        <v>24</v>
      </c>
      <c r="P388" t="s">
        <v>2374</v>
      </c>
      <c r="Q388">
        <v>0</v>
      </c>
      <c r="R388">
        <v>183</v>
      </c>
      <c r="S388">
        <f t="shared" si="56"/>
        <v>1.1110838630125734</v>
      </c>
      <c r="T388">
        <f t="shared" si="57"/>
        <v>0</v>
      </c>
      <c r="U388">
        <f t="shared" si="58"/>
        <v>1</v>
      </c>
      <c r="V388">
        <f t="shared" si="59"/>
        <v>1</v>
      </c>
      <c r="W388">
        <f t="shared" si="60"/>
        <v>3</v>
      </c>
      <c r="X388">
        <f t="shared" si="61"/>
        <v>0</v>
      </c>
      <c r="Y388">
        <f t="shared" si="62"/>
        <v>0</v>
      </c>
    </row>
    <row r="389" spans="1:25" x14ac:dyDescent="0.3">
      <c r="A389" t="s">
        <v>3629</v>
      </c>
      <c r="B389" t="s">
        <v>3630</v>
      </c>
      <c r="C389" s="1">
        <v>45769</v>
      </c>
      <c r="D389" s="3">
        <v>0.66634259259259254</v>
      </c>
      <c r="E389">
        <f t="shared" si="54"/>
        <v>15</v>
      </c>
      <c r="F389">
        <v>18</v>
      </c>
      <c r="G389" t="s">
        <v>60</v>
      </c>
      <c r="H389" t="s">
        <v>61</v>
      </c>
      <c r="I389" t="s">
        <v>105</v>
      </c>
      <c r="J389" t="s">
        <v>132</v>
      </c>
      <c r="K389" t="s">
        <v>50</v>
      </c>
      <c r="L389">
        <v>254.78</v>
      </c>
      <c r="M389" t="s">
        <v>23</v>
      </c>
      <c r="N389">
        <f t="shared" si="55"/>
        <v>0</v>
      </c>
      <c r="O389" t="s">
        <v>24</v>
      </c>
      <c r="P389" t="s">
        <v>3631</v>
      </c>
      <c r="Q389">
        <v>0</v>
      </c>
      <c r="R389">
        <v>354</v>
      </c>
      <c r="S389">
        <f t="shared" si="56"/>
        <v>1.109837879659725</v>
      </c>
      <c r="T389">
        <f t="shared" si="57"/>
        <v>0</v>
      </c>
      <c r="U389">
        <f t="shared" si="58"/>
        <v>0</v>
      </c>
      <c r="V389">
        <f t="shared" si="59"/>
        <v>0</v>
      </c>
      <c r="W389">
        <f t="shared" si="60"/>
        <v>0</v>
      </c>
      <c r="X389">
        <f t="shared" si="61"/>
        <v>0</v>
      </c>
      <c r="Y389">
        <f t="shared" si="62"/>
        <v>0</v>
      </c>
    </row>
    <row r="390" spans="1:25" x14ac:dyDescent="0.3">
      <c r="A390" t="s">
        <v>4463</v>
      </c>
      <c r="B390" t="s">
        <v>4464</v>
      </c>
      <c r="C390" s="1">
        <v>45809</v>
      </c>
      <c r="D390" s="3">
        <v>0.88040509259259259</v>
      </c>
      <c r="E390">
        <f t="shared" si="54"/>
        <v>21</v>
      </c>
      <c r="F390">
        <v>33</v>
      </c>
      <c r="G390" t="s">
        <v>60</v>
      </c>
      <c r="H390" t="s">
        <v>84</v>
      </c>
      <c r="I390" t="s">
        <v>20</v>
      </c>
      <c r="J390" t="s">
        <v>72</v>
      </c>
      <c r="K390" t="s">
        <v>41</v>
      </c>
      <c r="L390">
        <v>254.47</v>
      </c>
      <c r="M390" t="s">
        <v>42</v>
      </c>
      <c r="N390">
        <f t="shared" si="55"/>
        <v>0</v>
      </c>
      <c r="O390" t="s">
        <v>34</v>
      </c>
      <c r="P390" t="s">
        <v>4465</v>
      </c>
      <c r="Q390">
        <v>0</v>
      </c>
      <c r="R390">
        <v>308</v>
      </c>
      <c r="S390">
        <f t="shared" si="56"/>
        <v>1.1055461592221365</v>
      </c>
      <c r="T390">
        <f t="shared" si="57"/>
        <v>0</v>
      </c>
      <c r="U390">
        <f t="shared" si="58"/>
        <v>0</v>
      </c>
      <c r="V390">
        <f t="shared" si="59"/>
        <v>0</v>
      </c>
      <c r="W390">
        <f t="shared" si="60"/>
        <v>0</v>
      </c>
      <c r="X390">
        <f t="shared" si="61"/>
        <v>0</v>
      </c>
      <c r="Y390">
        <f t="shared" si="62"/>
        <v>0</v>
      </c>
    </row>
    <row r="391" spans="1:25" x14ac:dyDescent="0.3">
      <c r="A391" t="s">
        <v>1361</v>
      </c>
      <c r="B391" t="s">
        <v>1362</v>
      </c>
      <c r="C391" s="1">
        <v>45730</v>
      </c>
      <c r="D391" s="3">
        <v>0.35496527777777775</v>
      </c>
      <c r="E391">
        <f t="shared" si="54"/>
        <v>8</v>
      </c>
      <c r="F391">
        <v>23</v>
      </c>
      <c r="G391" t="s">
        <v>46</v>
      </c>
      <c r="H391" t="s">
        <v>142</v>
      </c>
      <c r="I391" t="s">
        <v>71</v>
      </c>
      <c r="J391" t="s">
        <v>76</v>
      </c>
      <c r="K391" t="s">
        <v>120</v>
      </c>
      <c r="L391">
        <v>254.19</v>
      </c>
      <c r="M391" t="s">
        <v>33</v>
      </c>
      <c r="N391">
        <f t="shared" si="55"/>
        <v>0</v>
      </c>
      <c r="O391" t="s">
        <v>51</v>
      </c>
      <c r="P391" t="s">
        <v>1363</v>
      </c>
      <c r="Q391">
        <v>0</v>
      </c>
      <c r="R391">
        <v>490</v>
      </c>
      <c r="S391">
        <f t="shared" si="56"/>
        <v>1.1016697665688304</v>
      </c>
      <c r="T391">
        <f t="shared" si="57"/>
        <v>0</v>
      </c>
      <c r="U391">
        <f t="shared" si="58"/>
        <v>0</v>
      </c>
      <c r="V391">
        <f t="shared" si="59"/>
        <v>0</v>
      </c>
      <c r="W391">
        <f t="shared" si="60"/>
        <v>0</v>
      </c>
      <c r="X391">
        <f t="shared" si="61"/>
        <v>0</v>
      </c>
      <c r="Y391">
        <f t="shared" si="62"/>
        <v>0</v>
      </c>
    </row>
    <row r="392" spans="1:25" x14ac:dyDescent="0.3">
      <c r="A392" t="s">
        <v>1238</v>
      </c>
      <c r="B392" t="s">
        <v>1239</v>
      </c>
      <c r="C392" s="1">
        <v>45704</v>
      </c>
      <c r="D392" s="3">
        <v>0.75680555555555551</v>
      </c>
      <c r="E392">
        <f t="shared" si="54"/>
        <v>18</v>
      </c>
      <c r="F392">
        <v>56</v>
      </c>
      <c r="G392" t="s">
        <v>46</v>
      </c>
      <c r="H392" t="s">
        <v>55</v>
      </c>
      <c r="I392" t="s">
        <v>110</v>
      </c>
      <c r="J392" t="s">
        <v>21</v>
      </c>
      <c r="K392" t="s">
        <v>114</v>
      </c>
      <c r="L392">
        <v>254.16</v>
      </c>
      <c r="M392" t="s">
        <v>42</v>
      </c>
      <c r="N392">
        <f t="shared" si="55"/>
        <v>0</v>
      </c>
      <c r="O392" t="s">
        <v>24</v>
      </c>
      <c r="P392" t="s">
        <v>1240</v>
      </c>
      <c r="Q392">
        <v>0</v>
      </c>
      <c r="R392">
        <v>110</v>
      </c>
      <c r="S392">
        <f t="shared" si="56"/>
        <v>1.1012544387845478</v>
      </c>
      <c r="T392">
        <f t="shared" si="57"/>
        <v>0</v>
      </c>
      <c r="U392">
        <f t="shared" si="58"/>
        <v>0</v>
      </c>
      <c r="V392">
        <f t="shared" si="59"/>
        <v>1</v>
      </c>
      <c r="W392">
        <f t="shared" si="60"/>
        <v>1</v>
      </c>
      <c r="X392">
        <f t="shared" si="61"/>
        <v>0</v>
      </c>
      <c r="Y392">
        <f t="shared" si="62"/>
        <v>0</v>
      </c>
    </row>
    <row r="393" spans="1:25" x14ac:dyDescent="0.3">
      <c r="A393" t="s">
        <v>4052</v>
      </c>
      <c r="B393" s="2" t="s">
        <v>4053</v>
      </c>
      <c r="C393" s="1">
        <v>45767</v>
      </c>
      <c r="D393" s="3">
        <v>0.87796296296296295</v>
      </c>
      <c r="E393">
        <f t="shared" si="54"/>
        <v>21</v>
      </c>
      <c r="F393">
        <v>59</v>
      </c>
      <c r="G393" t="s">
        <v>18</v>
      </c>
      <c r="H393" t="s">
        <v>29</v>
      </c>
      <c r="I393" t="s">
        <v>105</v>
      </c>
      <c r="J393" t="s">
        <v>127</v>
      </c>
      <c r="K393" t="s">
        <v>22</v>
      </c>
      <c r="L393">
        <v>254.14</v>
      </c>
      <c r="M393" t="s">
        <v>115</v>
      </c>
      <c r="N393">
        <f t="shared" si="55"/>
        <v>0</v>
      </c>
      <c r="O393" t="s">
        <v>24</v>
      </c>
      <c r="P393" t="s">
        <v>4054</v>
      </c>
      <c r="Q393">
        <v>0</v>
      </c>
      <c r="R393">
        <v>121</v>
      </c>
      <c r="S393">
        <f t="shared" si="56"/>
        <v>1.1009775535950257</v>
      </c>
      <c r="T393">
        <f t="shared" si="57"/>
        <v>0</v>
      </c>
      <c r="U393">
        <f t="shared" si="58"/>
        <v>0</v>
      </c>
      <c r="V393">
        <f t="shared" si="59"/>
        <v>1</v>
      </c>
      <c r="W393">
        <f t="shared" si="60"/>
        <v>1</v>
      </c>
      <c r="X393">
        <f t="shared" si="61"/>
        <v>0</v>
      </c>
      <c r="Y393">
        <f t="shared" si="62"/>
        <v>0</v>
      </c>
    </row>
    <row r="394" spans="1:25" x14ac:dyDescent="0.3">
      <c r="A394" t="s">
        <v>4211</v>
      </c>
      <c r="B394" t="s">
        <v>4212</v>
      </c>
      <c r="C394" s="1">
        <v>45731</v>
      </c>
      <c r="D394" s="3">
        <v>0.87033564814814812</v>
      </c>
      <c r="E394">
        <f t="shared" si="54"/>
        <v>20</v>
      </c>
      <c r="F394">
        <v>54</v>
      </c>
      <c r="G394" t="s">
        <v>18</v>
      </c>
      <c r="H394" t="s">
        <v>70</v>
      </c>
      <c r="I394" t="s">
        <v>110</v>
      </c>
      <c r="J394" t="s">
        <v>76</v>
      </c>
      <c r="K394" t="s">
        <v>62</v>
      </c>
      <c r="L394">
        <v>254.11</v>
      </c>
      <c r="M394" t="s">
        <v>42</v>
      </c>
      <c r="N394">
        <f t="shared" si="55"/>
        <v>0</v>
      </c>
      <c r="O394" t="s">
        <v>51</v>
      </c>
      <c r="P394" t="s">
        <v>4213</v>
      </c>
      <c r="Q394">
        <v>0</v>
      </c>
      <c r="R394">
        <v>486</v>
      </c>
      <c r="S394">
        <f t="shared" si="56"/>
        <v>1.1005622258107433</v>
      </c>
      <c r="T394">
        <f t="shared" si="57"/>
        <v>0</v>
      </c>
      <c r="U394">
        <f t="shared" si="58"/>
        <v>0</v>
      </c>
      <c r="V394">
        <f t="shared" si="59"/>
        <v>0</v>
      </c>
      <c r="W394">
        <f t="shared" si="60"/>
        <v>0</v>
      </c>
      <c r="X394">
        <f t="shared" si="61"/>
        <v>0</v>
      </c>
      <c r="Y394">
        <f t="shared" si="62"/>
        <v>0</v>
      </c>
    </row>
    <row r="395" spans="1:25" x14ac:dyDescent="0.3">
      <c r="A395" t="s">
        <v>2114</v>
      </c>
      <c r="B395" t="s">
        <v>2115</v>
      </c>
      <c r="C395" s="1">
        <v>45809</v>
      </c>
      <c r="D395" s="3">
        <v>0.36592592592592593</v>
      </c>
      <c r="E395">
        <f t="shared" si="54"/>
        <v>8</v>
      </c>
      <c r="F395">
        <v>38</v>
      </c>
      <c r="G395" t="s">
        <v>18</v>
      </c>
      <c r="H395" t="s">
        <v>70</v>
      </c>
      <c r="I395" t="s">
        <v>85</v>
      </c>
      <c r="J395" t="s">
        <v>72</v>
      </c>
      <c r="K395" t="s">
        <v>62</v>
      </c>
      <c r="L395">
        <v>253.93</v>
      </c>
      <c r="M395" t="s">
        <v>42</v>
      </c>
      <c r="N395">
        <f t="shared" si="55"/>
        <v>0</v>
      </c>
      <c r="O395" t="s">
        <v>24</v>
      </c>
      <c r="P395" t="s">
        <v>2116</v>
      </c>
      <c r="Q395">
        <v>0</v>
      </c>
      <c r="R395">
        <v>89</v>
      </c>
      <c r="S395">
        <f t="shared" si="56"/>
        <v>1.0980702591050466</v>
      </c>
      <c r="T395">
        <f t="shared" si="57"/>
        <v>0</v>
      </c>
      <c r="U395">
        <f t="shared" si="58"/>
        <v>0</v>
      </c>
      <c r="V395">
        <f t="shared" si="59"/>
        <v>1</v>
      </c>
      <c r="W395">
        <f t="shared" si="60"/>
        <v>1</v>
      </c>
      <c r="X395">
        <f t="shared" si="61"/>
        <v>0</v>
      </c>
      <c r="Y395">
        <f t="shared" si="62"/>
        <v>0</v>
      </c>
    </row>
    <row r="396" spans="1:25" x14ac:dyDescent="0.3">
      <c r="A396" t="s">
        <v>4562</v>
      </c>
      <c r="B396" t="s">
        <v>4563</v>
      </c>
      <c r="C396" s="1">
        <v>45739</v>
      </c>
      <c r="D396" s="3">
        <v>0.76553240740740736</v>
      </c>
      <c r="E396">
        <f t="shared" si="54"/>
        <v>18</v>
      </c>
      <c r="F396">
        <v>32</v>
      </c>
      <c r="G396" t="s">
        <v>46</v>
      </c>
      <c r="H396" t="s">
        <v>84</v>
      </c>
      <c r="I396" t="s">
        <v>110</v>
      </c>
      <c r="J396" t="s">
        <v>31</v>
      </c>
      <c r="K396" t="s">
        <v>32</v>
      </c>
      <c r="L396">
        <v>253.9</v>
      </c>
      <c r="M396" t="s">
        <v>33</v>
      </c>
      <c r="N396">
        <f t="shared" si="55"/>
        <v>0</v>
      </c>
      <c r="O396" t="s">
        <v>86</v>
      </c>
      <c r="P396" t="s">
        <v>4564</v>
      </c>
      <c r="Q396">
        <v>0</v>
      </c>
      <c r="R396">
        <v>281</v>
      </c>
      <c r="S396">
        <f t="shared" si="56"/>
        <v>1.0976549313207637</v>
      </c>
      <c r="T396">
        <f t="shared" si="57"/>
        <v>0</v>
      </c>
      <c r="U396">
        <f t="shared" si="58"/>
        <v>0</v>
      </c>
      <c r="V396">
        <f t="shared" si="59"/>
        <v>0</v>
      </c>
      <c r="W396">
        <f t="shared" si="60"/>
        <v>0</v>
      </c>
      <c r="X396">
        <f t="shared" si="61"/>
        <v>0</v>
      </c>
      <c r="Y396">
        <f t="shared" si="62"/>
        <v>0</v>
      </c>
    </row>
    <row r="397" spans="1:25" x14ac:dyDescent="0.3">
      <c r="A397" s="2" t="s">
        <v>5597</v>
      </c>
      <c r="B397" t="s">
        <v>5598</v>
      </c>
      <c r="C397" s="1">
        <v>45871</v>
      </c>
      <c r="D397" s="3">
        <v>0.20547453703703702</v>
      </c>
      <c r="E397">
        <f t="shared" si="54"/>
        <v>4</v>
      </c>
      <c r="F397">
        <v>37</v>
      </c>
      <c r="G397" t="s">
        <v>46</v>
      </c>
      <c r="H397" t="s">
        <v>232</v>
      </c>
      <c r="I397" t="s">
        <v>30</v>
      </c>
      <c r="J397" t="s">
        <v>21</v>
      </c>
      <c r="K397" t="s">
        <v>50</v>
      </c>
      <c r="L397">
        <v>253.89</v>
      </c>
      <c r="M397" t="s">
        <v>23</v>
      </c>
      <c r="N397">
        <f t="shared" si="55"/>
        <v>0</v>
      </c>
      <c r="O397" t="s">
        <v>24</v>
      </c>
      <c r="P397" t="s">
        <v>5599</v>
      </c>
      <c r="Q397">
        <v>0</v>
      </c>
      <c r="R397">
        <v>399</v>
      </c>
      <c r="S397">
        <f t="shared" si="56"/>
        <v>1.0975164887260025</v>
      </c>
      <c r="T397">
        <f t="shared" si="57"/>
        <v>0</v>
      </c>
      <c r="U397">
        <f t="shared" si="58"/>
        <v>1</v>
      </c>
      <c r="V397">
        <f t="shared" si="59"/>
        <v>0</v>
      </c>
      <c r="W397">
        <f t="shared" si="60"/>
        <v>2</v>
      </c>
      <c r="X397">
        <f t="shared" si="61"/>
        <v>0</v>
      </c>
      <c r="Y397">
        <f t="shared" si="62"/>
        <v>0</v>
      </c>
    </row>
    <row r="398" spans="1:25" x14ac:dyDescent="0.3">
      <c r="A398" t="s">
        <v>227</v>
      </c>
      <c r="B398" t="s">
        <v>228</v>
      </c>
      <c r="C398" s="1">
        <v>45839</v>
      </c>
      <c r="D398" s="3">
        <v>0.19466435185185185</v>
      </c>
      <c r="E398">
        <f t="shared" si="54"/>
        <v>4</v>
      </c>
      <c r="F398">
        <v>45</v>
      </c>
      <c r="G398" t="s">
        <v>18</v>
      </c>
      <c r="H398" t="s">
        <v>47</v>
      </c>
      <c r="I398" t="s">
        <v>48</v>
      </c>
      <c r="J398" t="s">
        <v>127</v>
      </c>
      <c r="K398" t="s">
        <v>114</v>
      </c>
      <c r="L398">
        <v>253.64</v>
      </c>
      <c r="M398" t="s">
        <v>23</v>
      </c>
      <c r="N398">
        <f t="shared" si="55"/>
        <v>0</v>
      </c>
      <c r="O398" t="s">
        <v>51</v>
      </c>
      <c r="P398" t="s">
        <v>229</v>
      </c>
      <c r="Q398">
        <v>0</v>
      </c>
      <c r="R398">
        <v>396</v>
      </c>
      <c r="S398">
        <f t="shared" si="56"/>
        <v>1.0940554238569795</v>
      </c>
      <c r="T398">
        <f t="shared" si="57"/>
        <v>0</v>
      </c>
      <c r="U398">
        <f t="shared" si="58"/>
        <v>1</v>
      </c>
      <c r="V398">
        <f t="shared" si="59"/>
        <v>0</v>
      </c>
      <c r="W398">
        <f t="shared" si="60"/>
        <v>2</v>
      </c>
      <c r="X398">
        <f t="shared" si="61"/>
        <v>0</v>
      </c>
      <c r="Y398">
        <f t="shared" si="62"/>
        <v>0</v>
      </c>
    </row>
    <row r="399" spans="1:25" x14ac:dyDescent="0.3">
      <c r="A399" s="2" t="s">
        <v>3743</v>
      </c>
      <c r="B399" t="s">
        <v>3744</v>
      </c>
      <c r="C399" s="1">
        <v>45797</v>
      </c>
      <c r="D399" s="3">
        <v>0.58795138888888887</v>
      </c>
      <c r="E399">
        <f t="shared" si="54"/>
        <v>14</v>
      </c>
      <c r="F399" s="4">
        <v>41</v>
      </c>
      <c r="G399" t="s">
        <v>60</v>
      </c>
      <c r="H399" t="s">
        <v>38</v>
      </c>
      <c r="I399" t="s">
        <v>66</v>
      </c>
      <c r="J399" t="s">
        <v>40</v>
      </c>
      <c r="K399" t="s">
        <v>95</v>
      </c>
      <c r="L399">
        <v>253.46</v>
      </c>
      <c r="M399" t="s">
        <v>115</v>
      </c>
      <c r="N399">
        <f t="shared" si="55"/>
        <v>0</v>
      </c>
      <c r="O399" t="s">
        <v>24</v>
      </c>
      <c r="P399" t="s">
        <v>3745</v>
      </c>
      <c r="Q399">
        <v>0</v>
      </c>
      <c r="R399">
        <v>109</v>
      </c>
      <c r="S399">
        <f t="shared" si="56"/>
        <v>1.0915634571512831</v>
      </c>
      <c r="T399">
        <f t="shared" si="57"/>
        <v>0</v>
      </c>
      <c r="U399">
        <f t="shared" si="58"/>
        <v>0</v>
      </c>
      <c r="V399">
        <f t="shared" si="59"/>
        <v>1</v>
      </c>
      <c r="W399">
        <f t="shared" si="60"/>
        <v>1</v>
      </c>
      <c r="X399">
        <f t="shared" si="61"/>
        <v>0</v>
      </c>
      <c r="Y399">
        <f t="shared" si="62"/>
        <v>0</v>
      </c>
    </row>
    <row r="400" spans="1:25" x14ac:dyDescent="0.3">
      <c r="A400" t="s">
        <v>3821</v>
      </c>
      <c r="B400" t="s">
        <v>3822</v>
      </c>
      <c r="C400" s="1">
        <v>45872</v>
      </c>
      <c r="D400" s="3">
        <v>0.44309027777777776</v>
      </c>
      <c r="E400">
        <f t="shared" si="54"/>
        <v>10</v>
      </c>
      <c r="F400">
        <v>47</v>
      </c>
      <c r="G400" t="s">
        <v>60</v>
      </c>
      <c r="H400" t="s">
        <v>239</v>
      </c>
      <c r="I400" t="s">
        <v>71</v>
      </c>
      <c r="J400" t="s">
        <v>94</v>
      </c>
      <c r="K400" t="s">
        <v>41</v>
      </c>
      <c r="L400">
        <v>253.23</v>
      </c>
      <c r="M400" t="s">
        <v>115</v>
      </c>
      <c r="N400">
        <f t="shared" si="55"/>
        <v>0</v>
      </c>
      <c r="O400" t="s">
        <v>86</v>
      </c>
      <c r="P400" t="s">
        <v>3823</v>
      </c>
      <c r="Q400">
        <v>0</v>
      </c>
      <c r="R400">
        <v>166</v>
      </c>
      <c r="S400">
        <f t="shared" si="56"/>
        <v>1.0883792774717815</v>
      </c>
      <c r="T400">
        <f t="shared" si="57"/>
        <v>0</v>
      </c>
      <c r="U400">
        <f t="shared" si="58"/>
        <v>0</v>
      </c>
      <c r="V400">
        <f t="shared" si="59"/>
        <v>1</v>
      </c>
      <c r="W400">
        <f t="shared" si="60"/>
        <v>1</v>
      </c>
      <c r="X400">
        <f t="shared" si="61"/>
        <v>0</v>
      </c>
      <c r="Y400">
        <f t="shared" si="62"/>
        <v>0</v>
      </c>
    </row>
    <row r="401" spans="1:25" x14ac:dyDescent="0.3">
      <c r="A401" t="s">
        <v>2216</v>
      </c>
      <c r="B401" t="s">
        <v>2217</v>
      </c>
      <c r="C401" s="1">
        <v>45768</v>
      </c>
      <c r="D401" s="3">
        <v>0.65959490740740745</v>
      </c>
      <c r="E401">
        <f t="shared" si="54"/>
        <v>15</v>
      </c>
      <c r="F401">
        <v>54</v>
      </c>
      <c r="G401" t="s">
        <v>60</v>
      </c>
      <c r="H401" t="s">
        <v>55</v>
      </c>
      <c r="I401" t="s">
        <v>66</v>
      </c>
      <c r="J401" t="s">
        <v>21</v>
      </c>
      <c r="K401" t="s">
        <v>50</v>
      </c>
      <c r="L401">
        <v>253.07</v>
      </c>
      <c r="M401" t="s">
        <v>42</v>
      </c>
      <c r="N401">
        <f t="shared" si="55"/>
        <v>0</v>
      </c>
      <c r="O401" t="s">
        <v>86</v>
      </c>
      <c r="P401" t="s">
        <v>2218</v>
      </c>
      <c r="Q401">
        <v>0</v>
      </c>
      <c r="R401">
        <v>263</v>
      </c>
      <c r="S401">
        <f t="shared" si="56"/>
        <v>1.086164195955607</v>
      </c>
      <c r="T401">
        <f t="shared" si="57"/>
        <v>0</v>
      </c>
      <c r="U401">
        <f t="shared" si="58"/>
        <v>0</v>
      </c>
      <c r="V401">
        <f t="shared" si="59"/>
        <v>1</v>
      </c>
      <c r="W401">
        <f t="shared" si="60"/>
        <v>1</v>
      </c>
      <c r="X401">
        <f t="shared" si="61"/>
        <v>0</v>
      </c>
      <c r="Y401">
        <f t="shared" si="62"/>
        <v>0</v>
      </c>
    </row>
    <row r="402" spans="1:25" x14ac:dyDescent="0.3">
      <c r="A402" t="s">
        <v>3548</v>
      </c>
      <c r="B402" t="s">
        <v>3549</v>
      </c>
      <c r="C402" s="1">
        <v>45807</v>
      </c>
      <c r="D402" s="3">
        <v>0.43324074074074076</v>
      </c>
      <c r="E402">
        <f t="shared" si="54"/>
        <v>10</v>
      </c>
      <c r="F402">
        <v>30</v>
      </c>
      <c r="G402" t="s">
        <v>46</v>
      </c>
      <c r="H402" t="s">
        <v>232</v>
      </c>
      <c r="I402" t="s">
        <v>30</v>
      </c>
      <c r="J402" t="s">
        <v>21</v>
      </c>
      <c r="K402" t="s">
        <v>32</v>
      </c>
      <c r="L402">
        <v>252.93</v>
      </c>
      <c r="M402" t="s">
        <v>42</v>
      </c>
      <c r="N402">
        <f t="shared" si="55"/>
        <v>0</v>
      </c>
      <c r="O402" t="s">
        <v>34</v>
      </c>
      <c r="P402" t="s">
        <v>3550</v>
      </c>
      <c r="Q402">
        <v>0</v>
      </c>
      <c r="R402">
        <v>234</v>
      </c>
      <c r="S402">
        <f t="shared" si="56"/>
        <v>1.0842259996289541</v>
      </c>
      <c r="T402">
        <f t="shared" si="57"/>
        <v>0</v>
      </c>
      <c r="U402">
        <f t="shared" si="58"/>
        <v>0</v>
      </c>
      <c r="V402">
        <f t="shared" si="59"/>
        <v>1</v>
      </c>
      <c r="W402">
        <f t="shared" si="60"/>
        <v>1</v>
      </c>
      <c r="X402">
        <f t="shared" si="61"/>
        <v>0</v>
      </c>
      <c r="Y402">
        <f t="shared" si="62"/>
        <v>0</v>
      </c>
    </row>
    <row r="403" spans="1:25" x14ac:dyDescent="0.3">
      <c r="A403" t="s">
        <v>5867</v>
      </c>
      <c r="B403" t="s">
        <v>5868</v>
      </c>
      <c r="C403" s="1">
        <v>45774</v>
      </c>
      <c r="D403" s="3">
        <v>0.67115740740740737</v>
      </c>
      <c r="E403">
        <f t="shared" si="54"/>
        <v>16</v>
      </c>
      <c r="F403">
        <v>45</v>
      </c>
      <c r="G403" t="s">
        <v>46</v>
      </c>
      <c r="H403" t="s">
        <v>131</v>
      </c>
      <c r="I403" t="s">
        <v>66</v>
      </c>
      <c r="J403" t="s">
        <v>49</v>
      </c>
      <c r="K403" t="s">
        <v>32</v>
      </c>
      <c r="L403">
        <v>252.89</v>
      </c>
      <c r="M403" t="s">
        <v>33</v>
      </c>
      <c r="N403">
        <f t="shared" si="55"/>
        <v>0</v>
      </c>
      <c r="O403" t="s">
        <v>51</v>
      </c>
      <c r="P403" t="s">
        <v>5869</v>
      </c>
      <c r="Q403">
        <v>0</v>
      </c>
      <c r="R403">
        <v>243</v>
      </c>
      <c r="S403">
        <f t="shared" si="56"/>
        <v>1.0836722292499101</v>
      </c>
      <c r="T403">
        <f t="shared" si="57"/>
        <v>0</v>
      </c>
      <c r="U403">
        <f t="shared" si="58"/>
        <v>0</v>
      </c>
      <c r="V403">
        <f t="shared" si="59"/>
        <v>1</v>
      </c>
      <c r="W403">
        <f t="shared" si="60"/>
        <v>1</v>
      </c>
      <c r="X403">
        <f t="shared" si="61"/>
        <v>0</v>
      </c>
      <c r="Y403">
        <f t="shared" si="62"/>
        <v>0</v>
      </c>
    </row>
    <row r="404" spans="1:25" x14ac:dyDescent="0.3">
      <c r="A404" t="s">
        <v>848</v>
      </c>
      <c r="B404" t="s">
        <v>849</v>
      </c>
      <c r="C404" s="1">
        <v>45792</v>
      </c>
      <c r="D404" s="3">
        <v>0.72607638888888892</v>
      </c>
      <c r="E404">
        <f t="shared" si="54"/>
        <v>17</v>
      </c>
      <c r="F404">
        <v>28</v>
      </c>
      <c r="G404" t="s">
        <v>46</v>
      </c>
      <c r="H404" t="s">
        <v>189</v>
      </c>
      <c r="I404" t="s">
        <v>119</v>
      </c>
      <c r="J404" t="s">
        <v>72</v>
      </c>
      <c r="K404" t="s">
        <v>95</v>
      </c>
      <c r="L404">
        <v>252.78</v>
      </c>
      <c r="M404" t="s">
        <v>42</v>
      </c>
      <c r="N404">
        <f t="shared" si="55"/>
        <v>0</v>
      </c>
      <c r="O404" t="s">
        <v>24</v>
      </c>
      <c r="P404" t="s">
        <v>850</v>
      </c>
      <c r="Q404">
        <v>0</v>
      </c>
      <c r="R404">
        <v>255</v>
      </c>
      <c r="S404">
        <f t="shared" si="56"/>
        <v>1.0821493607075401</v>
      </c>
      <c r="T404">
        <f t="shared" si="57"/>
        <v>0</v>
      </c>
      <c r="U404">
        <f t="shared" si="58"/>
        <v>0</v>
      </c>
      <c r="V404">
        <f t="shared" si="59"/>
        <v>1</v>
      </c>
      <c r="W404">
        <f t="shared" si="60"/>
        <v>1</v>
      </c>
      <c r="X404">
        <f t="shared" si="61"/>
        <v>0</v>
      </c>
      <c r="Y404">
        <f t="shared" si="62"/>
        <v>0</v>
      </c>
    </row>
    <row r="405" spans="1:25" x14ac:dyDescent="0.3">
      <c r="A405" t="s">
        <v>5303</v>
      </c>
      <c r="B405" t="s">
        <v>5304</v>
      </c>
      <c r="C405" s="1">
        <v>45850</v>
      </c>
      <c r="D405" s="3">
        <v>0.83568287037037037</v>
      </c>
      <c r="E405">
        <f t="shared" si="54"/>
        <v>20</v>
      </c>
      <c r="F405">
        <v>39</v>
      </c>
      <c r="G405" t="s">
        <v>99</v>
      </c>
      <c r="H405" t="s">
        <v>29</v>
      </c>
      <c r="I405" t="s">
        <v>39</v>
      </c>
      <c r="J405" t="s">
        <v>76</v>
      </c>
      <c r="K405" t="s">
        <v>22</v>
      </c>
      <c r="L405">
        <v>252.4</v>
      </c>
      <c r="M405" t="s">
        <v>115</v>
      </c>
      <c r="N405">
        <f t="shared" si="55"/>
        <v>0</v>
      </c>
      <c r="O405" t="s">
        <v>86</v>
      </c>
      <c r="P405" t="s">
        <v>5305</v>
      </c>
      <c r="Q405">
        <v>0</v>
      </c>
      <c r="R405">
        <v>233</v>
      </c>
      <c r="S405">
        <f t="shared" si="56"/>
        <v>1.0768885421066252</v>
      </c>
      <c r="T405">
        <f t="shared" si="57"/>
        <v>0</v>
      </c>
      <c r="U405">
        <f t="shared" si="58"/>
        <v>0</v>
      </c>
      <c r="V405">
        <f t="shared" si="59"/>
        <v>1</v>
      </c>
      <c r="W405">
        <f t="shared" si="60"/>
        <v>1</v>
      </c>
      <c r="X405">
        <f t="shared" si="61"/>
        <v>0</v>
      </c>
      <c r="Y405">
        <f t="shared" si="62"/>
        <v>0</v>
      </c>
    </row>
    <row r="406" spans="1:25" x14ac:dyDescent="0.3">
      <c r="A406" t="s">
        <v>3476</v>
      </c>
      <c r="B406" t="s">
        <v>3477</v>
      </c>
      <c r="C406" s="1">
        <v>45702</v>
      </c>
      <c r="D406" s="3">
        <v>0.96909722222222228</v>
      </c>
      <c r="E406">
        <f t="shared" si="54"/>
        <v>23</v>
      </c>
      <c r="F406">
        <v>62</v>
      </c>
      <c r="G406" t="s">
        <v>18</v>
      </c>
      <c r="H406" t="s">
        <v>142</v>
      </c>
      <c r="I406" t="s">
        <v>71</v>
      </c>
      <c r="J406" t="s">
        <v>127</v>
      </c>
      <c r="K406" t="s">
        <v>95</v>
      </c>
      <c r="L406">
        <v>252.1</v>
      </c>
      <c r="M406" t="s">
        <v>6479</v>
      </c>
      <c r="N406">
        <f t="shared" si="55"/>
        <v>1</v>
      </c>
      <c r="O406" t="s">
        <v>34</v>
      </c>
      <c r="P406" t="s">
        <v>3478</v>
      </c>
      <c r="Q406">
        <v>0</v>
      </c>
      <c r="R406">
        <v>89</v>
      </c>
      <c r="S406">
        <f t="shared" si="56"/>
        <v>1.0727352642637973</v>
      </c>
      <c r="T406">
        <f t="shared" si="57"/>
        <v>0</v>
      </c>
      <c r="U406">
        <f t="shared" si="58"/>
        <v>0</v>
      </c>
      <c r="V406">
        <f t="shared" si="59"/>
        <v>1</v>
      </c>
      <c r="W406">
        <f t="shared" si="60"/>
        <v>3</v>
      </c>
      <c r="X406">
        <f t="shared" si="61"/>
        <v>0</v>
      </c>
      <c r="Y406">
        <f t="shared" si="62"/>
        <v>1</v>
      </c>
    </row>
    <row r="407" spans="1:25" x14ac:dyDescent="0.3">
      <c r="A407" t="s">
        <v>3062</v>
      </c>
      <c r="B407" t="s">
        <v>3063</v>
      </c>
      <c r="C407" s="1">
        <v>45770</v>
      </c>
      <c r="D407" s="3">
        <v>0.70017361111111109</v>
      </c>
      <c r="E407">
        <f t="shared" si="54"/>
        <v>16</v>
      </c>
      <c r="F407">
        <v>22</v>
      </c>
      <c r="G407" t="s">
        <v>46</v>
      </c>
      <c r="H407" t="s">
        <v>167</v>
      </c>
      <c r="I407" t="s">
        <v>30</v>
      </c>
      <c r="J407" t="s">
        <v>49</v>
      </c>
      <c r="K407" t="s">
        <v>120</v>
      </c>
      <c r="L407">
        <v>252.04</v>
      </c>
      <c r="M407" t="s">
        <v>23</v>
      </c>
      <c r="N407">
        <f t="shared" si="55"/>
        <v>0</v>
      </c>
      <c r="O407" t="s">
        <v>24</v>
      </c>
      <c r="P407" t="s">
        <v>3064</v>
      </c>
      <c r="Q407">
        <v>0</v>
      </c>
      <c r="R407">
        <v>168</v>
      </c>
      <c r="S407">
        <f t="shared" si="56"/>
        <v>1.0719046086952317</v>
      </c>
      <c r="T407">
        <f t="shared" si="57"/>
        <v>0</v>
      </c>
      <c r="U407">
        <f t="shared" si="58"/>
        <v>0</v>
      </c>
      <c r="V407">
        <f t="shared" si="59"/>
        <v>1</v>
      </c>
      <c r="W407">
        <f t="shared" si="60"/>
        <v>1</v>
      </c>
      <c r="X407">
        <f t="shared" si="61"/>
        <v>0</v>
      </c>
      <c r="Y407">
        <f t="shared" si="62"/>
        <v>0</v>
      </c>
    </row>
    <row r="408" spans="1:25" x14ac:dyDescent="0.3">
      <c r="A408" t="s">
        <v>298</v>
      </c>
      <c r="B408" t="s">
        <v>299</v>
      </c>
      <c r="C408" s="1">
        <v>45795</v>
      </c>
      <c r="D408" s="3">
        <v>0.47578703703703706</v>
      </c>
      <c r="E408">
        <f t="shared" si="54"/>
        <v>11</v>
      </c>
      <c r="F408">
        <v>31</v>
      </c>
      <c r="G408" t="s">
        <v>18</v>
      </c>
      <c r="H408" t="s">
        <v>19</v>
      </c>
      <c r="I408" t="s">
        <v>105</v>
      </c>
      <c r="J408" t="s">
        <v>21</v>
      </c>
      <c r="K408" t="s">
        <v>62</v>
      </c>
      <c r="L408">
        <v>251.98</v>
      </c>
      <c r="M408" t="s">
        <v>33</v>
      </c>
      <c r="N408">
        <f t="shared" si="55"/>
        <v>0</v>
      </c>
      <c r="O408" t="s">
        <v>24</v>
      </c>
      <c r="P408" t="s">
        <v>300</v>
      </c>
      <c r="Q408">
        <v>0</v>
      </c>
      <c r="R408">
        <v>96</v>
      </c>
      <c r="S408">
        <f t="shared" si="56"/>
        <v>1.071073953126666</v>
      </c>
      <c r="T408">
        <f t="shared" si="57"/>
        <v>0</v>
      </c>
      <c r="U408">
        <f t="shared" si="58"/>
        <v>0</v>
      </c>
      <c r="V408">
        <f t="shared" si="59"/>
        <v>1</v>
      </c>
      <c r="W408">
        <f t="shared" si="60"/>
        <v>1</v>
      </c>
      <c r="X408">
        <f t="shared" si="61"/>
        <v>0</v>
      </c>
      <c r="Y408">
        <f t="shared" si="62"/>
        <v>0</v>
      </c>
    </row>
    <row r="409" spans="1:25" x14ac:dyDescent="0.3">
      <c r="A409" t="s">
        <v>5021</v>
      </c>
      <c r="B409" t="s">
        <v>5022</v>
      </c>
      <c r="C409" s="1">
        <v>45836</v>
      </c>
      <c r="D409" s="3">
        <v>0.88701388888888888</v>
      </c>
      <c r="E409">
        <f t="shared" si="54"/>
        <v>21</v>
      </c>
      <c r="F409">
        <v>51</v>
      </c>
      <c r="G409" t="s">
        <v>46</v>
      </c>
      <c r="H409" t="s">
        <v>100</v>
      </c>
      <c r="I409" t="s">
        <v>20</v>
      </c>
      <c r="J409" t="s">
        <v>21</v>
      </c>
      <c r="K409" t="s">
        <v>114</v>
      </c>
      <c r="L409">
        <v>251.89</v>
      </c>
      <c r="M409" t="s">
        <v>33</v>
      </c>
      <c r="N409">
        <f t="shared" si="55"/>
        <v>0</v>
      </c>
      <c r="O409" t="s">
        <v>86</v>
      </c>
      <c r="P409" t="s">
        <v>5023</v>
      </c>
      <c r="Q409">
        <v>0</v>
      </c>
      <c r="R409">
        <v>453</v>
      </c>
      <c r="S409">
        <f t="shared" si="56"/>
        <v>1.0698279697738178</v>
      </c>
      <c r="T409">
        <f t="shared" si="57"/>
        <v>0</v>
      </c>
      <c r="U409">
        <f t="shared" si="58"/>
        <v>0</v>
      </c>
      <c r="V409">
        <f t="shared" si="59"/>
        <v>0</v>
      </c>
      <c r="W409">
        <f t="shared" si="60"/>
        <v>0</v>
      </c>
      <c r="X409">
        <f t="shared" si="61"/>
        <v>0</v>
      </c>
      <c r="Y409">
        <f t="shared" si="62"/>
        <v>0</v>
      </c>
    </row>
    <row r="410" spans="1:25" x14ac:dyDescent="0.3">
      <c r="A410" t="s">
        <v>4703</v>
      </c>
      <c r="B410" t="s">
        <v>4704</v>
      </c>
      <c r="C410" s="1">
        <v>45726</v>
      </c>
      <c r="D410" s="3">
        <v>0.56289351851851854</v>
      </c>
      <c r="E410">
        <f t="shared" si="54"/>
        <v>13</v>
      </c>
      <c r="F410">
        <v>47</v>
      </c>
      <c r="G410" t="s">
        <v>18</v>
      </c>
      <c r="H410" t="s">
        <v>239</v>
      </c>
      <c r="I410" t="s">
        <v>105</v>
      </c>
      <c r="J410" t="s">
        <v>127</v>
      </c>
      <c r="K410" t="s">
        <v>41</v>
      </c>
      <c r="L410">
        <v>251.88</v>
      </c>
      <c r="M410" t="s">
        <v>115</v>
      </c>
      <c r="N410">
        <f t="shared" si="55"/>
        <v>0</v>
      </c>
      <c r="O410" t="s">
        <v>34</v>
      </c>
      <c r="P410" t="s">
        <v>4705</v>
      </c>
      <c r="Q410">
        <v>1</v>
      </c>
      <c r="R410">
        <v>425</v>
      </c>
      <c r="S410">
        <f t="shared" si="56"/>
        <v>1.069689527179057</v>
      </c>
      <c r="T410">
        <f t="shared" si="57"/>
        <v>0</v>
      </c>
      <c r="U410">
        <f t="shared" si="58"/>
        <v>0</v>
      </c>
      <c r="V410">
        <f t="shared" si="59"/>
        <v>0</v>
      </c>
      <c r="W410">
        <f t="shared" si="60"/>
        <v>0</v>
      </c>
      <c r="X410">
        <f t="shared" si="61"/>
        <v>0</v>
      </c>
      <c r="Y410">
        <f t="shared" si="62"/>
        <v>0</v>
      </c>
    </row>
    <row r="411" spans="1:25" x14ac:dyDescent="0.3">
      <c r="A411" t="s">
        <v>1502</v>
      </c>
      <c r="B411" t="s">
        <v>1503</v>
      </c>
      <c r="C411" s="1">
        <v>45791</v>
      </c>
      <c r="D411" s="3">
        <v>0.69968750000000002</v>
      </c>
      <c r="E411">
        <f t="shared" si="54"/>
        <v>16</v>
      </c>
      <c r="F411">
        <v>47</v>
      </c>
      <c r="G411" t="s">
        <v>46</v>
      </c>
      <c r="H411" t="s">
        <v>239</v>
      </c>
      <c r="I411" t="s">
        <v>30</v>
      </c>
      <c r="J411" t="s">
        <v>72</v>
      </c>
      <c r="K411" t="s">
        <v>101</v>
      </c>
      <c r="L411">
        <v>251.72</v>
      </c>
      <c r="M411" t="s">
        <v>23</v>
      </c>
      <c r="N411">
        <f t="shared" si="55"/>
        <v>0</v>
      </c>
      <c r="O411" t="s">
        <v>34</v>
      </c>
      <c r="P411" t="s">
        <v>1504</v>
      </c>
      <c r="Q411">
        <v>0</v>
      </c>
      <c r="R411">
        <v>259</v>
      </c>
      <c r="S411">
        <f t="shared" si="56"/>
        <v>1.0674744456628822</v>
      </c>
      <c r="T411">
        <f t="shared" si="57"/>
        <v>0</v>
      </c>
      <c r="U411">
        <f t="shared" si="58"/>
        <v>0</v>
      </c>
      <c r="V411">
        <f t="shared" si="59"/>
        <v>1</v>
      </c>
      <c r="W411">
        <f t="shared" si="60"/>
        <v>1</v>
      </c>
      <c r="X411">
        <f t="shared" si="61"/>
        <v>0</v>
      </c>
      <c r="Y411">
        <f t="shared" si="62"/>
        <v>0</v>
      </c>
    </row>
    <row r="412" spans="1:25" x14ac:dyDescent="0.3">
      <c r="A412" t="s">
        <v>4835</v>
      </c>
      <c r="B412" t="s">
        <v>4836</v>
      </c>
      <c r="C412" s="1">
        <v>45857</v>
      </c>
      <c r="D412" s="3">
        <v>0.1004513888888889</v>
      </c>
      <c r="E412">
        <f t="shared" si="54"/>
        <v>2</v>
      </c>
      <c r="F412">
        <v>56</v>
      </c>
      <c r="G412" t="s">
        <v>18</v>
      </c>
      <c r="H412" t="s">
        <v>189</v>
      </c>
      <c r="I412" t="s">
        <v>71</v>
      </c>
      <c r="J412" t="s">
        <v>56</v>
      </c>
      <c r="K412" t="s">
        <v>168</v>
      </c>
      <c r="L412">
        <v>251.64</v>
      </c>
      <c r="M412" t="s">
        <v>115</v>
      </c>
      <c r="N412">
        <f t="shared" si="55"/>
        <v>0</v>
      </c>
      <c r="O412" t="s">
        <v>86</v>
      </c>
      <c r="P412" t="s">
        <v>4837</v>
      </c>
      <c r="Q412">
        <v>0</v>
      </c>
      <c r="R412">
        <v>194</v>
      </c>
      <c r="S412">
        <f t="shared" si="56"/>
        <v>1.0663669049047946</v>
      </c>
      <c r="T412">
        <f t="shared" si="57"/>
        <v>0</v>
      </c>
      <c r="U412">
        <f t="shared" si="58"/>
        <v>1</v>
      </c>
      <c r="V412">
        <f t="shared" si="59"/>
        <v>1</v>
      </c>
      <c r="W412">
        <f t="shared" si="60"/>
        <v>3</v>
      </c>
      <c r="X412">
        <f t="shared" si="61"/>
        <v>0</v>
      </c>
      <c r="Y412">
        <f t="shared" si="62"/>
        <v>0</v>
      </c>
    </row>
    <row r="413" spans="1:25" x14ac:dyDescent="0.3">
      <c r="A413" t="s">
        <v>1097</v>
      </c>
      <c r="B413" t="s">
        <v>1098</v>
      </c>
      <c r="C413" s="1">
        <v>45854</v>
      </c>
      <c r="D413" s="3">
        <v>0.98230324074074071</v>
      </c>
      <c r="E413">
        <f t="shared" si="54"/>
        <v>23</v>
      </c>
      <c r="F413">
        <v>36</v>
      </c>
      <c r="G413" t="s">
        <v>46</v>
      </c>
      <c r="H413" t="s">
        <v>100</v>
      </c>
      <c r="I413" t="s">
        <v>119</v>
      </c>
      <c r="J413" t="s">
        <v>127</v>
      </c>
      <c r="K413" t="s">
        <v>32</v>
      </c>
      <c r="L413">
        <v>251.59</v>
      </c>
      <c r="M413" t="s">
        <v>42</v>
      </c>
      <c r="N413">
        <f t="shared" si="55"/>
        <v>0</v>
      </c>
      <c r="O413" t="s">
        <v>51</v>
      </c>
      <c r="P413" t="s">
        <v>1099</v>
      </c>
      <c r="Q413">
        <v>0</v>
      </c>
      <c r="R413">
        <v>476</v>
      </c>
      <c r="S413">
        <f t="shared" si="56"/>
        <v>1.0656746919309903</v>
      </c>
      <c r="T413">
        <f t="shared" si="57"/>
        <v>0</v>
      </c>
      <c r="U413">
        <f t="shared" si="58"/>
        <v>0</v>
      </c>
      <c r="V413">
        <f t="shared" si="59"/>
        <v>0</v>
      </c>
      <c r="W413">
        <f t="shared" si="60"/>
        <v>0</v>
      </c>
      <c r="X413">
        <f t="shared" si="61"/>
        <v>0</v>
      </c>
      <c r="Y413">
        <f t="shared" si="62"/>
        <v>0</v>
      </c>
    </row>
    <row r="414" spans="1:25" x14ac:dyDescent="0.3">
      <c r="A414" t="s">
        <v>4241</v>
      </c>
      <c r="B414" t="s">
        <v>4242</v>
      </c>
      <c r="C414" s="1">
        <v>45840</v>
      </c>
      <c r="D414" s="3">
        <v>2.2870370370370371E-2</v>
      </c>
      <c r="E414">
        <f t="shared" si="54"/>
        <v>0</v>
      </c>
      <c r="F414">
        <v>23</v>
      </c>
      <c r="G414" t="s">
        <v>60</v>
      </c>
      <c r="H414" t="s">
        <v>38</v>
      </c>
      <c r="I414" t="s">
        <v>110</v>
      </c>
      <c r="J414" t="s">
        <v>94</v>
      </c>
      <c r="K414" t="s">
        <v>22</v>
      </c>
      <c r="L414">
        <v>251.49</v>
      </c>
      <c r="M414" t="s">
        <v>23</v>
      </c>
      <c r="N414">
        <f t="shared" si="55"/>
        <v>0</v>
      </c>
      <c r="O414" t="s">
        <v>24</v>
      </c>
      <c r="P414" t="s">
        <v>4243</v>
      </c>
      <c r="Q414">
        <v>0</v>
      </c>
      <c r="R414">
        <v>351</v>
      </c>
      <c r="S414">
        <f t="shared" si="56"/>
        <v>1.0642902659833811</v>
      </c>
      <c r="T414">
        <f t="shared" si="57"/>
        <v>0</v>
      </c>
      <c r="U414">
        <f t="shared" si="58"/>
        <v>1</v>
      </c>
      <c r="V414">
        <f t="shared" si="59"/>
        <v>0</v>
      </c>
      <c r="W414">
        <f t="shared" si="60"/>
        <v>2</v>
      </c>
      <c r="X414">
        <f t="shared" si="61"/>
        <v>0</v>
      </c>
      <c r="Y414">
        <f t="shared" si="62"/>
        <v>0</v>
      </c>
    </row>
    <row r="415" spans="1:25" x14ac:dyDescent="0.3">
      <c r="A415" t="s">
        <v>3971</v>
      </c>
      <c r="B415" t="s">
        <v>3972</v>
      </c>
      <c r="C415" s="1">
        <v>45870</v>
      </c>
      <c r="D415" s="3">
        <v>0.95421296296296299</v>
      </c>
      <c r="E415">
        <f t="shared" si="54"/>
        <v>22</v>
      </c>
      <c r="F415">
        <v>60</v>
      </c>
      <c r="G415" t="s">
        <v>60</v>
      </c>
      <c r="H415" t="s">
        <v>29</v>
      </c>
      <c r="I415" t="s">
        <v>20</v>
      </c>
      <c r="J415" t="s">
        <v>127</v>
      </c>
      <c r="K415" t="s">
        <v>32</v>
      </c>
      <c r="L415">
        <v>251.31</v>
      </c>
      <c r="M415" t="s">
        <v>33</v>
      </c>
      <c r="N415">
        <f t="shared" si="55"/>
        <v>0</v>
      </c>
      <c r="O415" t="s">
        <v>34</v>
      </c>
      <c r="P415" t="s">
        <v>3973</v>
      </c>
      <c r="Q415">
        <v>0</v>
      </c>
      <c r="R415">
        <v>350</v>
      </c>
      <c r="S415">
        <f t="shared" si="56"/>
        <v>1.0617982992776842</v>
      </c>
      <c r="T415">
        <f t="shared" si="57"/>
        <v>0</v>
      </c>
      <c r="U415">
        <f t="shared" si="58"/>
        <v>0</v>
      </c>
      <c r="V415">
        <f t="shared" si="59"/>
        <v>0</v>
      </c>
      <c r="W415">
        <f t="shared" si="60"/>
        <v>0</v>
      </c>
      <c r="X415">
        <f t="shared" si="61"/>
        <v>0</v>
      </c>
      <c r="Y415">
        <f t="shared" si="62"/>
        <v>0</v>
      </c>
    </row>
    <row r="416" spans="1:25" x14ac:dyDescent="0.3">
      <c r="A416" t="s">
        <v>1550</v>
      </c>
      <c r="B416" t="s">
        <v>1551</v>
      </c>
      <c r="C416" s="1">
        <v>45875</v>
      </c>
      <c r="D416" s="3">
        <v>0.92153935185185187</v>
      </c>
      <c r="E416">
        <f t="shared" si="54"/>
        <v>22</v>
      </c>
      <c r="F416">
        <v>22</v>
      </c>
      <c r="G416" t="s">
        <v>46</v>
      </c>
      <c r="H416" t="s">
        <v>29</v>
      </c>
      <c r="I416" t="s">
        <v>105</v>
      </c>
      <c r="J416" t="s">
        <v>76</v>
      </c>
      <c r="K416" t="s">
        <v>62</v>
      </c>
      <c r="L416">
        <v>251.25</v>
      </c>
      <c r="M416" t="s">
        <v>23</v>
      </c>
      <c r="N416">
        <f t="shared" si="55"/>
        <v>0</v>
      </c>
      <c r="O416" t="s">
        <v>86</v>
      </c>
      <c r="P416" t="s">
        <v>1552</v>
      </c>
      <c r="Q416">
        <v>0</v>
      </c>
      <c r="R416">
        <v>345</v>
      </c>
      <c r="S416">
        <f t="shared" si="56"/>
        <v>1.0609676437091187</v>
      </c>
      <c r="T416">
        <f t="shared" si="57"/>
        <v>0</v>
      </c>
      <c r="U416">
        <f t="shared" si="58"/>
        <v>0</v>
      </c>
      <c r="V416">
        <f t="shared" si="59"/>
        <v>0</v>
      </c>
      <c r="W416">
        <f t="shared" si="60"/>
        <v>0</v>
      </c>
      <c r="X416">
        <f t="shared" si="61"/>
        <v>0</v>
      </c>
      <c r="Y416">
        <f t="shared" si="62"/>
        <v>0</v>
      </c>
    </row>
    <row r="417" spans="1:25" x14ac:dyDescent="0.3">
      <c r="A417" t="s">
        <v>5180</v>
      </c>
      <c r="B417" t="s">
        <v>5181</v>
      </c>
      <c r="C417" s="1">
        <v>45724</v>
      </c>
      <c r="D417" s="3">
        <v>0.86692129629629633</v>
      </c>
      <c r="E417">
        <f t="shared" si="54"/>
        <v>20</v>
      </c>
      <c r="F417">
        <v>27</v>
      </c>
      <c r="G417" t="s">
        <v>46</v>
      </c>
      <c r="H417" t="s">
        <v>175</v>
      </c>
      <c r="I417" t="s">
        <v>30</v>
      </c>
      <c r="J417" t="s">
        <v>72</v>
      </c>
      <c r="K417" t="s">
        <v>22</v>
      </c>
      <c r="L417">
        <v>251.13</v>
      </c>
      <c r="M417" t="s">
        <v>33</v>
      </c>
      <c r="N417">
        <f t="shared" si="55"/>
        <v>0</v>
      </c>
      <c r="O417" t="s">
        <v>51</v>
      </c>
      <c r="P417" t="s">
        <v>5182</v>
      </c>
      <c r="Q417">
        <v>0</v>
      </c>
      <c r="R417">
        <v>500</v>
      </c>
      <c r="S417">
        <f t="shared" si="56"/>
        <v>1.0593063325719876</v>
      </c>
      <c r="T417">
        <f t="shared" si="57"/>
        <v>0</v>
      </c>
      <c r="U417">
        <f t="shared" si="58"/>
        <v>0</v>
      </c>
      <c r="V417">
        <f t="shared" si="59"/>
        <v>0</v>
      </c>
      <c r="W417">
        <f t="shared" si="60"/>
        <v>0</v>
      </c>
      <c r="X417">
        <f t="shared" si="61"/>
        <v>0</v>
      </c>
      <c r="Y417">
        <f t="shared" si="62"/>
        <v>0</v>
      </c>
    </row>
    <row r="418" spans="1:25" x14ac:dyDescent="0.3">
      <c r="A418" t="s">
        <v>3335</v>
      </c>
      <c r="B418" t="s">
        <v>3336</v>
      </c>
      <c r="C418" s="1">
        <v>45770</v>
      </c>
      <c r="D418" s="3">
        <v>0.21012731481481481</v>
      </c>
      <c r="E418">
        <f t="shared" si="54"/>
        <v>5</v>
      </c>
      <c r="F418">
        <v>19</v>
      </c>
      <c r="G418" t="s">
        <v>60</v>
      </c>
      <c r="H418" t="s">
        <v>55</v>
      </c>
      <c r="I418" t="s">
        <v>110</v>
      </c>
      <c r="J418" t="s">
        <v>56</v>
      </c>
      <c r="K418" t="s">
        <v>62</v>
      </c>
      <c r="L418">
        <v>251.01</v>
      </c>
      <c r="M418" t="s">
        <v>42</v>
      </c>
      <c r="N418">
        <f t="shared" si="55"/>
        <v>0</v>
      </c>
      <c r="O418" t="s">
        <v>34</v>
      </c>
      <c r="P418" t="s">
        <v>3337</v>
      </c>
      <c r="Q418">
        <v>0</v>
      </c>
      <c r="R418">
        <v>261</v>
      </c>
      <c r="S418">
        <f t="shared" si="56"/>
        <v>1.0576450214348565</v>
      </c>
      <c r="T418">
        <f t="shared" si="57"/>
        <v>0</v>
      </c>
      <c r="U418">
        <f t="shared" si="58"/>
        <v>1</v>
      </c>
      <c r="V418">
        <f t="shared" si="59"/>
        <v>1</v>
      </c>
      <c r="W418">
        <f t="shared" si="60"/>
        <v>3</v>
      </c>
      <c r="X418">
        <f t="shared" si="61"/>
        <v>0</v>
      </c>
      <c r="Y418">
        <f t="shared" si="62"/>
        <v>0</v>
      </c>
    </row>
    <row r="419" spans="1:25" x14ac:dyDescent="0.3">
      <c r="A419" t="s">
        <v>3317</v>
      </c>
      <c r="B419" t="s">
        <v>3318</v>
      </c>
      <c r="C419" s="1">
        <v>45861</v>
      </c>
      <c r="D419" s="3">
        <v>0.79673611111111109</v>
      </c>
      <c r="E419">
        <f t="shared" si="54"/>
        <v>19</v>
      </c>
      <c r="F419">
        <v>32</v>
      </c>
      <c r="G419" t="s">
        <v>60</v>
      </c>
      <c r="H419" t="s">
        <v>29</v>
      </c>
      <c r="I419" t="s">
        <v>20</v>
      </c>
      <c r="J419" t="s">
        <v>72</v>
      </c>
      <c r="K419" t="s">
        <v>95</v>
      </c>
      <c r="L419">
        <v>250.99</v>
      </c>
      <c r="M419" t="s">
        <v>33</v>
      </c>
      <c r="N419">
        <f t="shared" si="55"/>
        <v>0</v>
      </c>
      <c r="O419" t="s">
        <v>51</v>
      </c>
      <c r="P419" t="s">
        <v>3319</v>
      </c>
      <c r="Q419">
        <v>0</v>
      </c>
      <c r="R419">
        <v>100</v>
      </c>
      <c r="S419">
        <f t="shared" si="56"/>
        <v>1.0573681362453349</v>
      </c>
      <c r="T419">
        <f t="shared" si="57"/>
        <v>0</v>
      </c>
      <c r="U419">
        <f t="shared" si="58"/>
        <v>0</v>
      </c>
      <c r="V419">
        <f t="shared" si="59"/>
        <v>1</v>
      </c>
      <c r="W419">
        <f t="shared" si="60"/>
        <v>1</v>
      </c>
      <c r="X419">
        <f t="shared" si="61"/>
        <v>0</v>
      </c>
      <c r="Y419">
        <f t="shared" si="62"/>
        <v>0</v>
      </c>
    </row>
    <row r="420" spans="1:25" x14ac:dyDescent="0.3">
      <c r="A420" t="s">
        <v>5228</v>
      </c>
      <c r="B420" t="s">
        <v>5229</v>
      </c>
      <c r="C420" s="1">
        <v>45832</v>
      </c>
      <c r="D420" s="3">
        <v>3.4490740740740738E-2</v>
      </c>
      <c r="E420">
        <f t="shared" si="54"/>
        <v>0</v>
      </c>
      <c r="F420">
        <v>30</v>
      </c>
      <c r="G420" t="s">
        <v>46</v>
      </c>
      <c r="H420" t="s">
        <v>29</v>
      </c>
      <c r="I420" t="s">
        <v>119</v>
      </c>
      <c r="J420" t="s">
        <v>21</v>
      </c>
      <c r="K420" t="s">
        <v>95</v>
      </c>
      <c r="L420">
        <v>250.81</v>
      </c>
      <c r="M420" t="s">
        <v>115</v>
      </c>
      <c r="N420">
        <f t="shared" si="55"/>
        <v>0</v>
      </c>
      <c r="O420" t="s">
        <v>51</v>
      </c>
      <c r="P420" t="s">
        <v>5230</v>
      </c>
      <c r="Q420">
        <v>0</v>
      </c>
      <c r="R420">
        <v>438</v>
      </c>
      <c r="S420">
        <f t="shared" si="56"/>
        <v>1.054876169539638</v>
      </c>
      <c r="T420">
        <f t="shared" si="57"/>
        <v>0</v>
      </c>
      <c r="U420">
        <f t="shared" si="58"/>
        <v>1</v>
      </c>
      <c r="V420">
        <f t="shared" si="59"/>
        <v>0</v>
      </c>
      <c r="W420">
        <f t="shared" si="60"/>
        <v>2</v>
      </c>
      <c r="X420">
        <f t="shared" si="61"/>
        <v>0</v>
      </c>
      <c r="Y420">
        <f t="shared" si="62"/>
        <v>0</v>
      </c>
    </row>
    <row r="421" spans="1:25" x14ac:dyDescent="0.3">
      <c r="A421" t="s">
        <v>5258</v>
      </c>
      <c r="B421" t="s">
        <v>5259</v>
      </c>
      <c r="C421" s="1">
        <v>45762</v>
      </c>
      <c r="D421" s="3">
        <v>0.43519675925925927</v>
      </c>
      <c r="E421">
        <f t="shared" si="54"/>
        <v>10</v>
      </c>
      <c r="F421">
        <v>52</v>
      </c>
      <c r="G421" t="s">
        <v>28</v>
      </c>
      <c r="H421" t="s">
        <v>100</v>
      </c>
      <c r="I421" t="s">
        <v>48</v>
      </c>
      <c r="J421" t="s">
        <v>49</v>
      </c>
      <c r="K421" t="s">
        <v>50</v>
      </c>
      <c r="L421">
        <v>250.77</v>
      </c>
      <c r="M421" t="s">
        <v>33</v>
      </c>
      <c r="N421">
        <f t="shared" si="55"/>
        <v>0</v>
      </c>
      <c r="O421" t="s">
        <v>34</v>
      </c>
      <c r="P421" t="s">
        <v>5260</v>
      </c>
      <c r="Q421">
        <v>0</v>
      </c>
      <c r="R421">
        <v>444</v>
      </c>
      <c r="S421">
        <f t="shared" si="56"/>
        <v>1.0543223991605946</v>
      </c>
      <c r="T421">
        <f t="shared" si="57"/>
        <v>0</v>
      </c>
      <c r="U421">
        <f t="shared" si="58"/>
        <v>0</v>
      </c>
      <c r="V421">
        <f t="shared" si="59"/>
        <v>0</v>
      </c>
      <c r="W421">
        <f t="shared" si="60"/>
        <v>0</v>
      </c>
      <c r="X421">
        <f t="shared" si="61"/>
        <v>0</v>
      </c>
      <c r="Y421">
        <f t="shared" si="62"/>
        <v>0</v>
      </c>
    </row>
    <row r="422" spans="1:25" x14ac:dyDescent="0.3">
      <c r="A422" t="s">
        <v>2696</v>
      </c>
      <c r="B422" t="s">
        <v>2697</v>
      </c>
      <c r="C422" s="1">
        <v>45766</v>
      </c>
      <c r="D422" s="3">
        <v>0.29586805555555556</v>
      </c>
      <c r="E422">
        <f t="shared" si="54"/>
        <v>7</v>
      </c>
      <c r="F422">
        <v>63</v>
      </c>
      <c r="G422" t="s">
        <v>46</v>
      </c>
      <c r="H422" t="s">
        <v>185</v>
      </c>
      <c r="I422" t="s">
        <v>110</v>
      </c>
      <c r="J422" t="s">
        <v>40</v>
      </c>
      <c r="K422" t="s">
        <v>114</v>
      </c>
      <c r="L422">
        <v>250.61</v>
      </c>
      <c r="M422" t="s">
        <v>23</v>
      </c>
      <c r="N422">
        <f t="shared" si="55"/>
        <v>0</v>
      </c>
      <c r="O422" t="s">
        <v>51</v>
      </c>
      <c r="P422" t="s">
        <v>2698</v>
      </c>
      <c r="Q422">
        <v>0</v>
      </c>
      <c r="R422">
        <v>215</v>
      </c>
      <c r="S422">
        <f t="shared" si="56"/>
        <v>1.0521073176444198</v>
      </c>
      <c r="T422">
        <f t="shared" si="57"/>
        <v>0</v>
      </c>
      <c r="U422">
        <f t="shared" si="58"/>
        <v>0</v>
      </c>
      <c r="V422">
        <f t="shared" si="59"/>
        <v>1</v>
      </c>
      <c r="W422">
        <f t="shared" si="60"/>
        <v>1</v>
      </c>
      <c r="X422">
        <f t="shared" si="61"/>
        <v>0</v>
      </c>
      <c r="Y422">
        <f t="shared" si="62"/>
        <v>0</v>
      </c>
    </row>
    <row r="423" spans="1:25" x14ac:dyDescent="0.3">
      <c r="A423" t="s">
        <v>1736</v>
      </c>
      <c r="B423" t="s">
        <v>1737</v>
      </c>
      <c r="C423" s="1">
        <v>45702</v>
      </c>
      <c r="D423" s="3">
        <v>0.10341435185185185</v>
      </c>
      <c r="E423">
        <f t="shared" si="54"/>
        <v>2</v>
      </c>
      <c r="F423">
        <v>26</v>
      </c>
      <c r="G423" t="s">
        <v>46</v>
      </c>
      <c r="H423" t="s">
        <v>47</v>
      </c>
      <c r="I423" t="s">
        <v>66</v>
      </c>
      <c r="J423" t="s">
        <v>21</v>
      </c>
      <c r="K423" t="s">
        <v>22</v>
      </c>
      <c r="L423">
        <v>250.34</v>
      </c>
      <c r="M423" t="s">
        <v>23</v>
      </c>
      <c r="N423">
        <f t="shared" si="55"/>
        <v>0</v>
      </c>
      <c r="O423" t="s">
        <v>86</v>
      </c>
      <c r="P423" t="s">
        <v>1738</v>
      </c>
      <c r="Q423">
        <v>0</v>
      </c>
      <c r="R423">
        <v>332</v>
      </c>
      <c r="S423">
        <f t="shared" si="56"/>
        <v>1.0483693675858747</v>
      </c>
      <c r="T423">
        <f t="shared" si="57"/>
        <v>0</v>
      </c>
      <c r="U423">
        <f t="shared" si="58"/>
        <v>1</v>
      </c>
      <c r="V423">
        <f t="shared" si="59"/>
        <v>0</v>
      </c>
      <c r="W423">
        <f t="shared" si="60"/>
        <v>2</v>
      </c>
      <c r="X423">
        <f t="shared" si="61"/>
        <v>0</v>
      </c>
      <c r="Y423">
        <f t="shared" si="62"/>
        <v>0</v>
      </c>
    </row>
    <row r="424" spans="1:25" x14ac:dyDescent="0.3">
      <c r="A424" t="s">
        <v>611</v>
      </c>
      <c r="B424" t="s">
        <v>612</v>
      </c>
      <c r="C424" s="1">
        <v>45837</v>
      </c>
      <c r="D424" s="3">
        <v>0.11222222222222222</v>
      </c>
      <c r="E424">
        <f t="shared" si="54"/>
        <v>2</v>
      </c>
      <c r="F424">
        <v>45</v>
      </c>
      <c r="G424" t="s">
        <v>46</v>
      </c>
      <c r="H424" t="s">
        <v>100</v>
      </c>
      <c r="I424" t="s">
        <v>85</v>
      </c>
      <c r="J424" t="s">
        <v>127</v>
      </c>
      <c r="K424" t="s">
        <v>95</v>
      </c>
      <c r="L424">
        <v>250.25</v>
      </c>
      <c r="M424" t="s">
        <v>42</v>
      </c>
      <c r="N424">
        <f t="shared" si="55"/>
        <v>0</v>
      </c>
      <c r="O424" t="s">
        <v>86</v>
      </c>
      <c r="P424" t="s">
        <v>613</v>
      </c>
      <c r="Q424">
        <v>0</v>
      </c>
      <c r="R424">
        <v>76</v>
      </c>
      <c r="S424">
        <f t="shared" si="56"/>
        <v>1.0471233842330263</v>
      </c>
      <c r="T424">
        <f t="shared" si="57"/>
        <v>0</v>
      </c>
      <c r="U424">
        <f t="shared" si="58"/>
        <v>1</v>
      </c>
      <c r="V424">
        <f t="shared" si="59"/>
        <v>1</v>
      </c>
      <c r="W424">
        <f t="shared" si="60"/>
        <v>3</v>
      </c>
      <c r="X424">
        <f t="shared" si="61"/>
        <v>0</v>
      </c>
      <c r="Y424">
        <f t="shared" si="62"/>
        <v>0</v>
      </c>
    </row>
    <row r="425" spans="1:25" x14ac:dyDescent="0.3">
      <c r="A425" t="s">
        <v>2798</v>
      </c>
      <c r="B425" t="s">
        <v>2799</v>
      </c>
      <c r="C425" s="1">
        <v>45865</v>
      </c>
      <c r="D425" s="3">
        <v>0.59108796296296295</v>
      </c>
      <c r="E425">
        <f t="shared" si="54"/>
        <v>14</v>
      </c>
      <c r="F425">
        <v>20</v>
      </c>
      <c r="G425" t="s">
        <v>46</v>
      </c>
      <c r="H425" t="s">
        <v>167</v>
      </c>
      <c r="I425" t="s">
        <v>85</v>
      </c>
      <c r="J425" t="s">
        <v>132</v>
      </c>
      <c r="K425" t="s">
        <v>95</v>
      </c>
      <c r="L425">
        <v>250.2</v>
      </c>
      <c r="M425" t="s">
        <v>42</v>
      </c>
      <c r="N425">
        <f t="shared" si="55"/>
        <v>0</v>
      </c>
      <c r="O425" t="s">
        <v>86</v>
      </c>
      <c r="P425" t="s">
        <v>2800</v>
      </c>
      <c r="Q425">
        <v>1</v>
      </c>
      <c r="R425">
        <v>310</v>
      </c>
      <c r="S425">
        <f t="shared" si="56"/>
        <v>1.0464311712592216</v>
      </c>
      <c r="T425">
        <f t="shared" si="57"/>
        <v>0</v>
      </c>
      <c r="U425">
        <f t="shared" si="58"/>
        <v>0</v>
      </c>
      <c r="V425">
        <f t="shared" si="59"/>
        <v>0</v>
      </c>
      <c r="W425">
        <f t="shared" si="60"/>
        <v>0</v>
      </c>
      <c r="X425">
        <f t="shared" si="61"/>
        <v>0</v>
      </c>
      <c r="Y425">
        <f t="shared" si="62"/>
        <v>0</v>
      </c>
    </row>
    <row r="426" spans="1:25" x14ac:dyDescent="0.3">
      <c r="A426" t="s">
        <v>1466</v>
      </c>
      <c r="B426" t="s">
        <v>1467</v>
      </c>
      <c r="C426" s="1">
        <v>45873</v>
      </c>
      <c r="D426" s="3">
        <v>0.93511574074074078</v>
      </c>
      <c r="E426">
        <f t="shared" si="54"/>
        <v>22</v>
      </c>
      <c r="F426">
        <v>46</v>
      </c>
      <c r="G426" t="s">
        <v>46</v>
      </c>
      <c r="H426" t="s">
        <v>239</v>
      </c>
      <c r="I426" t="s">
        <v>20</v>
      </c>
      <c r="J426" t="s">
        <v>94</v>
      </c>
      <c r="K426" t="s">
        <v>168</v>
      </c>
      <c r="L426">
        <v>250.09</v>
      </c>
      <c r="M426" t="s">
        <v>33</v>
      </c>
      <c r="N426">
        <f t="shared" si="55"/>
        <v>0</v>
      </c>
      <c r="O426" t="s">
        <v>86</v>
      </c>
      <c r="P426" t="s">
        <v>1468</v>
      </c>
      <c r="Q426">
        <v>0</v>
      </c>
      <c r="R426">
        <v>276</v>
      </c>
      <c r="S426">
        <f t="shared" si="56"/>
        <v>1.0449083027168515</v>
      </c>
      <c r="T426">
        <f t="shared" si="57"/>
        <v>0</v>
      </c>
      <c r="U426">
        <f t="shared" si="58"/>
        <v>0</v>
      </c>
      <c r="V426">
        <f t="shared" si="59"/>
        <v>0</v>
      </c>
      <c r="W426">
        <f t="shared" si="60"/>
        <v>0</v>
      </c>
      <c r="X426">
        <f t="shared" si="61"/>
        <v>0</v>
      </c>
      <c r="Y426">
        <f t="shared" si="62"/>
        <v>0</v>
      </c>
    </row>
    <row r="427" spans="1:25" x14ac:dyDescent="0.3">
      <c r="A427" t="s">
        <v>3320</v>
      </c>
      <c r="B427" t="s">
        <v>3321</v>
      </c>
      <c r="C427" s="1">
        <v>45829</v>
      </c>
      <c r="D427" s="3">
        <v>0.15979166666666667</v>
      </c>
      <c r="E427">
        <f t="shared" si="54"/>
        <v>3</v>
      </c>
      <c r="F427">
        <v>50</v>
      </c>
      <c r="G427" t="s">
        <v>60</v>
      </c>
      <c r="H427" t="s">
        <v>131</v>
      </c>
      <c r="I427" t="s">
        <v>71</v>
      </c>
      <c r="J427" t="s">
        <v>21</v>
      </c>
      <c r="K427" t="s">
        <v>32</v>
      </c>
      <c r="L427">
        <v>250</v>
      </c>
      <c r="M427" t="s">
        <v>115</v>
      </c>
      <c r="N427">
        <f t="shared" si="55"/>
        <v>0</v>
      </c>
      <c r="O427" t="s">
        <v>24</v>
      </c>
      <c r="P427" t="s">
        <v>3322</v>
      </c>
      <c r="Q427">
        <v>0</v>
      </c>
      <c r="R427">
        <v>426</v>
      </c>
      <c r="S427">
        <f t="shared" si="56"/>
        <v>1.0436623193640031</v>
      </c>
      <c r="T427">
        <f t="shared" si="57"/>
        <v>0</v>
      </c>
      <c r="U427">
        <f t="shared" si="58"/>
        <v>1</v>
      </c>
      <c r="V427">
        <f t="shared" si="59"/>
        <v>0</v>
      </c>
      <c r="W427">
        <f t="shared" si="60"/>
        <v>2</v>
      </c>
      <c r="X427">
        <f t="shared" si="61"/>
        <v>0</v>
      </c>
      <c r="Y427">
        <f t="shared" si="62"/>
        <v>0</v>
      </c>
    </row>
    <row r="428" spans="1:25" x14ac:dyDescent="0.3">
      <c r="A428" t="s">
        <v>6404</v>
      </c>
      <c r="B428" t="s">
        <v>6405</v>
      </c>
      <c r="C428" s="1">
        <v>45878</v>
      </c>
      <c r="D428" s="3">
        <v>0.29855324074074074</v>
      </c>
      <c r="E428">
        <f t="shared" si="54"/>
        <v>7</v>
      </c>
      <c r="F428">
        <v>61</v>
      </c>
      <c r="G428" t="s">
        <v>18</v>
      </c>
      <c r="H428" t="s">
        <v>55</v>
      </c>
      <c r="I428" t="s">
        <v>105</v>
      </c>
      <c r="J428" t="s">
        <v>127</v>
      </c>
      <c r="K428" t="s">
        <v>95</v>
      </c>
      <c r="L428">
        <v>249.82</v>
      </c>
      <c r="M428" t="s">
        <v>23</v>
      </c>
      <c r="N428">
        <f t="shared" si="55"/>
        <v>0</v>
      </c>
      <c r="O428" t="s">
        <v>34</v>
      </c>
      <c r="P428" t="s">
        <v>6406</v>
      </c>
      <c r="Q428">
        <v>0</v>
      </c>
      <c r="R428">
        <v>296</v>
      </c>
      <c r="S428">
        <f t="shared" si="56"/>
        <v>1.0411703526583065</v>
      </c>
      <c r="T428">
        <f t="shared" si="57"/>
        <v>0</v>
      </c>
      <c r="U428">
        <f t="shared" si="58"/>
        <v>0</v>
      </c>
      <c r="V428">
        <f t="shared" si="59"/>
        <v>0</v>
      </c>
      <c r="W428">
        <f t="shared" si="60"/>
        <v>0</v>
      </c>
      <c r="X428">
        <f t="shared" si="61"/>
        <v>0</v>
      </c>
      <c r="Y428">
        <f t="shared" si="62"/>
        <v>0</v>
      </c>
    </row>
    <row r="429" spans="1:25" x14ac:dyDescent="0.3">
      <c r="A429" t="s">
        <v>1292</v>
      </c>
      <c r="B429" s="2" t="s">
        <v>1293</v>
      </c>
      <c r="C429" s="1">
        <v>45877</v>
      </c>
      <c r="D429" s="3">
        <v>0.89172453703703702</v>
      </c>
      <c r="E429">
        <f t="shared" si="54"/>
        <v>21</v>
      </c>
      <c r="F429" s="4">
        <v>41</v>
      </c>
      <c r="G429" t="s">
        <v>46</v>
      </c>
      <c r="H429" t="s">
        <v>84</v>
      </c>
      <c r="I429" t="s">
        <v>20</v>
      </c>
      <c r="J429" t="s">
        <v>49</v>
      </c>
      <c r="K429" t="s">
        <v>95</v>
      </c>
      <c r="L429">
        <v>249.77</v>
      </c>
      <c r="M429" t="s">
        <v>115</v>
      </c>
      <c r="N429">
        <f t="shared" si="55"/>
        <v>0</v>
      </c>
      <c r="O429" t="s">
        <v>51</v>
      </c>
      <c r="P429" t="s">
        <v>1294</v>
      </c>
      <c r="Q429">
        <v>0</v>
      </c>
      <c r="R429">
        <v>389</v>
      </c>
      <c r="S429">
        <f t="shared" si="56"/>
        <v>1.040478139684502</v>
      </c>
      <c r="T429">
        <f t="shared" si="57"/>
        <v>0</v>
      </c>
      <c r="U429">
        <f t="shared" si="58"/>
        <v>0</v>
      </c>
      <c r="V429">
        <f t="shared" si="59"/>
        <v>0</v>
      </c>
      <c r="W429">
        <f t="shared" si="60"/>
        <v>0</v>
      </c>
      <c r="X429">
        <f t="shared" si="61"/>
        <v>0</v>
      </c>
      <c r="Y429">
        <f t="shared" si="62"/>
        <v>0</v>
      </c>
    </row>
    <row r="430" spans="1:25" x14ac:dyDescent="0.3">
      <c r="A430" t="s">
        <v>3605</v>
      </c>
      <c r="B430" t="s">
        <v>3606</v>
      </c>
      <c r="C430" s="1">
        <v>45818</v>
      </c>
      <c r="D430" s="3">
        <v>0.15863425925925925</v>
      </c>
      <c r="E430">
        <f t="shared" si="54"/>
        <v>3</v>
      </c>
      <c r="F430">
        <v>26</v>
      </c>
      <c r="G430" t="s">
        <v>46</v>
      </c>
      <c r="H430" t="s">
        <v>185</v>
      </c>
      <c r="I430" t="s">
        <v>66</v>
      </c>
      <c r="J430" t="s">
        <v>94</v>
      </c>
      <c r="K430" t="s">
        <v>41</v>
      </c>
      <c r="L430">
        <v>249.74</v>
      </c>
      <c r="M430" t="s">
        <v>42</v>
      </c>
      <c r="N430">
        <f t="shared" si="55"/>
        <v>0</v>
      </c>
      <c r="O430" t="s">
        <v>34</v>
      </c>
      <c r="P430" t="s">
        <v>3607</v>
      </c>
      <c r="Q430">
        <v>0</v>
      </c>
      <c r="R430">
        <v>54</v>
      </c>
      <c r="S430">
        <f t="shared" si="56"/>
        <v>1.0400628119002193</v>
      </c>
      <c r="T430">
        <f t="shared" si="57"/>
        <v>0</v>
      </c>
      <c r="U430">
        <f t="shared" si="58"/>
        <v>1</v>
      </c>
      <c r="V430">
        <f t="shared" si="59"/>
        <v>1</v>
      </c>
      <c r="W430">
        <f t="shared" si="60"/>
        <v>3</v>
      </c>
      <c r="X430">
        <f t="shared" si="61"/>
        <v>0</v>
      </c>
      <c r="Y430">
        <f t="shared" si="62"/>
        <v>0</v>
      </c>
    </row>
    <row r="431" spans="1:25" x14ac:dyDescent="0.3">
      <c r="A431" t="s">
        <v>3245</v>
      </c>
      <c r="B431" t="s">
        <v>3246</v>
      </c>
      <c r="C431" s="1">
        <v>45879</v>
      </c>
      <c r="D431" s="3">
        <v>0.64083333333333337</v>
      </c>
      <c r="E431">
        <f t="shared" si="54"/>
        <v>15</v>
      </c>
      <c r="F431" s="4">
        <v>41</v>
      </c>
      <c r="G431" t="s">
        <v>28</v>
      </c>
      <c r="H431" t="s">
        <v>100</v>
      </c>
      <c r="I431" t="s">
        <v>105</v>
      </c>
      <c r="J431" t="s">
        <v>49</v>
      </c>
      <c r="K431" t="s">
        <v>62</v>
      </c>
      <c r="L431">
        <v>249.72</v>
      </c>
      <c r="M431" t="s">
        <v>42</v>
      </c>
      <c r="N431">
        <f t="shared" si="55"/>
        <v>0</v>
      </c>
      <c r="O431" t="s">
        <v>24</v>
      </c>
      <c r="P431" t="s">
        <v>3247</v>
      </c>
      <c r="Q431">
        <v>0</v>
      </c>
      <c r="R431">
        <v>257</v>
      </c>
      <c r="S431">
        <f t="shared" si="56"/>
        <v>1.0397859267106973</v>
      </c>
      <c r="T431">
        <f t="shared" si="57"/>
        <v>0</v>
      </c>
      <c r="U431">
        <f t="shared" si="58"/>
        <v>0</v>
      </c>
      <c r="V431">
        <f t="shared" si="59"/>
        <v>1</v>
      </c>
      <c r="W431">
        <f t="shared" si="60"/>
        <v>1</v>
      </c>
      <c r="X431">
        <f t="shared" si="61"/>
        <v>0</v>
      </c>
      <c r="Y431">
        <f t="shared" si="62"/>
        <v>0</v>
      </c>
    </row>
    <row r="432" spans="1:25" x14ac:dyDescent="0.3">
      <c r="A432" t="s">
        <v>968</v>
      </c>
      <c r="B432" t="s">
        <v>969</v>
      </c>
      <c r="C432" s="1">
        <v>45717</v>
      </c>
      <c r="D432" s="3">
        <v>0.72668981481481476</v>
      </c>
      <c r="E432">
        <f t="shared" si="54"/>
        <v>17</v>
      </c>
      <c r="F432">
        <v>42</v>
      </c>
      <c r="G432" t="s">
        <v>6479</v>
      </c>
      <c r="H432" t="s">
        <v>131</v>
      </c>
      <c r="I432" t="s">
        <v>66</v>
      </c>
      <c r="J432" t="s">
        <v>49</v>
      </c>
      <c r="K432" t="s">
        <v>22</v>
      </c>
      <c r="L432">
        <v>249.64</v>
      </c>
      <c r="M432" t="s">
        <v>42</v>
      </c>
      <c r="N432">
        <f t="shared" si="55"/>
        <v>0</v>
      </c>
      <c r="O432" t="s">
        <v>51</v>
      </c>
      <c r="P432" t="s">
        <v>970</v>
      </c>
      <c r="Q432">
        <v>0</v>
      </c>
      <c r="R432">
        <v>486</v>
      </c>
      <c r="S432">
        <f t="shared" si="56"/>
        <v>1.0386783859526096</v>
      </c>
      <c r="T432">
        <f t="shared" si="57"/>
        <v>0</v>
      </c>
      <c r="U432">
        <f t="shared" si="58"/>
        <v>0</v>
      </c>
      <c r="V432">
        <f t="shared" si="59"/>
        <v>0</v>
      </c>
      <c r="W432">
        <f t="shared" si="60"/>
        <v>0</v>
      </c>
      <c r="X432">
        <f t="shared" si="61"/>
        <v>0</v>
      </c>
      <c r="Y432">
        <f t="shared" si="62"/>
        <v>0</v>
      </c>
    </row>
    <row r="433" spans="1:25" x14ac:dyDescent="0.3">
      <c r="A433" t="s">
        <v>4079</v>
      </c>
      <c r="B433" t="s">
        <v>4080</v>
      </c>
      <c r="C433" s="1">
        <v>45875</v>
      </c>
      <c r="D433" s="3">
        <v>0.75666666666666671</v>
      </c>
      <c r="E433">
        <f t="shared" si="54"/>
        <v>18</v>
      </c>
      <c r="F433">
        <v>47</v>
      </c>
      <c r="G433" t="s">
        <v>28</v>
      </c>
      <c r="H433" t="s">
        <v>29</v>
      </c>
      <c r="I433" t="s">
        <v>110</v>
      </c>
      <c r="J433" t="s">
        <v>49</v>
      </c>
      <c r="K433" t="s">
        <v>95</v>
      </c>
      <c r="L433">
        <v>249.62</v>
      </c>
      <c r="M433" t="s">
        <v>33</v>
      </c>
      <c r="N433">
        <f t="shared" si="55"/>
        <v>0</v>
      </c>
      <c r="O433" t="s">
        <v>24</v>
      </c>
      <c r="P433" t="s">
        <v>4081</v>
      </c>
      <c r="Q433">
        <v>1</v>
      </c>
      <c r="R433">
        <v>146</v>
      </c>
      <c r="S433">
        <f t="shared" si="56"/>
        <v>1.038401500763088</v>
      </c>
      <c r="T433">
        <f t="shared" si="57"/>
        <v>0</v>
      </c>
      <c r="U433">
        <f t="shared" si="58"/>
        <v>0</v>
      </c>
      <c r="V433">
        <f t="shared" si="59"/>
        <v>1</v>
      </c>
      <c r="W433">
        <f t="shared" si="60"/>
        <v>1</v>
      </c>
      <c r="X433">
        <f t="shared" si="61"/>
        <v>0</v>
      </c>
      <c r="Y433">
        <f t="shared" si="62"/>
        <v>0</v>
      </c>
    </row>
    <row r="434" spans="1:25" x14ac:dyDescent="0.3">
      <c r="A434" t="s">
        <v>6152</v>
      </c>
      <c r="B434" t="s">
        <v>6153</v>
      </c>
      <c r="C434" s="1">
        <v>45801</v>
      </c>
      <c r="D434" s="3">
        <v>9.6747685185185187E-2</v>
      </c>
      <c r="E434">
        <f t="shared" si="54"/>
        <v>2</v>
      </c>
      <c r="F434">
        <v>58</v>
      </c>
      <c r="G434" t="s">
        <v>60</v>
      </c>
      <c r="H434" t="s">
        <v>131</v>
      </c>
      <c r="I434" t="s">
        <v>39</v>
      </c>
      <c r="J434" t="s">
        <v>40</v>
      </c>
      <c r="K434" t="s">
        <v>114</v>
      </c>
      <c r="L434">
        <v>249.35</v>
      </c>
      <c r="M434" t="s">
        <v>42</v>
      </c>
      <c r="N434">
        <f t="shared" si="55"/>
        <v>0</v>
      </c>
      <c r="O434" t="s">
        <v>34</v>
      </c>
      <c r="P434" t="s">
        <v>6154</v>
      </c>
      <c r="Q434">
        <v>0</v>
      </c>
      <c r="R434">
        <v>319</v>
      </c>
      <c r="S434">
        <f t="shared" si="56"/>
        <v>1.034663550704543</v>
      </c>
      <c r="T434">
        <f t="shared" si="57"/>
        <v>0</v>
      </c>
      <c r="U434">
        <f t="shared" si="58"/>
        <v>1</v>
      </c>
      <c r="V434">
        <f t="shared" si="59"/>
        <v>0</v>
      </c>
      <c r="W434">
        <f t="shared" si="60"/>
        <v>2</v>
      </c>
      <c r="X434">
        <f t="shared" si="61"/>
        <v>0</v>
      </c>
      <c r="Y434">
        <f t="shared" si="62"/>
        <v>0</v>
      </c>
    </row>
    <row r="435" spans="1:25" x14ac:dyDescent="0.3">
      <c r="A435" s="2" t="s">
        <v>241</v>
      </c>
      <c r="B435" t="s">
        <v>242</v>
      </c>
      <c r="C435" s="1">
        <v>45843</v>
      </c>
      <c r="D435" s="3">
        <v>0.23795138888888889</v>
      </c>
      <c r="E435">
        <f t="shared" si="54"/>
        <v>5</v>
      </c>
      <c r="F435">
        <v>25</v>
      </c>
      <c r="G435" t="s">
        <v>46</v>
      </c>
      <c r="H435" t="s">
        <v>61</v>
      </c>
      <c r="I435" t="s">
        <v>110</v>
      </c>
      <c r="J435" t="s">
        <v>40</v>
      </c>
      <c r="K435" t="s">
        <v>95</v>
      </c>
      <c r="L435">
        <v>249.18</v>
      </c>
      <c r="M435" t="s">
        <v>42</v>
      </c>
      <c r="N435">
        <f t="shared" si="55"/>
        <v>0</v>
      </c>
      <c r="O435" t="s">
        <v>24</v>
      </c>
      <c r="P435" t="s">
        <v>243</v>
      </c>
      <c r="Q435">
        <v>0</v>
      </c>
      <c r="R435">
        <v>390</v>
      </c>
      <c r="S435">
        <f t="shared" si="56"/>
        <v>1.0323100265936074</v>
      </c>
      <c r="T435">
        <f t="shared" si="57"/>
        <v>0</v>
      </c>
      <c r="U435">
        <f t="shared" si="58"/>
        <v>1</v>
      </c>
      <c r="V435">
        <f t="shared" si="59"/>
        <v>0</v>
      </c>
      <c r="W435">
        <f t="shared" si="60"/>
        <v>2</v>
      </c>
      <c r="X435">
        <f t="shared" si="61"/>
        <v>0</v>
      </c>
      <c r="Y435">
        <f t="shared" si="62"/>
        <v>0</v>
      </c>
    </row>
    <row r="436" spans="1:25" x14ac:dyDescent="0.3">
      <c r="A436" t="s">
        <v>1271</v>
      </c>
      <c r="B436" t="s">
        <v>1272</v>
      </c>
      <c r="C436" s="1">
        <v>45741</v>
      </c>
      <c r="D436" s="3">
        <v>0.44362268518518516</v>
      </c>
      <c r="E436">
        <f t="shared" si="54"/>
        <v>10</v>
      </c>
      <c r="F436">
        <v>37</v>
      </c>
      <c r="G436" t="s">
        <v>28</v>
      </c>
      <c r="H436" t="s">
        <v>70</v>
      </c>
      <c r="I436" t="s">
        <v>20</v>
      </c>
      <c r="J436" t="s">
        <v>31</v>
      </c>
      <c r="K436" t="s">
        <v>32</v>
      </c>
      <c r="L436">
        <v>249.16</v>
      </c>
      <c r="M436" t="s">
        <v>115</v>
      </c>
      <c r="N436">
        <f t="shared" si="55"/>
        <v>0</v>
      </c>
      <c r="O436" t="s">
        <v>34</v>
      </c>
      <c r="P436" t="s">
        <v>1273</v>
      </c>
      <c r="Q436">
        <v>1</v>
      </c>
      <c r="R436">
        <v>60</v>
      </c>
      <c r="S436">
        <f t="shared" si="56"/>
        <v>1.0320331414040855</v>
      </c>
      <c r="T436">
        <f t="shared" si="57"/>
        <v>0</v>
      </c>
      <c r="U436">
        <f t="shared" si="58"/>
        <v>0</v>
      </c>
      <c r="V436">
        <f t="shared" si="59"/>
        <v>1</v>
      </c>
      <c r="W436">
        <f t="shared" si="60"/>
        <v>1</v>
      </c>
      <c r="X436">
        <f t="shared" si="61"/>
        <v>0</v>
      </c>
      <c r="Y436">
        <f t="shared" si="62"/>
        <v>0</v>
      </c>
    </row>
    <row r="437" spans="1:25" x14ac:dyDescent="0.3">
      <c r="A437" t="s">
        <v>371</v>
      </c>
      <c r="B437" t="s">
        <v>372</v>
      </c>
      <c r="C437" s="1">
        <v>45877</v>
      </c>
      <c r="D437" s="3">
        <v>0.71693287037037035</v>
      </c>
      <c r="E437">
        <f t="shared" si="54"/>
        <v>17</v>
      </c>
      <c r="F437">
        <v>26</v>
      </c>
      <c r="G437" t="s">
        <v>46</v>
      </c>
      <c r="H437" t="s">
        <v>142</v>
      </c>
      <c r="I437" t="s">
        <v>105</v>
      </c>
      <c r="J437" t="s">
        <v>21</v>
      </c>
      <c r="K437" t="s">
        <v>50</v>
      </c>
      <c r="L437">
        <v>248.93</v>
      </c>
      <c r="M437" t="s">
        <v>33</v>
      </c>
      <c r="N437">
        <f t="shared" si="55"/>
        <v>0</v>
      </c>
      <c r="O437" t="s">
        <v>24</v>
      </c>
      <c r="P437" t="s">
        <v>373</v>
      </c>
      <c r="Q437">
        <v>0</v>
      </c>
      <c r="R437">
        <v>71</v>
      </c>
      <c r="S437">
        <f t="shared" si="56"/>
        <v>1.0288489617245844</v>
      </c>
      <c r="T437">
        <f t="shared" si="57"/>
        <v>0</v>
      </c>
      <c r="U437">
        <f t="shared" si="58"/>
        <v>0</v>
      </c>
      <c r="V437">
        <f t="shared" si="59"/>
        <v>1</v>
      </c>
      <c r="W437">
        <f t="shared" si="60"/>
        <v>1</v>
      </c>
      <c r="X437">
        <f t="shared" si="61"/>
        <v>0</v>
      </c>
      <c r="Y437">
        <f t="shared" si="62"/>
        <v>0</v>
      </c>
    </row>
    <row r="438" spans="1:25" x14ac:dyDescent="0.3">
      <c r="A438" t="s">
        <v>4448</v>
      </c>
      <c r="B438" t="s">
        <v>4449</v>
      </c>
      <c r="C438" s="1">
        <v>45706</v>
      </c>
      <c r="D438" s="3">
        <v>0.48304398148148148</v>
      </c>
      <c r="E438">
        <f t="shared" si="54"/>
        <v>11</v>
      </c>
      <c r="F438">
        <v>61</v>
      </c>
      <c r="G438" t="s">
        <v>46</v>
      </c>
      <c r="H438" t="s">
        <v>239</v>
      </c>
      <c r="I438" t="s">
        <v>119</v>
      </c>
      <c r="J438" t="s">
        <v>76</v>
      </c>
      <c r="K438" t="s">
        <v>120</v>
      </c>
      <c r="L438">
        <v>248.92</v>
      </c>
      <c r="M438" t="s">
        <v>6479</v>
      </c>
      <c r="N438">
        <f t="shared" si="55"/>
        <v>1</v>
      </c>
      <c r="O438" t="s">
        <v>51</v>
      </c>
      <c r="P438" t="s">
        <v>4450</v>
      </c>
      <c r="Q438">
        <v>0</v>
      </c>
      <c r="R438">
        <v>172</v>
      </c>
      <c r="S438">
        <f t="shared" si="56"/>
        <v>1.0287105191298231</v>
      </c>
      <c r="T438">
        <f t="shared" si="57"/>
        <v>0</v>
      </c>
      <c r="U438">
        <f t="shared" si="58"/>
        <v>0</v>
      </c>
      <c r="V438">
        <f t="shared" si="59"/>
        <v>1</v>
      </c>
      <c r="W438">
        <f t="shared" si="60"/>
        <v>3</v>
      </c>
      <c r="X438">
        <f t="shared" si="61"/>
        <v>0</v>
      </c>
      <c r="Y438">
        <f t="shared" si="62"/>
        <v>1</v>
      </c>
    </row>
    <row r="439" spans="1:25" x14ac:dyDescent="0.3">
      <c r="A439" t="s">
        <v>5156</v>
      </c>
      <c r="B439" t="s">
        <v>5157</v>
      </c>
      <c r="C439" s="1">
        <v>45805</v>
      </c>
      <c r="D439" s="3">
        <v>9.3865740740740736E-2</v>
      </c>
      <c r="E439">
        <f t="shared" si="54"/>
        <v>2</v>
      </c>
      <c r="F439">
        <v>55</v>
      </c>
      <c r="G439" t="s">
        <v>18</v>
      </c>
      <c r="H439" t="s">
        <v>131</v>
      </c>
      <c r="I439" t="s">
        <v>20</v>
      </c>
      <c r="J439" t="s">
        <v>72</v>
      </c>
      <c r="K439" t="s">
        <v>41</v>
      </c>
      <c r="L439">
        <v>248.91</v>
      </c>
      <c r="M439" t="s">
        <v>23</v>
      </c>
      <c r="N439">
        <f t="shared" si="55"/>
        <v>0</v>
      </c>
      <c r="O439" t="s">
        <v>86</v>
      </c>
      <c r="P439" t="s">
        <v>5158</v>
      </c>
      <c r="Q439">
        <v>0</v>
      </c>
      <c r="R439">
        <v>118</v>
      </c>
      <c r="S439">
        <f t="shared" si="56"/>
        <v>1.0285720765350623</v>
      </c>
      <c r="T439">
        <f t="shared" si="57"/>
        <v>0</v>
      </c>
      <c r="U439">
        <f t="shared" si="58"/>
        <v>1</v>
      </c>
      <c r="V439">
        <f t="shared" si="59"/>
        <v>1</v>
      </c>
      <c r="W439">
        <f t="shared" si="60"/>
        <v>3</v>
      </c>
      <c r="X439">
        <f t="shared" si="61"/>
        <v>0</v>
      </c>
      <c r="Y439">
        <f t="shared" si="62"/>
        <v>0</v>
      </c>
    </row>
    <row r="440" spans="1:25" x14ac:dyDescent="0.3">
      <c r="A440" t="s">
        <v>6206</v>
      </c>
      <c r="B440" t="s">
        <v>6207</v>
      </c>
      <c r="C440" s="1">
        <v>45866</v>
      </c>
      <c r="D440" s="3">
        <v>0.70917824074074076</v>
      </c>
      <c r="E440">
        <f t="shared" si="54"/>
        <v>17</v>
      </c>
      <c r="F440">
        <v>29</v>
      </c>
      <c r="G440" t="s">
        <v>28</v>
      </c>
      <c r="H440" t="s">
        <v>90</v>
      </c>
      <c r="I440" t="s">
        <v>110</v>
      </c>
      <c r="J440" t="s">
        <v>56</v>
      </c>
      <c r="K440" t="s">
        <v>22</v>
      </c>
      <c r="L440">
        <v>248.86</v>
      </c>
      <c r="M440" t="s">
        <v>42</v>
      </c>
      <c r="N440">
        <f t="shared" si="55"/>
        <v>0</v>
      </c>
      <c r="O440" t="s">
        <v>86</v>
      </c>
      <c r="P440" t="s">
        <v>6208</v>
      </c>
      <c r="Q440">
        <v>0</v>
      </c>
      <c r="R440">
        <v>492</v>
      </c>
      <c r="S440">
        <f t="shared" si="56"/>
        <v>1.0278798635612578</v>
      </c>
      <c r="T440">
        <f t="shared" si="57"/>
        <v>0</v>
      </c>
      <c r="U440">
        <f t="shared" si="58"/>
        <v>0</v>
      </c>
      <c r="V440">
        <f t="shared" si="59"/>
        <v>0</v>
      </c>
      <c r="W440">
        <f t="shared" si="60"/>
        <v>0</v>
      </c>
      <c r="X440">
        <f t="shared" si="61"/>
        <v>0</v>
      </c>
      <c r="Y440">
        <f t="shared" si="62"/>
        <v>0</v>
      </c>
    </row>
    <row r="441" spans="1:25" x14ac:dyDescent="0.3">
      <c r="A441" t="s">
        <v>1991</v>
      </c>
      <c r="B441" t="s">
        <v>1992</v>
      </c>
      <c r="C441" s="1">
        <v>45826</v>
      </c>
      <c r="D441" s="3">
        <v>0.27335648148148151</v>
      </c>
      <c r="E441">
        <f t="shared" si="54"/>
        <v>6</v>
      </c>
      <c r="F441">
        <v>39</v>
      </c>
      <c r="G441" t="s">
        <v>60</v>
      </c>
      <c r="H441" t="s">
        <v>100</v>
      </c>
      <c r="I441" t="s">
        <v>119</v>
      </c>
      <c r="J441" t="s">
        <v>76</v>
      </c>
      <c r="K441" t="s">
        <v>62</v>
      </c>
      <c r="L441">
        <v>248.77</v>
      </c>
      <c r="M441" t="s">
        <v>23</v>
      </c>
      <c r="N441">
        <f t="shared" si="55"/>
        <v>0</v>
      </c>
      <c r="O441" t="s">
        <v>24</v>
      </c>
      <c r="P441" t="s">
        <v>1993</v>
      </c>
      <c r="Q441">
        <v>0</v>
      </c>
      <c r="R441">
        <v>214</v>
      </c>
      <c r="S441">
        <f t="shared" si="56"/>
        <v>1.0266338802084096</v>
      </c>
      <c r="T441">
        <f t="shared" si="57"/>
        <v>0</v>
      </c>
      <c r="U441">
        <f t="shared" si="58"/>
        <v>0</v>
      </c>
      <c r="V441">
        <f t="shared" si="59"/>
        <v>1</v>
      </c>
      <c r="W441">
        <f t="shared" si="60"/>
        <v>1</v>
      </c>
      <c r="X441">
        <f t="shared" si="61"/>
        <v>0</v>
      </c>
      <c r="Y441">
        <f t="shared" si="62"/>
        <v>0</v>
      </c>
    </row>
    <row r="442" spans="1:25" x14ac:dyDescent="0.3">
      <c r="A442" t="s">
        <v>4661</v>
      </c>
      <c r="B442" t="s">
        <v>4662</v>
      </c>
      <c r="C442" s="1">
        <v>45782</v>
      </c>
      <c r="D442" s="3">
        <v>0.2598611111111111</v>
      </c>
      <c r="E442">
        <f t="shared" si="54"/>
        <v>6</v>
      </c>
      <c r="F442">
        <v>46</v>
      </c>
      <c r="G442" t="s">
        <v>60</v>
      </c>
      <c r="H442" t="s">
        <v>175</v>
      </c>
      <c r="I442" t="s">
        <v>105</v>
      </c>
      <c r="J442" t="s">
        <v>76</v>
      </c>
      <c r="K442" t="s">
        <v>50</v>
      </c>
      <c r="L442">
        <v>248.27</v>
      </c>
      <c r="M442" t="s">
        <v>33</v>
      </c>
      <c r="N442">
        <f t="shared" si="55"/>
        <v>0</v>
      </c>
      <c r="O442" t="s">
        <v>51</v>
      </c>
      <c r="P442" t="s">
        <v>4663</v>
      </c>
      <c r="Q442">
        <v>0</v>
      </c>
      <c r="R442">
        <v>60</v>
      </c>
      <c r="S442">
        <f t="shared" si="56"/>
        <v>1.0197117504703634</v>
      </c>
      <c r="T442">
        <f t="shared" si="57"/>
        <v>0</v>
      </c>
      <c r="U442">
        <f t="shared" si="58"/>
        <v>0</v>
      </c>
      <c r="V442">
        <f t="shared" si="59"/>
        <v>1</v>
      </c>
      <c r="W442">
        <f t="shared" si="60"/>
        <v>1</v>
      </c>
      <c r="X442">
        <f t="shared" si="61"/>
        <v>0</v>
      </c>
      <c r="Y442">
        <f t="shared" si="62"/>
        <v>0</v>
      </c>
    </row>
    <row r="443" spans="1:25" x14ac:dyDescent="0.3">
      <c r="A443" t="s">
        <v>4340</v>
      </c>
      <c r="B443" t="s">
        <v>4341</v>
      </c>
      <c r="C443" s="1">
        <v>45756</v>
      </c>
      <c r="D443" s="3">
        <v>8.7152777777777784E-3</v>
      </c>
      <c r="E443">
        <f t="shared" si="54"/>
        <v>0</v>
      </c>
      <c r="F443">
        <v>50</v>
      </c>
      <c r="G443" t="s">
        <v>28</v>
      </c>
      <c r="H443" t="s">
        <v>84</v>
      </c>
      <c r="I443" t="s">
        <v>105</v>
      </c>
      <c r="J443" t="s">
        <v>31</v>
      </c>
      <c r="K443" t="s">
        <v>168</v>
      </c>
      <c r="L443">
        <v>248.23</v>
      </c>
      <c r="M443" t="s">
        <v>33</v>
      </c>
      <c r="N443">
        <f t="shared" si="55"/>
        <v>0</v>
      </c>
      <c r="O443" t="s">
        <v>24</v>
      </c>
      <c r="P443" t="s">
        <v>4342</v>
      </c>
      <c r="Q443">
        <v>0</v>
      </c>
      <c r="R443">
        <v>471</v>
      </c>
      <c r="S443">
        <f t="shared" si="56"/>
        <v>1.0191579800913193</v>
      </c>
      <c r="T443">
        <f t="shared" si="57"/>
        <v>0</v>
      </c>
      <c r="U443">
        <f t="shared" si="58"/>
        <v>1</v>
      </c>
      <c r="V443">
        <f t="shared" si="59"/>
        <v>0</v>
      </c>
      <c r="W443">
        <f t="shared" si="60"/>
        <v>2</v>
      </c>
      <c r="X443">
        <f t="shared" si="61"/>
        <v>0</v>
      </c>
      <c r="Y443">
        <f t="shared" si="62"/>
        <v>0</v>
      </c>
    </row>
    <row r="444" spans="1:25" x14ac:dyDescent="0.3">
      <c r="A444" t="s">
        <v>4895</v>
      </c>
      <c r="B444" t="s">
        <v>4896</v>
      </c>
      <c r="C444" s="1">
        <v>45709</v>
      </c>
      <c r="D444" s="3">
        <v>0.12495370370370371</v>
      </c>
      <c r="E444">
        <f t="shared" si="54"/>
        <v>2</v>
      </c>
      <c r="F444">
        <v>23</v>
      </c>
      <c r="G444" t="s">
        <v>18</v>
      </c>
      <c r="H444" t="s">
        <v>55</v>
      </c>
      <c r="I444" t="s">
        <v>110</v>
      </c>
      <c r="J444" t="s">
        <v>56</v>
      </c>
      <c r="K444" t="s">
        <v>95</v>
      </c>
      <c r="L444">
        <v>248.07</v>
      </c>
      <c r="M444" t="s">
        <v>115</v>
      </c>
      <c r="N444">
        <f t="shared" si="55"/>
        <v>0</v>
      </c>
      <c r="O444" t="s">
        <v>86</v>
      </c>
      <c r="P444" t="s">
        <v>4897</v>
      </c>
      <c r="Q444">
        <v>0</v>
      </c>
      <c r="R444">
        <v>437</v>
      </c>
      <c r="S444">
        <f t="shared" si="56"/>
        <v>1.0169428985751445</v>
      </c>
      <c r="T444">
        <f t="shared" si="57"/>
        <v>0</v>
      </c>
      <c r="U444">
        <f t="shared" si="58"/>
        <v>1</v>
      </c>
      <c r="V444">
        <f t="shared" si="59"/>
        <v>0</v>
      </c>
      <c r="W444">
        <f t="shared" si="60"/>
        <v>2</v>
      </c>
      <c r="X444">
        <f t="shared" si="61"/>
        <v>0</v>
      </c>
      <c r="Y444">
        <f t="shared" si="62"/>
        <v>0</v>
      </c>
    </row>
    <row r="445" spans="1:25" x14ac:dyDescent="0.3">
      <c r="A445" t="s">
        <v>1475</v>
      </c>
      <c r="B445" t="s">
        <v>1476</v>
      </c>
      <c r="C445" s="1">
        <v>45742</v>
      </c>
      <c r="D445" s="3">
        <v>0.73518518518518516</v>
      </c>
      <c r="E445">
        <f t="shared" si="54"/>
        <v>17</v>
      </c>
      <c r="F445">
        <v>43</v>
      </c>
      <c r="G445" t="s">
        <v>28</v>
      </c>
      <c r="H445" t="s">
        <v>167</v>
      </c>
      <c r="I445" t="s">
        <v>85</v>
      </c>
      <c r="J445" t="s">
        <v>127</v>
      </c>
      <c r="K445" t="s">
        <v>95</v>
      </c>
      <c r="L445">
        <v>248.04</v>
      </c>
      <c r="M445" t="s">
        <v>33</v>
      </c>
      <c r="N445">
        <f t="shared" si="55"/>
        <v>0</v>
      </c>
      <c r="O445" t="s">
        <v>51</v>
      </c>
      <c r="P445" t="s">
        <v>1477</v>
      </c>
      <c r="Q445">
        <v>0</v>
      </c>
      <c r="R445">
        <v>261</v>
      </c>
      <c r="S445">
        <f t="shared" si="56"/>
        <v>1.0165275707908619</v>
      </c>
      <c r="T445">
        <f t="shared" si="57"/>
        <v>0</v>
      </c>
      <c r="U445">
        <f t="shared" si="58"/>
        <v>0</v>
      </c>
      <c r="V445">
        <f t="shared" si="59"/>
        <v>1</v>
      </c>
      <c r="W445">
        <f t="shared" si="60"/>
        <v>1</v>
      </c>
      <c r="X445">
        <f t="shared" si="61"/>
        <v>0</v>
      </c>
      <c r="Y445">
        <f t="shared" si="62"/>
        <v>0</v>
      </c>
    </row>
    <row r="446" spans="1:25" x14ac:dyDescent="0.3">
      <c r="A446" t="s">
        <v>4793</v>
      </c>
      <c r="B446" t="s">
        <v>4794</v>
      </c>
      <c r="C446" s="1">
        <v>45844</v>
      </c>
      <c r="D446" s="3">
        <v>0.92364583333333339</v>
      </c>
      <c r="E446">
        <f t="shared" si="54"/>
        <v>22</v>
      </c>
      <c r="F446">
        <v>42</v>
      </c>
      <c r="G446" t="s">
        <v>60</v>
      </c>
      <c r="H446" t="s">
        <v>38</v>
      </c>
      <c r="I446" t="s">
        <v>119</v>
      </c>
      <c r="J446" t="s">
        <v>76</v>
      </c>
      <c r="K446" t="s">
        <v>114</v>
      </c>
      <c r="L446">
        <v>247.89</v>
      </c>
      <c r="M446" t="s">
        <v>42</v>
      </c>
      <c r="N446">
        <f t="shared" si="55"/>
        <v>0</v>
      </c>
      <c r="O446" t="s">
        <v>24</v>
      </c>
      <c r="P446" t="s">
        <v>4795</v>
      </c>
      <c r="Q446">
        <v>0</v>
      </c>
      <c r="R446">
        <v>378</v>
      </c>
      <c r="S446">
        <f t="shared" si="56"/>
        <v>1.0144509318694479</v>
      </c>
      <c r="T446">
        <f t="shared" si="57"/>
        <v>0</v>
      </c>
      <c r="U446">
        <f t="shared" si="58"/>
        <v>0</v>
      </c>
      <c r="V446">
        <f t="shared" si="59"/>
        <v>0</v>
      </c>
      <c r="W446">
        <f t="shared" si="60"/>
        <v>0</v>
      </c>
      <c r="X446">
        <f t="shared" si="61"/>
        <v>0</v>
      </c>
      <c r="Y446">
        <f t="shared" si="62"/>
        <v>0</v>
      </c>
    </row>
    <row r="447" spans="1:25" x14ac:dyDescent="0.3">
      <c r="A447" t="s">
        <v>2999</v>
      </c>
      <c r="B447" t="s">
        <v>3000</v>
      </c>
      <c r="C447" s="1">
        <v>45776</v>
      </c>
      <c r="D447" s="3">
        <v>0.56390046296296292</v>
      </c>
      <c r="E447">
        <f t="shared" si="54"/>
        <v>13</v>
      </c>
      <c r="F447">
        <v>54</v>
      </c>
      <c r="G447" t="s">
        <v>46</v>
      </c>
      <c r="H447" t="s">
        <v>90</v>
      </c>
      <c r="I447" t="s">
        <v>110</v>
      </c>
      <c r="J447" t="s">
        <v>56</v>
      </c>
      <c r="K447" t="s">
        <v>62</v>
      </c>
      <c r="L447">
        <v>247.87</v>
      </c>
      <c r="M447" t="s">
        <v>6479</v>
      </c>
      <c r="N447">
        <f t="shared" si="55"/>
        <v>1</v>
      </c>
      <c r="O447" t="s">
        <v>86</v>
      </c>
      <c r="P447" t="s">
        <v>3001</v>
      </c>
      <c r="Q447">
        <v>0</v>
      </c>
      <c r="R447">
        <v>175</v>
      </c>
      <c r="S447">
        <f t="shared" si="56"/>
        <v>1.0141740466799263</v>
      </c>
      <c r="T447">
        <f t="shared" si="57"/>
        <v>0</v>
      </c>
      <c r="U447">
        <f t="shared" si="58"/>
        <v>0</v>
      </c>
      <c r="V447">
        <f t="shared" si="59"/>
        <v>1</v>
      </c>
      <c r="W447">
        <f t="shared" si="60"/>
        <v>3</v>
      </c>
      <c r="X447">
        <f t="shared" si="61"/>
        <v>0</v>
      </c>
      <c r="Y447">
        <f t="shared" si="62"/>
        <v>1</v>
      </c>
    </row>
    <row r="448" spans="1:25" x14ac:dyDescent="0.3">
      <c r="A448" t="s">
        <v>5570</v>
      </c>
      <c r="B448" t="s">
        <v>5571</v>
      </c>
      <c r="C448" s="1">
        <v>45787</v>
      </c>
      <c r="D448" s="3">
        <v>0.38219907407407405</v>
      </c>
      <c r="E448">
        <f t="shared" si="54"/>
        <v>9</v>
      </c>
      <c r="F448">
        <v>32</v>
      </c>
      <c r="G448" t="s">
        <v>46</v>
      </c>
      <c r="H448" t="s">
        <v>70</v>
      </c>
      <c r="I448" t="s">
        <v>71</v>
      </c>
      <c r="J448" t="s">
        <v>49</v>
      </c>
      <c r="K448" t="s">
        <v>120</v>
      </c>
      <c r="L448">
        <v>247.82</v>
      </c>
      <c r="M448" t="s">
        <v>115</v>
      </c>
      <c r="N448">
        <f t="shared" si="55"/>
        <v>0</v>
      </c>
      <c r="O448" t="s">
        <v>51</v>
      </c>
      <c r="P448" t="s">
        <v>5572</v>
      </c>
      <c r="Q448">
        <v>0</v>
      </c>
      <c r="R448">
        <v>206</v>
      </c>
      <c r="S448">
        <f t="shared" si="56"/>
        <v>1.0134818337061215</v>
      </c>
      <c r="T448">
        <f t="shared" si="57"/>
        <v>0</v>
      </c>
      <c r="U448">
        <f t="shared" si="58"/>
        <v>0</v>
      </c>
      <c r="V448">
        <f t="shared" si="59"/>
        <v>1</v>
      </c>
      <c r="W448">
        <f t="shared" si="60"/>
        <v>1</v>
      </c>
      <c r="X448">
        <f t="shared" si="61"/>
        <v>0</v>
      </c>
      <c r="Y448">
        <f t="shared" si="62"/>
        <v>0</v>
      </c>
    </row>
    <row r="449" spans="1:25" x14ac:dyDescent="0.3">
      <c r="A449" t="s">
        <v>3635</v>
      </c>
      <c r="B449" t="s">
        <v>3636</v>
      </c>
      <c r="C449" s="1">
        <v>45861</v>
      </c>
      <c r="D449" s="3">
        <v>0.24087962962962964</v>
      </c>
      <c r="E449">
        <f t="shared" si="54"/>
        <v>5</v>
      </c>
      <c r="F449">
        <v>54</v>
      </c>
      <c r="G449" t="s">
        <v>99</v>
      </c>
      <c r="H449" t="s">
        <v>47</v>
      </c>
      <c r="I449" t="s">
        <v>66</v>
      </c>
      <c r="J449" t="s">
        <v>49</v>
      </c>
      <c r="K449" t="s">
        <v>120</v>
      </c>
      <c r="L449">
        <v>247.8</v>
      </c>
      <c r="M449" t="s">
        <v>115</v>
      </c>
      <c r="N449">
        <f t="shared" si="55"/>
        <v>0</v>
      </c>
      <c r="O449" t="s">
        <v>86</v>
      </c>
      <c r="P449" t="s">
        <v>3637</v>
      </c>
      <c r="Q449">
        <v>0</v>
      </c>
      <c r="R449">
        <v>99</v>
      </c>
      <c r="S449">
        <f t="shared" si="56"/>
        <v>1.0132049485165999</v>
      </c>
      <c r="T449">
        <f t="shared" si="57"/>
        <v>0</v>
      </c>
      <c r="U449">
        <f t="shared" si="58"/>
        <v>1</v>
      </c>
      <c r="V449">
        <f t="shared" si="59"/>
        <v>1</v>
      </c>
      <c r="W449">
        <f t="shared" si="60"/>
        <v>3</v>
      </c>
      <c r="X449">
        <f t="shared" si="61"/>
        <v>0</v>
      </c>
      <c r="Y449">
        <f t="shared" si="62"/>
        <v>0</v>
      </c>
    </row>
    <row r="450" spans="1:25" x14ac:dyDescent="0.3">
      <c r="A450" t="s">
        <v>6128</v>
      </c>
      <c r="B450" t="s">
        <v>6129</v>
      </c>
      <c r="C450" s="1">
        <v>45831</v>
      </c>
      <c r="D450" s="3">
        <v>2.060185185185185E-2</v>
      </c>
      <c r="E450">
        <f t="shared" ref="E450:E513" si="63">HOUR(D450)</f>
        <v>0</v>
      </c>
      <c r="F450">
        <v>61</v>
      </c>
      <c r="G450" t="s">
        <v>60</v>
      </c>
      <c r="H450" t="s">
        <v>185</v>
      </c>
      <c r="I450" t="s">
        <v>66</v>
      </c>
      <c r="J450" t="s">
        <v>127</v>
      </c>
      <c r="K450" t="s">
        <v>41</v>
      </c>
      <c r="L450">
        <v>247.8</v>
      </c>
      <c r="M450" t="s">
        <v>115</v>
      </c>
      <c r="N450">
        <f t="shared" ref="N450:N513" si="64">IF(M450="Unknown",1,0)</f>
        <v>0</v>
      </c>
      <c r="O450" t="s">
        <v>86</v>
      </c>
      <c r="P450" t="s">
        <v>6130</v>
      </c>
      <c r="Q450">
        <v>0</v>
      </c>
      <c r="R450">
        <v>456</v>
      </c>
      <c r="S450">
        <f t="shared" ref="S450:S513" si="65">(L450-$P$2137)/$P$2138</f>
        <v>1.0132049485165999</v>
      </c>
      <c r="T450">
        <f t="shared" ref="T450:T513" si="66">IF(ABS(Z450)&gt;3,1,0)</f>
        <v>0</v>
      </c>
      <c r="U450">
        <f t="shared" ref="U450:U513" si="67">IF(AND(E450&gt;=0,E450&lt;=5),1,0)</f>
        <v>1</v>
      </c>
      <c r="V450">
        <f t="shared" ref="V450:V513" si="68">IF(R450&lt;AVERAGE($R:$R),1,0)</f>
        <v>0</v>
      </c>
      <c r="W450">
        <f t="shared" ref="W450:W513" si="69">T450*3+U450*2+V450*1+N450*2</f>
        <v>2</v>
      </c>
      <c r="X450">
        <f t="shared" ref="X450:X513" si="70">IF(W450&gt;=5,1,0)</f>
        <v>0</v>
      </c>
      <c r="Y450">
        <f t="shared" ref="Y450:Y513" si="71">IF(M450="Unknown",1,0)</f>
        <v>0</v>
      </c>
    </row>
    <row r="451" spans="1:25" x14ac:dyDescent="0.3">
      <c r="A451" t="s">
        <v>6119</v>
      </c>
      <c r="B451" t="s">
        <v>6120</v>
      </c>
      <c r="C451" s="1">
        <v>45719</v>
      </c>
      <c r="D451" s="3">
        <v>0.24767361111111111</v>
      </c>
      <c r="E451">
        <f t="shared" si="63"/>
        <v>5</v>
      </c>
      <c r="F451">
        <v>47</v>
      </c>
      <c r="G451" t="s">
        <v>6479</v>
      </c>
      <c r="H451" t="s">
        <v>167</v>
      </c>
      <c r="I451" t="s">
        <v>20</v>
      </c>
      <c r="J451" t="s">
        <v>132</v>
      </c>
      <c r="K451" t="s">
        <v>62</v>
      </c>
      <c r="L451">
        <v>247.77</v>
      </c>
      <c r="M451" t="s">
        <v>23</v>
      </c>
      <c r="N451">
        <f t="shared" si="64"/>
        <v>0</v>
      </c>
      <c r="O451" t="s">
        <v>24</v>
      </c>
      <c r="P451" t="s">
        <v>6121</v>
      </c>
      <c r="Q451">
        <v>0</v>
      </c>
      <c r="R451">
        <v>484</v>
      </c>
      <c r="S451">
        <f t="shared" si="65"/>
        <v>1.012789620732317</v>
      </c>
      <c r="T451">
        <f t="shared" si="66"/>
        <v>0</v>
      </c>
      <c r="U451">
        <f t="shared" si="67"/>
        <v>1</v>
      </c>
      <c r="V451">
        <f t="shared" si="68"/>
        <v>0</v>
      </c>
      <c r="W451">
        <f t="shared" si="69"/>
        <v>2</v>
      </c>
      <c r="X451">
        <f t="shared" si="70"/>
        <v>0</v>
      </c>
      <c r="Y451">
        <f t="shared" si="71"/>
        <v>0</v>
      </c>
    </row>
    <row r="452" spans="1:25" x14ac:dyDescent="0.3">
      <c r="A452" t="s">
        <v>4331</v>
      </c>
      <c r="B452" t="s">
        <v>4332</v>
      </c>
      <c r="C452" s="1">
        <v>45818</v>
      </c>
      <c r="D452" s="3">
        <v>0.61015046296296294</v>
      </c>
      <c r="E452">
        <f t="shared" si="63"/>
        <v>14</v>
      </c>
      <c r="F452">
        <v>41</v>
      </c>
      <c r="G452" t="s">
        <v>46</v>
      </c>
      <c r="H452" t="s">
        <v>167</v>
      </c>
      <c r="I452" t="s">
        <v>20</v>
      </c>
      <c r="J452" t="s">
        <v>76</v>
      </c>
      <c r="K452" t="s">
        <v>101</v>
      </c>
      <c r="L452">
        <v>247.56</v>
      </c>
      <c r="M452" t="s">
        <v>33</v>
      </c>
      <c r="N452">
        <f t="shared" si="64"/>
        <v>0</v>
      </c>
      <c r="O452" t="s">
        <v>24</v>
      </c>
      <c r="P452" t="s">
        <v>4333</v>
      </c>
      <c r="Q452">
        <v>0</v>
      </c>
      <c r="R452">
        <v>427</v>
      </c>
      <c r="S452">
        <f t="shared" si="65"/>
        <v>1.0098823262423375</v>
      </c>
      <c r="T452">
        <f t="shared" si="66"/>
        <v>0</v>
      </c>
      <c r="U452">
        <f t="shared" si="67"/>
        <v>0</v>
      </c>
      <c r="V452">
        <f t="shared" si="68"/>
        <v>0</v>
      </c>
      <c r="W452">
        <f t="shared" si="69"/>
        <v>0</v>
      </c>
      <c r="X452">
        <f t="shared" si="70"/>
        <v>0</v>
      </c>
      <c r="Y452">
        <f t="shared" si="71"/>
        <v>0</v>
      </c>
    </row>
    <row r="453" spans="1:25" x14ac:dyDescent="0.3">
      <c r="A453" t="s">
        <v>5840</v>
      </c>
      <c r="B453" t="s">
        <v>5841</v>
      </c>
      <c r="C453" s="1">
        <v>45766</v>
      </c>
      <c r="D453" s="3">
        <v>0.655787037037037</v>
      </c>
      <c r="E453">
        <f t="shared" si="63"/>
        <v>15</v>
      </c>
      <c r="F453">
        <v>23</v>
      </c>
      <c r="G453" t="s">
        <v>6479</v>
      </c>
      <c r="H453" t="s">
        <v>185</v>
      </c>
      <c r="I453" t="s">
        <v>105</v>
      </c>
      <c r="J453" t="s">
        <v>49</v>
      </c>
      <c r="K453" t="s">
        <v>114</v>
      </c>
      <c r="L453">
        <v>247.55</v>
      </c>
      <c r="M453" t="s">
        <v>33</v>
      </c>
      <c r="N453">
        <f t="shared" si="64"/>
        <v>0</v>
      </c>
      <c r="O453" t="s">
        <v>51</v>
      </c>
      <c r="P453" t="s">
        <v>5842</v>
      </c>
      <c r="Q453">
        <v>0</v>
      </c>
      <c r="R453">
        <v>287</v>
      </c>
      <c r="S453">
        <f t="shared" si="65"/>
        <v>1.0097438836475767</v>
      </c>
      <c r="T453">
        <f t="shared" si="66"/>
        <v>0</v>
      </c>
      <c r="U453">
        <f t="shared" si="67"/>
        <v>0</v>
      </c>
      <c r="V453">
        <f t="shared" si="68"/>
        <v>0</v>
      </c>
      <c r="W453">
        <f t="shared" si="69"/>
        <v>0</v>
      </c>
      <c r="X453">
        <f t="shared" si="70"/>
        <v>0</v>
      </c>
      <c r="Y453">
        <f t="shared" si="71"/>
        <v>0</v>
      </c>
    </row>
    <row r="454" spans="1:25" x14ac:dyDescent="0.3">
      <c r="A454" s="2" t="s">
        <v>265</v>
      </c>
      <c r="B454" t="s">
        <v>266</v>
      </c>
      <c r="C454" s="1">
        <v>45713</v>
      </c>
      <c r="D454" s="3">
        <v>0.83438657407407413</v>
      </c>
      <c r="E454">
        <f t="shared" si="63"/>
        <v>20</v>
      </c>
      <c r="F454">
        <v>19</v>
      </c>
      <c r="G454" t="s">
        <v>46</v>
      </c>
      <c r="H454" t="s">
        <v>239</v>
      </c>
      <c r="I454" t="s">
        <v>39</v>
      </c>
      <c r="J454" t="s">
        <v>94</v>
      </c>
      <c r="K454" t="s">
        <v>22</v>
      </c>
      <c r="L454">
        <v>247.43</v>
      </c>
      <c r="M454" t="s">
        <v>23</v>
      </c>
      <c r="N454">
        <f t="shared" si="64"/>
        <v>0</v>
      </c>
      <c r="O454" t="s">
        <v>51</v>
      </c>
      <c r="P454" t="s">
        <v>267</v>
      </c>
      <c r="Q454">
        <v>0</v>
      </c>
      <c r="R454">
        <v>412</v>
      </c>
      <c r="S454">
        <f t="shared" si="65"/>
        <v>1.0080825725104456</v>
      </c>
      <c r="T454">
        <f t="shared" si="66"/>
        <v>0</v>
      </c>
      <c r="U454">
        <f t="shared" si="67"/>
        <v>0</v>
      </c>
      <c r="V454">
        <f t="shared" si="68"/>
        <v>0</v>
      </c>
      <c r="W454">
        <f t="shared" si="69"/>
        <v>0</v>
      </c>
      <c r="X454">
        <f t="shared" si="70"/>
        <v>0</v>
      </c>
      <c r="Y454">
        <f t="shared" si="71"/>
        <v>0</v>
      </c>
    </row>
    <row r="455" spans="1:25" x14ac:dyDescent="0.3">
      <c r="A455" t="s">
        <v>4259</v>
      </c>
      <c r="B455" t="s">
        <v>4260</v>
      </c>
      <c r="C455" s="1">
        <v>45727</v>
      </c>
      <c r="D455" s="3">
        <v>0.15432870370370369</v>
      </c>
      <c r="E455">
        <f t="shared" si="63"/>
        <v>3</v>
      </c>
      <c r="F455">
        <v>24</v>
      </c>
      <c r="G455" t="s">
        <v>18</v>
      </c>
      <c r="H455" t="s">
        <v>189</v>
      </c>
      <c r="I455" t="s">
        <v>66</v>
      </c>
      <c r="J455" t="s">
        <v>94</v>
      </c>
      <c r="K455" t="s">
        <v>114</v>
      </c>
      <c r="L455">
        <v>246.74</v>
      </c>
      <c r="M455" t="s">
        <v>33</v>
      </c>
      <c r="N455">
        <f t="shared" si="64"/>
        <v>0</v>
      </c>
      <c r="O455" t="s">
        <v>51</v>
      </c>
      <c r="P455" t="s">
        <v>4261</v>
      </c>
      <c r="Q455">
        <v>0</v>
      </c>
      <c r="R455">
        <v>350</v>
      </c>
      <c r="S455">
        <f t="shared" si="65"/>
        <v>0.99853003347194191</v>
      </c>
      <c r="T455">
        <f t="shared" si="66"/>
        <v>0</v>
      </c>
      <c r="U455">
        <f t="shared" si="67"/>
        <v>1</v>
      </c>
      <c r="V455">
        <f t="shared" si="68"/>
        <v>0</v>
      </c>
      <c r="W455">
        <f t="shared" si="69"/>
        <v>2</v>
      </c>
      <c r="X455">
        <f t="shared" si="70"/>
        <v>0</v>
      </c>
      <c r="Y455">
        <f t="shared" si="71"/>
        <v>0</v>
      </c>
    </row>
    <row r="456" spans="1:25" x14ac:dyDescent="0.3">
      <c r="A456" t="s">
        <v>4877</v>
      </c>
      <c r="B456" t="s">
        <v>4878</v>
      </c>
      <c r="C456" s="1">
        <v>45846</v>
      </c>
      <c r="D456" s="3">
        <v>0.21659722222222222</v>
      </c>
      <c r="E456">
        <f t="shared" si="63"/>
        <v>5</v>
      </c>
      <c r="F456">
        <v>27</v>
      </c>
      <c r="G456" t="s">
        <v>46</v>
      </c>
      <c r="H456" t="s">
        <v>80</v>
      </c>
      <c r="I456" t="s">
        <v>48</v>
      </c>
      <c r="J456" t="s">
        <v>94</v>
      </c>
      <c r="K456" t="s">
        <v>95</v>
      </c>
      <c r="L456">
        <v>246.57</v>
      </c>
      <c r="M456" t="s">
        <v>33</v>
      </c>
      <c r="N456">
        <f t="shared" si="64"/>
        <v>0</v>
      </c>
      <c r="O456" t="s">
        <v>34</v>
      </c>
      <c r="P456" t="s">
        <v>4879</v>
      </c>
      <c r="Q456">
        <v>0</v>
      </c>
      <c r="R456">
        <v>65</v>
      </c>
      <c r="S456">
        <f t="shared" si="65"/>
        <v>0.99617650936100588</v>
      </c>
      <c r="T456">
        <f t="shared" si="66"/>
        <v>0</v>
      </c>
      <c r="U456">
        <f t="shared" si="67"/>
        <v>1</v>
      </c>
      <c r="V456">
        <f t="shared" si="68"/>
        <v>1</v>
      </c>
      <c r="W456">
        <f t="shared" si="69"/>
        <v>3</v>
      </c>
      <c r="X456">
        <f t="shared" si="70"/>
        <v>0</v>
      </c>
      <c r="Y456">
        <f t="shared" si="71"/>
        <v>0</v>
      </c>
    </row>
    <row r="457" spans="1:25" x14ac:dyDescent="0.3">
      <c r="A457" t="s">
        <v>2186</v>
      </c>
      <c r="B457" t="s">
        <v>2187</v>
      </c>
      <c r="C457" s="1">
        <v>45846</v>
      </c>
      <c r="D457" s="3">
        <v>4.9467592592592591E-2</v>
      </c>
      <c r="E457">
        <f t="shared" si="63"/>
        <v>1</v>
      </c>
      <c r="F457">
        <v>29</v>
      </c>
      <c r="G457" t="s">
        <v>60</v>
      </c>
      <c r="H457" t="s">
        <v>55</v>
      </c>
      <c r="I457" t="s">
        <v>48</v>
      </c>
      <c r="J457" t="s">
        <v>49</v>
      </c>
      <c r="K457" t="s">
        <v>95</v>
      </c>
      <c r="L457">
        <v>246.53</v>
      </c>
      <c r="M457" t="s">
        <v>33</v>
      </c>
      <c r="N457">
        <f t="shared" si="64"/>
        <v>0</v>
      </c>
      <c r="O457" t="s">
        <v>24</v>
      </c>
      <c r="P457" t="s">
        <v>2188</v>
      </c>
      <c r="Q457">
        <v>0</v>
      </c>
      <c r="R457">
        <v>148</v>
      </c>
      <c r="S457">
        <f t="shared" si="65"/>
        <v>0.9956227389819623</v>
      </c>
      <c r="T457">
        <f t="shared" si="66"/>
        <v>0</v>
      </c>
      <c r="U457">
        <f t="shared" si="67"/>
        <v>1</v>
      </c>
      <c r="V457">
        <f t="shared" si="68"/>
        <v>1</v>
      </c>
      <c r="W457">
        <f t="shared" si="69"/>
        <v>3</v>
      </c>
      <c r="X457">
        <f t="shared" si="70"/>
        <v>0</v>
      </c>
      <c r="Y457">
        <f t="shared" si="71"/>
        <v>0</v>
      </c>
    </row>
    <row r="458" spans="1:25" x14ac:dyDescent="0.3">
      <c r="A458" t="s">
        <v>4367</v>
      </c>
      <c r="B458" t="s">
        <v>4368</v>
      </c>
      <c r="C458" s="1">
        <v>45846</v>
      </c>
      <c r="D458" s="3">
        <v>4.0150462962962964E-2</v>
      </c>
      <c r="E458">
        <f t="shared" si="63"/>
        <v>0</v>
      </c>
      <c r="F458">
        <v>60</v>
      </c>
      <c r="G458" t="s">
        <v>46</v>
      </c>
      <c r="H458" t="s">
        <v>70</v>
      </c>
      <c r="I458" t="s">
        <v>71</v>
      </c>
      <c r="J458" t="s">
        <v>31</v>
      </c>
      <c r="K458" t="s">
        <v>32</v>
      </c>
      <c r="L458">
        <v>246.4</v>
      </c>
      <c r="M458" t="s">
        <v>115</v>
      </c>
      <c r="N458">
        <f t="shared" si="64"/>
        <v>0</v>
      </c>
      <c r="O458" t="s">
        <v>34</v>
      </c>
      <c r="P458" t="s">
        <v>4369</v>
      </c>
      <c r="Q458">
        <v>1</v>
      </c>
      <c r="R458">
        <v>409</v>
      </c>
      <c r="S458">
        <f t="shared" si="65"/>
        <v>0.9938229852500704</v>
      </c>
      <c r="T458">
        <f t="shared" si="66"/>
        <v>0</v>
      </c>
      <c r="U458">
        <f t="shared" si="67"/>
        <v>1</v>
      </c>
      <c r="V458">
        <f t="shared" si="68"/>
        <v>0</v>
      </c>
      <c r="W458">
        <f t="shared" si="69"/>
        <v>2</v>
      </c>
      <c r="X458">
        <f t="shared" si="70"/>
        <v>0</v>
      </c>
      <c r="Y458">
        <f t="shared" si="71"/>
        <v>0</v>
      </c>
    </row>
    <row r="459" spans="1:25" x14ac:dyDescent="0.3">
      <c r="A459" t="s">
        <v>6440</v>
      </c>
      <c r="B459" t="s">
        <v>6441</v>
      </c>
      <c r="C459" s="1">
        <v>45873</v>
      </c>
      <c r="D459" s="3">
        <v>0.95145833333333329</v>
      </c>
      <c r="E459">
        <f t="shared" si="63"/>
        <v>22</v>
      </c>
      <c r="F459">
        <v>49</v>
      </c>
      <c r="G459" t="s">
        <v>18</v>
      </c>
      <c r="H459" t="s">
        <v>47</v>
      </c>
      <c r="I459" t="s">
        <v>30</v>
      </c>
      <c r="J459" t="s">
        <v>31</v>
      </c>
      <c r="K459" t="s">
        <v>41</v>
      </c>
      <c r="L459">
        <v>246.27</v>
      </c>
      <c r="M459" t="s">
        <v>33</v>
      </c>
      <c r="N459">
        <f t="shared" si="64"/>
        <v>0</v>
      </c>
      <c r="O459" t="s">
        <v>34</v>
      </c>
      <c r="P459" t="s">
        <v>6442</v>
      </c>
      <c r="Q459">
        <v>0</v>
      </c>
      <c r="R459">
        <v>321</v>
      </c>
      <c r="S459">
        <f t="shared" si="65"/>
        <v>0.99202323151817839</v>
      </c>
      <c r="T459">
        <f t="shared" si="66"/>
        <v>0</v>
      </c>
      <c r="U459">
        <f t="shared" si="67"/>
        <v>0</v>
      </c>
      <c r="V459">
        <f t="shared" si="68"/>
        <v>0</v>
      </c>
      <c r="W459">
        <f t="shared" si="69"/>
        <v>0</v>
      </c>
      <c r="X459">
        <f t="shared" si="70"/>
        <v>0</v>
      </c>
      <c r="Y459">
        <f t="shared" si="71"/>
        <v>0</v>
      </c>
    </row>
    <row r="460" spans="1:25" x14ac:dyDescent="0.3">
      <c r="A460" t="s">
        <v>6458</v>
      </c>
      <c r="B460" t="s">
        <v>6459</v>
      </c>
      <c r="C460" s="1">
        <v>45742</v>
      </c>
      <c r="D460" s="3">
        <v>0.22944444444444445</v>
      </c>
      <c r="E460">
        <f t="shared" si="63"/>
        <v>5</v>
      </c>
      <c r="F460">
        <v>51</v>
      </c>
      <c r="G460" t="s">
        <v>18</v>
      </c>
      <c r="H460" t="s">
        <v>29</v>
      </c>
      <c r="I460" t="s">
        <v>48</v>
      </c>
      <c r="J460" t="s">
        <v>56</v>
      </c>
      <c r="K460" t="s">
        <v>41</v>
      </c>
      <c r="L460">
        <v>246.07</v>
      </c>
      <c r="M460" t="s">
        <v>23</v>
      </c>
      <c r="N460">
        <f t="shared" si="64"/>
        <v>0</v>
      </c>
      <c r="O460" t="s">
        <v>24</v>
      </c>
      <c r="P460" t="s">
        <v>6460</v>
      </c>
      <c r="Q460">
        <v>0</v>
      </c>
      <c r="R460">
        <v>434</v>
      </c>
      <c r="S460">
        <f t="shared" si="65"/>
        <v>0.9892543796229597</v>
      </c>
      <c r="T460">
        <f t="shared" si="66"/>
        <v>0</v>
      </c>
      <c r="U460">
        <f t="shared" si="67"/>
        <v>1</v>
      </c>
      <c r="V460">
        <f t="shared" si="68"/>
        <v>0</v>
      </c>
      <c r="W460">
        <f t="shared" si="69"/>
        <v>2</v>
      </c>
      <c r="X460">
        <f t="shared" si="70"/>
        <v>0</v>
      </c>
      <c r="Y460">
        <f t="shared" si="71"/>
        <v>0</v>
      </c>
    </row>
    <row r="461" spans="1:25" x14ac:dyDescent="0.3">
      <c r="A461" t="s">
        <v>2360</v>
      </c>
      <c r="B461" t="s">
        <v>2361</v>
      </c>
      <c r="C461" s="1">
        <v>45781</v>
      </c>
      <c r="D461" s="3">
        <v>0.29736111111111113</v>
      </c>
      <c r="E461">
        <f t="shared" si="63"/>
        <v>7</v>
      </c>
      <c r="F461">
        <v>48</v>
      </c>
      <c r="G461" t="s">
        <v>60</v>
      </c>
      <c r="H461" t="s">
        <v>185</v>
      </c>
      <c r="I461" t="s">
        <v>105</v>
      </c>
      <c r="J461" t="s">
        <v>72</v>
      </c>
      <c r="K461" t="s">
        <v>50</v>
      </c>
      <c r="L461">
        <v>245.91</v>
      </c>
      <c r="M461" t="s">
        <v>115</v>
      </c>
      <c r="N461">
        <f t="shared" si="64"/>
        <v>0</v>
      </c>
      <c r="O461" t="s">
        <v>34</v>
      </c>
      <c r="P461" t="s">
        <v>2362</v>
      </c>
      <c r="Q461">
        <v>0</v>
      </c>
      <c r="R461">
        <v>490</v>
      </c>
      <c r="S461">
        <f t="shared" si="65"/>
        <v>0.98703929810678492</v>
      </c>
      <c r="T461">
        <f t="shared" si="66"/>
        <v>0</v>
      </c>
      <c r="U461">
        <f t="shared" si="67"/>
        <v>0</v>
      </c>
      <c r="V461">
        <f t="shared" si="68"/>
        <v>0</v>
      </c>
      <c r="W461">
        <f t="shared" si="69"/>
        <v>0</v>
      </c>
      <c r="X461">
        <f t="shared" si="70"/>
        <v>0</v>
      </c>
      <c r="Y461">
        <f t="shared" si="71"/>
        <v>0</v>
      </c>
    </row>
    <row r="462" spans="1:25" x14ac:dyDescent="0.3">
      <c r="A462" t="s">
        <v>3200</v>
      </c>
      <c r="B462" t="s">
        <v>3201</v>
      </c>
      <c r="C462" s="1">
        <v>45851</v>
      </c>
      <c r="D462" s="3">
        <v>0.71719907407407413</v>
      </c>
      <c r="E462">
        <f t="shared" si="63"/>
        <v>17</v>
      </c>
      <c r="F462">
        <v>31</v>
      </c>
      <c r="G462" t="s">
        <v>46</v>
      </c>
      <c r="H462" t="s">
        <v>19</v>
      </c>
      <c r="I462" t="s">
        <v>105</v>
      </c>
      <c r="J462" t="s">
        <v>127</v>
      </c>
      <c r="K462" t="s">
        <v>168</v>
      </c>
      <c r="L462">
        <v>245.89</v>
      </c>
      <c r="M462" t="s">
        <v>115</v>
      </c>
      <c r="N462">
        <f t="shared" si="64"/>
        <v>0</v>
      </c>
      <c r="O462" t="s">
        <v>34</v>
      </c>
      <c r="P462" t="s">
        <v>3202</v>
      </c>
      <c r="Q462">
        <v>0</v>
      </c>
      <c r="R462">
        <v>175</v>
      </c>
      <c r="S462">
        <f t="shared" si="65"/>
        <v>0.98676241291726297</v>
      </c>
      <c r="T462">
        <f t="shared" si="66"/>
        <v>0</v>
      </c>
      <c r="U462">
        <f t="shared" si="67"/>
        <v>0</v>
      </c>
      <c r="V462">
        <f t="shared" si="68"/>
        <v>1</v>
      </c>
      <c r="W462">
        <f t="shared" si="69"/>
        <v>1</v>
      </c>
      <c r="X462">
        <f t="shared" si="70"/>
        <v>0</v>
      </c>
      <c r="Y462">
        <f t="shared" si="71"/>
        <v>0</v>
      </c>
    </row>
    <row r="463" spans="1:25" x14ac:dyDescent="0.3">
      <c r="A463" t="s">
        <v>5846</v>
      </c>
      <c r="B463" t="s">
        <v>5847</v>
      </c>
      <c r="C463" s="1">
        <v>45866</v>
      </c>
      <c r="D463" s="3">
        <v>0.55959490740740736</v>
      </c>
      <c r="E463">
        <f t="shared" si="63"/>
        <v>13</v>
      </c>
      <c r="F463">
        <v>56</v>
      </c>
      <c r="G463" t="s">
        <v>60</v>
      </c>
      <c r="H463" t="s">
        <v>189</v>
      </c>
      <c r="I463" t="s">
        <v>119</v>
      </c>
      <c r="J463" t="s">
        <v>40</v>
      </c>
      <c r="K463" t="s">
        <v>114</v>
      </c>
      <c r="L463">
        <v>245.82</v>
      </c>
      <c r="M463" t="s">
        <v>33</v>
      </c>
      <c r="N463">
        <f t="shared" si="64"/>
        <v>0</v>
      </c>
      <c r="O463" t="s">
        <v>51</v>
      </c>
      <c r="P463" t="s">
        <v>5848</v>
      </c>
      <c r="Q463">
        <v>0</v>
      </c>
      <c r="R463">
        <v>62</v>
      </c>
      <c r="S463">
        <f t="shared" si="65"/>
        <v>0.98579331475393661</v>
      </c>
      <c r="T463">
        <f t="shared" si="66"/>
        <v>0</v>
      </c>
      <c r="U463">
        <f t="shared" si="67"/>
        <v>0</v>
      </c>
      <c r="V463">
        <f t="shared" si="68"/>
        <v>1</v>
      </c>
      <c r="W463">
        <f t="shared" si="69"/>
        <v>1</v>
      </c>
      <c r="X463">
        <f t="shared" si="70"/>
        <v>0</v>
      </c>
      <c r="Y463">
        <f t="shared" si="71"/>
        <v>0</v>
      </c>
    </row>
    <row r="464" spans="1:25" x14ac:dyDescent="0.3">
      <c r="A464" t="s">
        <v>977</v>
      </c>
      <c r="B464" t="s">
        <v>978</v>
      </c>
      <c r="C464" s="1">
        <v>45702</v>
      </c>
      <c r="D464" s="3">
        <v>0.26505787037037037</v>
      </c>
      <c r="E464">
        <f t="shared" si="63"/>
        <v>6</v>
      </c>
      <c r="F464">
        <v>63</v>
      </c>
      <c r="G464" t="s">
        <v>18</v>
      </c>
      <c r="H464" t="s">
        <v>70</v>
      </c>
      <c r="I464" t="s">
        <v>71</v>
      </c>
      <c r="J464" t="s">
        <v>21</v>
      </c>
      <c r="K464" t="s">
        <v>95</v>
      </c>
      <c r="L464">
        <v>245.81</v>
      </c>
      <c r="M464" t="s">
        <v>33</v>
      </c>
      <c r="N464">
        <f t="shared" si="64"/>
        <v>0</v>
      </c>
      <c r="O464" t="s">
        <v>51</v>
      </c>
      <c r="P464" t="s">
        <v>979</v>
      </c>
      <c r="Q464">
        <v>0</v>
      </c>
      <c r="R464">
        <v>315</v>
      </c>
      <c r="S464">
        <f t="shared" si="65"/>
        <v>0.9856548721591758</v>
      </c>
      <c r="T464">
        <f t="shared" si="66"/>
        <v>0</v>
      </c>
      <c r="U464">
        <f t="shared" si="67"/>
        <v>0</v>
      </c>
      <c r="V464">
        <f t="shared" si="68"/>
        <v>0</v>
      </c>
      <c r="W464">
        <f t="shared" si="69"/>
        <v>0</v>
      </c>
      <c r="X464">
        <f t="shared" si="70"/>
        <v>0</v>
      </c>
      <c r="Y464">
        <f t="shared" si="71"/>
        <v>0</v>
      </c>
    </row>
    <row r="465" spans="1:25" x14ac:dyDescent="0.3">
      <c r="A465" t="s">
        <v>3365</v>
      </c>
      <c r="B465" t="s">
        <v>3366</v>
      </c>
      <c r="C465" s="1">
        <v>45857</v>
      </c>
      <c r="D465" s="3">
        <v>0.84339120370370368</v>
      </c>
      <c r="E465">
        <f t="shared" si="63"/>
        <v>20</v>
      </c>
      <c r="F465">
        <v>59</v>
      </c>
      <c r="G465" t="s">
        <v>46</v>
      </c>
      <c r="H465" t="s">
        <v>239</v>
      </c>
      <c r="I465" t="s">
        <v>48</v>
      </c>
      <c r="J465" t="s">
        <v>21</v>
      </c>
      <c r="K465" t="s">
        <v>120</v>
      </c>
      <c r="L465">
        <v>245.77</v>
      </c>
      <c r="M465" t="s">
        <v>42</v>
      </c>
      <c r="N465">
        <f t="shared" si="64"/>
        <v>0</v>
      </c>
      <c r="O465" t="s">
        <v>34</v>
      </c>
      <c r="P465" t="s">
        <v>3367</v>
      </c>
      <c r="Q465">
        <v>0</v>
      </c>
      <c r="R465">
        <v>494</v>
      </c>
      <c r="S465">
        <f t="shared" si="65"/>
        <v>0.98510110178013222</v>
      </c>
      <c r="T465">
        <f t="shared" si="66"/>
        <v>0</v>
      </c>
      <c r="U465">
        <f t="shared" si="67"/>
        <v>0</v>
      </c>
      <c r="V465">
        <f t="shared" si="68"/>
        <v>0</v>
      </c>
      <c r="W465">
        <f t="shared" si="69"/>
        <v>0</v>
      </c>
      <c r="X465">
        <f t="shared" si="70"/>
        <v>0</v>
      </c>
      <c r="Y465">
        <f t="shared" si="71"/>
        <v>0</v>
      </c>
    </row>
    <row r="466" spans="1:25" x14ac:dyDescent="0.3">
      <c r="A466" t="s">
        <v>6314</v>
      </c>
      <c r="B466" t="s">
        <v>6315</v>
      </c>
      <c r="C466" s="1">
        <v>45804</v>
      </c>
      <c r="D466" s="3">
        <v>0.26269675925925928</v>
      </c>
      <c r="E466">
        <f t="shared" si="63"/>
        <v>6</v>
      </c>
      <c r="F466">
        <v>23</v>
      </c>
      <c r="G466" t="s">
        <v>18</v>
      </c>
      <c r="H466" t="s">
        <v>185</v>
      </c>
      <c r="I466" t="s">
        <v>39</v>
      </c>
      <c r="J466" t="s">
        <v>132</v>
      </c>
      <c r="K466" t="s">
        <v>22</v>
      </c>
      <c r="L466">
        <v>245.74</v>
      </c>
      <c r="M466" t="s">
        <v>23</v>
      </c>
      <c r="N466">
        <f t="shared" si="64"/>
        <v>0</v>
      </c>
      <c r="O466" t="s">
        <v>24</v>
      </c>
      <c r="P466" t="s">
        <v>6316</v>
      </c>
      <c r="Q466">
        <v>0</v>
      </c>
      <c r="R466">
        <v>125</v>
      </c>
      <c r="S466">
        <f t="shared" si="65"/>
        <v>0.98468577399584944</v>
      </c>
      <c r="T466">
        <f t="shared" si="66"/>
        <v>0</v>
      </c>
      <c r="U466">
        <f t="shared" si="67"/>
        <v>0</v>
      </c>
      <c r="V466">
        <f t="shared" si="68"/>
        <v>1</v>
      </c>
      <c r="W466">
        <f t="shared" si="69"/>
        <v>1</v>
      </c>
      <c r="X466">
        <f t="shared" si="70"/>
        <v>0</v>
      </c>
      <c r="Y466">
        <f t="shared" si="71"/>
        <v>0</v>
      </c>
    </row>
    <row r="467" spans="1:25" x14ac:dyDescent="0.3">
      <c r="A467" t="s">
        <v>5240</v>
      </c>
      <c r="B467" t="s">
        <v>5241</v>
      </c>
      <c r="C467" s="1">
        <v>45832</v>
      </c>
      <c r="D467" s="3">
        <v>0.80231481481481481</v>
      </c>
      <c r="E467">
        <f t="shared" si="63"/>
        <v>19</v>
      </c>
      <c r="F467">
        <v>34</v>
      </c>
      <c r="G467" t="s">
        <v>46</v>
      </c>
      <c r="H467" t="s">
        <v>100</v>
      </c>
      <c r="I467" t="s">
        <v>71</v>
      </c>
      <c r="J467" t="s">
        <v>31</v>
      </c>
      <c r="K467" t="s">
        <v>114</v>
      </c>
      <c r="L467">
        <v>245.66</v>
      </c>
      <c r="M467" t="s">
        <v>42</v>
      </c>
      <c r="N467">
        <f t="shared" si="64"/>
        <v>0</v>
      </c>
      <c r="O467" t="s">
        <v>24</v>
      </c>
      <c r="P467" t="s">
        <v>5242</v>
      </c>
      <c r="Q467">
        <v>0</v>
      </c>
      <c r="R467">
        <v>173</v>
      </c>
      <c r="S467">
        <f t="shared" si="65"/>
        <v>0.98357823323776183</v>
      </c>
      <c r="T467">
        <f t="shared" si="66"/>
        <v>0</v>
      </c>
      <c r="U467">
        <f t="shared" si="67"/>
        <v>0</v>
      </c>
      <c r="V467">
        <f t="shared" si="68"/>
        <v>1</v>
      </c>
      <c r="W467">
        <f t="shared" si="69"/>
        <v>1</v>
      </c>
      <c r="X467">
        <f t="shared" si="70"/>
        <v>0</v>
      </c>
      <c r="Y467">
        <f t="shared" si="71"/>
        <v>0</v>
      </c>
    </row>
    <row r="468" spans="1:25" x14ac:dyDescent="0.3">
      <c r="A468" t="s">
        <v>2213</v>
      </c>
      <c r="B468" t="s">
        <v>2214</v>
      </c>
      <c r="C468" s="1">
        <v>45714</v>
      </c>
      <c r="D468" s="3">
        <v>0.59973379629629631</v>
      </c>
      <c r="E468">
        <f t="shared" si="63"/>
        <v>14</v>
      </c>
      <c r="F468">
        <v>45</v>
      </c>
      <c r="G468" t="s">
        <v>46</v>
      </c>
      <c r="H468" t="s">
        <v>80</v>
      </c>
      <c r="I468" t="s">
        <v>48</v>
      </c>
      <c r="J468" t="s">
        <v>56</v>
      </c>
      <c r="K468" t="s">
        <v>114</v>
      </c>
      <c r="L468">
        <v>245.52</v>
      </c>
      <c r="M468" t="s">
        <v>23</v>
      </c>
      <c r="N468">
        <f t="shared" si="64"/>
        <v>0</v>
      </c>
      <c r="O468" t="s">
        <v>34</v>
      </c>
      <c r="P468" t="s">
        <v>2215</v>
      </c>
      <c r="Q468">
        <v>0</v>
      </c>
      <c r="R468">
        <v>304</v>
      </c>
      <c r="S468">
        <f t="shared" si="65"/>
        <v>0.98164003691110913</v>
      </c>
      <c r="T468">
        <f t="shared" si="66"/>
        <v>0</v>
      </c>
      <c r="U468">
        <f t="shared" si="67"/>
        <v>0</v>
      </c>
      <c r="V468">
        <f t="shared" si="68"/>
        <v>0</v>
      </c>
      <c r="W468">
        <f t="shared" si="69"/>
        <v>0</v>
      </c>
      <c r="X468">
        <f t="shared" si="70"/>
        <v>0</v>
      </c>
      <c r="Y468">
        <f t="shared" si="71"/>
        <v>0</v>
      </c>
    </row>
    <row r="469" spans="1:25" x14ac:dyDescent="0.3">
      <c r="A469" t="s">
        <v>2837</v>
      </c>
      <c r="B469" t="s">
        <v>2838</v>
      </c>
      <c r="C469" s="1">
        <v>45824</v>
      </c>
      <c r="D469" s="3">
        <v>0.8177430555555556</v>
      </c>
      <c r="E469">
        <f t="shared" si="63"/>
        <v>19</v>
      </c>
      <c r="F469">
        <v>45</v>
      </c>
      <c r="G469" t="s">
        <v>60</v>
      </c>
      <c r="H469" t="s">
        <v>38</v>
      </c>
      <c r="I469" t="s">
        <v>119</v>
      </c>
      <c r="J469" t="s">
        <v>40</v>
      </c>
      <c r="K469" t="s">
        <v>120</v>
      </c>
      <c r="L469">
        <v>245.51</v>
      </c>
      <c r="M469" t="s">
        <v>115</v>
      </c>
      <c r="N469">
        <f t="shared" si="64"/>
        <v>0</v>
      </c>
      <c r="O469" t="s">
        <v>51</v>
      </c>
      <c r="P469" t="s">
        <v>2839</v>
      </c>
      <c r="Q469">
        <v>0</v>
      </c>
      <c r="R469">
        <v>98</v>
      </c>
      <c r="S469">
        <f t="shared" si="65"/>
        <v>0.98150159431634787</v>
      </c>
      <c r="T469">
        <f t="shared" si="66"/>
        <v>0</v>
      </c>
      <c r="U469">
        <f t="shared" si="67"/>
        <v>0</v>
      </c>
      <c r="V469">
        <f t="shared" si="68"/>
        <v>1</v>
      </c>
      <c r="W469">
        <f t="shared" si="69"/>
        <v>1</v>
      </c>
      <c r="X469">
        <f t="shared" si="70"/>
        <v>0</v>
      </c>
      <c r="Y469">
        <f t="shared" si="71"/>
        <v>0</v>
      </c>
    </row>
    <row r="470" spans="1:25" x14ac:dyDescent="0.3">
      <c r="A470" t="s">
        <v>6158</v>
      </c>
      <c r="B470" t="s">
        <v>6159</v>
      </c>
      <c r="C470" s="1">
        <v>45766</v>
      </c>
      <c r="D470" s="3">
        <v>5.3587962962962964E-3</v>
      </c>
      <c r="E470">
        <f t="shared" si="63"/>
        <v>0</v>
      </c>
      <c r="F470">
        <v>31</v>
      </c>
      <c r="G470" t="s">
        <v>18</v>
      </c>
      <c r="H470" t="s">
        <v>167</v>
      </c>
      <c r="I470" t="s">
        <v>48</v>
      </c>
      <c r="J470" t="s">
        <v>72</v>
      </c>
      <c r="K470" t="s">
        <v>168</v>
      </c>
      <c r="L470">
        <v>245.37</v>
      </c>
      <c r="M470" t="s">
        <v>6479</v>
      </c>
      <c r="N470">
        <f t="shared" si="64"/>
        <v>1</v>
      </c>
      <c r="O470" t="s">
        <v>86</v>
      </c>
      <c r="P470" t="s">
        <v>6160</v>
      </c>
      <c r="Q470">
        <v>0</v>
      </c>
      <c r="R470">
        <v>239</v>
      </c>
      <c r="S470">
        <f t="shared" si="65"/>
        <v>0.97956339798969516</v>
      </c>
      <c r="T470">
        <f t="shared" si="66"/>
        <v>0</v>
      </c>
      <c r="U470">
        <f t="shared" si="67"/>
        <v>1</v>
      </c>
      <c r="V470">
        <f t="shared" si="68"/>
        <v>1</v>
      </c>
      <c r="W470">
        <f t="shared" si="69"/>
        <v>5</v>
      </c>
      <c r="X470">
        <f t="shared" si="70"/>
        <v>1</v>
      </c>
      <c r="Y470">
        <f t="shared" si="71"/>
        <v>1</v>
      </c>
    </row>
    <row r="471" spans="1:25" x14ac:dyDescent="0.3">
      <c r="A471" t="s">
        <v>307</v>
      </c>
      <c r="B471" t="s">
        <v>308</v>
      </c>
      <c r="C471" s="1">
        <v>45792</v>
      </c>
      <c r="D471" s="3">
        <v>0.58839120370370368</v>
      </c>
      <c r="E471">
        <f t="shared" si="63"/>
        <v>14</v>
      </c>
      <c r="F471">
        <v>32</v>
      </c>
      <c r="G471" t="s">
        <v>46</v>
      </c>
      <c r="H471" t="s">
        <v>61</v>
      </c>
      <c r="I471" t="s">
        <v>30</v>
      </c>
      <c r="J471" t="s">
        <v>76</v>
      </c>
      <c r="K471" t="s">
        <v>120</v>
      </c>
      <c r="L471">
        <v>245.06</v>
      </c>
      <c r="M471" t="s">
        <v>115</v>
      </c>
      <c r="N471">
        <f t="shared" si="64"/>
        <v>0</v>
      </c>
      <c r="O471" t="s">
        <v>24</v>
      </c>
      <c r="P471" t="s">
        <v>309</v>
      </c>
      <c r="Q471">
        <v>0</v>
      </c>
      <c r="R471">
        <v>152</v>
      </c>
      <c r="S471">
        <f t="shared" si="65"/>
        <v>0.97527167755210642</v>
      </c>
      <c r="T471">
        <f t="shared" si="66"/>
        <v>0</v>
      </c>
      <c r="U471">
        <f t="shared" si="67"/>
        <v>0</v>
      </c>
      <c r="V471">
        <f t="shared" si="68"/>
        <v>1</v>
      </c>
      <c r="W471">
        <f t="shared" si="69"/>
        <v>1</v>
      </c>
      <c r="X471">
        <f t="shared" si="70"/>
        <v>0</v>
      </c>
      <c r="Y471">
        <f t="shared" si="71"/>
        <v>0</v>
      </c>
    </row>
    <row r="472" spans="1:25" x14ac:dyDescent="0.3">
      <c r="A472" t="s">
        <v>4166</v>
      </c>
      <c r="B472" t="s">
        <v>4167</v>
      </c>
      <c r="C472" s="1">
        <v>45758</v>
      </c>
      <c r="D472" s="3">
        <v>2.9340277777777778E-2</v>
      </c>
      <c r="E472">
        <f t="shared" si="63"/>
        <v>0</v>
      </c>
      <c r="F472">
        <v>46</v>
      </c>
      <c r="G472" t="s">
        <v>46</v>
      </c>
      <c r="H472" t="s">
        <v>142</v>
      </c>
      <c r="I472" t="s">
        <v>71</v>
      </c>
      <c r="J472" t="s">
        <v>76</v>
      </c>
      <c r="K472" t="s">
        <v>32</v>
      </c>
      <c r="L472">
        <v>245.05</v>
      </c>
      <c r="M472" t="s">
        <v>23</v>
      </c>
      <c r="N472">
        <f t="shared" si="64"/>
        <v>0</v>
      </c>
      <c r="O472" t="s">
        <v>24</v>
      </c>
      <c r="P472" t="s">
        <v>4168</v>
      </c>
      <c r="Q472">
        <v>0</v>
      </c>
      <c r="R472">
        <v>311</v>
      </c>
      <c r="S472">
        <f t="shared" si="65"/>
        <v>0.97513323495734561</v>
      </c>
      <c r="T472">
        <f t="shared" si="66"/>
        <v>0</v>
      </c>
      <c r="U472">
        <f t="shared" si="67"/>
        <v>1</v>
      </c>
      <c r="V472">
        <f t="shared" si="68"/>
        <v>0</v>
      </c>
      <c r="W472">
        <f t="shared" si="69"/>
        <v>2</v>
      </c>
      <c r="X472">
        <f t="shared" si="70"/>
        <v>0</v>
      </c>
      <c r="Y472">
        <f t="shared" si="71"/>
        <v>0</v>
      </c>
    </row>
    <row r="473" spans="1:25" x14ac:dyDescent="0.3">
      <c r="A473" t="s">
        <v>5627</v>
      </c>
      <c r="B473" t="s">
        <v>5628</v>
      </c>
      <c r="C473" s="1">
        <v>45734</v>
      </c>
      <c r="D473" s="3">
        <v>1.7094907407407406E-2</v>
      </c>
      <c r="E473">
        <f t="shared" si="63"/>
        <v>0</v>
      </c>
      <c r="F473">
        <v>53</v>
      </c>
      <c r="G473" t="s">
        <v>18</v>
      </c>
      <c r="H473" t="s">
        <v>167</v>
      </c>
      <c r="I473" t="s">
        <v>71</v>
      </c>
      <c r="J473" t="s">
        <v>127</v>
      </c>
      <c r="K473" t="s">
        <v>101</v>
      </c>
      <c r="L473">
        <v>245.04</v>
      </c>
      <c r="M473" t="s">
        <v>33</v>
      </c>
      <c r="N473">
        <f t="shared" si="64"/>
        <v>0</v>
      </c>
      <c r="O473" t="s">
        <v>34</v>
      </c>
      <c r="P473" t="s">
        <v>5629</v>
      </c>
      <c r="Q473">
        <v>0</v>
      </c>
      <c r="R473">
        <v>326</v>
      </c>
      <c r="S473">
        <f t="shared" si="65"/>
        <v>0.97499479236258446</v>
      </c>
      <c r="T473">
        <f t="shared" si="66"/>
        <v>0</v>
      </c>
      <c r="U473">
        <f t="shared" si="67"/>
        <v>1</v>
      </c>
      <c r="V473">
        <f t="shared" si="68"/>
        <v>0</v>
      </c>
      <c r="W473">
        <f t="shared" si="69"/>
        <v>2</v>
      </c>
      <c r="X473">
        <f t="shared" si="70"/>
        <v>0</v>
      </c>
      <c r="Y473">
        <f t="shared" si="71"/>
        <v>0</v>
      </c>
    </row>
    <row r="474" spans="1:25" x14ac:dyDescent="0.3">
      <c r="A474" t="s">
        <v>5210</v>
      </c>
      <c r="B474" t="s">
        <v>5211</v>
      </c>
      <c r="C474" s="1">
        <v>45781</v>
      </c>
      <c r="D474" s="3">
        <v>0.59577546296296291</v>
      </c>
      <c r="E474">
        <f t="shared" si="63"/>
        <v>14</v>
      </c>
      <c r="F474">
        <v>30</v>
      </c>
      <c r="G474" t="s">
        <v>46</v>
      </c>
      <c r="H474" t="s">
        <v>142</v>
      </c>
      <c r="I474" t="s">
        <v>71</v>
      </c>
      <c r="J474" t="s">
        <v>94</v>
      </c>
      <c r="K474" t="s">
        <v>32</v>
      </c>
      <c r="L474">
        <v>244.68</v>
      </c>
      <c r="M474" t="s">
        <v>115</v>
      </c>
      <c r="N474">
        <f t="shared" si="64"/>
        <v>0</v>
      </c>
      <c r="O474" t="s">
        <v>86</v>
      </c>
      <c r="P474" t="s">
        <v>5212</v>
      </c>
      <c r="Q474">
        <v>0</v>
      </c>
      <c r="R474">
        <v>167</v>
      </c>
      <c r="S474">
        <f t="shared" si="65"/>
        <v>0.97001085895119132</v>
      </c>
      <c r="T474">
        <f t="shared" si="66"/>
        <v>0</v>
      </c>
      <c r="U474">
        <f t="shared" si="67"/>
        <v>0</v>
      </c>
      <c r="V474">
        <f t="shared" si="68"/>
        <v>1</v>
      </c>
      <c r="W474">
        <f t="shared" si="69"/>
        <v>1</v>
      </c>
      <c r="X474">
        <f t="shared" si="70"/>
        <v>0</v>
      </c>
      <c r="Y474">
        <f t="shared" si="71"/>
        <v>0</v>
      </c>
    </row>
    <row r="475" spans="1:25" x14ac:dyDescent="0.3">
      <c r="A475" t="s">
        <v>1196</v>
      </c>
      <c r="B475" t="s">
        <v>1197</v>
      </c>
      <c r="C475" s="1">
        <v>45769</v>
      </c>
      <c r="D475" s="3">
        <v>6.9444444444444448E-2</v>
      </c>
      <c r="E475">
        <f t="shared" si="63"/>
        <v>1</v>
      </c>
      <c r="F475">
        <v>64</v>
      </c>
      <c r="G475" t="s">
        <v>60</v>
      </c>
      <c r="H475" t="s">
        <v>80</v>
      </c>
      <c r="I475" t="s">
        <v>20</v>
      </c>
      <c r="J475" t="s">
        <v>94</v>
      </c>
      <c r="K475" t="s">
        <v>168</v>
      </c>
      <c r="L475">
        <v>244.15</v>
      </c>
      <c r="M475" t="s">
        <v>115</v>
      </c>
      <c r="N475">
        <f t="shared" si="64"/>
        <v>0</v>
      </c>
      <c r="O475" t="s">
        <v>86</v>
      </c>
      <c r="P475" t="s">
        <v>1198</v>
      </c>
      <c r="Q475">
        <v>0</v>
      </c>
      <c r="R475">
        <v>465</v>
      </c>
      <c r="S475">
        <f t="shared" si="65"/>
        <v>0.96267340142886237</v>
      </c>
      <c r="T475">
        <f t="shared" si="66"/>
        <v>0</v>
      </c>
      <c r="U475">
        <f t="shared" si="67"/>
        <v>1</v>
      </c>
      <c r="V475">
        <f t="shared" si="68"/>
        <v>0</v>
      </c>
      <c r="W475">
        <f t="shared" si="69"/>
        <v>2</v>
      </c>
      <c r="X475">
        <f t="shared" si="70"/>
        <v>0</v>
      </c>
      <c r="Y475">
        <f t="shared" si="71"/>
        <v>0</v>
      </c>
    </row>
    <row r="476" spans="1:25" x14ac:dyDescent="0.3">
      <c r="A476" t="s">
        <v>5393</v>
      </c>
      <c r="B476" t="s">
        <v>5394</v>
      </c>
      <c r="C476" s="1">
        <v>45721</v>
      </c>
      <c r="D476" s="3">
        <v>0.60069444444444442</v>
      </c>
      <c r="E476">
        <f t="shared" si="63"/>
        <v>14</v>
      </c>
      <c r="F476">
        <v>49</v>
      </c>
      <c r="G476" t="s">
        <v>46</v>
      </c>
      <c r="H476" t="s">
        <v>175</v>
      </c>
      <c r="I476" t="s">
        <v>48</v>
      </c>
      <c r="J476" t="s">
        <v>40</v>
      </c>
      <c r="K476" t="s">
        <v>22</v>
      </c>
      <c r="L476">
        <v>244.07</v>
      </c>
      <c r="M476" t="s">
        <v>23</v>
      </c>
      <c r="N476">
        <f t="shared" si="64"/>
        <v>0</v>
      </c>
      <c r="O476" t="s">
        <v>86</v>
      </c>
      <c r="P476" t="s">
        <v>5395</v>
      </c>
      <c r="Q476">
        <v>0</v>
      </c>
      <c r="R476">
        <v>388</v>
      </c>
      <c r="S476">
        <f t="shared" si="65"/>
        <v>0.96156586067077476</v>
      </c>
      <c r="T476">
        <f t="shared" si="66"/>
        <v>0</v>
      </c>
      <c r="U476">
        <f t="shared" si="67"/>
        <v>0</v>
      </c>
      <c r="V476">
        <f t="shared" si="68"/>
        <v>0</v>
      </c>
      <c r="W476">
        <f t="shared" si="69"/>
        <v>0</v>
      </c>
      <c r="X476">
        <f t="shared" si="70"/>
        <v>0</v>
      </c>
      <c r="Y476">
        <f t="shared" si="71"/>
        <v>0</v>
      </c>
    </row>
    <row r="477" spans="1:25" x14ac:dyDescent="0.3">
      <c r="A477" t="s">
        <v>5516</v>
      </c>
      <c r="B477" t="s">
        <v>5517</v>
      </c>
      <c r="C477" s="1">
        <v>45788</v>
      </c>
      <c r="D477" s="3">
        <v>0.42048611111111112</v>
      </c>
      <c r="E477">
        <f t="shared" si="63"/>
        <v>10</v>
      </c>
      <c r="F477">
        <v>55</v>
      </c>
      <c r="G477" t="s">
        <v>46</v>
      </c>
      <c r="H477" t="s">
        <v>167</v>
      </c>
      <c r="I477" t="s">
        <v>30</v>
      </c>
      <c r="J477" t="s">
        <v>31</v>
      </c>
      <c r="K477" t="s">
        <v>22</v>
      </c>
      <c r="L477">
        <v>244.01</v>
      </c>
      <c r="M477" t="s">
        <v>42</v>
      </c>
      <c r="N477">
        <f t="shared" si="64"/>
        <v>0</v>
      </c>
      <c r="O477" t="s">
        <v>86</v>
      </c>
      <c r="P477" t="s">
        <v>5518</v>
      </c>
      <c r="Q477">
        <v>0</v>
      </c>
      <c r="R477">
        <v>269</v>
      </c>
      <c r="S477">
        <f t="shared" si="65"/>
        <v>0.96073520510220922</v>
      </c>
      <c r="T477">
        <f t="shared" si="66"/>
        <v>0</v>
      </c>
      <c r="U477">
        <f t="shared" si="67"/>
        <v>0</v>
      </c>
      <c r="V477">
        <f t="shared" si="68"/>
        <v>1</v>
      </c>
      <c r="W477">
        <f t="shared" si="69"/>
        <v>1</v>
      </c>
      <c r="X477">
        <f t="shared" si="70"/>
        <v>0</v>
      </c>
      <c r="Y477">
        <f t="shared" si="71"/>
        <v>0</v>
      </c>
    </row>
    <row r="478" spans="1:25" x14ac:dyDescent="0.3">
      <c r="A478" t="s">
        <v>5195</v>
      </c>
      <c r="B478" t="s">
        <v>5196</v>
      </c>
      <c r="C478" s="1">
        <v>45852</v>
      </c>
      <c r="D478" s="3">
        <v>0.65657407407407409</v>
      </c>
      <c r="E478">
        <f t="shared" si="63"/>
        <v>15</v>
      </c>
      <c r="F478">
        <v>48</v>
      </c>
      <c r="G478" t="s">
        <v>28</v>
      </c>
      <c r="H478" t="s">
        <v>142</v>
      </c>
      <c r="I478" t="s">
        <v>119</v>
      </c>
      <c r="J478" t="s">
        <v>127</v>
      </c>
      <c r="K478" t="s">
        <v>95</v>
      </c>
      <c r="L478">
        <v>243.64</v>
      </c>
      <c r="M478" t="s">
        <v>42</v>
      </c>
      <c r="N478">
        <f t="shared" si="64"/>
        <v>0</v>
      </c>
      <c r="O478" t="s">
        <v>51</v>
      </c>
      <c r="P478" t="s">
        <v>5197</v>
      </c>
      <c r="Q478">
        <v>0</v>
      </c>
      <c r="R478">
        <v>451</v>
      </c>
      <c r="S478">
        <f t="shared" si="65"/>
        <v>0.95561282909605494</v>
      </c>
      <c r="T478">
        <f t="shared" si="66"/>
        <v>0</v>
      </c>
      <c r="U478">
        <f t="shared" si="67"/>
        <v>0</v>
      </c>
      <c r="V478">
        <f t="shared" si="68"/>
        <v>0</v>
      </c>
      <c r="W478">
        <f t="shared" si="69"/>
        <v>0</v>
      </c>
      <c r="X478">
        <f t="shared" si="70"/>
        <v>0</v>
      </c>
      <c r="Y478">
        <f t="shared" si="71"/>
        <v>0</v>
      </c>
    </row>
    <row r="479" spans="1:25" x14ac:dyDescent="0.3">
      <c r="A479" t="s">
        <v>4220</v>
      </c>
      <c r="B479" t="s">
        <v>4221</v>
      </c>
      <c r="C479" s="1">
        <v>45839</v>
      </c>
      <c r="D479" s="3">
        <v>0.52875000000000005</v>
      </c>
      <c r="E479">
        <f t="shared" si="63"/>
        <v>12</v>
      </c>
      <c r="F479">
        <v>29</v>
      </c>
      <c r="G479" t="s">
        <v>60</v>
      </c>
      <c r="H479" t="s">
        <v>29</v>
      </c>
      <c r="I479" t="s">
        <v>85</v>
      </c>
      <c r="J479" t="s">
        <v>76</v>
      </c>
      <c r="K479" t="s">
        <v>114</v>
      </c>
      <c r="L479">
        <v>243.33</v>
      </c>
      <c r="M479" t="s">
        <v>115</v>
      </c>
      <c r="N479">
        <f t="shared" si="64"/>
        <v>0</v>
      </c>
      <c r="O479" t="s">
        <v>86</v>
      </c>
      <c r="P479" t="s">
        <v>4222</v>
      </c>
      <c r="Q479">
        <v>1</v>
      </c>
      <c r="R479">
        <v>323</v>
      </c>
      <c r="S479">
        <f t="shared" si="65"/>
        <v>0.95132110865846664</v>
      </c>
      <c r="T479">
        <f t="shared" si="66"/>
        <v>0</v>
      </c>
      <c r="U479">
        <f t="shared" si="67"/>
        <v>0</v>
      </c>
      <c r="V479">
        <f t="shared" si="68"/>
        <v>0</v>
      </c>
      <c r="W479">
        <f t="shared" si="69"/>
        <v>0</v>
      </c>
      <c r="X479">
        <f t="shared" si="70"/>
        <v>0</v>
      </c>
      <c r="Y479">
        <f t="shared" si="71"/>
        <v>0</v>
      </c>
    </row>
    <row r="480" spans="1:25" x14ac:dyDescent="0.3">
      <c r="A480" t="s">
        <v>5099</v>
      </c>
      <c r="B480" t="s">
        <v>5100</v>
      </c>
      <c r="C480" s="1">
        <v>45845</v>
      </c>
      <c r="D480" s="3">
        <v>5.033564814814815E-2</v>
      </c>
      <c r="E480">
        <f t="shared" si="63"/>
        <v>1</v>
      </c>
      <c r="F480" s="4">
        <v>41</v>
      </c>
      <c r="G480" t="s">
        <v>106</v>
      </c>
      <c r="H480" t="s">
        <v>70</v>
      </c>
      <c r="I480" t="s">
        <v>110</v>
      </c>
      <c r="J480" t="s">
        <v>40</v>
      </c>
      <c r="K480" t="s">
        <v>22</v>
      </c>
      <c r="L480">
        <v>243.32</v>
      </c>
      <c r="M480" t="s">
        <v>23</v>
      </c>
      <c r="N480">
        <f t="shared" si="64"/>
        <v>0</v>
      </c>
      <c r="O480" t="s">
        <v>86</v>
      </c>
      <c r="P480" t="s">
        <v>5101</v>
      </c>
      <c r="Q480">
        <v>0</v>
      </c>
      <c r="R480">
        <v>183</v>
      </c>
      <c r="S480">
        <f t="shared" si="65"/>
        <v>0.9511826660637055</v>
      </c>
      <c r="T480">
        <f t="shared" si="66"/>
        <v>0</v>
      </c>
      <c r="U480">
        <f t="shared" si="67"/>
        <v>1</v>
      </c>
      <c r="V480">
        <f t="shared" si="68"/>
        <v>1</v>
      </c>
      <c r="W480">
        <f t="shared" si="69"/>
        <v>3</v>
      </c>
      <c r="X480">
        <f t="shared" si="70"/>
        <v>0</v>
      </c>
      <c r="Y480">
        <f t="shared" si="71"/>
        <v>0</v>
      </c>
    </row>
    <row r="481" spans="1:25" x14ac:dyDescent="0.3">
      <c r="A481" t="s">
        <v>1910</v>
      </c>
      <c r="B481" t="s">
        <v>1911</v>
      </c>
      <c r="C481" s="1">
        <v>45820</v>
      </c>
      <c r="D481" s="3">
        <v>0.58333333333333337</v>
      </c>
      <c r="E481">
        <f t="shared" si="63"/>
        <v>14</v>
      </c>
      <c r="F481">
        <v>60</v>
      </c>
      <c r="G481" t="s">
        <v>18</v>
      </c>
      <c r="H481" t="s">
        <v>167</v>
      </c>
      <c r="I481" t="s">
        <v>110</v>
      </c>
      <c r="J481" t="s">
        <v>94</v>
      </c>
      <c r="K481" t="s">
        <v>168</v>
      </c>
      <c r="L481">
        <v>243.19</v>
      </c>
      <c r="M481" t="s">
        <v>33</v>
      </c>
      <c r="N481">
        <f t="shared" si="64"/>
        <v>0</v>
      </c>
      <c r="O481" t="s">
        <v>34</v>
      </c>
      <c r="P481" t="s">
        <v>1912</v>
      </c>
      <c r="Q481">
        <v>0</v>
      </c>
      <c r="R481">
        <v>226</v>
      </c>
      <c r="S481">
        <f t="shared" si="65"/>
        <v>0.94938291233181349</v>
      </c>
      <c r="T481">
        <f t="shared" si="66"/>
        <v>0</v>
      </c>
      <c r="U481">
        <f t="shared" si="67"/>
        <v>0</v>
      </c>
      <c r="V481">
        <f t="shared" si="68"/>
        <v>1</v>
      </c>
      <c r="W481">
        <f t="shared" si="69"/>
        <v>1</v>
      </c>
      <c r="X481">
        <f t="shared" si="70"/>
        <v>0</v>
      </c>
      <c r="Y481">
        <f t="shared" si="71"/>
        <v>0</v>
      </c>
    </row>
    <row r="482" spans="1:25" x14ac:dyDescent="0.3">
      <c r="A482" t="s">
        <v>5042</v>
      </c>
      <c r="B482" t="s">
        <v>5043</v>
      </c>
      <c r="C482" s="1">
        <v>45716</v>
      </c>
      <c r="D482" s="3">
        <v>0.63356481481481486</v>
      </c>
      <c r="E482">
        <f t="shared" si="63"/>
        <v>15</v>
      </c>
      <c r="F482">
        <v>43</v>
      </c>
      <c r="G482" t="s">
        <v>18</v>
      </c>
      <c r="H482" t="s">
        <v>90</v>
      </c>
      <c r="I482" t="s">
        <v>30</v>
      </c>
      <c r="J482" t="s">
        <v>40</v>
      </c>
      <c r="K482" t="s">
        <v>120</v>
      </c>
      <c r="L482">
        <v>243.13</v>
      </c>
      <c r="M482" t="s">
        <v>42</v>
      </c>
      <c r="N482">
        <f t="shared" si="64"/>
        <v>0</v>
      </c>
      <c r="O482" t="s">
        <v>34</v>
      </c>
      <c r="P482" t="s">
        <v>5044</v>
      </c>
      <c r="Q482">
        <v>0</v>
      </c>
      <c r="R482">
        <v>119</v>
      </c>
      <c r="S482">
        <f t="shared" si="65"/>
        <v>0.94855225676324795</v>
      </c>
      <c r="T482">
        <f t="shared" si="66"/>
        <v>0</v>
      </c>
      <c r="U482">
        <f t="shared" si="67"/>
        <v>0</v>
      </c>
      <c r="V482">
        <f t="shared" si="68"/>
        <v>1</v>
      </c>
      <c r="W482">
        <f t="shared" si="69"/>
        <v>1</v>
      </c>
      <c r="X482">
        <f t="shared" si="70"/>
        <v>0</v>
      </c>
      <c r="Y482">
        <f t="shared" si="71"/>
        <v>0</v>
      </c>
    </row>
    <row r="483" spans="1:25" x14ac:dyDescent="0.3">
      <c r="A483" t="s">
        <v>2726</v>
      </c>
      <c r="B483" t="s">
        <v>2727</v>
      </c>
      <c r="C483" s="1">
        <v>45757</v>
      </c>
      <c r="D483" s="3">
        <v>0.41001157407407407</v>
      </c>
      <c r="E483">
        <f t="shared" si="63"/>
        <v>9</v>
      </c>
      <c r="F483">
        <v>64</v>
      </c>
      <c r="G483" t="s">
        <v>60</v>
      </c>
      <c r="H483" t="s">
        <v>38</v>
      </c>
      <c r="I483" t="s">
        <v>48</v>
      </c>
      <c r="J483" t="s">
        <v>72</v>
      </c>
      <c r="K483" t="s">
        <v>22</v>
      </c>
      <c r="L483">
        <v>243.04</v>
      </c>
      <c r="M483" t="s">
        <v>23</v>
      </c>
      <c r="N483">
        <f t="shared" si="64"/>
        <v>0</v>
      </c>
      <c r="O483" t="s">
        <v>34</v>
      </c>
      <c r="P483" t="s">
        <v>2728</v>
      </c>
      <c r="Q483">
        <v>0</v>
      </c>
      <c r="R483">
        <v>314</v>
      </c>
      <c r="S483">
        <f t="shared" si="65"/>
        <v>0.94730627341039952</v>
      </c>
      <c r="T483">
        <f t="shared" si="66"/>
        <v>0</v>
      </c>
      <c r="U483">
        <f t="shared" si="67"/>
        <v>0</v>
      </c>
      <c r="V483">
        <f t="shared" si="68"/>
        <v>0</v>
      </c>
      <c r="W483">
        <f t="shared" si="69"/>
        <v>0</v>
      </c>
      <c r="X483">
        <f t="shared" si="70"/>
        <v>0</v>
      </c>
      <c r="Y483">
        <f t="shared" si="71"/>
        <v>0</v>
      </c>
    </row>
    <row r="484" spans="1:25" x14ac:dyDescent="0.3">
      <c r="A484" s="2" t="s">
        <v>1283</v>
      </c>
      <c r="B484" t="s">
        <v>1284</v>
      </c>
      <c r="C484" s="1">
        <v>45755</v>
      </c>
      <c r="D484" s="3">
        <v>0.63497685185185182</v>
      </c>
      <c r="E484">
        <f t="shared" si="63"/>
        <v>15</v>
      </c>
      <c r="F484">
        <v>33</v>
      </c>
      <c r="G484" t="s">
        <v>28</v>
      </c>
      <c r="H484" t="s">
        <v>189</v>
      </c>
      <c r="I484" t="s">
        <v>105</v>
      </c>
      <c r="J484" t="s">
        <v>49</v>
      </c>
      <c r="K484" t="s">
        <v>95</v>
      </c>
      <c r="L484">
        <v>242.99</v>
      </c>
      <c r="M484" t="s">
        <v>23</v>
      </c>
      <c r="N484">
        <f t="shared" si="64"/>
        <v>0</v>
      </c>
      <c r="O484" t="s">
        <v>86</v>
      </c>
      <c r="P484" t="s">
        <v>1285</v>
      </c>
      <c r="Q484">
        <v>0</v>
      </c>
      <c r="R484">
        <v>359</v>
      </c>
      <c r="S484">
        <f t="shared" si="65"/>
        <v>0.94661406043659513</v>
      </c>
      <c r="T484">
        <f t="shared" si="66"/>
        <v>0</v>
      </c>
      <c r="U484">
        <f t="shared" si="67"/>
        <v>0</v>
      </c>
      <c r="V484">
        <f t="shared" si="68"/>
        <v>0</v>
      </c>
      <c r="W484">
        <f t="shared" si="69"/>
        <v>0</v>
      </c>
      <c r="X484">
        <f t="shared" si="70"/>
        <v>0</v>
      </c>
      <c r="Y484">
        <f t="shared" si="71"/>
        <v>0</v>
      </c>
    </row>
    <row r="485" spans="1:25" x14ac:dyDescent="0.3">
      <c r="A485" t="s">
        <v>4574</v>
      </c>
      <c r="B485" t="s">
        <v>4575</v>
      </c>
      <c r="C485" s="1">
        <v>45861</v>
      </c>
      <c r="D485" s="3">
        <v>0.34127314814814813</v>
      </c>
      <c r="E485">
        <f t="shared" si="63"/>
        <v>8</v>
      </c>
      <c r="F485">
        <v>25</v>
      </c>
      <c r="G485" t="s">
        <v>28</v>
      </c>
      <c r="H485" t="s">
        <v>232</v>
      </c>
      <c r="I485" t="s">
        <v>105</v>
      </c>
      <c r="J485" t="s">
        <v>76</v>
      </c>
      <c r="K485" t="s">
        <v>50</v>
      </c>
      <c r="L485">
        <v>242.92</v>
      </c>
      <c r="M485" t="s">
        <v>42</v>
      </c>
      <c r="N485">
        <f t="shared" si="64"/>
        <v>0</v>
      </c>
      <c r="O485" t="s">
        <v>34</v>
      </c>
      <c r="P485" t="s">
        <v>4576</v>
      </c>
      <c r="Q485">
        <v>0</v>
      </c>
      <c r="R485">
        <v>469</v>
      </c>
      <c r="S485">
        <f t="shared" si="65"/>
        <v>0.94564496227326844</v>
      </c>
      <c r="T485">
        <f t="shared" si="66"/>
        <v>0</v>
      </c>
      <c r="U485">
        <f t="shared" si="67"/>
        <v>0</v>
      </c>
      <c r="V485">
        <f t="shared" si="68"/>
        <v>0</v>
      </c>
      <c r="W485">
        <f t="shared" si="69"/>
        <v>0</v>
      </c>
      <c r="X485">
        <f t="shared" si="70"/>
        <v>0</v>
      </c>
      <c r="Y485">
        <f t="shared" si="71"/>
        <v>0</v>
      </c>
    </row>
    <row r="486" spans="1:25" x14ac:dyDescent="0.3">
      <c r="A486" t="s">
        <v>1082</v>
      </c>
      <c r="B486" t="s">
        <v>1083</v>
      </c>
      <c r="C486" s="1">
        <v>45805</v>
      </c>
      <c r="D486" s="3">
        <v>0.36726851851851849</v>
      </c>
      <c r="E486">
        <f t="shared" si="63"/>
        <v>8</v>
      </c>
      <c r="F486">
        <v>45</v>
      </c>
      <c r="G486" t="s">
        <v>6479</v>
      </c>
      <c r="H486" t="s">
        <v>232</v>
      </c>
      <c r="I486" t="s">
        <v>119</v>
      </c>
      <c r="J486" t="s">
        <v>127</v>
      </c>
      <c r="K486" t="s">
        <v>168</v>
      </c>
      <c r="L486">
        <v>242.86</v>
      </c>
      <c r="M486" t="s">
        <v>33</v>
      </c>
      <c r="N486">
        <f t="shared" si="64"/>
        <v>0</v>
      </c>
      <c r="O486" t="s">
        <v>24</v>
      </c>
      <c r="P486" t="s">
        <v>1084</v>
      </c>
      <c r="Q486">
        <v>0</v>
      </c>
      <c r="R486">
        <v>184</v>
      </c>
      <c r="S486">
        <f t="shared" si="65"/>
        <v>0.94481430670470323</v>
      </c>
      <c r="T486">
        <f t="shared" si="66"/>
        <v>0</v>
      </c>
      <c r="U486">
        <f t="shared" si="67"/>
        <v>0</v>
      </c>
      <c r="V486">
        <f t="shared" si="68"/>
        <v>1</v>
      </c>
      <c r="W486">
        <f t="shared" si="69"/>
        <v>1</v>
      </c>
      <c r="X486">
        <f t="shared" si="70"/>
        <v>0</v>
      </c>
      <c r="Y486">
        <f t="shared" si="71"/>
        <v>0</v>
      </c>
    </row>
    <row r="487" spans="1:25" x14ac:dyDescent="0.3">
      <c r="A487" t="s">
        <v>2027</v>
      </c>
      <c r="B487" t="s">
        <v>2028</v>
      </c>
      <c r="C487" s="1">
        <v>45722</v>
      </c>
      <c r="D487" s="3">
        <v>0.65907407407407403</v>
      </c>
      <c r="E487">
        <f t="shared" si="63"/>
        <v>15</v>
      </c>
      <c r="F487">
        <v>44</v>
      </c>
      <c r="G487" t="s">
        <v>28</v>
      </c>
      <c r="H487" t="s">
        <v>100</v>
      </c>
      <c r="I487" t="s">
        <v>71</v>
      </c>
      <c r="J487" t="s">
        <v>127</v>
      </c>
      <c r="K487" t="s">
        <v>32</v>
      </c>
      <c r="L487">
        <v>242.36</v>
      </c>
      <c r="M487" t="s">
        <v>115</v>
      </c>
      <c r="N487">
        <f t="shared" si="64"/>
        <v>0</v>
      </c>
      <c r="O487" t="s">
        <v>86</v>
      </c>
      <c r="P487" t="s">
        <v>2029</v>
      </c>
      <c r="Q487">
        <v>0</v>
      </c>
      <c r="R487">
        <v>100</v>
      </c>
      <c r="S487">
        <f t="shared" si="65"/>
        <v>0.93789217696665694</v>
      </c>
      <c r="T487">
        <f t="shared" si="66"/>
        <v>0</v>
      </c>
      <c r="U487">
        <f t="shared" si="67"/>
        <v>0</v>
      </c>
      <c r="V487">
        <f t="shared" si="68"/>
        <v>1</v>
      </c>
      <c r="W487">
        <f t="shared" si="69"/>
        <v>1</v>
      </c>
      <c r="X487">
        <f t="shared" si="70"/>
        <v>0</v>
      </c>
      <c r="Y487">
        <f t="shared" si="71"/>
        <v>0</v>
      </c>
    </row>
    <row r="488" spans="1:25" x14ac:dyDescent="0.3">
      <c r="A488" t="s">
        <v>2033</v>
      </c>
      <c r="B488" t="s">
        <v>2034</v>
      </c>
      <c r="C488" s="1">
        <v>45740</v>
      </c>
      <c r="D488" s="3">
        <v>1.1261574074074075E-2</v>
      </c>
      <c r="E488">
        <f t="shared" si="63"/>
        <v>0</v>
      </c>
      <c r="F488" s="4">
        <v>41</v>
      </c>
      <c r="G488" t="s">
        <v>46</v>
      </c>
      <c r="H488" t="s">
        <v>175</v>
      </c>
      <c r="I488" t="s">
        <v>20</v>
      </c>
      <c r="J488" t="s">
        <v>21</v>
      </c>
      <c r="K488" t="s">
        <v>114</v>
      </c>
      <c r="L488">
        <v>242.24</v>
      </c>
      <c r="M488" t="s">
        <v>115</v>
      </c>
      <c r="N488">
        <f t="shared" si="64"/>
        <v>0</v>
      </c>
      <c r="O488" t="s">
        <v>24</v>
      </c>
      <c r="P488" t="s">
        <v>2035</v>
      </c>
      <c r="Q488">
        <v>1</v>
      </c>
      <c r="R488">
        <v>227</v>
      </c>
      <c r="S488">
        <f t="shared" si="65"/>
        <v>0.93623086582952586</v>
      </c>
      <c r="T488">
        <f t="shared" si="66"/>
        <v>0</v>
      </c>
      <c r="U488">
        <f t="shared" si="67"/>
        <v>1</v>
      </c>
      <c r="V488">
        <f t="shared" si="68"/>
        <v>1</v>
      </c>
      <c r="W488">
        <f t="shared" si="69"/>
        <v>3</v>
      </c>
      <c r="X488">
        <f t="shared" si="70"/>
        <v>0</v>
      </c>
      <c r="Y488">
        <f t="shared" si="71"/>
        <v>0</v>
      </c>
    </row>
    <row r="489" spans="1:25" x14ac:dyDescent="0.3">
      <c r="A489" t="s">
        <v>3989</v>
      </c>
      <c r="B489" t="s">
        <v>3990</v>
      </c>
      <c r="C489" s="1">
        <v>45867</v>
      </c>
      <c r="D489" s="3">
        <v>0.87604166666666672</v>
      </c>
      <c r="E489">
        <f t="shared" si="63"/>
        <v>21</v>
      </c>
      <c r="F489">
        <v>48</v>
      </c>
      <c r="G489" t="s">
        <v>28</v>
      </c>
      <c r="H489" t="s">
        <v>47</v>
      </c>
      <c r="I489" t="s">
        <v>85</v>
      </c>
      <c r="J489" t="s">
        <v>72</v>
      </c>
      <c r="K489" t="s">
        <v>101</v>
      </c>
      <c r="L489">
        <v>242.14</v>
      </c>
      <c r="M489" t="s">
        <v>115</v>
      </c>
      <c r="N489">
        <f t="shared" si="64"/>
        <v>0</v>
      </c>
      <c r="O489" t="s">
        <v>51</v>
      </c>
      <c r="P489" t="s">
        <v>3991</v>
      </c>
      <c r="Q489">
        <v>0</v>
      </c>
      <c r="R489">
        <v>161</v>
      </c>
      <c r="S489">
        <f t="shared" si="65"/>
        <v>0.93484643988191629</v>
      </c>
      <c r="T489">
        <f t="shared" si="66"/>
        <v>0</v>
      </c>
      <c r="U489">
        <f t="shared" si="67"/>
        <v>0</v>
      </c>
      <c r="V489">
        <f t="shared" si="68"/>
        <v>1</v>
      </c>
      <c r="W489">
        <f t="shared" si="69"/>
        <v>1</v>
      </c>
      <c r="X489">
        <f t="shared" si="70"/>
        <v>0</v>
      </c>
      <c r="Y489">
        <f t="shared" si="71"/>
        <v>0</v>
      </c>
    </row>
    <row r="490" spans="1:25" x14ac:dyDescent="0.3">
      <c r="A490" t="s">
        <v>3680</v>
      </c>
      <c r="B490" t="s">
        <v>3681</v>
      </c>
      <c r="C490" s="1">
        <v>45719</v>
      </c>
      <c r="D490" s="3">
        <v>0.92966435185185181</v>
      </c>
      <c r="E490">
        <f t="shared" si="63"/>
        <v>22</v>
      </c>
      <c r="F490">
        <v>58</v>
      </c>
      <c r="G490" t="s">
        <v>46</v>
      </c>
      <c r="H490" t="s">
        <v>167</v>
      </c>
      <c r="I490" t="s">
        <v>66</v>
      </c>
      <c r="J490" t="s">
        <v>40</v>
      </c>
      <c r="K490" t="s">
        <v>114</v>
      </c>
      <c r="L490">
        <v>242.02</v>
      </c>
      <c r="M490" t="s">
        <v>23</v>
      </c>
      <c r="N490">
        <f t="shared" si="64"/>
        <v>0</v>
      </c>
      <c r="O490" t="s">
        <v>24</v>
      </c>
      <c r="P490" t="s">
        <v>3682</v>
      </c>
      <c r="Q490">
        <v>0</v>
      </c>
      <c r="R490">
        <v>140</v>
      </c>
      <c r="S490">
        <f t="shared" si="65"/>
        <v>0.93318512874478554</v>
      </c>
      <c r="T490">
        <f t="shared" si="66"/>
        <v>0</v>
      </c>
      <c r="U490">
        <f t="shared" si="67"/>
        <v>0</v>
      </c>
      <c r="V490">
        <f t="shared" si="68"/>
        <v>1</v>
      </c>
      <c r="W490">
        <f t="shared" si="69"/>
        <v>1</v>
      </c>
      <c r="X490">
        <f t="shared" si="70"/>
        <v>0</v>
      </c>
      <c r="Y490">
        <f t="shared" si="71"/>
        <v>0</v>
      </c>
    </row>
    <row r="491" spans="1:25" x14ac:dyDescent="0.3">
      <c r="A491" t="s">
        <v>3923</v>
      </c>
      <c r="B491" s="2" t="s">
        <v>3924</v>
      </c>
      <c r="C491" s="1">
        <v>45704</v>
      </c>
      <c r="D491" s="3">
        <v>0.95609953703703698</v>
      </c>
      <c r="E491">
        <f t="shared" si="63"/>
        <v>22</v>
      </c>
      <c r="F491">
        <v>40</v>
      </c>
      <c r="G491" t="s">
        <v>46</v>
      </c>
      <c r="H491" t="s">
        <v>84</v>
      </c>
      <c r="I491" t="s">
        <v>39</v>
      </c>
      <c r="J491" t="s">
        <v>40</v>
      </c>
      <c r="K491" t="s">
        <v>95</v>
      </c>
      <c r="L491">
        <v>242.02</v>
      </c>
      <c r="M491" t="s">
        <v>33</v>
      </c>
      <c r="N491">
        <f t="shared" si="64"/>
        <v>0</v>
      </c>
      <c r="O491" t="s">
        <v>34</v>
      </c>
      <c r="P491" t="s">
        <v>3925</v>
      </c>
      <c r="Q491">
        <v>0</v>
      </c>
      <c r="R491">
        <v>195</v>
      </c>
      <c r="S491">
        <f t="shared" si="65"/>
        <v>0.93318512874478554</v>
      </c>
      <c r="T491">
        <f t="shared" si="66"/>
        <v>0</v>
      </c>
      <c r="U491">
        <f t="shared" si="67"/>
        <v>0</v>
      </c>
      <c r="V491">
        <f t="shared" si="68"/>
        <v>1</v>
      </c>
      <c r="W491">
        <f t="shared" si="69"/>
        <v>1</v>
      </c>
      <c r="X491">
        <f t="shared" si="70"/>
        <v>0</v>
      </c>
      <c r="Y491">
        <f t="shared" si="71"/>
        <v>0</v>
      </c>
    </row>
    <row r="492" spans="1:25" x14ac:dyDescent="0.3">
      <c r="A492" t="s">
        <v>1916</v>
      </c>
      <c r="B492" t="s">
        <v>1917</v>
      </c>
      <c r="C492" s="1">
        <v>45844</v>
      </c>
      <c r="D492" s="3">
        <v>0.16350694444444444</v>
      </c>
      <c r="E492">
        <f t="shared" si="63"/>
        <v>3</v>
      </c>
      <c r="F492">
        <v>35</v>
      </c>
      <c r="G492" t="s">
        <v>18</v>
      </c>
      <c r="H492" t="s">
        <v>80</v>
      </c>
      <c r="I492" t="s">
        <v>85</v>
      </c>
      <c r="J492" t="s">
        <v>127</v>
      </c>
      <c r="K492" t="s">
        <v>22</v>
      </c>
      <c r="L492">
        <v>241.87</v>
      </c>
      <c r="M492" t="s">
        <v>42</v>
      </c>
      <c r="N492">
        <f t="shared" si="64"/>
        <v>0</v>
      </c>
      <c r="O492" t="s">
        <v>51</v>
      </c>
      <c r="P492" t="s">
        <v>1918</v>
      </c>
      <c r="Q492">
        <v>0</v>
      </c>
      <c r="R492">
        <v>198</v>
      </c>
      <c r="S492">
        <f t="shared" si="65"/>
        <v>0.93110848982337158</v>
      </c>
      <c r="T492">
        <f t="shared" si="66"/>
        <v>0</v>
      </c>
      <c r="U492">
        <f t="shared" si="67"/>
        <v>1</v>
      </c>
      <c r="V492">
        <f t="shared" si="68"/>
        <v>1</v>
      </c>
      <c r="W492">
        <f t="shared" si="69"/>
        <v>3</v>
      </c>
      <c r="X492">
        <f t="shared" si="70"/>
        <v>0</v>
      </c>
      <c r="Y492">
        <f t="shared" si="71"/>
        <v>0</v>
      </c>
    </row>
    <row r="493" spans="1:25" x14ac:dyDescent="0.3">
      <c r="A493" t="s">
        <v>280</v>
      </c>
      <c r="B493" t="s">
        <v>281</v>
      </c>
      <c r="C493" s="1">
        <v>45761</v>
      </c>
      <c r="D493" s="3">
        <v>0.5866203703703704</v>
      </c>
      <c r="E493">
        <f t="shared" si="63"/>
        <v>14</v>
      </c>
      <c r="F493">
        <v>35</v>
      </c>
      <c r="G493" t="s">
        <v>46</v>
      </c>
      <c r="H493" t="s">
        <v>29</v>
      </c>
      <c r="I493" t="s">
        <v>30</v>
      </c>
      <c r="J493" t="s">
        <v>76</v>
      </c>
      <c r="K493" t="s">
        <v>62</v>
      </c>
      <c r="L493">
        <v>241.64</v>
      </c>
      <c r="M493" t="s">
        <v>115</v>
      </c>
      <c r="N493">
        <f t="shared" si="64"/>
        <v>0</v>
      </c>
      <c r="O493" t="s">
        <v>34</v>
      </c>
      <c r="P493" t="s">
        <v>282</v>
      </c>
      <c r="Q493">
        <v>0</v>
      </c>
      <c r="R493">
        <v>177</v>
      </c>
      <c r="S493">
        <f t="shared" si="65"/>
        <v>0.92792431014387</v>
      </c>
      <c r="T493">
        <f t="shared" si="66"/>
        <v>0</v>
      </c>
      <c r="U493">
        <f t="shared" si="67"/>
        <v>0</v>
      </c>
      <c r="V493">
        <f t="shared" si="68"/>
        <v>1</v>
      </c>
      <c r="W493">
        <f t="shared" si="69"/>
        <v>1</v>
      </c>
      <c r="X493">
        <f t="shared" si="70"/>
        <v>0</v>
      </c>
      <c r="Y493">
        <f t="shared" si="71"/>
        <v>0</v>
      </c>
    </row>
    <row r="494" spans="1:25" x14ac:dyDescent="0.3">
      <c r="A494" t="s">
        <v>2750</v>
      </c>
      <c r="B494" t="s">
        <v>2751</v>
      </c>
      <c r="C494" s="1">
        <v>45751</v>
      </c>
      <c r="D494" s="3">
        <v>0.32866898148148149</v>
      </c>
      <c r="E494">
        <f t="shared" si="63"/>
        <v>7</v>
      </c>
      <c r="F494">
        <v>25</v>
      </c>
      <c r="G494" t="s">
        <v>46</v>
      </c>
      <c r="H494" t="s">
        <v>142</v>
      </c>
      <c r="I494" t="s">
        <v>39</v>
      </c>
      <c r="J494" t="s">
        <v>76</v>
      </c>
      <c r="K494" t="s">
        <v>41</v>
      </c>
      <c r="L494">
        <v>241.53</v>
      </c>
      <c r="M494" t="s">
        <v>115</v>
      </c>
      <c r="N494">
        <f t="shared" si="64"/>
        <v>0</v>
      </c>
      <c r="O494" t="s">
        <v>34</v>
      </c>
      <c r="P494" t="s">
        <v>2752</v>
      </c>
      <c r="Q494">
        <v>0</v>
      </c>
      <c r="R494">
        <v>277</v>
      </c>
      <c r="S494">
        <f t="shared" si="65"/>
        <v>0.92640144160150006</v>
      </c>
      <c r="T494">
        <f t="shared" si="66"/>
        <v>0</v>
      </c>
      <c r="U494">
        <f t="shared" si="67"/>
        <v>0</v>
      </c>
      <c r="V494">
        <f t="shared" si="68"/>
        <v>0</v>
      </c>
      <c r="W494">
        <f t="shared" si="69"/>
        <v>0</v>
      </c>
      <c r="X494">
        <f t="shared" si="70"/>
        <v>0</v>
      </c>
      <c r="Y494">
        <f t="shared" si="71"/>
        <v>0</v>
      </c>
    </row>
    <row r="495" spans="1:25" x14ac:dyDescent="0.3">
      <c r="A495" t="s">
        <v>2603</v>
      </c>
      <c r="B495" t="s">
        <v>2604</v>
      </c>
      <c r="C495" s="1">
        <v>45827</v>
      </c>
      <c r="D495" s="3">
        <v>0.87228009259259254</v>
      </c>
      <c r="E495">
        <f t="shared" si="63"/>
        <v>20</v>
      </c>
      <c r="F495">
        <v>64</v>
      </c>
      <c r="G495" t="s">
        <v>46</v>
      </c>
      <c r="H495" t="s">
        <v>167</v>
      </c>
      <c r="I495" t="s">
        <v>85</v>
      </c>
      <c r="J495" t="s">
        <v>40</v>
      </c>
      <c r="K495" t="s">
        <v>95</v>
      </c>
      <c r="L495">
        <v>241.39</v>
      </c>
      <c r="M495" t="s">
        <v>6479</v>
      </c>
      <c r="N495">
        <f t="shared" si="64"/>
        <v>1</v>
      </c>
      <c r="O495" t="s">
        <v>51</v>
      </c>
      <c r="P495" t="s">
        <v>2605</v>
      </c>
      <c r="Q495">
        <v>0</v>
      </c>
      <c r="R495">
        <v>496</v>
      </c>
      <c r="S495">
        <f t="shared" si="65"/>
        <v>0.92446324527484691</v>
      </c>
      <c r="T495">
        <f t="shared" si="66"/>
        <v>0</v>
      </c>
      <c r="U495">
        <f t="shared" si="67"/>
        <v>0</v>
      </c>
      <c r="V495">
        <f t="shared" si="68"/>
        <v>0</v>
      </c>
      <c r="W495">
        <f t="shared" si="69"/>
        <v>2</v>
      </c>
      <c r="X495">
        <f t="shared" si="70"/>
        <v>0</v>
      </c>
      <c r="Y495">
        <f t="shared" si="71"/>
        <v>1</v>
      </c>
    </row>
    <row r="496" spans="1:25" x14ac:dyDescent="0.3">
      <c r="A496" t="s">
        <v>5873</v>
      </c>
      <c r="B496" t="s">
        <v>5874</v>
      </c>
      <c r="C496" s="1">
        <v>45743</v>
      </c>
      <c r="D496" s="3">
        <v>8.0729166666666671E-2</v>
      </c>
      <c r="E496">
        <f t="shared" si="63"/>
        <v>1</v>
      </c>
      <c r="F496">
        <v>64</v>
      </c>
      <c r="G496" t="s">
        <v>46</v>
      </c>
      <c r="H496" t="s">
        <v>29</v>
      </c>
      <c r="I496" t="s">
        <v>71</v>
      </c>
      <c r="J496" t="s">
        <v>76</v>
      </c>
      <c r="K496" t="s">
        <v>62</v>
      </c>
      <c r="L496">
        <v>241.25</v>
      </c>
      <c r="M496" t="s">
        <v>115</v>
      </c>
      <c r="N496">
        <f t="shared" si="64"/>
        <v>0</v>
      </c>
      <c r="O496" t="s">
        <v>51</v>
      </c>
      <c r="P496" t="s">
        <v>5875</v>
      </c>
      <c r="Q496">
        <v>0</v>
      </c>
      <c r="R496">
        <v>449</v>
      </c>
      <c r="S496">
        <f t="shared" si="65"/>
        <v>0.9225250489481942</v>
      </c>
      <c r="T496">
        <f t="shared" si="66"/>
        <v>0</v>
      </c>
      <c r="U496">
        <f t="shared" si="67"/>
        <v>1</v>
      </c>
      <c r="V496">
        <f t="shared" si="68"/>
        <v>0</v>
      </c>
      <c r="W496">
        <f t="shared" si="69"/>
        <v>2</v>
      </c>
      <c r="X496">
        <f t="shared" si="70"/>
        <v>0</v>
      </c>
      <c r="Y496">
        <f t="shared" si="71"/>
        <v>0</v>
      </c>
    </row>
    <row r="497" spans="1:25" x14ac:dyDescent="0.3">
      <c r="A497" t="s">
        <v>683</v>
      </c>
      <c r="B497" t="s">
        <v>684</v>
      </c>
      <c r="C497" s="1">
        <v>45769</v>
      </c>
      <c r="D497" s="3">
        <v>0.56412037037037033</v>
      </c>
      <c r="E497">
        <f t="shared" si="63"/>
        <v>13</v>
      </c>
      <c r="F497">
        <v>29</v>
      </c>
      <c r="G497" t="s">
        <v>46</v>
      </c>
      <c r="H497" t="s">
        <v>175</v>
      </c>
      <c r="I497" t="s">
        <v>119</v>
      </c>
      <c r="J497" t="s">
        <v>40</v>
      </c>
      <c r="K497" t="s">
        <v>95</v>
      </c>
      <c r="L497">
        <v>241.15</v>
      </c>
      <c r="M497" t="s">
        <v>42</v>
      </c>
      <c r="N497">
        <f t="shared" si="64"/>
        <v>0</v>
      </c>
      <c r="O497" t="s">
        <v>34</v>
      </c>
      <c r="P497" t="s">
        <v>685</v>
      </c>
      <c r="Q497">
        <v>0</v>
      </c>
      <c r="R497">
        <v>355</v>
      </c>
      <c r="S497">
        <f t="shared" si="65"/>
        <v>0.92114062300058497</v>
      </c>
      <c r="T497">
        <f t="shared" si="66"/>
        <v>0</v>
      </c>
      <c r="U497">
        <f t="shared" si="67"/>
        <v>0</v>
      </c>
      <c r="V497">
        <f t="shared" si="68"/>
        <v>0</v>
      </c>
      <c r="W497">
        <f t="shared" si="69"/>
        <v>0</v>
      </c>
      <c r="X497">
        <f t="shared" si="70"/>
        <v>0</v>
      </c>
      <c r="Y497">
        <f t="shared" si="71"/>
        <v>0</v>
      </c>
    </row>
    <row r="498" spans="1:25" x14ac:dyDescent="0.3">
      <c r="A498" t="s">
        <v>1337</v>
      </c>
      <c r="B498" t="s">
        <v>1338</v>
      </c>
      <c r="C498" s="1">
        <v>45865</v>
      </c>
      <c r="D498" s="3">
        <v>0.82662037037037039</v>
      </c>
      <c r="E498">
        <f t="shared" si="63"/>
        <v>19</v>
      </c>
      <c r="F498">
        <v>54</v>
      </c>
      <c r="G498" t="s">
        <v>60</v>
      </c>
      <c r="H498" t="s">
        <v>189</v>
      </c>
      <c r="I498" t="s">
        <v>105</v>
      </c>
      <c r="J498" t="s">
        <v>127</v>
      </c>
      <c r="K498" t="s">
        <v>95</v>
      </c>
      <c r="L498">
        <v>240.88</v>
      </c>
      <c r="M498" t="s">
        <v>115</v>
      </c>
      <c r="N498">
        <f t="shared" si="64"/>
        <v>0</v>
      </c>
      <c r="O498" t="s">
        <v>86</v>
      </c>
      <c r="P498" t="s">
        <v>1339</v>
      </c>
      <c r="Q498">
        <v>0</v>
      </c>
      <c r="R498">
        <v>79</v>
      </c>
      <c r="S498">
        <f t="shared" si="65"/>
        <v>0.91740267294203992</v>
      </c>
      <c r="T498">
        <f t="shared" si="66"/>
        <v>0</v>
      </c>
      <c r="U498">
        <f t="shared" si="67"/>
        <v>0</v>
      </c>
      <c r="V498">
        <f t="shared" si="68"/>
        <v>1</v>
      </c>
      <c r="W498">
        <f t="shared" si="69"/>
        <v>1</v>
      </c>
      <c r="X498">
        <f t="shared" si="70"/>
        <v>0</v>
      </c>
      <c r="Y498">
        <f t="shared" si="71"/>
        <v>0</v>
      </c>
    </row>
    <row r="499" spans="1:25" x14ac:dyDescent="0.3">
      <c r="A499" t="s">
        <v>2582</v>
      </c>
      <c r="B499" t="s">
        <v>2583</v>
      </c>
      <c r="C499" s="1">
        <v>45844</v>
      </c>
      <c r="D499" s="3">
        <v>0.75151620370370376</v>
      </c>
      <c r="E499">
        <f t="shared" si="63"/>
        <v>18</v>
      </c>
      <c r="F499">
        <v>23</v>
      </c>
      <c r="G499" t="s">
        <v>6479</v>
      </c>
      <c r="H499" t="s">
        <v>100</v>
      </c>
      <c r="I499" t="s">
        <v>48</v>
      </c>
      <c r="J499" t="s">
        <v>21</v>
      </c>
      <c r="K499" t="s">
        <v>32</v>
      </c>
      <c r="L499">
        <v>240.77</v>
      </c>
      <c r="M499" t="s">
        <v>33</v>
      </c>
      <c r="N499">
        <f t="shared" si="64"/>
        <v>0</v>
      </c>
      <c r="O499" t="s">
        <v>34</v>
      </c>
      <c r="P499" t="s">
        <v>2584</v>
      </c>
      <c r="Q499">
        <v>0</v>
      </c>
      <c r="R499">
        <v>142</v>
      </c>
      <c r="S499">
        <f t="shared" si="65"/>
        <v>0.91587980439966998</v>
      </c>
      <c r="T499">
        <f t="shared" si="66"/>
        <v>0</v>
      </c>
      <c r="U499">
        <f t="shared" si="67"/>
        <v>0</v>
      </c>
      <c r="V499">
        <f t="shared" si="68"/>
        <v>1</v>
      </c>
      <c r="W499">
        <f t="shared" si="69"/>
        <v>1</v>
      </c>
      <c r="X499">
        <f t="shared" si="70"/>
        <v>0</v>
      </c>
      <c r="Y499">
        <f t="shared" si="71"/>
        <v>0</v>
      </c>
    </row>
    <row r="500" spans="1:25" x14ac:dyDescent="0.3">
      <c r="A500" t="s">
        <v>3029</v>
      </c>
      <c r="B500" t="s">
        <v>3030</v>
      </c>
      <c r="C500" s="1">
        <v>45769</v>
      </c>
      <c r="D500" s="3">
        <v>0.70322916666666668</v>
      </c>
      <c r="E500">
        <f t="shared" si="63"/>
        <v>16</v>
      </c>
      <c r="F500">
        <v>32</v>
      </c>
      <c r="G500" t="s">
        <v>99</v>
      </c>
      <c r="H500" t="s">
        <v>61</v>
      </c>
      <c r="I500" t="s">
        <v>85</v>
      </c>
      <c r="J500" t="s">
        <v>127</v>
      </c>
      <c r="K500" t="s">
        <v>41</v>
      </c>
      <c r="L500">
        <v>240.63</v>
      </c>
      <c r="M500" t="s">
        <v>42</v>
      </c>
      <c r="N500">
        <f t="shared" si="64"/>
        <v>0</v>
      </c>
      <c r="O500" t="s">
        <v>51</v>
      </c>
      <c r="P500" t="s">
        <v>3031</v>
      </c>
      <c r="Q500">
        <v>0</v>
      </c>
      <c r="R500">
        <v>436</v>
      </c>
      <c r="S500">
        <f t="shared" si="65"/>
        <v>0.91394160807301683</v>
      </c>
      <c r="T500">
        <f t="shared" si="66"/>
        <v>0</v>
      </c>
      <c r="U500">
        <f t="shared" si="67"/>
        <v>0</v>
      </c>
      <c r="V500">
        <f t="shared" si="68"/>
        <v>0</v>
      </c>
      <c r="W500">
        <f t="shared" si="69"/>
        <v>0</v>
      </c>
      <c r="X500">
        <f t="shared" si="70"/>
        <v>0</v>
      </c>
      <c r="Y500">
        <f t="shared" si="71"/>
        <v>0</v>
      </c>
    </row>
    <row r="501" spans="1:25" x14ac:dyDescent="0.3">
      <c r="A501" t="s">
        <v>5483</v>
      </c>
      <c r="B501" t="s">
        <v>5484</v>
      </c>
      <c r="C501" s="1">
        <v>45814</v>
      </c>
      <c r="D501" s="3">
        <v>0.86782407407407403</v>
      </c>
      <c r="E501">
        <f t="shared" si="63"/>
        <v>20</v>
      </c>
      <c r="F501">
        <v>46</v>
      </c>
      <c r="G501" t="s">
        <v>18</v>
      </c>
      <c r="H501" t="s">
        <v>175</v>
      </c>
      <c r="I501" t="s">
        <v>48</v>
      </c>
      <c r="J501" t="s">
        <v>21</v>
      </c>
      <c r="K501" t="s">
        <v>95</v>
      </c>
      <c r="L501">
        <v>240.57</v>
      </c>
      <c r="M501" t="s">
        <v>33</v>
      </c>
      <c r="N501">
        <f t="shared" si="64"/>
        <v>0</v>
      </c>
      <c r="O501" t="s">
        <v>86</v>
      </c>
      <c r="P501" t="s">
        <v>5485</v>
      </c>
      <c r="Q501">
        <v>0</v>
      </c>
      <c r="R501">
        <v>169</v>
      </c>
      <c r="S501">
        <f t="shared" si="65"/>
        <v>0.91311095250445118</v>
      </c>
      <c r="T501">
        <f t="shared" si="66"/>
        <v>0</v>
      </c>
      <c r="U501">
        <f t="shared" si="67"/>
        <v>0</v>
      </c>
      <c r="V501">
        <f t="shared" si="68"/>
        <v>1</v>
      </c>
      <c r="W501">
        <f t="shared" si="69"/>
        <v>1</v>
      </c>
      <c r="X501">
        <f t="shared" si="70"/>
        <v>0</v>
      </c>
      <c r="Y501">
        <f t="shared" si="71"/>
        <v>0</v>
      </c>
    </row>
    <row r="502" spans="1:25" x14ac:dyDescent="0.3">
      <c r="A502" t="s">
        <v>3728</v>
      </c>
      <c r="B502" t="s">
        <v>3729</v>
      </c>
      <c r="C502" s="1">
        <v>45713</v>
      </c>
      <c r="D502" s="3">
        <v>0.22133101851851852</v>
      </c>
      <c r="E502">
        <f t="shared" si="63"/>
        <v>5</v>
      </c>
      <c r="F502">
        <v>42</v>
      </c>
      <c r="G502" t="s">
        <v>60</v>
      </c>
      <c r="H502" t="s">
        <v>175</v>
      </c>
      <c r="I502" t="s">
        <v>85</v>
      </c>
      <c r="J502" t="s">
        <v>31</v>
      </c>
      <c r="K502" t="s">
        <v>114</v>
      </c>
      <c r="L502">
        <v>240.53</v>
      </c>
      <c r="M502" t="s">
        <v>33</v>
      </c>
      <c r="N502">
        <f t="shared" si="64"/>
        <v>0</v>
      </c>
      <c r="O502" t="s">
        <v>34</v>
      </c>
      <c r="P502" t="s">
        <v>3730</v>
      </c>
      <c r="Q502">
        <v>0</v>
      </c>
      <c r="R502">
        <v>324</v>
      </c>
      <c r="S502">
        <f t="shared" si="65"/>
        <v>0.9125571821254076</v>
      </c>
      <c r="T502">
        <f t="shared" si="66"/>
        <v>0</v>
      </c>
      <c r="U502">
        <f t="shared" si="67"/>
        <v>1</v>
      </c>
      <c r="V502">
        <f t="shared" si="68"/>
        <v>0</v>
      </c>
      <c r="W502">
        <f t="shared" si="69"/>
        <v>2</v>
      </c>
      <c r="X502">
        <f t="shared" si="70"/>
        <v>0</v>
      </c>
      <c r="Y502">
        <f t="shared" si="71"/>
        <v>0</v>
      </c>
    </row>
    <row r="503" spans="1:25" x14ac:dyDescent="0.3">
      <c r="A503" t="s">
        <v>2375</v>
      </c>
      <c r="B503" t="s">
        <v>2376</v>
      </c>
      <c r="C503" s="1">
        <v>45752</v>
      </c>
      <c r="D503" s="3">
        <v>0.2900578703703704</v>
      </c>
      <c r="E503">
        <f t="shared" si="63"/>
        <v>6</v>
      </c>
      <c r="F503">
        <v>54</v>
      </c>
      <c r="G503" t="s">
        <v>60</v>
      </c>
      <c r="H503" t="s">
        <v>312</v>
      </c>
      <c r="I503" t="s">
        <v>119</v>
      </c>
      <c r="J503" t="s">
        <v>40</v>
      </c>
      <c r="K503" t="s">
        <v>120</v>
      </c>
      <c r="L503">
        <v>240.35</v>
      </c>
      <c r="M503" t="s">
        <v>42</v>
      </c>
      <c r="N503">
        <f t="shared" si="64"/>
        <v>0</v>
      </c>
      <c r="O503" t="s">
        <v>24</v>
      </c>
      <c r="P503" t="s">
        <v>2377</v>
      </c>
      <c r="Q503">
        <v>0</v>
      </c>
      <c r="R503">
        <v>490</v>
      </c>
      <c r="S503">
        <f t="shared" si="65"/>
        <v>0.91006521541971086</v>
      </c>
      <c r="T503">
        <f t="shared" si="66"/>
        <v>0</v>
      </c>
      <c r="U503">
        <f t="shared" si="67"/>
        <v>0</v>
      </c>
      <c r="V503">
        <f t="shared" si="68"/>
        <v>0</v>
      </c>
      <c r="W503">
        <f t="shared" si="69"/>
        <v>0</v>
      </c>
      <c r="X503">
        <f t="shared" si="70"/>
        <v>0</v>
      </c>
      <c r="Y503">
        <f t="shared" si="71"/>
        <v>0</v>
      </c>
    </row>
    <row r="504" spans="1:25" x14ac:dyDescent="0.3">
      <c r="A504" t="s">
        <v>3428</v>
      </c>
      <c r="B504" t="s">
        <v>3429</v>
      </c>
      <c r="C504" s="1">
        <v>45822</v>
      </c>
      <c r="D504" s="3">
        <v>0.7801851851851852</v>
      </c>
      <c r="E504">
        <f t="shared" si="63"/>
        <v>18</v>
      </c>
      <c r="F504">
        <v>50</v>
      </c>
      <c r="G504" t="s">
        <v>6479</v>
      </c>
      <c r="H504" t="s">
        <v>61</v>
      </c>
      <c r="I504" t="s">
        <v>85</v>
      </c>
      <c r="J504" t="s">
        <v>31</v>
      </c>
      <c r="K504" t="s">
        <v>50</v>
      </c>
      <c r="L504">
        <v>240.27</v>
      </c>
      <c r="M504" t="s">
        <v>42</v>
      </c>
      <c r="N504">
        <f t="shared" si="64"/>
        <v>0</v>
      </c>
      <c r="O504" t="s">
        <v>34</v>
      </c>
      <c r="P504" t="s">
        <v>3430</v>
      </c>
      <c r="Q504">
        <v>0</v>
      </c>
      <c r="R504">
        <v>498</v>
      </c>
      <c r="S504">
        <f t="shared" si="65"/>
        <v>0.90895767466162369</v>
      </c>
      <c r="T504">
        <f t="shared" si="66"/>
        <v>0</v>
      </c>
      <c r="U504">
        <f t="shared" si="67"/>
        <v>0</v>
      </c>
      <c r="V504">
        <f t="shared" si="68"/>
        <v>0</v>
      </c>
      <c r="W504">
        <f t="shared" si="69"/>
        <v>0</v>
      </c>
      <c r="X504">
        <f t="shared" si="70"/>
        <v>0</v>
      </c>
      <c r="Y504">
        <f t="shared" si="71"/>
        <v>0</v>
      </c>
    </row>
    <row r="505" spans="1:25" x14ac:dyDescent="0.3">
      <c r="A505" t="s">
        <v>3932</v>
      </c>
      <c r="B505" t="s">
        <v>3933</v>
      </c>
      <c r="C505" s="1">
        <v>45714</v>
      </c>
      <c r="D505" s="3">
        <v>0.16769675925925925</v>
      </c>
      <c r="E505">
        <f t="shared" si="63"/>
        <v>4</v>
      </c>
      <c r="F505">
        <v>54</v>
      </c>
      <c r="G505" t="s">
        <v>60</v>
      </c>
      <c r="H505" t="s">
        <v>312</v>
      </c>
      <c r="I505" t="s">
        <v>110</v>
      </c>
      <c r="J505" t="s">
        <v>21</v>
      </c>
      <c r="K505" t="s">
        <v>101</v>
      </c>
      <c r="L505">
        <v>240.2</v>
      </c>
      <c r="M505" t="s">
        <v>42</v>
      </c>
      <c r="N505">
        <f t="shared" si="64"/>
        <v>0</v>
      </c>
      <c r="O505" t="s">
        <v>51</v>
      </c>
      <c r="P505" t="s">
        <v>3934</v>
      </c>
      <c r="Q505">
        <v>0</v>
      </c>
      <c r="R505">
        <v>451</v>
      </c>
      <c r="S505">
        <f t="shared" si="65"/>
        <v>0.9079885764982969</v>
      </c>
      <c r="T505">
        <f t="shared" si="66"/>
        <v>0</v>
      </c>
      <c r="U505">
        <f t="shared" si="67"/>
        <v>1</v>
      </c>
      <c r="V505">
        <f t="shared" si="68"/>
        <v>0</v>
      </c>
      <c r="W505">
        <f t="shared" si="69"/>
        <v>2</v>
      </c>
      <c r="X505">
        <f t="shared" si="70"/>
        <v>0</v>
      </c>
      <c r="Y505">
        <f t="shared" si="71"/>
        <v>0</v>
      </c>
    </row>
    <row r="506" spans="1:25" x14ac:dyDescent="0.3">
      <c r="A506" t="s">
        <v>2579</v>
      </c>
      <c r="B506" t="s">
        <v>2580</v>
      </c>
      <c r="C506" s="1">
        <v>45772</v>
      </c>
      <c r="D506" s="3">
        <v>0.53806712962962966</v>
      </c>
      <c r="E506">
        <f t="shared" si="63"/>
        <v>12</v>
      </c>
      <c r="F506">
        <v>51</v>
      </c>
      <c r="G506" t="s">
        <v>46</v>
      </c>
      <c r="H506" t="s">
        <v>239</v>
      </c>
      <c r="I506" t="s">
        <v>110</v>
      </c>
      <c r="J506" t="s">
        <v>40</v>
      </c>
      <c r="K506" t="s">
        <v>32</v>
      </c>
      <c r="L506">
        <v>239.78</v>
      </c>
      <c r="M506" t="s">
        <v>33</v>
      </c>
      <c r="N506">
        <f t="shared" si="64"/>
        <v>0</v>
      </c>
      <c r="O506" t="s">
        <v>34</v>
      </c>
      <c r="P506" t="s">
        <v>2581</v>
      </c>
      <c r="Q506">
        <v>0</v>
      </c>
      <c r="R506">
        <v>116</v>
      </c>
      <c r="S506">
        <f t="shared" si="65"/>
        <v>0.90217398751833833</v>
      </c>
      <c r="T506">
        <f t="shared" si="66"/>
        <v>0</v>
      </c>
      <c r="U506">
        <f t="shared" si="67"/>
        <v>0</v>
      </c>
      <c r="V506">
        <f t="shared" si="68"/>
        <v>1</v>
      </c>
      <c r="W506">
        <f t="shared" si="69"/>
        <v>1</v>
      </c>
      <c r="X506">
        <f t="shared" si="70"/>
        <v>0</v>
      </c>
      <c r="Y506">
        <f t="shared" si="71"/>
        <v>0</v>
      </c>
    </row>
    <row r="507" spans="1:25" x14ac:dyDescent="0.3">
      <c r="A507" t="s">
        <v>4154</v>
      </c>
      <c r="B507" t="s">
        <v>4155</v>
      </c>
      <c r="C507" s="1">
        <v>45860</v>
      </c>
      <c r="D507" s="3">
        <v>0.78256944444444443</v>
      </c>
      <c r="E507">
        <f t="shared" si="63"/>
        <v>18</v>
      </c>
      <c r="F507">
        <v>60</v>
      </c>
      <c r="G507" t="s">
        <v>60</v>
      </c>
      <c r="H507" t="s">
        <v>142</v>
      </c>
      <c r="I507" t="s">
        <v>105</v>
      </c>
      <c r="J507" t="s">
        <v>76</v>
      </c>
      <c r="K507" t="s">
        <v>120</v>
      </c>
      <c r="L507">
        <v>239.76</v>
      </c>
      <c r="M507" t="s">
        <v>23</v>
      </c>
      <c r="N507">
        <f t="shared" si="64"/>
        <v>0</v>
      </c>
      <c r="O507" t="s">
        <v>86</v>
      </c>
      <c r="P507" t="s">
        <v>4156</v>
      </c>
      <c r="Q507">
        <v>0</v>
      </c>
      <c r="R507">
        <v>126</v>
      </c>
      <c r="S507">
        <f t="shared" si="65"/>
        <v>0.90189710232881626</v>
      </c>
      <c r="T507">
        <f t="shared" si="66"/>
        <v>0</v>
      </c>
      <c r="U507">
        <f t="shared" si="67"/>
        <v>0</v>
      </c>
      <c r="V507">
        <f t="shared" si="68"/>
        <v>1</v>
      </c>
      <c r="W507">
        <f t="shared" si="69"/>
        <v>1</v>
      </c>
      <c r="X507">
        <f t="shared" si="70"/>
        <v>0</v>
      </c>
      <c r="Y507">
        <f t="shared" si="71"/>
        <v>0</v>
      </c>
    </row>
    <row r="508" spans="1:25" x14ac:dyDescent="0.3">
      <c r="A508" t="s">
        <v>3551</v>
      </c>
      <c r="B508" t="s">
        <v>3552</v>
      </c>
      <c r="C508" s="1">
        <v>45713</v>
      </c>
      <c r="D508" s="3">
        <v>7.7939814814814809E-2</v>
      </c>
      <c r="E508">
        <f t="shared" si="63"/>
        <v>1</v>
      </c>
      <c r="F508">
        <v>57</v>
      </c>
      <c r="G508" t="s">
        <v>60</v>
      </c>
      <c r="H508" t="s">
        <v>167</v>
      </c>
      <c r="I508" t="s">
        <v>71</v>
      </c>
      <c r="J508" t="s">
        <v>132</v>
      </c>
      <c r="K508" t="s">
        <v>168</v>
      </c>
      <c r="L508">
        <v>239.73</v>
      </c>
      <c r="M508" t="s">
        <v>33</v>
      </c>
      <c r="N508">
        <f t="shared" si="64"/>
        <v>0</v>
      </c>
      <c r="O508" t="s">
        <v>24</v>
      </c>
      <c r="P508" t="s">
        <v>3553</v>
      </c>
      <c r="Q508">
        <v>0</v>
      </c>
      <c r="R508">
        <v>440</v>
      </c>
      <c r="S508">
        <f t="shared" si="65"/>
        <v>0.90148177454453349</v>
      </c>
      <c r="T508">
        <f t="shared" si="66"/>
        <v>0</v>
      </c>
      <c r="U508">
        <f t="shared" si="67"/>
        <v>1</v>
      </c>
      <c r="V508">
        <f t="shared" si="68"/>
        <v>0</v>
      </c>
      <c r="W508">
        <f t="shared" si="69"/>
        <v>2</v>
      </c>
      <c r="X508">
        <f t="shared" si="70"/>
        <v>0</v>
      </c>
      <c r="Y508">
        <f t="shared" si="71"/>
        <v>0</v>
      </c>
    </row>
    <row r="509" spans="1:25" x14ac:dyDescent="0.3">
      <c r="A509" t="s">
        <v>1709</v>
      </c>
      <c r="B509" t="s">
        <v>1710</v>
      </c>
      <c r="C509" s="1">
        <v>45872</v>
      </c>
      <c r="D509" s="3">
        <v>0.15008101851851852</v>
      </c>
      <c r="E509">
        <f t="shared" si="63"/>
        <v>3</v>
      </c>
      <c r="F509">
        <v>62</v>
      </c>
      <c r="G509" t="s">
        <v>60</v>
      </c>
      <c r="H509" t="s">
        <v>80</v>
      </c>
      <c r="I509" t="s">
        <v>48</v>
      </c>
      <c r="J509" t="s">
        <v>56</v>
      </c>
      <c r="K509" t="s">
        <v>114</v>
      </c>
      <c r="L509">
        <v>239.69</v>
      </c>
      <c r="M509" t="s">
        <v>33</v>
      </c>
      <c r="N509">
        <f t="shared" si="64"/>
        <v>0</v>
      </c>
      <c r="O509" t="s">
        <v>24</v>
      </c>
      <c r="P509" t="s">
        <v>1711</v>
      </c>
      <c r="Q509">
        <v>0</v>
      </c>
      <c r="R509">
        <v>325</v>
      </c>
      <c r="S509">
        <f t="shared" si="65"/>
        <v>0.9009280041654899</v>
      </c>
      <c r="T509">
        <f t="shared" si="66"/>
        <v>0</v>
      </c>
      <c r="U509">
        <f t="shared" si="67"/>
        <v>1</v>
      </c>
      <c r="V509">
        <f t="shared" si="68"/>
        <v>0</v>
      </c>
      <c r="W509">
        <f t="shared" si="69"/>
        <v>2</v>
      </c>
      <c r="X509">
        <f t="shared" si="70"/>
        <v>0</v>
      </c>
      <c r="Y509">
        <f t="shared" si="71"/>
        <v>0</v>
      </c>
    </row>
    <row r="510" spans="1:25" x14ac:dyDescent="0.3">
      <c r="A510" t="s">
        <v>3110</v>
      </c>
      <c r="B510" t="s">
        <v>3111</v>
      </c>
      <c r="C510" s="1">
        <v>45771</v>
      </c>
      <c r="D510" s="3">
        <v>0.14592592592592593</v>
      </c>
      <c r="E510">
        <f t="shared" si="63"/>
        <v>3</v>
      </c>
      <c r="F510">
        <v>53</v>
      </c>
      <c r="G510" t="s">
        <v>28</v>
      </c>
      <c r="H510" t="s">
        <v>239</v>
      </c>
      <c r="I510" t="s">
        <v>30</v>
      </c>
      <c r="J510" t="s">
        <v>127</v>
      </c>
      <c r="K510" t="s">
        <v>50</v>
      </c>
      <c r="L510">
        <v>239.52</v>
      </c>
      <c r="M510" t="s">
        <v>23</v>
      </c>
      <c r="N510">
        <f t="shared" si="64"/>
        <v>0</v>
      </c>
      <c r="O510" t="s">
        <v>24</v>
      </c>
      <c r="P510" t="s">
        <v>3112</v>
      </c>
      <c r="Q510">
        <v>0</v>
      </c>
      <c r="R510">
        <v>67</v>
      </c>
      <c r="S510">
        <f t="shared" si="65"/>
        <v>0.89857448005455431</v>
      </c>
      <c r="T510">
        <f t="shared" si="66"/>
        <v>0</v>
      </c>
      <c r="U510">
        <f t="shared" si="67"/>
        <v>1</v>
      </c>
      <c r="V510">
        <f t="shared" si="68"/>
        <v>1</v>
      </c>
      <c r="W510">
        <f t="shared" si="69"/>
        <v>3</v>
      </c>
      <c r="X510">
        <f t="shared" si="70"/>
        <v>0</v>
      </c>
      <c r="Y510">
        <f t="shared" si="71"/>
        <v>0</v>
      </c>
    </row>
    <row r="511" spans="1:25" x14ac:dyDescent="0.3">
      <c r="A511" t="s">
        <v>2237</v>
      </c>
      <c r="B511" t="s">
        <v>2238</v>
      </c>
      <c r="C511" s="1">
        <v>45799</v>
      </c>
      <c r="D511" s="3">
        <v>0.41722222222222222</v>
      </c>
      <c r="E511">
        <f t="shared" si="63"/>
        <v>10</v>
      </c>
      <c r="F511" s="4">
        <v>41</v>
      </c>
      <c r="G511" t="s">
        <v>60</v>
      </c>
      <c r="H511" t="s">
        <v>312</v>
      </c>
      <c r="I511" t="s">
        <v>119</v>
      </c>
      <c r="J511" t="s">
        <v>40</v>
      </c>
      <c r="K511" t="s">
        <v>114</v>
      </c>
      <c r="L511">
        <v>239.22</v>
      </c>
      <c r="M511" t="s">
        <v>33</v>
      </c>
      <c r="N511">
        <f t="shared" si="64"/>
        <v>0</v>
      </c>
      <c r="O511" t="s">
        <v>24</v>
      </c>
      <c r="P511" t="s">
        <v>2239</v>
      </c>
      <c r="Q511">
        <v>0</v>
      </c>
      <c r="R511">
        <v>273</v>
      </c>
      <c r="S511">
        <f t="shared" si="65"/>
        <v>0.8944212022117265</v>
      </c>
      <c r="T511">
        <f t="shared" si="66"/>
        <v>0</v>
      </c>
      <c r="U511">
        <f t="shared" si="67"/>
        <v>0</v>
      </c>
      <c r="V511">
        <f t="shared" si="68"/>
        <v>0</v>
      </c>
      <c r="W511">
        <f t="shared" si="69"/>
        <v>0</v>
      </c>
      <c r="X511">
        <f t="shared" si="70"/>
        <v>0</v>
      </c>
      <c r="Y511">
        <f t="shared" si="71"/>
        <v>0</v>
      </c>
    </row>
    <row r="512" spans="1:25" x14ac:dyDescent="0.3">
      <c r="A512" t="s">
        <v>6173</v>
      </c>
      <c r="B512" t="s">
        <v>6174</v>
      </c>
      <c r="C512" s="1">
        <v>45763</v>
      </c>
      <c r="D512" s="3">
        <v>0.4581365740740741</v>
      </c>
      <c r="E512">
        <f t="shared" si="63"/>
        <v>10</v>
      </c>
      <c r="F512">
        <v>56</v>
      </c>
      <c r="G512" t="s">
        <v>6479</v>
      </c>
      <c r="H512" t="s">
        <v>70</v>
      </c>
      <c r="I512" t="s">
        <v>71</v>
      </c>
      <c r="J512" t="s">
        <v>40</v>
      </c>
      <c r="K512" t="s">
        <v>41</v>
      </c>
      <c r="L512">
        <v>239.17</v>
      </c>
      <c r="M512" t="s">
        <v>115</v>
      </c>
      <c r="N512">
        <f t="shared" si="64"/>
        <v>0</v>
      </c>
      <c r="O512" t="s">
        <v>86</v>
      </c>
      <c r="P512" t="s">
        <v>6175</v>
      </c>
      <c r="Q512">
        <v>0</v>
      </c>
      <c r="R512">
        <v>102</v>
      </c>
      <c r="S512">
        <f t="shared" si="65"/>
        <v>0.89372898923792166</v>
      </c>
      <c r="T512">
        <f t="shared" si="66"/>
        <v>0</v>
      </c>
      <c r="U512">
        <f t="shared" si="67"/>
        <v>0</v>
      </c>
      <c r="V512">
        <f t="shared" si="68"/>
        <v>1</v>
      </c>
      <c r="W512">
        <f t="shared" si="69"/>
        <v>1</v>
      </c>
      <c r="X512">
        <f t="shared" si="70"/>
        <v>0</v>
      </c>
      <c r="Y512">
        <f t="shared" si="71"/>
        <v>0</v>
      </c>
    </row>
    <row r="513" spans="1:25" x14ac:dyDescent="0.3">
      <c r="A513" t="s">
        <v>4202</v>
      </c>
      <c r="B513" t="s">
        <v>4203</v>
      </c>
      <c r="C513" s="1">
        <v>45711</v>
      </c>
      <c r="D513" s="3">
        <v>0.62224537037037042</v>
      </c>
      <c r="E513">
        <f t="shared" si="63"/>
        <v>14</v>
      </c>
      <c r="F513">
        <v>55</v>
      </c>
      <c r="G513" t="s">
        <v>60</v>
      </c>
      <c r="H513" t="s">
        <v>80</v>
      </c>
      <c r="I513" t="s">
        <v>66</v>
      </c>
      <c r="J513" t="s">
        <v>76</v>
      </c>
      <c r="K513" t="s">
        <v>22</v>
      </c>
      <c r="L513">
        <v>239.11</v>
      </c>
      <c r="M513" t="s">
        <v>115</v>
      </c>
      <c r="N513">
        <f t="shared" si="64"/>
        <v>0</v>
      </c>
      <c r="O513" t="s">
        <v>34</v>
      </c>
      <c r="P513" t="s">
        <v>4204</v>
      </c>
      <c r="Q513">
        <v>0</v>
      </c>
      <c r="R513">
        <v>375</v>
      </c>
      <c r="S513">
        <f t="shared" si="65"/>
        <v>0.89289833366935645</v>
      </c>
      <c r="T513">
        <f t="shared" si="66"/>
        <v>0</v>
      </c>
      <c r="U513">
        <f t="shared" si="67"/>
        <v>0</v>
      </c>
      <c r="V513">
        <f t="shared" si="68"/>
        <v>0</v>
      </c>
      <c r="W513">
        <f t="shared" si="69"/>
        <v>0</v>
      </c>
      <c r="X513">
        <f t="shared" si="70"/>
        <v>0</v>
      </c>
      <c r="Y513">
        <f t="shared" si="71"/>
        <v>0</v>
      </c>
    </row>
    <row r="514" spans="1:25" x14ac:dyDescent="0.3">
      <c r="A514" t="s">
        <v>3827</v>
      </c>
      <c r="B514" t="s">
        <v>3828</v>
      </c>
      <c r="C514" s="1">
        <v>45821</v>
      </c>
      <c r="D514" s="3">
        <v>0.88855324074074071</v>
      </c>
      <c r="E514">
        <f t="shared" ref="E514:E577" si="72">HOUR(D514)</f>
        <v>21</v>
      </c>
      <c r="F514" s="4">
        <v>41</v>
      </c>
      <c r="G514" t="s">
        <v>18</v>
      </c>
      <c r="H514" t="s">
        <v>189</v>
      </c>
      <c r="I514" t="s">
        <v>110</v>
      </c>
      <c r="J514" t="s">
        <v>56</v>
      </c>
      <c r="K514" t="s">
        <v>114</v>
      </c>
      <c r="L514">
        <v>239.02</v>
      </c>
      <c r="M514" t="s">
        <v>33</v>
      </c>
      <c r="N514">
        <f t="shared" ref="N514:N577" si="73">IF(M514="Unknown",1,0)</f>
        <v>0</v>
      </c>
      <c r="O514" t="s">
        <v>86</v>
      </c>
      <c r="P514" t="s">
        <v>3829</v>
      </c>
      <c r="Q514">
        <v>0</v>
      </c>
      <c r="R514">
        <v>316</v>
      </c>
      <c r="S514">
        <f t="shared" ref="S514:S577" si="74">(L514-$P$2137)/$P$2138</f>
        <v>0.89165235031650814</v>
      </c>
      <c r="T514">
        <f t="shared" ref="T514:T577" si="75">IF(ABS(Z514)&gt;3,1,0)</f>
        <v>0</v>
      </c>
      <c r="U514">
        <f t="shared" ref="U514:U577" si="76">IF(AND(E514&gt;=0,E514&lt;=5),1,0)</f>
        <v>0</v>
      </c>
      <c r="V514">
        <f t="shared" ref="V514:V577" si="77">IF(R514&lt;AVERAGE($R:$R),1,0)</f>
        <v>0</v>
      </c>
      <c r="W514">
        <f t="shared" ref="W514:W577" si="78">T514*3+U514*2+V514*1+N514*2</f>
        <v>0</v>
      </c>
      <c r="X514">
        <f t="shared" ref="X514:X577" si="79">IF(W514&gt;=5,1,0)</f>
        <v>0</v>
      </c>
      <c r="Y514">
        <f t="shared" ref="Y514:Y577" si="80">IF(M514="Unknown",1,0)</f>
        <v>0</v>
      </c>
    </row>
    <row r="515" spans="1:25" x14ac:dyDescent="0.3">
      <c r="A515" t="s">
        <v>1424</v>
      </c>
      <c r="B515" t="s">
        <v>1425</v>
      </c>
      <c r="C515" s="1">
        <v>45728</v>
      </c>
      <c r="D515" s="3">
        <v>0.51605324074074077</v>
      </c>
      <c r="E515">
        <f t="shared" si="72"/>
        <v>12</v>
      </c>
      <c r="F515">
        <v>18</v>
      </c>
      <c r="G515" t="s">
        <v>60</v>
      </c>
      <c r="H515" t="s">
        <v>142</v>
      </c>
      <c r="I515" t="s">
        <v>110</v>
      </c>
      <c r="J515" t="s">
        <v>127</v>
      </c>
      <c r="K515" t="s">
        <v>168</v>
      </c>
      <c r="L515">
        <v>238.98</v>
      </c>
      <c r="M515" t="s">
        <v>33</v>
      </c>
      <c r="N515">
        <f t="shared" si="73"/>
        <v>0</v>
      </c>
      <c r="O515" t="s">
        <v>34</v>
      </c>
      <c r="P515" t="s">
        <v>1426</v>
      </c>
      <c r="Q515">
        <v>0</v>
      </c>
      <c r="R515">
        <v>91</v>
      </c>
      <c r="S515">
        <f t="shared" si="74"/>
        <v>0.89109857993746411</v>
      </c>
      <c r="T515">
        <f t="shared" si="75"/>
        <v>0</v>
      </c>
      <c r="U515">
        <f t="shared" si="76"/>
        <v>0</v>
      </c>
      <c r="V515">
        <f t="shared" si="77"/>
        <v>1</v>
      </c>
      <c r="W515">
        <f t="shared" si="78"/>
        <v>1</v>
      </c>
      <c r="X515">
        <f t="shared" si="79"/>
        <v>0</v>
      </c>
      <c r="Y515">
        <f t="shared" si="80"/>
        <v>0</v>
      </c>
    </row>
    <row r="516" spans="1:25" x14ac:dyDescent="0.3">
      <c r="A516" t="s">
        <v>6446</v>
      </c>
      <c r="B516" t="s">
        <v>6447</v>
      </c>
      <c r="C516" s="1">
        <v>45805</v>
      </c>
      <c r="D516" s="3">
        <v>0.11827546296296296</v>
      </c>
      <c r="E516">
        <f t="shared" si="72"/>
        <v>2</v>
      </c>
      <c r="F516">
        <v>22</v>
      </c>
      <c r="G516" t="s">
        <v>99</v>
      </c>
      <c r="H516" t="s">
        <v>167</v>
      </c>
      <c r="I516" t="s">
        <v>39</v>
      </c>
      <c r="J516" t="s">
        <v>49</v>
      </c>
      <c r="K516" t="s">
        <v>101</v>
      </c>
      <c r="L516">
        <v>238.98</v>
      </c>
      <c r="M516" t="s">
        <v>115</v>
      </c>
      <c r="N516">
        <f t="shared" si="73"/>
        <v>0</v>
      </c>
      <c r="O516" t="s">
        <v>24</v>
      </c>
      <c r="P516" t="s">
        <v>6448</v>
      </c>
      <c r="Q516">
        <v>0</v>
      </c>
      <c r="R516">
        <v>262</v>
      </c>
      <c r="S516">
        <f t="shared" si="74"/>
        <v>0.89109857993746411</v>
      </c>
      <c r="T516">
        <f t="shared" si="75"/>
        <v>0</v>
      </c>
      <c r="U516">
        <f t="shared" si="76"/>
        <v>1</v>
      </c>
      <c r="V516">
        <f t="shared" si="77"/>
        <v>1</v>
      </c>
      <c r="W516">
        <f t="shared" si="78"/>
        <v>3</v>
      </c>
      <c r="X516">
        <f t="shared" si="79"/>
        <v>0</v>
      </c>
      <c r="Y516">
        <f t="shared" si="80"/>
        <v>0</v>
      </c>
    </row>
    <row r="517" spans="1:25" x14ac:dyDescent="0.3">
      <c r="A517" t="s">
        <v>1754</v>
      </c>
      <c r="B517" t="s">
        <v>1755</v>
      </c>
      <c r="C517" s="1">
        <v>45857</v>
      </c>
      <c r="D517" s="3">
        <v>0.23550925925925925</v>
      </c>
      <c r="E517">
        <f t="shared" si="72"/>
        <v>5</v>
      </c>
      <c r="F517" s="4">
        <v>41</v>
      </c>
      <c r="G517" t="s">
        <v>18</v>
      </c>
      <c r="H517" t="s">
        <v>185</v>
      </c>
      <c r="I517" t="s">
        <v>39</v>
      </c>
      <c r="J517" t="s">
        <v>132</v>
      </c>
      <c r="K517" t="s">
        <v>101</v>
      </c>
      <c r="L517">
        <v>238.77</v>
      </c>
      <c r="M517" t="s">
        <v>115</v>
      </c>
      <c r="N517">
        <f t="shared" si="73"/>
        <v>0</v>
      </c>
      <c r="O517" t="s">
        <v>86</v>
      </c>
      <c r="P517" t="s">
        <v>1756</v>
      </c>
      <c r="Q517">
        <v>0</v>
      </c>
      <c r="R517">
        <v>66</v>
      </c>
      <c r="S517">
        <f t="shared" si="74"/>
        <v>0.88819128544748505</v>
      </c>
      <c r="T517">
        <f t="shared" si="75"/>
        <v>0</v>
      </c>
      <c r="U517">
        <f t="shared" si="76"/>
        <v>1</v>
      </c>
      <c r="V517">
        <f t="shared" si="77"/>
        <v>1</v>
      </c>
      <c r="W517">
        <f t="shared" si="78"/>
        <v>3</v>
      </c>
      <c r="X517">
        <f t="shared" si="79"/>
        <v>0</v>
      </c>
      <c r="Y517">
        <f t="shared" si="80"/>
        <v>0</v>
      </c>
    </row>
    <row r="518" spans="1:25" x14ac:dyDescent="0.3">
      <c r="A518" t="s">
        <v>4025</v>
      </c>
      <c r="B518" t="s">
        <v>4026</v>
      </c>
      <c r="C518" s="1">
        <v>45746</v>
      </c>
      <c r="D518" s="3">
        <v>0.97376157407407404</v>
      </c>
      <c r="E518">
        <f t="shared" si="72"/>
        <v>23</v>
      </c>
      <c r="F518">
        <v>53</v>
      </c>
      <c r="G518" t="s">
        <v>18</v>
      </c>
      <c r="H518" t="s">
        <v>312</v>
      </c>
      <c r="I518" t="s">
        <v>110</v>
      </c>
      <c r="J518" t="s">
        <v>56</v>
      </c>
      <c r="K518" t="s">
        <v>22</v>
      </c>
      <c r="L518">
        <v>238.62</v>
      </c>
      <c r="M518" t="s">
        <v>42</v>
      </c>
      <c r="N518">
        <f t="shared" si="73"/>
        <v>0</v>
      </c>
      <c r="O518" t="s">
        <v>86</v>
      </c>
      <c r="P518" t="s">
        <v>4027</v>
      </c>
      <c r="Q518">
        <v>0</v>
      </c>
      <c r="R518">
        <v>117</v>
      </c>
      <c r="S518">
        <f t="shared" si="74"/>
        <v>0.88611464652607108</v>
      </c>
      <c r="T518">
        <f t="shared" si="75"/>
        <v>0</v>
      </c>
      <c r="U518">
        <f t="shared" si="76"/>
        <v>0</v>
      </c>
      <c r="V518">
        <f t="shared" si="77"/>
        <v>1</v>
      </c>
      <c r="W518">
        <f t="shared" si="78"/>
        <v>1</v>
      </c>
      <c r="X518">
        <f t="shared" si="79"/>
        <v>0</v>
      </c>
      <c r="Y518">
        <f t="shared" si="80"/>
        <v>0</v>
      </c>
    </row>
    <row r="519" spans="1:25" x14ac:dyDescent="0.3">
      <c r="A519" t="s">
        <v>3929</v>
      </c>
      <c r="B519" t="s">
        <v>3930</v>
      </c>
      <c r="C519" s="1">
        <v>45877</v>
      </c>
      <c r="D519" s="3">
        <v>0.11646990740740741</v>
      </c>
      <c r="E519">
        <f t="shared" si="72"/>
        <v>2</v>
      </c>
      <c r="F519">
        <v>64</v>
      </c>
      <c r="G519" t="s">
        <v>28</v>
      </c>
      <c r="H519" t="s">
        <v>100</v>
      </c>
      <c r="I519" t="s">
        <v>48</v>
      </c>
      <c r="J519" t="s">
        <v>94</v>
      </c>
      <c r="K519" t="s">
        <v>50</v>
      </c>
      <c r="L519">
        <v>238.31</v>
      </c>
      <c r="M519" t="s">
        <v>33</v>
      </c>
      <c r="N519">
        <f t="shared" si="73"/>
        <v>0</v>
      </c>
      <c r="O519" t="s">
        <v>24</v>
      </c>
      <c r="P519" t="s">
        <v>3931</v>
      </c>
      <c r="Q519">
        <v>0</v>
      </c>
      <c r="R519">
        <v>251</v>
      </c>
      <c r="S519">
        <f t="shared" si="74"/>
        <v>0.88182292608848234</v>
      </c>
      <c r="T519">
        <f t="shared" si="75"/>
        <v>0</v>
      </c>
      <c r="U519">
        <f t="shared" si="76"/>
        <v>1</v>
      </c>
      <c r="V519">
        <f t="shared" si="77"/>
        <v>1</v>
      </c>
      <c r="W519">
        <f t="shared" si="78"/>
        <v>3</v>
      </c>
      <c r="X519">
        <f t="shared" si="79"/>
        <v>0</v>
      </c>
      <c r="Y519">
        <f t="shared" si="80"/>
        <v>0</v>
      </c>
    </row>
    <row r="520" spans="1:25" x14ac:dyDescent="0.3">
      <c r="A520" t="s">
        <v>1757</v>
      </c>
      <c r="B520" t="s">
        <v>1758</v>
      </c>
      <c r="C520" s="1">
        <v>45869</v>
      </c>
      <c r="D520" s="3">
        <v>0.2862615740740741</v>
      </c>
      <c r="E520">
        <f t="shared" si="72"/>
        <v>6</v>
      </c>
      <c r="F520">
        <v>56</v>
      </c>
      <c r="G520" t="s">
        <v>46</v>
      </c>
      <c r="H520" t="s">
        <v>167</v>
      </c>
      <c r="I520" t="s">
        <v>30</v>
      </c>
      <c r="J520" t="s">
        <v>31</v>
      </c>
      <c r="K520" t="s">
        <v>22</v>
      </c>
      <c r="L520">
        <v>238.24</v>
      </c>
      <c r="M520" t="s">
        <v>33</v>
      </c>
      <c r="N520">
        <f t="shared" si="73"/>
        <v>0</v>
      </c>
      <c r="O520" t="s">
        <v>51</v>
      </c>
      <c r="P520" t="s">
        <v>1759</v>
      </c>
      <c r="Q520">
        <v>0</v>
      </c>
      <c r="R520">
        <v>267</v>
      </c>
      <c r="S520">
        <f t="shared" si="74"/>
        <v>0.88085382792515599</v>
      </c>
      <c r="T520">
        <f t="shared" si="75"/>
        <v>0</v>
      </c>
      <c r="U520">
        <f t="shared" si="76"/>
        <v>0</v>
      </c>
      <c r="V520">
        <f t="shared" si="77"/>
        <v>1</v>
      </c>
      <c r="W520">
        <f t="shared" si="78"/>
        <v>1</v>
      </c>
      <c r="X520">
        <f t="shared" si="79"/>
        <v>0</v>
      </c>
      <c r="Y520">
        <f t="shared" si="80"/>
        <v>0</v>
      </c>
    </row>
    <row r="521" spans="1:25" x14ac:dyDescent="0.3">
      <c r="A521" t="s">
        <v>5117</v>
      </c>
      <c r="B521" t="s">
        <v>5118</v>
      </c>
      <c r="C521" s="1">
        <v>45813</v>
      </c>
      <c r="D521" s="3">
        <v>7.4988425925925931E-2</v>
      </c>
      <c r="E521">
        <f t="shared" si="72"/>
        <v>1</v>
      </c>
      <c r="F521">
        <v>33</v>
      </c>
      <c r="G521" t="s">
        <v>60</v>
      </c>
      <c r="H521" t="s">
        <v>84</v>
      </c>
      <c r="I521" t="s">
        <v>85</v>
      </c>
      <c r="J521" t="s">
        <v>40</v>
      </c>
      <c r="K521" t="s">
        <v>41</v>
      </c>
      <c r="L521">
        <v>238.23</v>
      </c>
      <c r="M521" t="s">
        <v>33</v>
      </c>
      <c r="N521">
        <f t="shared" si="73"/>
        <v>0</v>
      </c>
      <c r="O521" t="s">
        <v>24</v>
      </c>
      <c r="P521" t="s">
        <v>5119</v>
      </c>
      <c r="Q521">
        <v>0</v>
      </c>
      <c r="R521">
        <v>345</v>
      </c>
      <c r="S521">
        <f t="shared" si="74"/>
        <v>0.88071538533039484</v>
      </c>
      <c r="T521">
        <f t="shared" si="75"/>
        <v>0</v>
      </c>
      <c r="U521">
        <f t="shared" si="76"/>
        <v>1</v>
      </c>
      <c r="V521">
        <f t="shared" si="77"/>
        <v>0</v>
      </c>
      <c r="W521">
        <f t="shared" si="78"/>
        <v>2</v>
      </c>
      <c r="X521">
        <f t="shared" si="79"/>
        <v>0</v>
      </c>
      <c r="Y521">
        <f t="shared" si="80"/>
        <v>0</v>
      </c>
    </row>
    <row r="522" spans="1:25" x14ac:dyDescent="0.3">
      <c r="A522" t="s">
        <v>1031</v>
      </c>
      <c r="B522" t="s">
        <v>1032</v>
      </c>
      <c r="C522" s="1">
        <v>45782</v>
      </c>
      <c r="D522" s="3">
        <v>0.39200231481481479</v>
      </c>
      <c r="E522">
        <f t="shared" si="72"/>
        <v>9</v>
      </c>
      <c r="F522">
        <v>50</v>
      </c>
      <c r="G522" t="s">
        <v>46</v>
      </c>
      <c r="H522" t="s">
        <v>312</v>
      </c>
      <c r="I522" t="s">
        <v>48</v>
      </c>
      <c r="J522" t="s">
        <v>21</v>
      </c>
      <c r="K522" t="s">
        <v>50</v>
      </c>
      <c r="L522">
        <v>238.12</v>
      </c>
      <c r="M522" t="s">
        <v>115</v>
      </c>
      <c r="N522">
        <f t="shared" si="73"/>
        <v>0</v>
      </c>
      <c r="O522" t="s">
        <v>51</v>
      </c>
      <c r="P522" t="s">
        <v>1033</v>
      </c>
      <c r="Q522">
        <v>0</v>
      </c>
      <c r="R522">
        <v>425</v>
      </c>
      <c r="S522">
        <f t="shared" si="74"/>
        <v>0.87919251678802479</v>
      </c>
      <c r="T522">
        <f t="shared" si="75"/>
        <v>0</v>
      </c>
      <c r="U522">
        <f t="shared" si="76"/>
        <v>0</v>
      </c>
      <c r="V522">
        <f t="shared" si="77"/>
        <v>0</v>
      </c>
      <c r="W522">
        <f t="shared" si="78"/>
        <v>0</v>
      </c>
      <c r="X522">
        <f t="shared" si="79"/>
        <v>0</v>
      </c>
      <c r="Y522">
        <f t="shared" si="80"/>
        <v>0</v>
      </c>
    </row>
    <row r="523" spans="1:25" x14ac:dyDescent="0.3">
      <c r="A523" t="s">
        <v>2858</v>
      </c>
      <c r="B523" t="s">
        <v>2859</v>
      </c>
      <c r="C523" s="1">
        <v>45863</v>
      </c>
      <c r="D523" s="3">
        <v>0.49752314814814813</v>
      </c>
      <c r="E523">
        <f t="shared" si="72"/>
        <v>11</v>
      </c>
      <c r="F523">
        <v>61</v>
      </c>
      <c r="G523" t="s">
        <v>60</v>
      </c>
      <c r="H523" t="s">
        <v>175</v>
      </c>
      <c r="I523" t="s">
        <v>66</v>
      </c>
      <c r="J523" t="s">
        <v>94</v>
      </c>
      <c r="K523" t="s">
        <v>50</v>
      </c>
      <c r="L523">
        <v>238.12</v>
      </c>
      <c r="M523" t="s">
        <v>33</v>
      </c>
      <c r="N523">
        <f t="shared" si="73"/>
        <v>0</v>
      </c>
      <c r="O523" t="s">
        <v>24</v>
      </c>
      <c r="P523" t="s">
        <v>2860</v>
      </c>
      <c r="Q523">
        <v>0</v>
      </c>
      <c r="R523">
        <v>306</v>
      </c>
      <c r="S523">
        <f t="shared" si="74"/>
        <v>0.87919251678802479</v>
      </c>
      <c r="T523">
        <f t="shared" si="75"/>
        <v>0</v>
      </c>
      <c r="U523">
        <f t="shared" si="76"/>
        <v>0</v>
      </c>
      <c r="V523">
        <f t="shared" si="77"/>
        <v>0</v>
      </c>
      <c r="W523">
        <f t="shared" si="78"/>
        <v>0</v>
      </c>
      <c r="X523">
        <f t="shared" si="79"/>
        <v>0</v>
      </c>
      <c r="Y523">
        <f t="shared" si="80"/>
        <v>0</v>
      </c>
    </row>
    <row r="524" spans="1:25" x14ac:dyDescent="0.3">
      <c r="A524" t="s">
        <v>4880</v>
      </c>
      <c r="B524" t="s">
        <v>4881</v>
      </c>
      <c r="C524" s="1">
        <v>45870</v>
      </c>
      <c r="D524" s="3">
        <v>6.0879629629629626E-3</v>
      </c>
      <c r="E524">
        <f t="shared" si="72"/>
        <v>0</v>
      </c>
      <c r="F524" s="4">
        <v>41</v>
      </c>
      <c r="G524" t="s">
        <v>18</v>
      </c>
      <c r="H524" t="s">
        <v>29</v>
      </c>
      <c r="I524" t="s">
        <v>85</v>
      </c>
      <c r="J524" t="s">
        <v>31</v>
      </c>
      <c r="K524" t="s">
        <v>50</v>
      </c>
      <c r="L524">
        <v>238.11</v>
      </c>
      <c r="M524" t="s">
        <v>115</v>
      </c>
      <c r="N524">
        <f t="shared" si="73"/>
        <v>0</v>
      </c>
      <c r="O524" t="s">
        <v>34</v>
      </c>
      <c r="P524" t="s">
        <v>4882</v>
      </c>
      <c r="Q524">
        <v>0</v>
      </c>
      <c r="R524">
        <v>141</v>
      </c>
      <c r="S524">
        <f t="shared" si="74"/>
        <v>0.87905407419326409</v>
      </c>
      <c r="T524">
        <f t="shared" si="75"/>
        <v>0</v>
      </c>
      <c r="U524">
        <f t="shared" si="76"/>
        <v>1</v>
      </c>
      <c r="V524">
        <f t="shared" si="77"/>
        <v>1</v>
      </c>
      <c r="W524">
        <f t="shared" si="78"/>
        <v>3</v>
      </c>
      <c r="X524">
        <f t="shared" si="79"/>
        <v>0</v>
      </c>
      <c r="Y524">
        <f t="shared" si="80"/>
        <v>0</v>
      </c>
    </row>
    <row r="525" spans="1:25" x14ac:dyDescent="0.3">
      <c r="A525" t="s">
        <v>995</v>
      </c>
      <c r="B525" t="s">
        <v>996</v>
      </c>
      <c r="C525" s="1">
        <v>45880</v>
      </c>
      <c r="D525" s="3">
        <v>7.9907407407407413E-2</v>
      </c>
      <c r="E525">
        <f t="shared" si="72"/>
        <v>1</v>
      </c>
      <c r="F525">
        <v>53</v>
      </c>
      <c r="G525" t="s">
        <v>99</v>
      </c>
      <c r="H525" t="s">
        <v>84</v>
      </c>
      <c r="I525" t="s">
        <v>30</v>
      </c>
      <c r="J525" t="s">
        <v>76</v>
      </c>
      <c r="K525" t="s">
        <v>120</v>
      </c>
      <c r="L525">
        <v>238.03</v>
      </c>
      <c r="M525" t="s">
        <v>42</v>
      </c>
      <c r="N525">
        <f t="shared" si="73"/>
        <v>0</v>
      </c>
      <c r="O525" t="s">
        <v>51</v>
      </c>
      <c r="P525" t="s">
        <v>997</v>
      </c>
      <c r="Q525">
        <v>0</v>
      </c>
      <c r="R525">
        <v>210</v>
      </c>
      <c r="S525">
        <f t="shared" si="74"/>
        <v>0.87794653343517648</v>
      </c>
      <c r="T525">
        <f t="shared" si="75"/>
        <v>0</v>
      </c>
      <c r="U525">
        <f t="shared" si="76"/>
        <v>1</v>
      </c>
      <c r="V525">
        <f t="shared" si="77"/>
        <v>1</v>
      </c>
      <c r="W525">
        <f t="shared" si="78"/>
        <v>3</v>
      </c>
      <c r="X525">
        <f t="shared" si="79"/>
        <v>0</v>
      </c>
      <c r="Y525">
        <f t="shared" si="80"/>
        <v>0</v>
      </c>
    </row>
    <row r="526" spans="1:25" x14ac:dyDescent="0.3">
      <c r="A526" t="s">
        <v>4598</v>
      </c>
      <c r="B526" t="s">
        <v>4599</v>
      </c>
      <c r="C526" s="1">
        <v>45777</v>
      </c>
      <c r="D526" s="3">
        <v>0.65920138888888891</v>
      </c>
      <c r="E526">
        <f t="shared" si="72"/>
        <v>15</v>
      </c>
      <c r="F526">
        <v>35</v>
      </c>
      <c r="G526" t="s">
        <v>28</v>
      </c>
      <c r="H526" t="s">
        <v>312</v>
      </c>
      <c r="I526" t="s">
        <v>30</v>
      </c>
      <c r="J526" t="s">
        <v>76</v>
      </c>
      <c r="K526" t="s">
        <v>101</v>
      </c>
      <c r="L526">
        <v>237.84</v>
      </c>
      <c r="M526" t="s">
        <v>115</v>
      </c>
      <c r="N526">
        <f t="shared" si="73"/>
        <v>0</v>
      </c>
      <c r="O526" t="s">
        <v>34</v>
      </c>
      <c r="P526" t="s">
        <v>4600</v>
      </c>
      <c r="Q526">
        <v>0</v>
      </c>
      <c r="R526">
        <v>153</v>
      </c>
      <c r="S526">
        <f t="shared" si="74"/>
        <v>0.87531612413471893</v>
      </c>
      <c r="T526">
        <f t="shared" si="75"/>
        <v>0</v>
      </c>
      <c r="U526">
        <f t="shared" si="76"/>
        <v>0</v>
      </c>
      <c r="V526">
        <f t="shared" si="77"/>
        <v>1</v>
      </c>
      <c r="W526">
        <f t="shared" si="78"/>
        <v>1</v>
      </c>
      <c r="X526">
        <f t="shared" si="79"/>
        <v>0</v>
      </c>
      <c r="Y526">
        <f t="shared" si="80"/>
        <v>0</v>
      </c>
    </row>
    <row r="527" spans="1:25" x14ac:dyDescent="0.3">
      <c r="A527" t="s">
        <v>902</v>
      </c>
      <c r="B527" t="s">
        <v>903</v>
      </c>
      <c r="C527" s="1">
        <v>45737</v>
      </c>
      <c r="D527" s="3">
        <v>0.31542824074074072</v>
      </c>
      <c r="E527">
        <f t="shared" si="72"/>
        <v>7</v>
      </c>
      <c r="F527">
        <v>49</v>
      </c>
      <c r="G527" t="s">
        <v>46</v>
      </c>
      <c r="H527" t="s">
        <v>61</v>
      </c>
      <c r="I527" t="s">
        <v>71</v>
      </c>
      <c r="J527" t="s">
        <v>56</v>
      </c>
      <c r="K527" t="s">
        <v>101</v>
      </c>
      <c r="L527">
        <v>237.44</v>
      </c>
      <c r="M527" t="s">
        <v>23</v>
      </c>
      <c r="N527">
        <f t="shared" si="73"/>
        <v>0</v>
      </c>
      <c r="O527" t="s">
        <v>34</v>
      </c>
      <c r="P527" t="s">
        <v>904</v>
      </c>
      <c r="Q527">
        <v>0</v>
      </c>
      <c r="R527">
        <v>401</v>
      </c>
      <c r="S527">
        <f t="shared" si="74"/>
        <v>0.86977842034428188</v>
      </c>
      <c r="T527">
        <f t="shared" si="75"/>
        <v>0</v>
      </c>
      <c r="U527">
        <f t="shared" si="76"/>
        <v>0</v>
      </c>
      <c r="V527">
        <f t="shared" si="77"/>
        <v>0</v>
      </c>
      <c r="W527">
        <f t="shared" si="78"/>
        <v>0</v>
      </c>
      <c r="X527">
        <f t="shared" si="79"/>
        <v>0</v>
      </c>
      <c r="Y527">
        <f t="shared" si="80"/>
        <v>0</v>
      </c>
    </row>
    <row r="528" spans="1:25" x14ac:dyDescent="0.3">
      <c r="A528" t="s">
        <v>1919</v>
      </c>
      <c r="B528" t="s">
        <v>1920</v>
      </c>
      <c r="C528" s="1">
        <v>45765</v>
      </c>
      <c r="D528" s="3">
        <v>0.92256944444444444</v>
      </c>
      <c r="E528">
        <f t="shared" si="72"/>
        <v>22</v>
      </c>
      <c r="F528" s="4">
        <v>41</v>
      </c>
      <c r="G528" t="s">
        <v>46</v>
      </c>
      <c r="H528" t="s">
        <v>29</v>
      </c>
      <c r="I528" t="s">
        <v>119</v>
      </c>
      <c r="J528" t="s">
        <v>72</v>
      </c>
      <c r="K528" t="s">
        <v>62</v>
      </c>
      <c r="L528">
        <v>237.36</v>
      </c>
      <c r="M528" t="s">
        <v>42</v>
      </c>
      <c r="N528">
        <f t="shared" si="73"/>
        <v>0</v>
      </c>
      <c r="O528" t="s">
        <v>24</v>
      </c>
      <c r="P528" t="s">
        <v>1921</v>
      </c>
      <c r="Q528">
        <v>0</v>
      </c>
      <c r="R528">
        <v>290</v>
      </c>
      <c r="S528">
        <f t="shared" si="74"/>
        <v>0.86867087958619471</v>
      </c>
      <c r="T528">
        <f t="shared" si="75"/>
        <v>0</v>
      </c>
      <c r="U528">
        <f t="shared" si="76"/>
        <v>0</v>
      </c>
      <c r="V528">
        <f t="shared" si="77"/>
        <v>0</v>
      </c>
      <c r="W528">
        <f t="shared" si="78"/>
        <v>0</v>
      </c>
      <c r="X528">
        <f t="shared" si="79"/>
        <v>0</v>
      </c>
      <c r="Y528">
        <f t="shared" si="80"/>
        <v>0</v>
      </c>
    </row>
    <row r="529" spans="1:25" x14ac:dyDescent="0.3">
      <c r="A529" t="s">
        <v>3815</v>
      </c>
      <c r="B529" s="2" t="s">
        <v>3816</v>
      </c>
      <c r="C529" s="1">
        <v>45819</v>
      </c>
      <c r="D529" s="3">
        <v>0.61526620370370366</v>
      </c>
      <c r="E529">
        <f t="shared" si="72"/>
        <v>14</v>
      </c>
      <c r="F529">
        <v>62</v>
      </c>
      <c r="G529" t="s">
        <v>6479</v>
      </c>
      <c r="H529" t="s">
        <v>90</v>
      </c>
      <c r="I529" t="s">
        <v>119</v>
      </c>
      <c r="J529" t="s">
        <v>94</v>
      </c>
      <c r="K529" t="s">
        <v>50</v>
      </c>
      <c r="L529">
        <v>237.15</v>
      </c>
      <c r="M529" t="s">
        <v>42</v>
      </c>
      <c r="N529">
        <f t="shared" si="73"/>
        <v>0</v>
      </c>
      <c r="O529" t="s">
        <v>51</v>
      </c>
      <c r="P529" t="s">
        <v>3817</v>
      </c>
      <c r="Q529">
        <v>0</v>
      </c>
      <c r="R529">
        <v>254</v>
      </c>
      <c r="S529">
        <f t="shared" si="74"/>
        <v>0.8657635850962152</v>
      </c>
      <c r="T529">
        <f t="shared" si="75"/>
        <v>0</v>
      </c>
      <c r="U529">
        <f t="shared" si="76"/>
        <v>0</v>
      </c>
      <c r="V529">
        <f t="shared" si="77"/>
        <v>1</v>
      </c>
      <c r="W529">
        <f t="shared" si="78"/>
        <v>1</v>
      </c>
      <c r="X529">
        <f t="shared" si="79"/>
        <v>0</v>
      </c>
      <c r="Y529">
        <f t="shared" si="80"/>
        <v>0</v>
      </c>
    </row>
    <row r="530" spans="1:25" x14ac:dyDescent="0.3">
      <c r="A530" t="s">
        <v>791</v>
      </c>
      <c r="B530" t="s">
        <v>792</v>
      </c>
      <c r="C530" s="1">
        <v>45833</v>
      </c>
      <c r="D530" s="3">
        <v>0.68505787037037036</v>
      </c>
      <c r="E530">
        <f t="shared" si="72"/>
        <v>16</v>
      </c>
      <c r="F530">
        <v>33</v>
      </c>
      <c r="G530" t="s">
        <v>18</v>
      </c>
      <c r="H530" t="s">
        <v>312</v>
      </c>
      <c r="I530" t="s">
        <v>119</v>
      </c>
      <c r="J530" t="s">
        <v>94</v>
      </c>
      <c r="K530" t="s">
        <v>41</v>
      </c>
      <c r="L530">
        <v>237.14</v>
      </c>
      <c r="M530" t="s">
        <v>42</v>
      </c>
      <c r="N530">
        <f t="shared" si="73"/>
        <v>0</v>
      </c>
      <c r="O530" t="s">
        <v>24</v>
      </c>
      <c r="P530" t="s">
        <v>793</v>
      </c>
      <c r="Q530">
        <v>0</v>
      </c>
      <c r="R530">
        <v>108</v>
      </c>
      <c r="S530">
        <f t="shared" si="74"/>
        <v>0.86562514250145395</v>
      </c>
      <c r="T530">
        <f t="shared" si="75"/>
        <v>0</v>
      </c>
      <c r="U530">
        <f t="shared" si="76"/>
        <v>0</v>
      </c>
      <c r="V530">
        <f t="shared" si="77"/>
        <v>1</v>
      </c>
      <c r="W530">
        <f t="shared" si="78"/>
        <v>1</v>
      </c>
      <c r="X530">
        <f t="shared" si="79"/>
        <v>0</v>
      </c>
      <c r="Y530">
        <f t="shared" si="80"/>
        <v>0</v>
      </c>
    </row>
    <row r="531" spans="1:25" x14ac:dyDescent="0.3">
      <c r="A531" t="s">
        <v>3782</v>
      </c>
      <c r="B531" t="s">
        <v>3783</v>
      </c>
      <c r="C531" s="1">
        <v>45799</v>
      </c>
      <c r="D531" s="3">
        <v>0.84986111111111107</v>
      </c>
      <c r="E531">
        <f t="shared" si="72"/>
        <v>20</v>
      </c>
      <c r="F531">
        <v>57</v>
      </c>
      <c r="G531" t="s">
        <v>46</v>
      </c>
      <c r="H531" t="s">
        <v>142</v>
      </c>
      <c r="I531" t="s">
        <v>85</v>
      </c>
      <c r="J531" t="s">
        <v>72</v>
      </c>
      <c r="K531" t="s">
        <v>168</v>
      </c>
      <c r="L531">
        <v>237.04</v>
      </c>
      <c r="M531" t="s">
        <v>42</v>
      </c>
      <c r="N531">
        <f t="shared" si="73"/>
        <v>0</v>
      </c>
      <c r="O531" t="s">
        <v>34</v>
      </c>
      <c r="P531" t="s">
        <v>3784</v>
      </c>
      <c r="Q531">
        <v>0</v>
      </c>
      <c r="R531">
        <v>482</v>
      </c>
      <c r="S531">
        <f t="shared" si="74"/>
        <v>0.86424071655384482</v>
      </c>
      <c r="T531">
        <f t="shared" si="75"/>
        <v>0</v>
      </c>
      <c r="U531">
        <f t="shared" si="76"/>
        <v>0</v>
      </c>
      <c r="V531">
        <f t="shared" si="77"/>
        <v>0</v>
      </c>
      <c r="W531">
        <f t="shared" si="78"/>
        <v>0</v>
      </c>
      <c r="X531">
        <f t="shared" si="79"/>
        <v>0</v>
      </c>
      <c r="Y531">
        <f t="shared" si="80"/>
        <v>0</v>
      </c>
    </row>
    <row r="532" spans="1:25" x14ac:dyDescent="0.3">
      <c r="A532" t="s">
        <v>5909</v>
      </c>
      <c r="B532" t="s">
        <v>5910</v>
      </c>
      <c r="C532" s="1">
        <v>45715</v>
      </c>
      <c r="D532" s="3">
        <v>0.98063657407407412</v>
      </c>
      <c r="E532">
        <f t="shared" si="72"/>
        <v>23</v>
      </c>
      <c r="F532">
        <v>31</v>
      </c>
      <c r="G532" t="s">
        <v>28</v>
      </c>
      <c r="H532" t="s">
        <v>38</v>
      </c>
      <c r="I532" t="s">
        <v>110</v>
      </c>
      <c r="J532" t="s">
        <v>132</v>
      </c>
      <c r="K532" t="s">
        <v>95</v>
      </c>
      <c r="L532">
        <v>237.01</v>
      </c>
      <c r="M532" t="s">
        <v>115</v>
      </c>
      <c r="N532">
        <f t="shared" si="73"/>
        <v>0</v>
      </c>
      <c r="O532" t="s">
        <v>34</v>
      </c>
      <c r="P532" t="s">
        <v>5911</v>
      </c>
      <c r="Q532">
        <v>0</v>
      </c>
      <c r="R532">
        <v>459</v>
      </c>
      <c r="S532">
        <f t="shared" si="74"/>
        <v>0.86382538876956205</v>
      </c>
      <c r="T532">
        <f t="shared" si="75"/>
        <v>0</v>
      </c>
      <c r="U532">
        <f t="shared" si="76"/>
        <v>0</v>
      </c>
      <c r="V532">
        <f t="shared" si="77"/>
        <v>0</v>
      </c>
      <c r="W532">
        <f t="shared" si="78"/>
        <v>0</v>
      </c>
      <c r="X532">
        <f t="shared" si="79"/>
        <v>0</v>
      </c>
      <c r="Y532">
        <f t="shared" si="80"/>
        <v>0</v>
      </c>
    </row>
    <row r="533" spans="1:25" x14ac:dyDescent="0.3">
      <c r="A533" t="s">
        <v>206</v>
      </c>
      <c r="B533" t="s">
        <v>207</v>
      </c>
      <c r="C533" s="1">
        <v>45726</v>
      </c>
      <c r="D533" s="3">
        <v>7.8553240740740743E-2</v>
      </c>
      <c r="E533">
        <f t="shared" si="72"/>
        <v>1</v>
      </c>
      <c r="F533">
        <v>21</v>
      </c>
      <c r="G533" t="s">
        <v>18</v>
      </c>
      <c r="H533" t="s">
        <v>167</v>
      </c>
      <c r="I533" t="s">
        <v>48</v>
      </c>
      <c r="J533" t="s">
        <v>72</v>
      </c>
      <c r="K533" t="s">
        <v>22</v>
      </c>
      <c r="L533">
        <v>236.94</v>
      </c>
      <c r="M533" t="s">
        <v>33</v>
      </c>
      <c r="N533">
        <f t="shared" si="73"/>
        <v>0</v>
      </c>
      <c r="O533" t="s">
        <v>34</v>
      </c>
      <c r="P533" t="s">
        <v>208</v>
      </c>
      <c r="Q533">
        <v>0</v>
      </c>
      <c r="R533">
        <v>207</v>
      </c>
      <c r="S533">
        <f t="shared" si="74"/>
        <v>0.8628562906062357</v>
      </c>
      <c r="T533">
        <f t="shared" si="75"/>
        <v>0</v>
      </c>
      <c r="U533">
        <f t="shared" si="76"/>
        <v>1</v>
      </c>
      <c r="V533">
        <f t="shared" si="77"/>
        <v>1</v>
      </c>
      <c r="W533">
        <f t="shared" si="78"/>
        <v>3</v>
      </c>
      <c r="X533">
        <f t="shared" si="79"/>
        <v>0</v>
      </c>
      <c r="Y533">
        <f t="shared" si="80"/>
        <v>0</v>
      </c>
    </row>
    <row r="534" spans="1:25" x14ac:dyDescent="0.3">
      <c r="A534" t="s">
        <v>256</v>
      </c>
      <c r="B534" t="s">
        <v>257</v>
      </c>
      <c r="C534" s="1">
        <v>45849</v>
      </c>
      <c r="D534" s="3">
        <v>0.86777777777777776</v>
      </c>
      <c r="E534">
        <f t="shared" si="72"/>
        <v>20</v>
      </c>
      <c r="F534">
        <v>53</v>
      </c>
      <c r="G534" t="s">
        <v>60</v>
      </c>
      <c r="H534" t="s">
        <v>100</v>
      </c>
      <c r="I534" t="s">
        <v>85</v>
      </c>
      <c r="J534" t="s">
        <v>49</v>
      </c>
      <c r="K534" t="s">
        <v>114</v>
      </c>
      <c r="L534">
        <v>236.79</v>
      </c>
      <c r="M534" t="s">
        <v>42</v>
      </c>
      <c r="N534">
        <f t="shared" si="73"/>
        <v>0</v>
      </c>
      <c r="O534" t="s">
        <v>24</v>
      </c>
      <c r="P534" t="s">
        <v>258</v>
      </c>
      <c r="Q534">
        <v>0</v>
      </c>
      <c r="R534">
        <v>157</v>
      </c>
      <c r="S534">
        <f t="shared" si="74"/>
        <v>0.86077965168482173</v>
      </c>
      <c r="T534">
        <f t="shared" si="75"/>
        <v>0</v>
      </c>
      <c r="U534">
        <f t="shared" si="76"/>
        <v>0</v>
      </c>
      <c r="V534">
        <f t="shared" si="77"/>
        <v>1</v>
      </c>
      <c r="W534">
        <f t="shared" si="78"/>
        <v>1</v>
      </c>
      <c r="X534">
        <f t="shared" si="79"/>
        <v>0</v>
      </c>
      <c r="Y534">
        <f t="shared" si="80"/>
        <v>0</v>
      </c>
    </row>
    <row r="535" spans="1:25" x14ac:dyDescent="0.3">
      <c r="A535" t="s">
        <v>5036</v>
      </c>
      <c r="B535" t="s">
        <v>5037</v>
      </c>
      <c r="C535" s="1">
        <v>45803</v>
      </c>
      <c r="D535" s="3">
        <v>0.6107407407407407</v>
      </c>
      <c r="E535">
        <f t="shared" si="72"/>
        <v>14</v>
      </c>
      <c r="F535">
        <v>22</v>
      </c>
      <c r="G535" t="s">
        <v>18</v>
      </c>
      <c r="H535" t="s">
        <v>232</v>
      </c>
      <c r="I535" t="s">
        <v>30</v>
      </c>
      <c r="J535" t="s">
        <v>40</v>
      </c>
      <c r="K535" t="s">
        <v>41</v>
      </c>
      <c r="L535">
        <v>236.36</v>
      </c>
      <c r="M535" t="s">
        <v>33</v>
      </c>
      <c r="N535">
        <f t="shared" si="73"/>
        <v>0</v>
      </c>
      <c r="O535" t="s">
        <v>51</v>
      </c>
      <c r="P535" t="s">
        <v>5038</v>
      </c>
      <c r="Q535">
        <v>0</v>
      </c>
      <c r="R535">
        <v>127</v>
      </c>
      <c r="S535">
        <f t="shared" si="74"/>
        <v>0.85482662011010224</v>
      </c>
      <c r="T535">
        <f t="shared" si="75"/>
        <v>0</v>
      </c>
      <c r="U535">
        <f t="shared" si="76"/>
        <v>0</v>
      </c>
      <c r="V535">
        <f t="shared" si="77"/>
        <v>1</v>
      </c>
      <c r="W535">
        <f t="shared" si="78"/>
        <v>1</v>
      </c>
      <c r="X535">
        <f t="shared" si="79"/>
        <v>0</v>
      </c>
      <c r="Y535">
        <f t="shared" si="80"/>
        <v>0</v>
      </c>
    </row>
    <row r="536" spans="1:25" x14ac:dyDescent="0.3">
      <c r="A536" t="s">
        <v>860</v>
      </c>
      <c r="B536" t="s">
        <v>861</v>
      </c>
      <c r="C536" s="1">
        <v>45715</v>
      </c>
      <c r="D536" s="3">
        <v>0.98225694444444445</v>
      </c>
      <c r="E536">
        <f t="shared" si="72"/>
        <v>23</v>
      </c>
      <c r="F536">
        <v>48</v>
      </c>
      <c r="G536" t="s">
        <v>46</v>
      </c>
      <c r="H536" t="s">
        <v>185</v>
      </c>
      <c r="I536" t="s">
        <v>48</v>
      </c>
      <c r="J536" t="s">
        <v>132</v>
      </c>
      <c r="K536" t="s">
        <v>62</v>
      </c>
      <c r="L536">
        <v>236.14</v>
      </c>
      <c r="M536" t="s">
        <v>42</v>
      </c>
      <c r="N536">
        <f t="shared" si="73"/>
        <v>0</v>
      </c>
      <c r="O536" t="s">
        <v>86</v>
      </c>
      <c r="P536" t="s">
        <v>862</v>
      </c>
      <c r="Q536">
        <v>0</v>
      </c>
      <c r="R536">
        <v>459</v>
      </c>
      <c r="S536">
        <f t="shared" si="74"/>
        <v>0.85178088302536148</v>
      </c>
      <c r="T536">
        <f t="shared" si="75"/>
        <v>0</v>
      </c>
      <c r="U536">
        <f t="shared" si="76"/>
        <v>0</v>
      </c>
      <c r="V536">
        <f t="shared" si="77"/>
        <v>0</v>
      </c>
      <c r="W536">
        <f t="shared" si="78"/>
        <v>0</v>
      </c>
      <c r="X536">
        <f t="shared" si="79"/>
        <v>0</v>
      </c>
      <c r="Y536">
        <f t="shared" si="80"/>
        <v>0</v>
      </c>
    </row>
    <row r="537" spans="1:25" x14ac:dyDescent="0.3">
      <c r="A537" t="s">
        <v>2336</v>
      </c>
      <c r="B537" t="s">
        <v>2337</v>
      </c>
      <c r="C537" s="1">
        <v>45857</v>
      </c>
      <c r="D537" s="3">
        <v>0.52225694444444448</v>
      </c>
      <c r="E537">
        <f t="shared" si="72"/>
        <v>12</v>
      </c>
      <c r="F537">
        <v>52</v>
      </c>
      <c r="G537" t="s">
        <v>46</v>
      </c>
      <c r="H537" t="s">
        <v>61</v>
      </c>
      <c r="I537" t="s">
        <v>105</v>
      </c>
      <c r="J537" t="s">
        <v>127</v>
      </c>
      <c r="K537" t="s">
        <v>50</v>
      </c>
      <c r="L537">
        <v>236.1</v>
      </c>
      <c r="M537" t="s">
        <v>115</v>
      </c>
      <c r="N537">
        <f t="shared" si="73"/>
        <v>0</v>
      </c>
      <c r="O537" t="s">
        <v>24</v>
      </c>
      <c r="P537" t="s">
        <v>2338</v>
      </c>
      <c r="Q537">
        <v>0</v>
      </c>
      <c r="R537">
        <v>179</v>
      </c>
      <c r="S537">
        <f t="shared" si="74"/>
        <v>0.8512271126463179</v>
      </c>
      <c r="T537">
        <f t="shared" si="75"/>
        <v>0</v>
      </c>
      <c r="U537">
        <f t="shared" si="76"/>
        <v>0</v>
      </c>
      <c r="V537">
        <f t="shared" si="77"/>
        <v>1</v>
      </c>
      <c r="W537">
        <f t="shared" si="78"/>
        <v>1</v>
      </c>
      <c r="X537">
        <f t="shared" si="79"/>
        <v>0</v>
      </c>
      <c r="Y537">
        <f t="shared" si="80"/>
        <v>0</v>
      </c>
    </row>
    <row r="538" spans="1:25" x14ac:dyDescent="0.3">
      <c r="A538" t="s">
        <v>1388</v>
      </c>
      <c r="B538" t="s">
        <v>1389</v>
      </c>
      <c r="C538" s="1">
        <v>45739</v>
      </c>
      <c r="D538" s="3">
        <v>0.45392361111111112</v>
      </c>
      <c r="E538">
        <f t="shared" si="72"/>
        <v>10</v>
      </c>
      <c r="F538">
        <v>59</v>
      </c>
      <c r="G538" t="s">
        <v>46</v>
      </c>
      <c r="H538" t="s">
        <v>100</v>
      </c>
      <c r="I538" t="s">
        <v>20</v>
      </c>
      <c r="J538" t="s">
        <v>40</v>
      </c>
      <c r="K538" t="s">
        <v>50</v>
      </c>
      <c r="L538">
        <v>236.08</v>
      </c>
      <c r="M538" t="s">
        <v>6479</v>
      </c>
      <c r="N538">
        <f t="shared" si="73"/>
        <v>1</v>
      </c>
      <c r="O538" t="s">
        <v>51</v>
      </c>
      <c r="P538" t="s">
        <v>1390</v>
      </c>
      <c r="Q538">
        <v>0</v>
      </c>
      <c r="R538">
        <v>481</v>
      </c>
      <c r="S538">
        <f t="shared" si="74"/>
        <v>0.85095022745679638</v>
      </c>
      <c r="T538">
        <f t="shared" si="75"/>
        <v>0</v>
      </c>
      <c r="U538">
        <f t="shared" si="76"/>
        <v>0</v>
      </c>
      <c r="V538">
        <f t="shared" si="77"/>
        <v>0</v>
      </c>
      <c r="W538">
        <f t="shared" si="78"/>
        <v>2</v>
      </c>
      <c r="X538">
        <f t="shared" si="79"/>
        <v>0</v>
      </c>
      <c r="Y538">
        <f t="shared" si="80"/>
        <v>1</v>
      </c>
    </row>
    <row r="539" spans="1:25" x14ac:dyDescent="0.3">
      <c r="A539" t="s">
        <v>1652</v>
      </c>
      <c r="B539" t="s">
        <v>1653</v>
      </c>
      <c r="C539" s="1">
        <v>45872</v>
      </c>
      <c r="D539" s="3">
        <v>0.73956018518518518</v>
      </c>
      <c r="E539">
        <f t="shared" si="72"/>
        <v>17</v>
      </c>
      <c r="F539">
        <v>46</v>
      </c>
      <c r="G539" t="s">
        <v>28</v>
      </c>
      <c r="H539" t="s">
        <v>239</v>
      </c>
      <c r="I539" t="s">
        <v>110</v>
      </c>
      <c r="J539" t="s">
        <v>31</v>
      </c>
      <c r="K539" t="s">
        <v>114</v>
      </c>
      <c r="L539">
        <v>236.04</v>
      </c>
      <c r="M539" t="s">
        <v>33</v>
      </c>
      <c r="N539">
        <f t="shared" si="73"/>
        <v>0</v>
      </c>
      <c r="O539" t="s">
        <v>34</v>
      </c>
      <c r="P539" t="s">
        <v>1654</v>
      </c>
      <c r="Q539">
        <v>0</v>
      </c>
      <c r="R539">
        <v>151</v>
      </c>
      <c r="S539">
        <f t="shared" si="74"/>
        <v>0.85039645707775235</v>
      </c>
      <c r="T539">
        <f t="shared" si="75"/>
        <v>0</v>
      </c>
      <c r="U539">
        <f t="shared" si="76"/>
        <v>0</v>
      </c>
      <c r="V539">
        <f t="shared" si="77"/>
        <v>1</v>
      </c>
      <c r="W539">
        <f t="shared" si="78"/>
        <v>1</v>
      </c>
      <c r="X539">
        <f t="shared" si="79"/>
        <v>0</v>
      </c>
      <c r="Y539">
        <f t="shared" si="80"/>
        <v>0</v>
      </c>
    </row>
    <row r="540" spans="1:25" x14ac:dyDescent="0.3">
      <c r="A540" t="s">
        <v>3383</v>
      </c>
      <c r="B540" t="s">
        <v>3384</v>
      </c>
      <c r="C540" s="1">
        <v>45843</v>
      </c>
      <c r="D540" s="3">
        <v>0.96326388888888892</v>
      </c>
      <c r="E540">
        <f t="shared" si="72"/>
        <v>23</v>
      </c>
      <c r="F540">
        <v>56</v>
      </c>
      <c r="G540" t="s">
        <v>60</v>
      </c>
      <c r="H540" t="s">
        <v>90</v>
      </c>
      <c r="I540" t="s">
        <v>20</v>
      </c>
      <c r="J540" t="s">
        <v>127</v>
      </c>
      <c r="K540" t="s">
        <v>114</v>
      </c>
      <c r="L540">
        <v>235.9</v>
      </c>
      <c r="M540" t="s">
        <v>115</v>
      </c>
      <c r="N540">
        <f t="shared" si="73"/>
        <v>0</v>
      </c>
      <c r="O540" t="s">
        <v>86</v>
      </c>
      <c r="P540" t="s">
        <v>3385</v>
      </c>
      <c r="Q540">
        <v>0</v>
      </c>
      <c r="R540">
        <v>252</v>
      </c>
      <c r="S540">
        <f t="shared" si="74"/>
        <v>0.84845826075109965</v>
      </c>
      <c r="T540">
        <f t="shared" si="75"/>
        <v>0</v>
      </c>
      <c r="U540">
        <f t="shared" si="76"/>
        <v>0</v>
      </c>
      <c r="V540">
        <f t="shared" si="77"/>
        <v>1</v>
      </c>
      <c r="W540">
        <f t="shared" si="78"/>
        <v>1</v>
      </c>
      <c r="X540">
        <f t="shared" si="79"/>
        <v>0</v>
      </c>
      <c r="Y540">
        <f t="shared" si="80"/>
        <v>0</v>
      </c>
    </row>
    <row r="541" spans="1:25" x14ac:dyDescent="0.3">
      <c r="A541" t="s">
        <v>4559</v>
      </c>
      <c r="B541" t="s">
        <v>4560</v>
      </c>
      <c r="C541" s="1">
        <v>45857</v>
      </c>
      <c r="D541" s="3">
        <v>0.99554398148148149</v>
      </c>
      <c r="E541">
        <f t="shared" si="72"/>
        <v>23</v>
      </c>
      <c r="F541">
        <v>31</v>
      </c>
      <c r="G541" t="s">
        <v>60</v>
      </c>
      <c r="H541" t="s">
        <v>185</v>
      </c>
      <c r="I541" t="s">
        <v>71</v>
      </c>
      <c r="J541" t="s">
        <v>132</v>
      </c>
      <c r="K541" t="s">
        <v>95</v>
      </c>
      <c r="L541">
        <v>235.84</v>
      </c>
      <c r="M541" t="s">
        <v>23</v>
      </c>
      <c r="N541">
        <f t="shared" si="73"/>
        <v>0</v>
      </c>
      <c r="O541" t="s">
        <v>24</v>
      </c>
      <c r="P541" t="s">
        <v>4561</v>
      </c>
      <c r="Q541">
        <v>0</v>
      </c>
      <c r="R541">
        <v>464</v>
      </c>
      <c r="S541">
        <f t="shared" si="74"/>
        <v>0.84762760518253399</v>
      </c>
      <c r="T541">
        <f t="shared" si="75"/>
        <v>0</v>
      </c>
      <c r="U541">
        <f t="shared" si="76"/>
        <v>0</v>
      </c>
      <c r="V541">
        <f t="shared" si="77"/>
        <v>0</v>
      </c>
      <c r="W541">
        <f t="shared" si="78"/>
        <v>0</v>
      </c>
      <c r="X541">
        <f t="shared" si="79"/>
        <v>0</v>
      </c>
      <c r="Y541">
        <f t="shared" si="80"/>
        <v>0</v>
      </c>
    </row>
    <row r="542" spans="1:25" x14ac:dyDescent="0.3">
      <c r="A542" t="s">
        <v>2000</v>
      </c>
      <c r="B542" t="s">
        <v>2001</v>
      </c>
      <c r="C542" s="1">
        <v>45772</v>
      </c>
      <c r="D542" s="3">
        <v>7.7048611111111109E-2</v>
      </c>
      <c r="E542">
        <f t="shared" si="72"/>
        <v>1</v>
      </c>
      <c r="F542">
        <v>42</v>
      </c>
      <c r="G542" t="s">
        <v>99</v>
      </c>
      <c r="H542" t="s">
        <v>175</v>
      </c>
      <c r="I542" t="s">
        <v>119</v>
      </c>
      <c r="J542" t="s">
        <v>31</v>
      </c>
      <c r="K542" t="s">
        <v>120</v>
      </c>
      <c r="L542">
        <v>235.82</v>
      </c>
      <c r="M542" t="s">
        <v>6479</v>
      </c>
      <c r="N542">
        <f t="shared" si="73"/>
        <v>1</v>
      </c>
      <c r="O542" t="s">
        <v>51</v>
      </c>
      <c r="P542" t="s">
        <v>2002</v>
      </c>
      <c r="Q542">
        <v>0</v>
      </c>
      <c r="R542">
        <v>181</v>
      </c>
      <c r="S542">
        <f t="shared" si="74"/>
        <v>0.84735071999301204</v>
      </c>
      <c r="T542">
        <f t="shared" si="75"/>
        <v>0</v>
      </c>
      <c r="U542">
        <f t="shared" si="76"/>
        <v>1</v>
      </c>
      <c r="V542">
        <f t="shared" si="77"/>
        <v>1</v>
      </c>
      <c r="W542">
        <f t="shared" si="78"/>
        <v>5</v>
      </c>
      <c r="X542">
        <f t="shared" si="79"/>
        <v>1</v>
      </c>
      <c r="Y542">
        <f t="shared" si="80"/>
        <v>1</v>
      </c>
    </row>
    <row r="543" spans="1:25" x14ac:dyDescent="0.3">
      <c r="A543" t="s">
        <v>2783</v>
      </c>
      <c r="B543" t="s">
        <v>2784</v>
      </c>
      <c r="C543" s="1">
        <v>45715</v>
      </c>
      <c r="D543" s="3">
        <v>0.10135416666666666</v>
      </c>
      <c r="E543">
        <f t="shared" si="72"/>
        <v>2</v>
      </c>
      <c r="F543">
        <v>19</v>
      </c>
      <c r="G543" t="s">
        <v>18</v>
      </c>
      <c r="H543" t="s">
        <v>55</v>
      </c>
      <c r="I543" t="s">
        <v>85</v>
      </c>
      <c r="J543" t="s">
        <v>49</v>
      </c>
      <c r="K543" t="s">
        <v>95</v>
      </c>
      <c r="L543">
        <v>235.75</v>
      </c>
      <c r="M543" t="s">
        <v>115</v>
      </c>
      <c r="N543">
        <f t="shared" si="73"/>
        <v>0</v>
      </c>
      <c r="O543" t="s">
        <v>51</v>
      </c>
      <c r="P543" t="s">
        <v>2785</v>
      </c>
      <c r="Q543">
        <v>0</v>
      </c>
      <c r="R543">
        <v>177</v>
      </c>
      <c r="S543">
        <f t="shared" si="74"/>
        <v>0.84638162182968568</v>
      </c>
      <c r="T543">
        <f t="shared" si="75"/>
        <v>0</v>
      </c>
      <c r="U543">
        <f t="shared" si="76"/>
        <v>1</v>
      </c>
      <c r="V543">
        <f t="shared" si="77"/>
        <v>1</v>
      </c>
      <c r="W543">
        <f t="shared" si="78"/>
        <v>3</v>
      </c>
      <c r="X543">
        <f t="shared" si="79"/>
        <v>0</v>
      </c>
      <c r="Y543">
        <f t="shared" si="80"/>
        <v>0</v>
      </c>
    </row>
    <row r="544" spans="1:25" x14ac:dyDescent="0.3">
      <c r="A544" t="s">
        <v>2162</v>
      </c>
      <c r="B544" t="s">
        <v>2163</v>
      </c>
      <c r="C544" s="1">
        <v>45744</v>
      </c>
      <c r="D544" s="3">
        <v>0.17498842592592592</v>
      </c>
      <c r="E544">
        <f t="shared" si="72"/>
        <v>4</v>
      </c>
      <c r="F544">
        <v>40</v>
      </c>
      <c r="G544" t="s">
        <v>60</v>
      </c>
      <c r="H544" t="s">
        <v>100</v>
      </c>
      <c r="I544" t="s">
        <v>119</v>
      </c>
      <c r="J544" t="s">
        <v>56</v>
      </c>
      <c r="K544" t="s">
        <v>114</v>
      </c>
      <c r="L544">
        <v>235.61</v>
      </c>
      <c r="M544" t="s">
        <v>23</v>
      </c>
      <c r="N544">
        <f t="shared" si="73"/>
        <v>0</v>
      </c>
      <c r="O544" t="s">
        <v>24</v>
      </c>
      <c r="P544" t="s">
        <v>2164</v>
      </c>
      <c r="Q544">
        <v>0</v>
      </c>
      <c r="R544">
        <v>379</v>
      </c>
      <c r="S544">
        <f t="shared" si="74"/>
        <v>0.84444342550303286</v>
      </c>
      <c r="T544">
        <f t="shared" si="75"/>
        <v>0</v>
      </c>
      <c r="U544">
        <f t="shared" si="76"/>
        <v>1</v>
      </c>
      <c r="V544">
        <f t="shared" si="77"/>
        <v>0</v>
      </c>
      <c r="W544">
        <f t="shared" si="78"/>
        <v>2</v>
      </c>
      <c r="X544">
        <f t="shared" si="79"/>
        <v>0</v>
      </c>
      <c r="Y544">
        <f t="shared" si="80"/>
        <v>0</v>
      </c>
    </row>
    <row r="545" spans="1:25" x14ac:dyDescent="0.3">
      <c r="A545" t="s">
        <v>2039</v>
      </c>
      <c r="B545" t="s">
        <v>2040</v>
      </c>
      <c r="C545" s="1">
        <v>45800</v>
      </c>
      <c r="D545" s="3">
        <v>0.52243055555555551</v>
      </c>
      <c r="E545">
        <f t="shared" si="72"/>
        <v>12</v>
      </c>
      <c r="F545">
        <v>56</v>
      </c>
      <c r="G545" t="s">
        <v>6479</v>
      </c>
      <c r="H545" t="s">
        <v>47</v>
      </c>
      <c r="I545" t="s">
        <v>105</v>
      </c>
      <c r="J545" t="s">
        <v>94</v>
      </c>
      <c r="K545" t="s">
        <v>62</v>
      </c>
      <c r="L545">
        <v>235.42</v>
      </c>
      <c r="M545" t="s">
        <v>42</v>
      </c>
      <c r="N545">
        <f t="shared" si="73"/>
        <v>0</v>
      </c>
      <c r="O545" t="s">
        <v>86</v>
      </c>
      <c r="P545" t="s">
        <v>2041</v>
      </c>
      <c r="Q545">
        <v>0</v>
      </c>
      <c r="R545">
        <v>80</v>
      </c>
      <c r="S545">
        <f t="shared" si="74"/>
        <v>0.84181301620257498</v>
      </c>
      <c r="T545">
        <f t="shared" si="75"/>
        <v>0</v>
      </c>
      <c r="U545">
        <f t="shared" si="76"/>
        <v>0</v>
      </c>
      <c r="V545">
        <f t="shared" si="77"/>
        <v>1</v>
      </c>
      <c r="W545">
        <f t="shared" si="78"/>
        <v>1</v>
      </c>
      <c r="X545">
        <f t="shared" si="79"/>
        <v>0</v>
      </c>
      <c r="Y545">
        <f t="shared" si="80"/>
        <v>0</v>
      </c>
    </row>
    <row r="546" spans="1:25" x14ac:dyDescent="0.3">
      <c r="A546" t="s">
        <v>5048</v>
      </c>
      <c r="B546" t="s">
        <v>5049</v>
      </c>
      <c r="C546" s="1">
        <v>45754</v>
      </c>
      <c r="D546" s="3">
        <v>0.70915509259259257</v>
      </c>
      <c r="E546">
        <f t="shared" si="72"/>
        <v>17</v>
      </c>
      <c r="F546">
        <v>23</v>
      </c>
      <c r="G546" t="s">
        <v>46</v>
      </c>
      <c r="H546" t="s">
        <v>175</v>
      </c>
      <c r="I546" t="s">
        <v>85</v>
      </c>
      <c r="J546" t="s">
        <v>21</v>
      </c>
      <c r="K546" t="s">
        <v>120</v>
      </c>
      <c r="L546">
        <v>235.13</v>
      </c>
      <c r="M546" t="s">
        <v>6479</v>
      </c>
      <c r="N546">
        <f t="shared" si="73"/>
        <v>1</v>
      </c>
      <c r="O546" t="s">
        <v>51</v>
      </c>
      <c r="P546" t="s">
        <v>5050</v>
      </c>
      <c r="Q546">
        <v>0</v>
      </c>
      <c r="R546">
        <v>341</v>
      </c>
      <c r="S546">
        <f t="shared" si="74"/>
        <v>0.83779818095450831</v>
      </c>
      <c r="T546">
        <f t="shared" si="75"/>
        <v>0</v>
      </c>
      <c r="U546">
        <f t="shared" si="76"/>
        <v>0</v>
      </c>
      <c r="V546">
        <f t="shared" si="77"/>
        <v>0</v>
      </c>
      <c r="W546">
        <f t="shared" si="78"/>
        <v>2</v>
      </c>
      <c r="X546">
        <f t="shared" si="79"/>
        <v>0</v>
      </c>
      <c r="Y546">
        <f t="shared" si="80"/>
        <v>1</v>
      </c>
    </row>
    <row r="547" spans="1:25" x14ac:dyDescent="0.3">
      <c r="A547" t="s">
        <v>5558</v>
      </c>
      <c r="B547" t="s">
        <v>5559</v>
      </c>
      <c r="C547" s="1">
        <v>45766</v>
      </c>
      <c r="D547" s="3">
        <v>0.89336805555555554</v>
      </c>
      <c r="E547">
        <f t="shared" si="72"/>
        <v>21</v>
      </c>
      <c r="F547">
        <v>42</v>
      </c>
      <c r="G547" t="s">
        <v>18</v>
      </c>
      <c r="H547" t="s">
        <v>175</v>
      </c>
      <c r="I547" t="s">
        <v>71</v>
      </c>
      <c r="J547" t="s">
        <v>72</v>
      </c>
      <c r="K547" t="s">
        <v>120</v>
      </c>
      <c r="L547">
        <v>235.11</v>
      </c>
      <c r="M547" t="s">
        <v>23</v>
      </c>
      <c r="N547">
        <f t="shared" si="73"/>
        <v>0</v>
      </c>
      <c r="O547" t="s">
        <v>86</v>
      </c>
      <c r="P547" t="s">
        <v>5560</v>
      </c>
      <c r="Q547">
        <v>0</v>
      </c>
      <c r="R547">
        <v>210</v>
      </c>
      <c r="S547">
        <f t="shared" si="74"/>
        <v>0.83752129576498668</v>
      </c>
      <c r="T547">
        <f t="shared" si="75"/>
        <v>0</v>
      </c>
      <c r="U547">
        <f t="shared" si="76"/>
        <v>0</v>
      </c>
      <c r="V547">
        <f t="shared" si="77"/>
        <v>1</v>
      </c>
      <c r="W547">
        <f t="shared" si="78"/>
        <v>1</v>
      </c>
      <c r="X547">
        <f t="shared" si="79"/>
        <v>0</v>
      </c>
      <c r="Y547">
        <f t="shared" si="80"/>
        <v>0</v>
      </c>
    </row>
    <row r="548" spans="1:25" x14ac:dyDescent="0.3">
      <c r="A548" t="s">
        <v>3518</v>
      </c>
      <c r="B548" t="s">
        <v>3519</v>
      </c>
      <c r="C548" s="1">
        <v>45841</v>
      </c>
      <c r="D548" s="3">
        <v>0.58743055555555557</v>
      </c>
      <c r="E548">
        <f t="shared" si="72"/>
        <v>14</v>
      </c>
      <c r="F548">
        <v>55</v>
      </c>
      <c r="G548" t="s">
        <v>18</v>
      </c>
      <c r="H548" t="s">
        <v>70</v>
      </c>
      <c r="I548" t="s">
        <v>85</v>
      </c>
      <c r="J548" t="s">
        <v>31</v>
      </c>
      <c r="K548" t="s">
        <v>114</v>
      </c>
      <c r="L548">
        <v>234.97</v>
      </c>
      <c r="M548" t="s">
        <v>23</v>
      </c>
      <c r="N548">
        <f t="shared" si="73"/>
        <v>0</v>
      </c>
      <c r="O548" t="s">
        <v>34</v>
      </c>
      <c r="P548" t="s">
        <v>3520</v>
      </c>
      <c r="Q548">
        <v>0</v>
      </c>
      <c r="R548">
        <v>72</v>
      </c>
      <c r="S548">
        <f t="shared" si="74"/>
        <v>0.83558309943833353</v>
      </c>
      <c r="T548">
        <f t="shared" si="75"/>
        <v>0</v>
      </c>
      <c r="U548">
        <f t="shared" si="76"/>
        <v>0</v>
      </c>
      <c r="V548">
        <f t="shared" si="77"/>
        <v>1</v>
      </c>
      <c r="W548">
        <f t="shared" si="78"/>
        <v>1</v>
      </c>
      <c r="X548">
        <f t="shared" si="79"/>
        <v>0</v>
      </c>
      <c r="Y548">
        <f t="shared" si="80"/>
        <v>0</v>
      </c>
    </row>
    <row r="549" spans="1:25" x14ac:dyDescent="0.3">
      <c r="A549" t="s">
        <v>1055</v>
      </c>
      <c r="B549" t="s">
        <v>1056</v>
      </c>
      <c r="C549" s="1">
        <v>45716</v>
      </c>
      <c r="D549" s="3">
        <v>6.7303240740740747E-2</v>
      </c>
      <c r="E549">
        <f t="shared" si="72"/>
        <v>1</v>
      </c>
      <c r="F549">
        <v>55</v>
      </c>
      <c r="G549" t="s">
        <v>60</v>
      </c>
      <c r="H549" t="s">
        <v>47</v>
      </c>
      <c r="I549" t="s">
        <v>39</v>
      </c>
      <c r="J549" t="s">
        <v>56</v>
      </c>
      <c r="K549" t="s">
        <v>168</v>
      </c>
      <c r="L549">
        <v>234.94</v>
      </c>
      <c r="M549" t="s">
        <v>115</v>
      </c>
      <c r="N549">
        <f t="shared" si="73"/>
        <v>0</v>
      </c>
      <c r="O549" t="s">
        <v>24</v>
      </c>
      <c r="P549" t="s">
        <v>1057</v>
      </c>
      <c r="Q549">
        <v>0</v>
      </c>
      <c r="R549">
        <v>402</v>
      </c>
      <c r="S549">
        <f t="shared" si="74"/>
        <v>0.83516777165405076</v>
      </c>
      <c r="T549">
        <f t="shared" si="75"/>
        <v>0</v>
      </c>
      <c r="U549">
        <f t="shared" si="76"/>
        <v>1</v>
      </c>
      <c r="V549">
        <f t="shared" si="77"/>
        <v>0</v>
      </c>
      <c r="W549">
        <f t="shared" si="78"/>
        <v>2</v>
      </c>
      <c r="X549">
        <f t="shared" si="79"/>
        <v>0</v>
      </c>
      <c r="Y549">
        <f t="shared" si="80"/>
        <v>0</v>
      </c>
    </row>
    <row r="550" spans="1:25" x14ac:dyDescent="0.3">
      <c r="A550" t="s">
        <v>4271</v>
      </c>
      <c r="B550" t="s">
        <v>4272</v>
      </c>
      <c r="C550" s="1">
        <v>45773</v>
      </c>
      <c r="D550" s="3">
        <v>0.27581018518518519</v>
      </c>
      <c r="E550">
        <f t="shared" si="72"/>
        <v>6</v>
      </c>
      <c r="F550">
        <v>43</v>
      </c>
      <c r="G550" t="s">
        <v>18</v>
      </c>
      <c r="H550" t="s">
        <v>80</v>
      </c>
      <c r="I550" t="s">
        <v>20</v>
      </c>
      <c r="J550" t="s">
        <v>49</v>
      </c>
      <c r="K550" t="s">
        <v>101</v>
      </c>
      <c r="L550">
        <v>234.93</v>
      </c>
      <c r="M550" t="s">
        <v>115</v>
      </c>
      <c r="N550">
        <f t="shared" si="73"/>
        <v>0</v>
      </c>
      <c r="O550" t="s">
        <v>24</v>
      </c>
      <c r="P550" t="s">
        <v>4273</v>
      </c>
      <c r="Q550">
        <v>0</v>
      </c>
      <c r="R550">
        <v>93</v>
      </c>
      <c r="S550">
        <f t="shared" si="74"/>
        <v>0.83502932905928995</v>
      </c>
      <c r="T550">
        <f t="shared" si="75"/>
        <v>0</v>
      </c>
      <c r="U550">
        <f t="shared" si="76"/>
        <v>0</v>
      </c>
      <c r="V550">
        <f t="shared" si="77"/>
        <v>1</v>
      </c>
      <c r="W550">
        <f t="shared" si="78"/>
        <v>1</v>
      </c>
      <c r="X550">
        <f t="shared" si="79"/>
        <v>0</v>
      </c>
      <c r="Y550">
        <f t="shared" si="80"/>
        <v>0</v>
      </c>
    </row>
    <row r="551" spans="1:25" x14ac:dyDescent="0.3">
      <c r="A551" s="2" t="s">
        <v>1391</v>
      </c>
      <c r="B551" t="s">
        <v>1392</v>
      </c>
      <c r="C551" s="1">
        <v>45812</v>
      </c>
      <c r="D551" s="3">
        <v>0.53605324074074079</v>
      </c>
      <c r="E551">
        <f t="shared" si="72"/>
        <v>12</v>
      </c>
      <c r="F551">
        <v>47</v>
      </c>
      <c r="G551" t="s">
        <v>60</v>
      </c>
      <c r="H551" t="s">
        <v>131</v>
      </c>
      <c r="I551" t="s">
        <v>66</v>
      </c>
      <c r="J551" t="s">
        <v>94</v>
      </c>
      <c r="K551" t="s">
        <v>101</v>
      </c>
      <c r="L551">
        <v>234.9</v>
      </c>
      <c r="M551" t="s">
        <v>42</v>
      </c>
      <c r="N551">
        <f t="shared" si="73"/>
        <v>0</v>
      </c>
      <c r="O551" t="s">
        <v>86</v>
      </c>
      <c r="P551" t="s">
        <v>1393</v>
      </c>
      <c r="Q551">
        <v>0</v>
      </c>
      <c r="R551">
        <v>196</v>
      </c>
      <c r="S551">
        <f t="shared" si="74"/>
        <v>0.83461400127500718</v>
      </c>
      <c r="T551">
        <f t="shared" si="75"/>
        <v>0</v>
      </c>
      <c r="U551">
        <f t="shared" si="76"/>
        <v>0</v>
      </c>
      <c r="V551">
        <f t="shared" si="77"/>
        <v>1</v>
      </c>
      <c r="W551">
        <f t="shared" si="78"/>
        <v>1</v>
      </c>
      <c r="X551">
        <f t="shared" si="79"/>
        <v>0</v>
      </c>
      <c r="Y551">
        <f t="shared" si="80"/>
        <v>0</v>
      </c>
    </row>
    <row r="552" spans="1:25" x14ac:dyDescent="0.3">
      <c r="A552" t="s">
        <v>2222</v>
      </c>
      <c r="B552" t="s">
        <v>2223</v>
      </c>
      <c r="C552" s="1">
        <v>45785</v>
      </c>
      <c r="D552" s="3">
        <v>0.74224537037037042</v>
      </c>
      <c r="E552">
        <f t="shared" si="72"/>
        <v>17</v>
      </c>
      <c r="F552">
        <v>53</v>
      </c>
      <c r="G552" t="s">
        <v>99</v>
      </c>
      <c r="H552" t="s">
        <v>185</v>
      </c>
      <c r="I552" t="s">
        <v>20</v>
      </c>
      <c r="J552" t="s">
        <v>76</v>
      </c>
      <c r="K552" t="s">
        <v>50</v>
      </c>
      <c r="L552">
        <v>234.88</v>
      </c>
      <c r="M552" t="s">
        <v>23</v>
      </c>
      <c r="N552">
        <f t="shared" si="73"/>
        <v>0</v>
      </c>
      <c r="O552" t="s">
        <v>34</v>
      </c>
      <c r="P552" t="s">
        <v>2224</v>
      </c>
      <c r="Q552">
        <v>0</v>
      </c>
      <c r="R552">
        <v>63</v>
      </c>
      <c r="S552">
        <f t="shared" si="74"/>
        <v>0.83433711608548522</v>
      </c>
      <c r="T552">
        <f t="shared" si="75"/>
        <v>0</v>
      </c>
      <c r="U552">
        <f t="shared" si="76"/>
        <v>0</v>
      </c>
      <c r="V552">
        <f t="shared" si="77"/>
        <v>1</v>
      </c>
      <c r="W552">
        <f t="shared" si="78"/>
        <v>1</v>
      </c>
      <c r="X552">
        <f t="shared" si="79"/>
        <v>0</v>
      </c>
      <c r="Y552">
        <f t="shared" si="80"/>
        <v>0</v>
      </c>
    </row>
    <row r="553" spans="1:25" x14ac:dyDescent="0.3">
      <c r="A553" t="s">
        <v>2357</v>
      </c>
      <c r="B553" t="s">
        <v>2358</v>
      </c>
      <c r="C553" s="1">
        <v>45708</v>
      </c>
      <c r="D553" s="3">
        <v>7.9039351851851847E-2</v>
      </c>
      <c r="E553">
        <f t="shared" si="72"/>
        <v>1</v>
      </c>
      <c r="F553">
        <v>22</v>
      </c>
      <c r="G553" t="s">
        <v>60</v>
      </c>
      <c r="H553" t="s">
        <v>55</v>
      </c>
      <c r="I553" t="s">
        <v>71</v>
      </c>
      <c r="J553" t="s">
        <v>40</v>
      </c>
      <c r="K553" t="s">
        <v>168</v>
      </c>
      <c r="L553">
        <v>234.88</v>
      </c>
      <c r="M553" t="s">
        <v>42</v>
      </c>
      <c r="N553">
        <f t="shared" si="73"/>
        <v>0</v>
      </c>
      <c r="O553" t="s">
        <v>34</v>
      </c>
      <c r="P553" t="s">
        <v>2359</v>
      </c>
      <c r="Q553">
        <v>0</v>
      </c>
      <c r="R553">
        <v>414</v>
      </c>
      <c r="S553">
        <f t="shared" si="74"/>
        <v>0.83433711608548522</v>
      </c>
      <c r="T553">
        <f t="shared" si="75"/>
        <v>0</v>
      </c>
      <c r="U553">
        <f t="shared" si="76"/>
        <v>1</v>
      </c>
      <c r="V553">
        <f t="shared" si="77"/>
        <v>0</v>
      </c>
      <c r="W553">
        <f t="shared" si="78"/>
        <v>2</v>
      </c>
      <c r="X553">
        <f t="shared" si="79"/>
        <v>0</v>
      </c>
      <c r="Y553">
        <f t="shared" si="80"/>
        <v>0</v>
      </c>
    </row>
    <row r="554" spans="1:25" x14ac:dyDescent="0.3">
      <c r="A554" t="s">
        <v>4127</v>
      </c>
      <c r="B554" t="s">
        <v>4128</v>
      </c>
      <c r="C554" s="1">
        <v>45851</v>
      </c>
      <c r="D554" s="3">
        <v>0.12292824074074074</v>
      </c>
      <c r="E554">
        <f t="shared" si="72"/>
        <v>2</v>
      </c>
      <c r="F554">
        <v>31</v>
      </c>
      <c r="G554" t="s">
        <v>60</v>
      </c>
      <c r="H554" t="s">
        <v>239</v>
      </c>
      <c r="I554" t="s">
        <v>71</v>
      </c>
      <c r="J554" t="s">
        <v>127</v>
      </c>
      <c r="K554" t="s">
        <v>62</v>
      </c>
      <c r="L554">
        <v>234.84</v>
      </c>
      <c r="M554" t="s">
        <v>23</v>
      </c>
      <c r="N554">
        <f t="shared" si="73"/>
        <v>0</v>
      </c>
      <c r="O554" t="s">
        <v>51</v>
      </c>
      <c r="P554" t="s">
        <v>4129</v>
      </c>
      <c r="Q554">
        <v>0</v>
      </c>
      <c r="R554">
        <v>116</v>
      </c>
      <c r="S554">
        <f t="shared" si="74"/>
        <v>0.83378334570644153</v>
      </c>
      <c r="T554">
        <f t="shared" si="75"/>
        <v>0</v>
      </c>
      <c r="U554">
        <f t="shared" si="76"/>
        <v>1</v>
      </c>
      <c r="V554">
        <f t="shared" si="77"/>
        <v>1</v>
      </c>
      <c r="W554">
        <f t="shared" si="78"/>
        <v>3</v>
      </c>
      <c r="X554">
        <f t="shared" si="79"/>
        <v>0</v>
      </c>
      <c r="Y554">
        <f t="shared" si="80"/>
        <v>0</v>
      </c>
    </row>
    <row r="555" spans="1:25" x14ac:dyDescent="0.3">
      <c r="A555" t="s">
        <v>5945</v>
      </c>
      <c r="B555" t="s">
        <v>5946</v>
      </c>
      <c r="C555" s="1">
        <v>45868</v>
      </c>
      <c r="D555" s="3">
        <v>0.61137731481481483</v>
      </c>
      <c r="E555">
        <f t="shared" si="72"/>
        <v>14</v>
      </c>
      <c r="F555">
        <v>62</v>
      </c>
      <c r="G555" t="s">
        <v>6479</v>
      </c>
      <c r="H555" t="s">
        <v>232</v>
      </c>
      <c r="I555" t="s">
        <v>110</v>
      </c>
      <c r="J555" t="s">
        <v>127</v>
      </c>
      <c r="K555" t="s">
        <v>168</v>
      </c>
      <c r="L555">
        <v>234.48</v>
      </c>
      <c r="M555" t="s">
        <v>23</v>
      </c>
      <c r="N555">
        <f t="shared" si="73"/>
        <v>0</v>
      </c>
      <c r="O555" t="s">
        <v>86</v>
      </c>
      <c r="P555" t="s">
        <v>5947</v>
      </c>
      <c r="Q555">
        <v>0</v>
      </c>
      <c r="R555">
        <v>458</v>
      </c>
      <c r="S555">
        <f t="shared" si="74"/>
        <v>0.82879941229504805</v>
      </c>
      <c r="T555">
        <f t="shared" si="75"/>
        <v>0</v>
      </c>
      <c r="U555">
        <f t="shared" si="76"/>
        <v>0</v>
      </c>
      <c r="V555">
        <f t="shared" si="77"/>
        <v>0</v>
      </c>
      <c r="W555">
        <f t="shared" si="78"/>
        <v>0</v>
      </c>
      <c r="X555">
        <f t="shared" si="79"/>
        <v>0</v>
      </c>
      <c r="Y555">
        <f t="shared" si="80"/>
        <v>0</v>
      </c>
    </row>
    <row r="556" spans="1:25" x14ac:dyDescent="0.3">
      <c r="A556" t="s">
        <v>4541</v>
      </c>
      <c r="B556" t="s">
        <v>4542</v>
      </c>
      <c r="C556" s="1">
        <v>45729</v>
      </c>
      <c r="D556" s="3">
        <v>0.21200231481481482</v>
      </c>
      <c r="E556">
        <f t="shared" si="72"/>
        <v>5</v>
      </c>
      <c r="F556">
        <v>34</v>
      </c>
      <c r="G556" t="s">
        <v>99</v>
      </c>
      <c r="H556" t="s">
        <v>90</v>
      </c>
      <c r="I556" t="s">
        <v>105</v>
      </c>
      <c r="J556" t="s">
        <v>76</v>
      </c>
      <c r="K556" t="s">
        <v>95</v>
      </c>
      <c r="L556">
        <v>234.33</v>
      </c>
      <c r="M556" t="s">
        <v>115</v>
      </c>
      <c r="N556">
        <f t="shared" si="73"/>
        <v>0</v>
      </c>
      <c r="O556" t="s">
        <v>34</v>
      </c>
      <c r="P556" t="s">
        <v>4543</v>
      </c>
      <c r="Q556">
        <v>0</v>
      </c>
      <c r="R556">
        <v>203</v>
      </c>
      <c r="S556">
        <f t="shared" si="74"/>
        <v>0.82672277337363453</v>
      </c>
      <c r="T556">
        <f t="shared" si="75"/>
        <v>0</v>
      </c>
      <c r="U556">
        <f t="shared" si="76"/>
        <v>1</v>
      </c>
      <c r="V556">
        <f t="shared" si="77"/>
        <v>1</v>
      </c>
      <c r="W556">
        <f t="shared" si="78"/>
        <v>3</v>
      </c>
      <c r="X556">
        <f t="shared" si="79"/>
        <v>0</v>
      </c>
      <c r="Y556">
        <f t="shared" si="80"/>
        <v>0</v>
      </c>
    </row>
    <row r="557" spans="1:25" x14ac:dyDescent="0.3">
      <c r="A557" t="s">
        <v>5957</v>
      </c>
      <c r="B557" t="s">
        <v>5958</v>
      </c>
      <c r="C557" s="1">
        <v>45711</v>
      </c>
      <c r="D557" s="3">
        <v>0.52458333333333329</v>
      </c>
      <c r="E557">
        <f t="shared" si="72"/>
        <v>12</v>
      </c>
      <c r="F557">
        <v>61</v>
      </c>
      <c r="G557" t="s">
        <v>6479</v>
      </c>
      <c r="H557" t="s">
        <v>185</v>
      </c>
      <c r="I557" t="s">
        <v>105</v>
      </c>
      <c r="J557" t="s">
        <v>94</v>
      </c>
      <c r="K557" t="s">
        <v>120</v>
      </c>
      <c r="L557">
        <v>234.27</v>
      </c>
      <c r="M557" t="s">
        <v>42</v>
      </c>
      <c r="N557">
        <f t="shared" si="73"/>
        <v>0</v>
      </c>
      <c r="O557" t="s">
        <v>24</v>
      </c>
      <c r="P557" t="s">
        <v>5959</v>
      </c>
      <c r="Q557">
        <v>0</v>
      </c>
      <c r="R557">
        <v>141</v>
      </c>
      <c r="S557">
        <f t="shared" si="74"/>
        <v>0.82589211780506899</v>
      </c>
      <c r="T557">
        <f t="shared" si="75"/>
        <v>0</v>
      </c>
      <c r="U557">
        <f t="shared" si="76"/>
        <v>0</v>
      </c>
      <c r="V557">
        <f t="shared" si="77"/>
        <v>1</v>
      </c>
      <c r="W557">
        <f t="shared" si="78"/>
        <v>1</v>
      </c>
      <c r="X557">
        <f t="shared" si="79"/>
        <v>0</v>
      </c>
      <c r="Y557">
        <f t="shared" si="80"/>
        <v>0</v>
      </c>
    </row>
    <row r="558" spans="1:25" x14ac:dyDescent="0.3">
      <c r="A558" t="s">
        <v>5213</v>
      </c>
      <c r="B558" t="s">
        <v>5214</v>
      </c>
      <c r="C558" s="1">
        <v>45788</v>
      </c>
      <c r="D558" s="3">
        <v>0.83258101851851851</v>
      </c>
      <c r="E558">
        <f t="shared" si="72"/>
        <v>19</v>
      </c>
      <c r="F558">
        <v>46</v>
      </c>
      <c r="G558" t="s">
        <v>46</v>
      </c>
      <c r="H558" t="s">
        <v>167</v>
      </c>
      <c r="I558" t="s">
        <v>48</v>
      </c>
      <c r="J558" t="s">
        <v>94</v>
      </c>
      <c r="K558" t="s">
        <v>32</v>
      </c>
      <c r="L558">
        <v>234.18</v>
      </c>
      <c r="M558" t="s">
        <v>33</v>
      </c>
      <c r="N558">
        <f t="shared" si="73"/>
        <v>0</v>
      </c>
      <c r="O558" t="s">
        <v>24</v>
      </c>
      <c r="P558" t="s">
        <v>5215</v>
      </c>
      <c r="Q558">
        <v>0</v>
      </c>
      <c r="R558">
        <v>85</v>
      </c>
      <c r="S558">
        <f t="shared" si="74"/>
        <v>0.82464613445222057</v>
      </c>
      <c r="T558">
        <f t="shared" si="75"/>
        <v>0</v>
      </c>
      <c r="U558">
        <f t="shared" si="76"/>
        <v>0</v>
      </c>
      <c r="V558">
        <f t="shared" si="77"/>
        <v>1</v>
      </c>
      <c r="W558">
        <f t="shared" si="78"/>
        <v>1</v>
      </c>
      <c r="X558">
        <f t="shared" si="79"/>
        <v>0</v>
      </c>
      <c r="Y558">
        <f t="shared" si="80"/>
        <v>0</v>
      </c>
    </row>
    <row r="559" spans="1:25" x14ac:dyDescent="0.3">
      <c r="A559" t="s">
        <v>2699</v>
      </c>
      <c r="B559" t="s">
        <v>2700</v>
      </c>
      <c r="C559" s="1">
        <v>45761</v>
      </c>
      <c r="D559" s="3">
        <v>0.5254050925925926</v>
      </c>
      <c r="E559">
        <f t="shared" si="72"/>
        <v>12</v>
      </c>
      <c r="F559">
        <v>51</v>
      </c>
      <c r="G559" t="s">
        <v>60</v>
      </c>
      <c r="H559" t="s">
        <v>312</v>
      </c>
      <c r="I559" t="s">
        <v>119</v>
      </c>
      <c r="J559" t="s">
        <v>49</v>
      </c>
      <c r="K559" t="s">
        <v>41</v>
      </c>
      <c r="L559">
        <v>234.17</v>
      </c>
      <c r="M559" t="s">
        <v>23</v>
      </c>
      <c r="N559">
        <f t="shared" si="73"/>
        <v>0</v>
      </c>
      <c r="O559" t="s">
        <v>86</v>
      </c>
      <c r="P559" t="s">
        <v>2701</v>
      </c>
      <c r="Q559">
        <v>0</v>
      </c>
      <c r="R559">
        <v>374</v>
      </c>
      <c r="S559">
        <f t="shared" si="74"/>
        <v>0.82450769185745942</v>
      </c>
      <c r="T559">
        <f t="shared" si="75"/>
        <v>0</v>
      </c>
      <c r="U559">
        <f t="shared" si="76"/>
        <v>0</v>
      </c>
      <c r="V559">
        <f t="shared" si="77"/>
        <v>0</v>
      </c>
      <c r="W559">
        <f t="shared" si="78"/>
        <v>0</v>
      </c>
      <c r="X559">
        <f t="shared" si="79"/>
        <v>0</v>
      </c>
      <c r="Y559">
        <f t="shared" si="80"/>
        <v>0</v>
      </c>
    </row>
    <row r="560" spans="1:25" x14ac:dyDescent="0.3">
      <c r="A560" t="s">
        <v>203</v>
      </c>
      <c r="B560" t="s">
        <v>204</v>
      </c>
      <c r="C560" s="1">
        <v>45799</v>
      </c>
      <c r="D560" s="3">
        <v>0.56456018518518514</v>
      </c>
      <c r="E560">
        <f t="shared" si="72"/>
        <v>13</v>
      </c>
      <c r="F560">
        <v>35</v>
      </c>
      <c r="G560" t="s">
        <v>46</v>
      </c>
      <c r="H560" t="s">
        <v>61</v>
      </c>
      <c r="I560" t="s">
        <v>39</v>
      </c>
      <c r="J560" t="s">
        <v>40</v>
      </c>
      <c r="K560" t="s">
        <v>114</v>
      </c>
      <c r="L560">
        <v>233.68</v>
      </c>
      <c r="M560" t="s">
        <v>23</v>
      </c>
      <c r="N560">
        <f t="shared" si="73"/>
        <v>0</v>
      </c>
      <c r="O560" t="s">
        <v>86</v>
      </c>
      <c r="P560" t="s">
        <v>205</v>
      </c>
      <c r="Q560">
        <v>0</v>
      </c>
      <c r="R560">
        <v>113</v>
      </c>
      <c r="S560">
        <f t="shared" si="74"/>
        <v>0.81772400471417439</v>
      </c>
      <c r="T560">
        <f t="shared" si="75"/>
        <v>0</v>
      </c>
      <c r="U560">
        <f t="shared" si="76"/>
        <v>0</v>
      </c>
      <c r="V560">
        <f t="shared" si="77"/>
        <v>1</v>
      </c>
      <c r="W560">
        <f t="shared" si="78"/>
        <v>1</v>
      </c>
      <c r="X560">
        <f t="shared" si="79"/>
        <v>0</v>
      </c>
      <c r="Y560">
        <f t="shared" si="80"/>
        <v>0</v>
      </c>
    </row>
    <row r="561" spans="1:25" x14ac:dyDescent="0.3">
      <c r="A561" t="s">
        <v>2042</v>
      </c>
      <c r="B561" t="s">
        <v>2043</v>
      </c>
      <c r="C561" s="1">
        <v>45879</v>
      </c>
      <c r="D561" s="3">
        <v>0.86495370370370372</v>
      </c>
      <c r="E561">
        <f t="shared" si="72"/>
        <v>20</v>
      </c>
      <c r="F561">
        <v>20</v>
      </c>
      <c r="G561" t="s">
        <v>46</v>
      </c>
      <c r="H561" t="s">
        <v>61</v>
      </c>
      <c r="I561" t="s">
        <v>39</v>
      </c>
      <c r="J561" t="s">
        <v>49</v>
      </c>
      <c r="K561" t="s">
        <v>101</v>
      </c>
      <c r="L561">
        <v>233.62</v>
      </c>
      <c r="M561" t="s">
        <v>23</v>
      </c>
      <c r="N561">
        <f t="shared" si="73"/>
        <v>0</v>
      </c>
      <c r="O561" t="s">
        <v>86</v>
      </c>
      <c r="P561" t="s">
        <v>2044</v>
      </c>
      <c r="Q561">
        <v>0</v>
      </c>
      <c r="R561">
        <v>405</v>
      </c>
      <c r="S561">
        <f t="shared" si="74"/>
        <v>0.81689334914560885</v>
      </c>
      <c r="T561">
        <f t="shared" si="75"/>
        <v>0</v>
      </c>
      <c r="U561">
        <f t="shared" si="76"/>
        <v>0</v>
      </c>
      <c r="V561">
        <f t="shared" si="77"/>
        <v>0</v>
      </c>
      <c r="W561">
        <f t="shared" si="78"/>
        <v>0</v>
      </c>
      <c r="X561">
        <f t="shared" si="79"/>
        <v>0</v>
      </c>
      <c r="Y561">
        <f t="shared" si="80"/>
        <v>0</v>
      </c>
    </row>
    <row r="562" spans="1:25" x14ac:dyDescent="0.3">
      <c r="A562" t="s">
        <v>4526</v>
      </c>
      <c r="B562" t="s">
        <v>4527</v>
      </c>
      <c r="C562" s="1">
        <v>45717</v>
      </c>
      <c r="D562" s="3">
        <v>7.6828703703703705E-2</v>
      </c>
      <c r="E562">
        <f t="shared" si="72"/>
        <v>1</v>
      </c>
      <c r="F562">
        <v>64</v>
      </c>
      <c r="G562" t="s">
        <v>18</v>
      </c>
      <c r="H562" t="s">
        <v>84</v>
      </c>
      <c r="I562" t="s">
        <v>110</v>
      </c>
      <c r="J562" t="s">
        <v>132</v>
      </c>
      <c r="K562" t="s">
        <v>32</v>
      </c>
      <c r="L562">
        <v>233.6</v>
      </c>
      <c r="M562" t="s">
        <v>33</v>
      </c>
      <c r="N562">
        <f t="shared" si="73"/>
        <v>0</v>
      </c>
      <c r="O562" t="s">
        <v>86</v>
      </c>
      <c r="P562" t="s">
        <v>4528</v>
      </c>
      <c r="Q562">
        <v>0</v>
      </c>
      <c r="R562">
        <v>266</v>
      </c>
      <c r="S562">
        <f t="shared" si="74"/>
        <v>0.81661646395608678</v>
      </c>
      <c r="T562">
        <f t="shared" si="75"/>
        <v>0</v>
      </c>
      <c r="U562">
        <f t="shared" si="76"/>
        <v>1</v>
      </c>
      <c r="V562">
        <f t="shared" si="77"/>
        <v>1</v>
      </c>
      <c r="W562">
        <f t="shared" si="78"/>
        <v>3</v>
      </c>
      <c r="X562">
        <f t="shared" si="79"/>
        <v>0</v>
      </c>
      <c r="Y562">
        <f t="shared" si="80"/>
        <v>0</v>
      </c>
    </row>
    <row r="563" spans="1:25" x14ac:dyDescent="0.3">
      <c r="A563" t="s">
        <v>3836</v>
      </c>
      <c r="B563" t="s">
        <v>3837</v>
      </c>
      <c r="C563" s="1">
        <v>45841</v>
      </c>
      <c r="D563" s="3">
        <v>0.43974537037037037</v>
      </c>
      <c r="E563">
        <f t="shared" si="72"/>
        <v>10</v>
      </c>
      <c r="F563">
        <v>18</v>
      </c>
      <c r="G563" t="s">
        <v>46</v>
      </c>
      <c r="H563" t="s">
        <v>175</v>
      </c>
      <c r="I563" t="s">
        <v>39</v>
      </c>
      <c r="J563" t="s">
        <v>31</v>
      </c>
      <c r="K563" t="s">
        <v>22</v>
      </c>
      <c r="L563">
        <v>233.5</v>
      </c>
      <c r="M563" t="s">
        <v>23</v>
      </c>
      <c r="N563">
        <f t="shared" si="73"/>
        <v>0</v>
      </c>
      <c r="O563" t="s">
        <v>86</v>
      </c>
      <c r="P563" t="s">
        <v>3838</v>
      </c>
      <c r="Q563">
        <v>0</v>
      </c>
      <c r="R563">
        <v>243</v>
      </c>
      <c r="S563">
        <f t="shared" si="74"/>
        <v>0.81523203800847766</v>
      </c>
      <c r="T563">
        <f t="shared" si="75"/>
        <v>0</v>
      </c>
      <c r="U563">
        <f t="shared" si="76"/>
        <v>0</v>
      </c>
      <c r="V563">
        <f t="shared" si="77"/>
        <v>1</v>
      </c>
      <c r="W563">
        <f t="shared" si="78"/>
        <v>1</v>
      </c>
      <c r="X563">
        <f t="shared" si="79"/>
        <v>0</v>
      </c>
      <c r="Y563">
        <f t="shared" si="80"/>
        <v>0</v>
      </c>
    </row>
    <row r="564" spans="1:25" x14ac:dyDescent="0.3">
      <c r="A564" t="s">
        <v>6416</v>
      </c>
      <c r="B564" t="s">
        <v>6417</v>
      </c>
      <c r="C564" s="1">
        <v>45712</v>
      </c>
      <c r="D564" s="3">
        <v>0.45202546296296298</v>
      </c>
      <c r="E564">
        <f t="shared" si="72"/>
        <v>10</v>
      </c>
      <c r="F564">
        <v>62</v>
      </c>
      <c r="G564" t="s">
        <v>18</v>
      </c>
      <c r="H564" t="s">
        <v>47</v>
      </c>
      <c r="I564" t="s">
        <v>110</v>
      </c>
      <c r="J564" t="s">
        <v>21</v>
      </c>
      <c r="K564" t="s">
        <v>95</v>
      </c>
      <c r="L564">
        <v>233.39</v>
      </c>
      <c r="M564" t="s">
        <v>42</v>
      </c>
      <c r="N564">
        <f t="shared" si="73"/>
        <v>0</v>
      </c>
      <c r="O564" t="s">
        <v>34</v>
      </c>
      <c r="P564" t="s">
        <v>6418</v>
      </c>
      <c r="Q564">
        <v>0</v>
      </c>
      <c r="R564">
        <v>482</v>
      </c>
      <c r="S564">
        <f t="shared" si="74"/>
        <v>0.81370916946610727</v>
      </c>
      <c r="T564">
        <f t="shared" si="75"/>
        <v>0</v>
      </c>
      <c r="U564">
        <f t="shared" si="76"/>
        <v>0</v>
      </c>
      <c r="V564">
        <f t="shared" si="77"/>
        <v>0</v>
      </c>
      <c r="W564">
        <f t="shared" si="78"/>
        <v>0</v>
      </c>
      <c r="X564">
        <f t="shared" si="79"/>
        <v>0</v>
      </c>
      <c r="Y564">
        <f t="shared" si="80"/>
        <v>0</v>
      </c>
    </row>
    <row r="565" spans="1:25" x14ac:dyDescent="0.3">
      <c r="A565" t="s">
        <v>2957</v>
      </c>
      <c r="B565" t="s">
        <v>2958</v>
      </c>
      <c r="C565" s="1">
        <v>45871</v>
      </c>
      <c r="D565" s="3">
        <v>0.49478009259259259</v>
      </c>
      <c r="E565">
        <f t="shared" si="72"/>
        <v>11</v>
      </c>
      <c r="F565">
        <v>38</v>
      </c>
      <c r="G565" t="s">
        <v>60</v>
      </c>
      <c r="H565" t="s">
        <v>239</v>
      </c>
      <c r="I565" t="s">
        <v>85</v>
      </c>
      <c r="J565" t="s">
        <v>127</v>
      </c>
      <c r="K565" t="s">
        <v>32</v>
      </c>
      <c r="L565">
        <v>233.26</v>
      </c>
      <c r="M565" t="s">
        <v>115</v>
      </c>
      <c r="N565">
        <f t="shared" si="73"/>
        <v>0</v>
      </c>
      <c r="O565" t="s">
        <v>24</v>
      </c>
      <c r="P565" t="s">
        <v>2959</v>
      </c>
      <c r="Q565">
        <v>0</v>
      </c>
      <c r="R565">
        <v>134</v>
      </c>
      <c r="S565">
        <f t="shared" si="74"/>
        <v>0.81190941573421538</v>
      </c>
      <c r="T565">
        <f t="shared" si="75"/>
        <v>0</v>
      </c>
      <c r="U565">
        <f t="shared" si="76"/>
        <v>0</v>
      </c>
      <c r="V565">
        <f t="shared" si="77"/>
        <v>1</v>
      </c>
      <c r="W565">
        <f t="shared" si="78"/>
        <v>1</v>
      </c>
      <c r="X565">
        <f t="shared" si="79"/>
        <v>0</v>
      </c>
      <c r="Y565">
        <f t="shared" si="80"/>
        <v>0</v>
      </c>
    </row>
    <row r="566" spans="1:25" x14ac:dyDescent="0.3">
      <c r="A566" t="s">
        <v>4145</v>
      </c>
      <c r="B566" t="s">
        <v>4146</v>
      </c>
      <c r="C566" s="1">
        <v>45761</v>
      </c>
      <c r="D566" s="3">
        <v>0.6540393518518518</v>
      </c>
      <c r="E566">
        <f t="shared" si="72"/>
        <v>15</v>
      </c>
      <c r="F566">
        <v>56</v>
      </c>
      <c r="G566" t="s">
        <v>60</v>
      </c>
      <c r="H566" t="s">
        <v>70</v>
      </c>
      <c r="I566" t="s">
        <v>39</v>
      </c>
      <c r="J566" t="s">
        <v>132</v>
      </c>
      <c r="K566" t="s">
        <v>168</v>
      </c>
      <c r="L566">
        <v>233.19</v>
      </c>
      <c r="M566" t="s">
        <v>33</v>
      </c>
      <c r="N566">
        <f t="shared" si="73"/>
        <v>0</v>
      </c>
      <c r="O566" t="s">
        <v>34</v>
      </c>
      <c r="P566" t="s">
        <v>4147</v>
      </c>
      <c r="Q566">
        <v>0</v>
      </c>
      <c r="R566">
        <v>353</v>
      </c>
      <c r="S566">
        <f t="shared" si="74"/>
        <v>0.81094031757088891</v>
      </c>
      <c r="T566">
        <f t="shared" si="75"/>
        <v>0</v>
      </c>
      <c r="U566">
        <f t="shared" si="76"/>
        <v>0</v>
      </c>
      <c r="V566">
        <f t="shared" si="77"/>
        <v>0</v>
      </c>
      <c r="W566">
        <f t="shared" si="78"/>
        <v>0</v>
      </c>
      <c r="X566">
        <f t="shared" si="79"/>
        <v>0</v>
      </c>
      <c r="Y566">
        <f t="shared" si="80"/>
        <v>0</v>
      </c>
    </row>
    <row r="567" spans="1:25" x14ac:dyDescent="0.3">
      <c r="A567" t="s">
        <v>4124</v>
      </c>
      <c r="B567" s="2" t="s">
        <v>4125</v>
      </c>
      <c r="C567" s="1">
        <v>45769</v>
      </c>
      <c r="D567" s="3">
        <v>0.83664351851851848</v>
      </c>
      <c r="E567">
        <f t="shared" si="72"/>
        <v>20</v>
      </c>
      <c r="F567">
        <v>34</v>
      </c>
      <c r="G567" t="s">
        <v>46</v>
      </c>
      <c r="H567" t="s">
        <v>131</v>
      </c>
      <c r="I567" t="s">
        <v>105</v>
      </c>
      <c r="J567" t="s">
        <v>31</v>
      </c>
      <c r="K567" t="s">
        <v>120</v>
      </c>
      <c r="L567">
        <v>233.02</v>
      </c>
      <c r="M567" t="s">
        <v>33</v>
      </c>
      <c r="N567">
        <f t="shared" si="73"/>
        <v>0</v>
      </c>
      <c r="O567" t="s">
        <v>51</v>
      </c>
      <c r="P567" t="s">
        <v>4126</v>
      </c>
      <c r="Q567">
        <v>0</v>
      </c>
      <c r="R567">
        <v>304</v>
      </c>
      <c r="S567">
        <f t="shared" si="74"/>
        <v>0.80858679345995343</v>
      </c>
      <c r="T567">
        <f t="shared" si="75"/>
        <v>0</v>
      </c>
      <c r="U567">
        <f t="shared" si="76"/>
        <v>0</v>
      </c>
      <c r="V567">
        <f t="shared" si="77"/>
        <v>0</v>
      </c>
      <c r="W567">
        <f t="shared" si="78"/>
        <v>0</v>
      </c>
      <c r="X567">
        <f t="shared" si="79"/>
        <v>0</v>
      </c>
      <c r="Y567">
        <f t="shared" si="80"/>
        <v>0</v>
      </c>
    </row>
    <row r="568" spans="1:25" x14ac:dyDescent="0.3">
      <c r="A568" t="s">
        <v>1433</v>
      </c>
      <c r="B568" t="s">
        <v>1434</v>
      </c>
      <c r="C568" s="1">
        <v>45806</v>
      </c>
      <c r="D568" s="3">
        <v>0.70956018518518515</v>
      </c>
      <c r="E568">
        <f t="shared" si="72"/>
        <v>17</v>
      </c>
      <c r="F568">
        <v>51</v>
      </c>
      <c r="G568" t="s">
        <v>60</v>
      </c>
      <c r="H568" t="s">
        <v>19</v>
      </c>
      <c r="I568" t="s">
        <v>110</v>
      </c>
      <c r="J568" t="s">
        <v>31</v>
      </c>
      <c r="K568" t="s">
        <v>50</v>
      </c>
      <c r="L568">
        <v>232.9</v>
      </c>
      <c r="M568" t="s">
        <v>33</v>
      </c>
      <c r="N568">
        <f t="shared" si="73"/>
        <v>0</v>
      </c>
      <c r="O568" t="s">
        <v>24</v>
      </c>
      <c r="P568" t="s">
        <v>1435</v>
      </c>
      <c r="Q568">
        <v>0</v>
      </c>
      <c r="R568">
        <v>173</v>
      </c>
      <c r="S568">
        <f t="shared" si="74"/>
        <v>0.80692548232282224</v>
      </c>
      <c r="T568">
        <f t="shared" si="75"/>
        <v>0</v>
      </c>
      <c r="U568">
        <f t="shared" si="76"/>
        <v>0</v>
      </c>
      <c r="V568">
        <f t="shared" si="77"/>
        <v>1</v>
      </c>
      <c r="W568">
        <f t="shared" si="78"/>
        <v>1</v>
      </c>
      <c r="X568">
        <f t="shared" si="79"/>
        <v>0</v>
      </c>
      <c r="Y568">
        <f t="shared" si="80"/>
        <v>0</v>
      </c>
    </row>
    <row r="569" spans="1:25" x14ac:dyDescent="0.3">
      <c r="A569" t="s">
        <v>947</v>
      </c>
      <c r="B569" t="s">
        <v>948</v>
      </c>
      <c r="C569" s="1">
        <v>45762</v>
      </c>
      <c r="D569" s="3">
        <v>0.68106481481481485</v>
      </c>
      <c r="E569">
        <f t="shared" si="72"/>
        <v>16</v>
      </c>
      <c r="F569">
        <v>55</v>
      </c>
      <c r="G569" t="s">
        <v>60</v>
      </c>
      <c r="H569" t="s">
        <v>100</v>
      </c>
      <c r="I569" t="s">
        <v>71</v>
      </c>
      <c r="J569" t="s">
        <v>21</v>
      </c>
      <c r="K569" t="s">
        <v>95</v>
      </c>
      <c r="L569">
        <v>232.84</v>
      </c>
      <c r="M569" t="s">
        <v>6479</v>
      </c>
      <c r="N569">
        <f t="shared" si="73"/>
        <v>1</v>
      </c>
      <c r="O569" t="s">
        <v>86</v>
      </c>
      <c r="P569" t="s">
        <v>949</v>
      </c>
      <c r="Q569">
        <v>0</v>
      </c>
      <c r="R569">
        <v>111</v>
      </c>
      <c r="S569">
        <f t="shared" si="74"/>
        <v>0.8060948267542567</v>
      </c>
      <c r="T569">
        <f t="shared" si="75"/>
        <v>0</v>
      </c>
      <c r="U569">
        <f t="shared" si="76"/>
        <v>0</v>
      </c>
      <c r="V569">
        <f t="shared" si="77"/>
        <v>1</v>
      </c>
      <c r="W569">
        <f t="shared" si="78"/>
        <v>3</v>
      </c>
      <c r="X569">
        <f t="shared" si="79"/>
        <v>0</v>
      </c>
      <c r="Y569">
        <f t="shared" si="80"/>
        <v>1</v>
      </c>
    </row>
    <row r="570" spans="1:25" x14ac:dyDescent="0.3">
      <c r="A570" t="s">
        <v>2714</v>
      </c>
      <c r="B570" t="s">
        <v>2715</v>
      </c>
      <c r="C570" s="1">
        <v>45839</v>
      </c>
      <c r="D570" s="3">
        <v>0.63340277777777776</v>
      </c>
      <c r="E570">
        <f t="shared" si="72"/>
        <v>15</v>
      </c>
      <c r="F570">
        <v>26</v>
      </c>
      <c r="G570" t="s">
        <v>46</v>
      </c>
      <c r="H570" t="s">
        <v>239</v>
      </c>
      <c r="I570" t="s">
        <v>20</v>
      </c>
      <c r="J570" t="s">
        <v>31</v>
      </c>
      <c r="K570" t="s">
        <v>168</v>
      </c>
      <c r="L570">
        <v>232.8</v>
      </c>
      <c r="M570" t="s">
        <v>33</v>
      </c>
      <c r="N570">
        <f t="shared" si="73"/>
        <v>0</v>
      </c>
      <c r="O570" t="s">
        <v>86</v>
      </c>
      <c r="P570" t="s">
        <v>2716</v>
      </c>
      <c r="Q570">
        <v>0</v>
      </c>
      <c r="R570">
        <v>374</v>
      </c>
      <c r="S570">
        <f t="shared" si="74"/>
        <v>0.80554105637521312</v>
      </c>
      <c r="T570">
        <f t="shared" si="75"/>
        <v>0</v>
      </c>
      <c r="U570">
        <f t="shared" si="76"/>
        <v>0</v>
      </c>
      <c r="V570">
        <f t="shared" si="77"/>
        <v>0</v>
      </c>
      <c r="W570">
        <f t="shared" si="78"/>
        <v>0</v>
      </c>
      <c r="X570">
        <f t="shared" si="79"/>
        <v>0</v>
      </c>
      <c r="Y570">
        <f t="shared" si="80"/>
        <v>0</v>
      </c>
    </row>
    <row r="571" spans="1:25" x14ac:dyDescent="0.3">
      <c r="A571" t="s">
        <v>4904</v>
      </c>
      <c r="B571" t="s">
        <v>4905</v>
      </c>
      <c r="C571" s="1">
        <v>45757</v>
      </c>
      <c r="D571" s="3">
        <v>0.70005787037037037</v>
      </c>
      <c r="E571">
        <f t="shared" si="72"/>
        <v>16</v>
      </c>
      <c r="F571">
        <v>64</v>
      </c>
      <c r="G571" t="s">
        <v>99</v>
      </c>
      <c r="H571" t="s">
        <v>70</v>
      </c>
      <c r="I571" t="s">
        <v>39</v>
      </c>
      <c r="J571" t="s">
        <v>21</v>
      </c>
      <c r="K571" t="s">
        <v>32</v>
      </c>
      <c r="L571">
        <v>232.67</v>
      </c>
      <c r="M571" t="s">
        <v>115</v>
      </c>
      <c r="N571">
        <f t="shared" si="73"/>
        <v>0</v>
      </c>
      <c r="O571" t="s">
        <v>51</v>
      </c>
      <c r="P571" t="s">
        <v>4906</v>
      </c>
      <c r="Q571">
        <v>0</v>
      </c>
      <c r="R571">
        <v>144</v>
      </c>
      <c r="S571">
        <f t="shared" si="74"/>
        <v>0.80374130264332078</v>
      </c>
      <c r="T571">
        <f t="shared" si="75"/>
        <v>0</v>
      </c>
      <c r="U571">
        <f t="shared" si="76"/>
        <v>0</v>
      </c>
      <c r="V571">
        <f t="shared" si="77"/>
        <v>1</v>
      </c>
      <c r="W571">
        <f t="shared" si="78"/>
        <v>1</v>
      </c>
      <c r="X571">
        <f t="shared" si="79"/>
        <v>0</v>
      </c>
      <c r="Y571">
        <f t="shared" si="80"/>
        <v>0</v>
      </c>
    </row>
    <row r="572" spans="1:25" x14ac:dyDescent="0.3">
      <c r="A572" t="s">
        <v>743</v>
      </c>
      <c r="B572" t="s">
        <v>744</v>
      </c>
      <c r="C572" s="1">
        <v>45788</v>
      </c>
      <c r="D572" s="3">
        <v>0.65872685185185187</v>
      </c>
      <c r="E572">
        <f t="shared" si="72"/>
        <v>15</v>
      </c>
      <c r="F572">
        <v>49</v>
      </c>
      <c r="G572" t="s">
        <v>28</v>
      </c>
      <c r="H572" t="s">
        <v>70</v>
      </c>
      <c r="I572" t="s">
        <v>66</v>
      </c>
      <c r="J572" t="s">
        <v>76</v>
      </c>
      <c r="K572" t="s">
        <v>50</v>
      </c>
      <c r="L572">
        <v>232.66</v>
      </c>
      <c r="M572" t="s">
        <v>42</v>
      </c>
      <c r="N572">
        <f t="shared" si="73"/>
        <v>0</v>
      </c>
      <c r="O572" t="s">
        <v>51</v>
      </c>
      <c r="P572" t="s">
        <v>745</v>
      </c>
      <c r="Q572">
        <v>0</v>
      </c>
      <c r="R572">
        <v>499</v>
      </c>
      <c r="S572">
        <f t="shared" si="74"/>
        <v>0.80360286004855996</v>
      </c>
      <c r="T572">
        <f t="shared" si="75"/>
        <v>0</v>
      </c>
      <c r="U572">
        <f t="shared" si="76"/>
        <v>0</v>
      </c>
      <c r="V572">
        <f t="shared" si="77"/>
        <v>0</v>
      </c>
      <c r="W572">
        <f t="shared" si="78"/>
        <v>0</v>
      </c>
      <c r="X572">
        <f t="shared" si="79"/>
        <v>0</v>
      </c>
      <c r="Y572">
        <f t="shared" si="80"/>
        <v>0</v>
      </c>
    </row>
    <row r="573" spans="1:25" x14ac:dyDescent="0.3">
      <c r="A573" t="s">
        <v>4487</v>
      </c>
      <c r="B573" t="s">
        <v>4488</v>
      </c>
      <c r="C573" s="1">
        <v>45853</v>
      </c>
      <c r="D573" s="3">
        <v>0.11954861111111111</v>
      </c>
      <c r="E573">
        <f t="shared" si="72"/>
        <v>2</v>
      </c>
      <c r="F573">
        <v>54</v>
      </c>
      <c r="G573" t="s">
        <v>46</v>
      </c>
      <c r="H573" t="s">
        <v>38</v>
      </c>
      <c r="I573" t="s">
        <v>85</v>
      </c>
      <c r="J573" t="s">
        <v>72</v>
      </c>
      <c r="K573" t="s">
        <v>62</v>
      </c>
      <c r="L573">
        <v>232.62</v>
      </c>
      <c r="M573" t="s">
        <v>115</v>
      </c>
      <c r="N573">
        <f t="shared" si="73"/>
        <v>0</v>
      </c>
      <c r="O573" t="s">
        <v>34</v>
      </c>
      <c r="P573" t="s">
        <v>4489</v>
      </c>
      <c r="Q573">
        <v>0</v>
      </c>
      <c r="R573">
        <v>259</v>
      </c>
      <c r="S573">
        <f t="shared" si="74"/>
        <v>0.80304908966951638</v>
      </c>
      <c r="T573">
        <f t="shared" si="75"/>
        <v>0</v>
      </c>
      <c r="U573">
        <f t="shared" si="76"/>
        <v>1</v>
      </c>
      <c r="V573">
        <f t="shared" si="77"/>
        <v>1</v>
      </c>
      <c r="W573">
        <f t="shared" si="78"/>
        <v>3</v>
      </c>
      <c r="X573">
        <f t="shared" si="79"/>
        <v>0</v>
      </c>
      <c r="Y573">
        <f t="shared" si="80"/>
        <v>0</v>
      </c>
    </row>
    <row r="574" spans="1:25" x14ac:dyDescent="0.3">
      <c r="A574" t="s">
        <v>752</v>
      </c>
      <c r="B574" t="s">
        <v>753</v>
      </c>
      <c r="C574" s="1">
        <v>45843</v>
      </c>
      <c r="D574" s="3">
        <v>0.83043981481481477</v>
      </c>
      <c r="E574">
        <f t="shared" si="72"/>
        <v>19</v>
      </c>
      <c r="F574">
        <v>34</v>
      </c>
      <c r="G574" t="s">
        <v>46</v>
      </c>
      <c r="H574" t="s">
        <v>175</v>
      </c>
      <c r="I574" t="s">
        <v>85</v>
      </c>
      <c r="J574" t="s">
        <v>72</v>
      </c>
      <c r="K574" t="s">
        <v>32</v>
      </c>
      <c r="L574">
        <v>232.56</v>
      </c>
      <c r="M574" t="s">
        <v>23</v>
      </c>
      <c r="N574">
        <f t="shared" si="73"/>
        <v>0</v>
      </c>
      <c r="O574" t="s">
        <v>86</v>
      </c>
      <c r="P574" t="s">
        <v>754</v>
      </c>
      <c r="Q574">
        <v>0</v>
      </c>
      <c r="R574">
        <v>73</v>
      </c>
      <c r="S574">
        <f t="shared" si="74"/>
        <v>0.80221843410095073</v>
      </c>
      <c r="T574">
        <f t="shared" si="75"/>
        <v>0</v>
      </c>
      <c r="U574">
        <f t="shared" si="76"/>
        <v>0</v>
      </c>
      <c r="V574">
        <f t="shared" si="77"/>
        <v>1</v>
      </c>
      <c r="W574">
        <f t="shared" si="78"/>
        <v>1</v>
      </c>
      <c r="X574">
        <f t="shared" si="79"/>
        <v>0</v>
      </c>
      <c r="Y574">
        <f t="shared" si="80"/>
        <v>0</v>
      </c>
    </row>
    <row r="575" spans="1:25" x14ac:dyDescent="0.3">
      <c r="A575" t="s">
        <v>6140</v>
      </c>
      <c r="B575" t="s">
        <v>6141</v>
      </c>
      <c r="C575" s="1">
        <v>45801</v>
      </c>
      <c r="D575" s="3">
        <v>0.43234953703703705</v>
      </c>
      <c r="E575">
        <f t="shared" si="72"/>
        <v>10</v>
      </c>
      <c r="F575">
        <v>54</v>
      </c>
      <c r="G575" t="s">
        <v>60</v>
      </c>
      <c r="H575" t="s">
        <v>232</v>
      </c>
      <c r="I575" t="s">
        <v>39</v>
      </c>
      <c r="J575" t="s">
        <v>31</v>
      </c>
      <c r="K575" t="s">
        <v>50</v>
      </c>
      <c r="L575">
        <v>232.48</v>
      </c>
      <c r="M575" t="s">
        <v>33</v>
      </c>
      <c r="N575">
        <f t="shared" si="73"/>
        <v>0</v>
      </c>
      <c r="O575" t="s">
        <v>24</v>
      </c>
      <c r="P575" t="s">
        <v>6142</v>
      </c>
      <c r="Q575">
        <v>0</v>
      </c>
      <c r="R575">
        <v>126</v>
      </c>
      <c r="S575">
        <f t="shared" si="74"/>
        <v>0.80111089334286323</v>
      </c>
      <c r="T575">
        <f t="shared" si="75"/>
        <v>0</v>
      </c>
      <c r="U575">
        <f t="shared" si="76"/>
        <v>0</v>
      </c>
      <c r="V575">
        <f t="shared" si="77"/>
        <v>1</v>
      </c>
      <c r="W575">
        <f t="shared" si="78"/>
        <v>1</v>
      </c>
      <c r="X575">
        <f t="shared" si="79"/>
        <v>0</v>
      </c>
      <c r="Y575">
        <f t="shared" si="80"/>
        <v>0</v>
      </c>
    </row>
    <row r="576" spans="1:25" x14ac:dyDescent="0.3">
      <c r="A576" t="s">
        <v>5612</v>
      </c>
      <c r="B576" t="s">
        <v>5613</v>
      </c>
      <c r="C576" s="1">
        <v>45781</v>
      </c>
      <c r="D576" s="3">
        <v>0.98209490740740746</v>
      </c>
      <c r="E576">
        <f t="shared" si="72"/>
        <v>23</v>
      </c>
      <c r="F576">
        <v>31</v>
      </c>
      <c r="G576" t="s">
        <v>46</v>
      </c>
      <c r="H576" t="s">
        <v>167</v>
      </c>
      <c r="I576" t="s">
        <v>30</v>
      </c>
      <c r="J576" t="s">
        <v>56</v>
      </c>
      <c r="K576" t="s">
        <v>95</v>
      </c>
      <c r="L576">
        <v>232.16</v>
      </c>
      <c r="M576" t="s">
        <v>33</v>
      </c>
      <c r="N576">
        <f t="shared" si="73"/>
        <v>0</v>
      </c>
      <c r="O576" t="s">
        <v>51</v>
      </c>
      <c r="P576" t="s">
        <v>5614</v>
      </c>
      <c r="Q576">
        <v>0</v>
      </c>
      <c r="R576">
        <v>172</v>
      </c>
      <c r="S576">
        <f t="shared" si="74"/>
        <v>0.79668073031051367</v>
      </c>
      <c r="T576">
        <f t="shared" si="75"/>
        <v>0</v>
      </c>
      <c r="U576">
        <f t="shared" si="76"/>
        <v>0</v>
      </c>
      <c r="V576">
        <f t="shared" si="77"/>
        <v>1</v>
      </c>
      <c r="W576">
        <f t="shared" si="78"/>
        <v>1</v>
      </c>
      <c r="X576">
        <f t="shared" si="79"/>
        <v>0</v>
      </c>
      <c r="Y576">
        <f t="shared" si="80"/>
        <v>0</v>
      </c>
    </row>
    <row r="577" spans="1:25" x14ac:dyDescent="0.3">
      <c r="A577" t="s">
        <v>890</v>
      </c>
      <c r="B577" t="s">
        <v>891</v>
      </c>
      <c r="C577" s="1">
        <v>45751</v>
      </c>
      <c r="D577" s="3">
        <v>6.1550925925925926E-2</v>
      </c>
      <c r="E577">
        <f t="shared" si="72"/>
        <v>1</v>
      </c>
      <c r="F577" s="4">
        <v>41</v>
      </c>
      <c r="G577" t="s">
        <v>46</v>
      </c>
      <c r="H577" t="s">
        <v>239</v>
      </c>
      <c r="I577" t="s">
        <v>119</v>
      </c>
      <c r="J577" t="s">
        <v>132</v>
      </c>
      <c r="K577" t="s">
        <v>101</v>
      </c>
      <c r="L577">
        <v>231.96</v>
      </c>
      <c r="M577" t="s">
        <v>23</v>
      </c>
      <c r="N577">
        <f t="shared" si="73"/>
        <v>0</v>
      </c>
      <c r="O577" t="s">
        <v>24</v>
      </c>
      <c r="P577" t="s">
        <v>892</v>
      </c>
      <c r="Q577">
        <v>0</v>
      </c>
      <c r="R577">
        <v>163</v>
      </c>
      <c r="S577">
        <f t="shared" si="74"/>
        <v>0.79391187841529542</v>
      </c>
      <c r="T577">
        <f t="shared" si="75"/>
        <v>0</v>
      </c>
      <c r="U577">
        <f t="shared" si="76"/>
        <v>1</v>
      </c>
      <c r="V577">
        <f t="shared" si="77"/>
        <v>1</v>
      </c>
      <c r="W577">
        <f t="shared" si="78"/>
        <v>3</v>
      </c>
      <c r="X577">
        <f t="shared" si="79"/>
        <v>0</v>
      </c>
      <c r="Y577">
        <f t="shared" si="80"/>
        <v>0</v>
      </c>
    </row>
    <row r="578" spans="1:25" x14ac:dyDescent="0.3">
      <c r="A578" t="s">
        <v>782</v>
      </c>
      <c r="B578" t="s">
        <v>783</v>
      </c>
      <c r="C578" s="1">
        <v>45710</v>
      </c>
      <c r="D578" s="3">
        <v>0.77158564814814812</v>
      </c>
      <c r="E578">
        <f t="shared" ref="E578:E641" si="81">HOUR(D578)</f>
        <v>18</v>
      </c>
      <c r="F578">
        <v>50</v>
      </c>
      <c r="G578" t="s">
        <v>28</v>
      </c>
      <c r="H578" t="s">
        <v>185</v>
      </c>
      <c r="I578" t="s">
        <v>66</v>
      </c>
      <c r="J578" t="s">
        <v>31</v>
      </c>
      <c r="K578" t="s">
        <v>168</v>
      </c>
      <c r="L578">
        <v>231.93</v>
      </c>
      <c r="M578" t="s">
        <v>23</v>
      </c>
      <c r="N578">
        <f t="shared" ref="N578:N641" si="82">IF(M578="Unknown",1,0)</f>
        <v>0</v>
      </c>
      <c r="O578" t="s">
        <v>24</v>
      </c>
      <c r="P578" t="s">
        <v>784</v>
      </c>
      <c r="Q578">
        <v>0</v>
      </c>
      <c r="R578">
        <v>435</v>
      </c>
      <c r="S578">
        <f t="shared" ref="S578:S641" si="83">(L578-$P$2137)/$P$2138</f>
        <v>0.79349655063101254</v>
      </c>
      <c r="T578">
        <f t="shared" ref="T578:T641" si="84">IF(ABS(Z578)&gt;3,1,0)</f>
        <v>0</v>
      </c>
      <c r="U578">
        <f t="shared" ref="U578:U641" si="85">IF(AND(E578&gt;=0,E578&lt;=5),1,0)</f>
        <v>0</v>
      </c>
      <c r="V578">
        <f t="shared" ref="V578:V641" si="86">IF(R578&lt;AVERAGE($R:$R),1,0)</f>
        <v>0</v>
      </c>
      <c r="W578">
        <f t="shared" ref="W578:W641" si="87">T578*3+U578*2+V578*1+N578*2</f>
        <v>0</v>
      </c>
      <c r="X578">
        <f t="shared" ref="X578:X641" si="88">IF(W578&gt;=5,1,0)</f>
        <v>0</v>
      </c>
      <c r="Y578">
        <f t="shared" ref="Y578:Y641" si="89">IF(M578="Unknown",1,0)</f>
        <v>0</v>
      </c>
    </row>
    <row r="579" spans="1:25" x14ac:dyDescent="0.3">
      <c r="A579" t="s">
        <v>1379</v>
      </c>
      <c r="B579" t="s">
        <v>1380</v>
      </c>
      <c r="C579" s="1">
        <v>45796</v>
      </c>
      <c r="D579" s="3">
        <v>0.81888888888888889</v>
      </c>
      <c r="E579">
        <f t="shared" si="81"/>
        <v>19</v>
      </c>
      <c r="F579">
        <v>57</v>
      </c>
      <c r="G579" t="s">
        <v>46</v>
      </c>
      <c r="H579" t="s">
        <v>167</v>
      </c>
      <c r="I579" t="s">
        <v>30</v>
      </c>
      <c r="J579" t="s">
        <v>21</v>
      </c>
      <c r="K579" t="s">
        <v>114</v>
      </c>
      <c r="L579">
        <v>231.74</v>
      </c>
      <c r="M579" t="s">
        <v>115</v>
      </c>
      <c r="N579">
        <f t="shared" si="82"/>
        <v>0</v>
      </c>
      <c r="O579" t="s">
        <v>34</v>
      </c>
      <c r="P579" t="s">
        <v>1381</v>
      </c>
      <c r="Q579">
        <v>0</v>
      </c>
      <c r="R579">
        <v>170</v>
      </c>
      <c r="S579">
        <f t="shared" si="83"/>
        <v>0.79086614133055499</v>
      </c>
      <c r="T579">
        <f t="shared" si="84"/>
        <v>0</v>
      </c>
      <c r="U579">
        <f t="shared" si="85"/>
        <v>0</v>
      </c>
      <c r="V579">
        <f t="shared" si="86"/>
        <v>1</v>
      </c>
      <c r="W579">
        <f t="shared" si="87"/>
        <v>1</v>
      </c>
      <c r="X579">
        <f t="shared" si="88"/>
        <v>0</v>
      </c>
      <c r="Y579">
        <f t="shared" si="89"/>
        <v>0</v>
      </c>
    </row>
    <row r="580" spans="1:25" x14ac:dyDescent="0.3">
      <c r="A580" t="s">
        <v>4370</v>
      </c>
      <c r="B580" t="s">
        <v>4371</v>
      </c>
      <c r="C580" s="1">
        <v>45754</v>
      </c>
      <c r="D580" s="3">
        <v>0.90378472222222217</v>
      </c>
      <c r="E580">
        <f t="shared" si="81"/>
        <v>21</v>
      </c>
      <c r="F580" s="4">
        <v>41</v>
      </c>
      <c r="G580" t="s">
        <v>28</v>
      </c>
      <c r="H580" t="s">
        <v>80</v>
      </c>
      <c r="I580" t="s">
        <v>119</v>
      </c>
      <c r="J580" t="s">
        <v>94</v>
      </c>
      <c r="K580" t="s">
        <v>50</v>
      </c>
      <c r="L580">
        <v>231.65</v>
      </c>
      <c r="M580" t="s">
        <v>42</v>
      </c>
      <c r="N580">
        <f t="shared" si="82"/>
        <v>0</v>
      </c>
      <c r="O580" t="s">
        <v>24</v>
      </c>
      <c r="P580" t="s">
        <v>4372</v>
      </c>
      <c r="Q580">
        <v>0</v>
      </c>
      <c r="R580">
        <v>328</v>
      </c>
      <c r="S580">
        <f t="shared" si="83"/>
        <v>0.78962015797770668</v>
      </c>
      <c r="T580">
        <f t="shared" si="84"/>
        <v>0</v>
      </c>
      <c r="U580">
        <f t="shared" si="85"/>
        <v>0</v>
      </c>
      <c r="V580">
        <f t="shared" si="86"/>
        <v>0</v>
      </c>
      <c r="W580">
        <f t="shared" si="87"/>
        <v>0</v>
      </c>
      <c r="X580">
        <f t="shared" si="88"/>
        <v>0</v>
      </c>
      <c r="Y580">
        <f t="shared" si="89"/>
        <v>0</v>
      </c>
    </row>
    <row r="581" spans="1:25" x14ac:dyDescent="0.3">
      <c r="A581" t="s">
        <v>4928</v>
      </c>
      <c r="B581" t="s">
        <v>4929</v>
      </c>
      <c r="C581" s="1">
        <v>45785</v>
      </c>
      <c r="D581" s="3">
        <v>0.89091435185185186</v>
      </c>
      <c r="E581">
        <f t="shared" si="81"/>
        <v>21</v>
      </c>
      <c r="F581">
        <v>34</v>
      </c>
      <c r="G581" t="s">
        <v>99</v>
      </c>
      <c r="H581" t="s">
        <v>29</v>
      </c>
      <c r="I581" t="s">
        <v>20</v>
      </c>
      <c r="J581" t="s">
        <v>94</v>
      </c>
      <c r="K581" t="s">
        <v>50</v>
      </c>
      <c r="L581">
        <v>231.65</v>
      </c>
      <c r="M581" t="s">
        <v>23</v>
      </c>
      <c r="N581">
        <f t="shared" si="82"/>
        <v>0</v>
      </c>
      <c r="O581" t="s">
        <v>51</v>
      </c>
      <c r="P581" t="s">
        <v>4930</v>
      </c>
      <c r="Q581">
        <v>0</v>
      </c>
      <c r="R581">
        <v>340</v>
      </c>
      <c r="S581">
        <f t="shared" si="83"/>
        <v>0.78962015797770668</v>
      </c>
      <c r="T581">
        <f t="shared" si="84"/>
        <v>0</v>
      </c>
      <c r="U581">
        <f t="shared" si="85"/>
        <v>0</v>
      </c>
      <c r="V581">
        <f t="shared" si="86"/>
        <v>0</v>
      </c>
      <c r="W581">
        <f t="shared" si="87"/>
        <v>0</v>
      </c>
      <c r="X581">
        <f t="shared" si="88"/>
        <v>0</v>
      </c>
      <c r="Y581">
        <f t="shared" si="89"/>
        <v>0</v>
      </c>
    </row>
    <row r="582" spans="1:25" x14ac:dyDescent="0.3">
      <c r="A582" s="2" t="s">
        <v>2918</v>
      </c>
      <c r="B582" t="s">
        <v>2919</v>
      </c>
      <c r="C582" s="1">
        <v>45778</v>
      </c>
      <c r="D582" s="3">
        <v>0.29087962962962965</v>
      </c>
      <c r="E582">
        <f t="shared" si="81"/>
        <v>6</v>
      </c>
      <c r="F582">
        <v>61</v>
      </c>
      <c r="G582" t="s">
        <v>46</v>
      </c>
      <c r="H582" t="s">
        <v>189</v>
      </c>
      <c r="I582" t="s">
        <v>105</v>
      </c>
      <c r="J582" t="s">
        <v>21</v>
      </c>
      <c r="K582" t="s">
        <v>168</v>
      </c>
      <c r="L582">
        <v>231.18</v>
      </c>
      <c r="M582" t="s">
        <v>42</v>
      </c>
      <c r="N582">
        <f t="shared" si="82"/>
        <v>0</v>
      </c>
      <c r="O582" t="s">
        <v>86</v>
      </c>
      <c r="P582" t="s">
        <v>2920</v>
      </c>
      <c r="Q582">
        <v>0</v>
      </c>
      <c r="R582">
        <v>91</v>
      </c>
      <c r="S582">
        <f t="shared" si="83"/>
        <v>0.78311335602394327</v>
      </c>
      <c r="T582">
        <f t="shared" si="84"/>
        <v>0</v>
      </c>
      <c r="U582">
        <f t="shared" si="85"/>
        <v>0</v>
      </c>
      <c r="V582">
        <f t="shared" si="86"/>
        <v>1</v>
      </c>
      <c r="W582">
        <f t="shared" si="87"/>
        <v>1</v>
      </c>
      <c r="X582">
        <f t="shared" si="88"/>
        <v>0</v>
      </c>
      <c r="Y582">
        <f t="shared" si="89"/>
        <v>0</v>
      </c>
    </row>
    <row r="583" spans="1:25" x14ac:dyDescent="0.3">
      <c r="A583" t="s">
        <v>1025</v>
      </c>
      <c r="B583" t="s">
        <v>1026</v>
      </c>
      <c r="C583" s="1">
        <v>45840</v>
      </c>
      <c r="D583" s="3">
        <v>0.92598379629629635</v>
      </c>
      <c r="E583">
        <f t="shared" si="81"/>
        <v>22</v>
      </c>
      <c r="F583">
        <v>20</v>
      </c>
      <c r="G583" t="s">
        <v>60</v>
      </c>
      <c r="H583" t="s">
        <v>239</v>
      </c>
      <c r="I583" t="s">
        <v>20</v>
      </c>
      <c r="J583" t="s">
        <v>132</v>
      </c>
      <c r="K583" t="s">
        <v>114</v>
      </c>
      <c r="L583">
        <v>231.15</v>
      </c>
      <c r="M583" t="s">
        <v>42</v>
      </c>
      <c r="N583">
        <f t="shared" si="82"/>
        <v>0</v>
      </c>
      <c r="O583" t="s">
        <v>34</v>
      </c>
      <c r="P583" t="s">
        <v>1027</v>
      </c>
      <c r="Q583">
        <v>0</v>
      </c>
      <c r="R583">
        <v>309</v>
      </c>
      <c r="S583">
        <f t="shared" si="83"/>
        <v>0.7826980282396605</v>
      </c>
      <c r="T583">
        <f t="shared" si="84"/>
        <v>0</v>
      </c>
      <c r="U583">
        <f t="shared" si="85"/>
        <v>0</v>
      </c>
      <c r="V583">
        <f t="shared" si="86"/>
        <v>0</v>
      </c>
      <c r="W583">
        <f t="shared" si="87"/>
        <v>0</v>
      </c>
      <c r="X583">
        <f t="shared" si="88"/>
        <v>0</v>
      </c>
      <c r="Y583">
        <f t="shared" si="89"/>
        <v>0</v>
      </c>
    </row>
    <row r="584" spans="1:25" x14ac:dyDescent="0.3">
      <c r="A584" t="s">
        <v>2675</v>
      </c>
      <c r="B584" t="s">
        <v>2676</v>
      </c>
      <c r="C584" s="1">
        <v>45842</v>
      </c>
      <c r="D584" s="3">
        <v>0.8407175925925926</v>
      </c>
      <c r="E584">
        <f t="shared" si="81"/>
        <v>20</v>
      </c>
      <c r="F584">
        <v>38</v>
      </c>
      <c r="G584" t="s">
        <v>46</v>
      </c>
      <c r="H584" t="s">
        <v>19</v>
      </c>
      <c r="I584" t="s">
        <v>71</v>
      </c>
      <c r="J584" t="s">
        <v>31</v>
      </c>
      <c r="K584" t="s">
        <v>168</v>
      </c>
      <c r="L584">
        <v>231.14</v>
      </c>
      <c r="M584" t="s">
        <v>115</v>
      </c>
      <c r="N584">
        <f t="shared" si="82"/>
        <v>0</v>
      </c>
      <c r="O584" t="s">
        <v>86</v>
      </c>
      <c r="P584" t="s">
        <v>2677</v>
      </c>
      <c r="Q584">
        <v>0</v>
      </c>
      <c r="R584">
        <v>411</v>
      </c>
      <c r="S584">
        <f t="shared" si="83"/>
        <v>0.78255958564489925</v>
      </c>
      <c r="T584">
        <f t="shared" si="84"/>
        <v>0</v>
      </c>
      <c r="U584">
        <f t="shared" si="85"/>
        <v>0</v>
      </c>
      <c r="V584">
        <f t="shared" si="86"/>
        <v>0</v>
      </c>
      <c r="W584">
        <f t="shared" si="87"/>
        <v>0</v>
      </c>
      <c r="X584">
        <f t="shared" si="88"/>
        <v>0</v>
      </c>
      <c r="Y584">
        <f t="shared" si="89"/>
        <v>0</v>
      </c>
    </row>
    <row r="585" spans="1:25" x14ac:dyDescent="0.3">
      <c r="A585" t="s">
        <v>2816</v>
      </c>
      <c r="B585" t="s">
        <v>2817</v>
      </c>
      <c r="C585" s="1">
        <v>45822</v>
      </c>
      <c r="D585" s="3">
        <v>0.34789351851851852</v>
      </c>
      <c r="E585">
        <f t="shared" si="81"/>
        <v>8</v>
      </c>
      <c r="F585">
        <v>62</v>
      </c>
      <c r="G585" t="s">
        <v>18</v>
      </c>
      <c r="H585" t="s">
        <v>189</v>
      </c>
      <c r="I585" t="s">
        <v>105</v>
      </c>
      <c r="J585" t="s">
        <v>132</v>
      </c>
      <c r="K585" t="s">
        <v>22</v>
      </c>
      <c r="L585">
        <v>231.11</v>
      </c>
      <c r="M585" t="s">
        <v>115</v>
      </c>
      <c r="N585">
        <f t="shared" si="82"/>
        <v>0</v>
      </c>
      <c r="O585" t="s">
        <v>86</v>
      </c>
      <c r="P585" t="s">
        <v>2818</v>
      </c>
      <c r="Q585">
        <v>0</v>
      </c>
      <c r="R585">
        <v>130</v>
      </c>
      <c r="S585">
        <f t="shared" si="83"/>
        <v>0.78214425786061681</v>
      </c>
      <c r="T585">
        <f t="shared" si="84"/>
        <v>0</v>
      </c>
      <c r="U585">
        <f t="shared" si="85"/>
        <v>0</v>
      </c>
      <c r="V585">
        <f t="shared" si="86"/>
        <v>1</v>
      </c>
      <c r="W585">
        <f t="shared" si="87"/>
        <v>1</v>
      </c>
      <c r="X585">
        <f t="shared" si="88"/>
        <v>0</v>
      </c>
      <c r="Y585">
        <f t="shared" si="89"/>
        <v>0</v>
      </c>
    </row>
    <row r="586" spans="1:25" x14ac:dyDescent="0.3">
      <c r="A586" t="s">
        <v>3482</v>
      </c>
      <c r="B586" t="s">
        <v>3483</v>
      </c>
      <c r="C586" s="1">
        <v>45778</v>
      </c>
      <c r="D586" s="3">
        <v>0.85010416666666666</v>
      </c>
      <c r="E586">
        <f t="shared" si="81"/>
        <v>20</v>
      </c>
      <c r="F586">
        <v>44</v>
      </c>
      <c r="G586" t="s">
        <v>18</v>
      </c>
      <c r="H586" t="s">
        <v>131</v>
      </c>
      <c r="I586" t="s">
        <v>20</v>
      </c>
      <c r="J586" t="s">
        <v>76</v>
      </c>
      <c r="K586" t="s">
        <v>50</v>
      </c>
      <c r="L586">
        <v>231.05</v>
      </c>
      <c r="M586" t="s">
        <v>23</v>
      </c>
      <c r="N586">
        <f t="shared" si="82"/>
        <v>0</v>
      </c>
      <c r="O586" t="s">
        <v>24</v>
      </c>
      <c r="P586" t="s">
        <v>3484</v>
      </c>
      <c r="Q586">
        <v>0</v>
      </c>
      <c r="R586">
        <v>259</v>
      </c>
      <c r="S586">
        <f t="shared" si="83"/>
        <v>0.78131360229205127</v>
      </c>
      <c r="T586">
        <f t="shared" si="84"/>
        <v>0</v>
      </c>
      <c r="U586">
        <f t="shared" si="85"/>
        <v>0</v>
      </c>
      <c r="V586">
        <f t="shared" si="86"/>
        <v>1</v>
      </c>
      <c r="W586">
        <f t="shared" si="87"/>
        <v>1</v>
      </c>
      <c r="X586">
        <f t="shared" si="88"/>
        <v>0</v>
      </c>
      <c r="Y586">
        <f t="shared" si="89"/>
        <v>0</v>
      </c>
    </row>
    <row r="587" spans="1:25" x14ac:dyDescent="0.3">
      <c r="A587" t="s">
        <v>4994</v>
      </c>
      <c r="B587" t="s">
        <v>4995</v>
      </c>
      <c r="C587" s="1">
        <v>45731</v>
      </c>
      <c r="D587" s="3">
        <v>2.4571759259259258E-2</v>
      </c>
      <c r="E587">
        <f t="shared" si="81"/>
        <v>0</v>
      </c>
      <c r="F587">
        <v>51</v>
      </c>
      <c r="G587" t="s">
        <v>6479</v>
      </c>
      <c r="H587" t="s">
        <v>312</v>
      </c>
      <c r="I587" t="s">
        <v>66</v>
      </c>
      <c r="J587" t="s">
        <v>49</v>
      </c>
      <c r="K587" t="s">
        <v>62</v>
      </c>
      <c r="L587">
        <v>231</v>
      </c>
      <c r="M587" t="s">
        <v>115</v>
      </c>
      <c r="N587">
        <f t="shared" si="82"/>
        <v>0</v>
      </c>
      <c r="O587" t="s">
        <v>24</v>
      </c>
      <c r="P587" t="s">
        <v>4996</v>
      </c>
      <c r="Q587">
        <v>0</v>
      </c>
      <c r="R587">
        <v>132</v>
      </c>
      <c r="S587">
        <f t="shared" si="83"/>
        <v>0.78062138931824654</v>
      </c>
      <c r="T587">
        <f t="shared" si="84"/>
        <v>0</v>
      </c>
      <c r="U587">
        <f t="shared" si="85"/>
        <v>1</v>
      </c>
      <c r="V587">
        <f t="shared" si="86"/>
        <v>1</v>
      </c>
      <c r="W587">
        <f t="shared" si="87"/>
        <v>3</v>
      </c>
      <c r="X587">
        <f t="shared" si="88"/>
        <v>0</v>
      </c>
      <c r="Y587">
        <f t="shared" si="89"/>
        <v>0</v>
      </c>
    </row>
    <row r="588" spans="1:25" x14ac:dyDescent="0.3">
      <c r="A588" t="s">
        <v>4727</v>
      </c>
      <c r="B588" t="s">
        <v>4728</v>
      </c>
      <c r="C588" s="1">
        <v>45786</v>
      </c>
      <c r="D588" s="3">
        <v>0.43309027777777775</v>
      </c>
      <c r="E588">
        <f t="shared" si="81"/>
        <v>10</v>
      </c>
      <c r="F588">
        <v>63</v>
      </c>
      <c r="G588" t="s">
        <v>60</v>
      </c>
      <c r="H588" t="s">
        <v>232</v>
      </c>
      <c r="I588" t="s">
        <v>110</v>
      </c>
      <c r="J588" t="s">
        <v>31</v>
      </c>
      <c r="K588" t="s">
        <v>41</v>
      </c>
      <c r="L588">
        <v>230.98</v>
      </c>
      <c r="M588" t="s">
        <v>23</v>
      </c>
      <c r="N588">
        <f t="shared" si="82"/>
        <v>0</v>
      </c>
      <c r="O588" t="s">
        <v>51</v>
      </c>
      <c r="P588" t="s">
        <v>4729</v>
      </c>
      <c r="Q588">
        <v>0</v>
      </c>
      <c r="R588">
        <v>210</v>
      </c>
      <c r="S588">
        <f t="shared" si="83"/>
        <v>0.78034450412872447</v>
      </c>
      <c r="T588">
        <f t="shared" si="84"/>
        <v>0</v>
      </c>
      <c r="U588">
        <f t="shared" si="85"/>
        <v>0</v>
      </c>
      <c r="V588">
        <f t="shared" si="86"/>
        <v>1</v>
      </c>
      <c r="W588">
        <f t="shared" si="87"/>
        <v>1</v>
      </c>
      <c r="X588">
        <f t="shared" si="88"/>
        <v>0</v>
      </c>
      <c r="Y588">
        <f t="shared" si="89"/>
        <v>0</v>
      </c>
    </row>
    <row r="589" spans="1:25" x14ac:dyDescent="0.3">
      <c r="A589" t="s">
        <v>3236</v>
      </c>
      <c r="B589" t="s">
        <v>3237</v>
      </c>
      <c r="C589" s="1">
        <v>45743</v>
      </c>
      <c r="D589" s="3">
        <v>0.81482638888888892</v>
      </c>
      <c r="E589">
        <f t="shared" si="81"/>
        <v>19</v>
      </c>
      <c r="F589">
        <v>28</v>
      </c>
      <c r="G589" t="s">
        <v>99</v>
      </c>
      <c r="H589" t="s">
        <v>90</v>
      </c>
      <c r="I589" t="s">
        <v>20</v>
      </c>
      <c r="J589" t="s">
        <v>72</v>
      </c>
      <c r="K589" t="s">
        <v>32</v>
      </c>
      <c r="L589">
        <v>230.73</v>
      </c>
      <c r="M589" t="s">
        <v>33</v>
      </c>
      <c r="N589">
        <f t="shared" si="82"/>
        <v>0</v>
      </c>
      <c r="O589" t="s">
        <v>51</v>
      </c>
      <c r="P589" t="s">
        <v>3238</v>
      </c>
      <c r="Q589">
        <v>1</v>
      </c>
      <c r="R589">
        <v>131</v>
      </c>
      <c r="S589">
        <f t="shared" si="83"/>
        <v>0.77688343925970138</v>
      </c>
      <c r="T589">
        <f t="shared" si="84"/>
        <v>0</v>
      </c>
      <c r="U589">
        <f t="shared" si="85"/>
        <v>0</v>
      </c>
      <c r="V589">
        <f t="shared" si="86"/>
        <v>1</v>
      </c>
      <c r="W589">
        <f t="shared" si="87"/>
        <v>1</v>
      </c>
      <c r="X589">
        <f t="shared" si="88"/>
        <v>0</v>
      </c>
      <c r="Y589">
        <f t="shared" si="89"/>
        <v>0</v>
      </c>
    </row>
    <row r="590" spans="1:25" x14ac:dyDescent="0.3">
      <c r="A590" t="s">
        <v>1019</v>
      </c>
      <c r="B590" t="s">
        <v>1020</v>
      </c>
      <c r="C590" s="1">
        <v>45716</v>
      </c>
      <c r="D590" s="3">
        <v>0.99201388888888886</v>
      </c>
      <c r="E590">
        <f t="shared" si="81"/>
        <v>23</v>
      </c>
      <c r="F590">
        <v>25</v>
      </c>
      <c r="G590" t="s">
        <v>46</v>
      </c>
      <c r="H590" t="s">
        <v>38</v>
      </c>
      <c r="I590" t="s">
        <v>110</v>
      </c>
      <c r="J590" t="s">
        <v>127</v>
      </c>
      <c r="K590" t="s">
        <v>95</v>
      </c>
      <c r="L590">
        <v>230.66</v>
      </c>
      <c r="M590" t="s">
        <v>115</v>
      </c>
      <c r="N590">
        <f t="shared" si="82"/>
        <v>0</v>
      </c>
      <c r="O590" t="s">
        <v>34</v>
      </c>
      <c r="P590" t="s">
        <v>1021</v>
      </c>
      <c r="Q590">
        <v>0</v>
      </c>
      <c r="R590">
        <v>449</v>
      </c>
      <c r="S590">
        <f t="shared" si="83"/>
        <v>0.77591434109637503</v>
      </c>
      <c r="T590">
        <f t="shared" si="84"/>
        <v>0</v>
      </c>
      <c r="U590">
        <f t="shared" si="85"/>
        <v>0</v>
      </c>
      <c r="V590">
        <f t="shared" si="86"/>
        <v>0</v>
      </c>
      <c r="W590">
        <f t="shared" si="87"/>
        <v>0</v>
      </c>
      <c r="X590">
        <f t="shared" si="88"/>
        <v>0</v>
      </c>
      <c r="Y590">
        <f t="shared" si="89"/>
        <v>0</v>
      </c>
    </row>
    <row r="591" spans="1:25" x14ac:dyDescent="0.3">
      <c r="A591" t="s">
        <v>1220</v>
      </c>
      <c r="B591" t="s">
        <v>1221</v>
      </c>
      <c r="C591" s="1">
        <v>45814</v>
      </c>
      <c r="D591" s="3">
        <v>0.6368287037037037</v>
      </c>
      <c r="E591">
        <f t="shared" si="81"/>
        <v>15</v>
      </c>
      <c r="F591">
        <v>34</v>
      </c>
      <c r="G591" t="s">
        <v>18</v>
      </c>
      <c r="H591" t="s">
        <v>175</v>
      </c>
      <c r="I591" t="s">
        <v>71</v>
      </c>
      <c r="J591" t="s">
        <v>56</v>
      </c>
      <c r="K591" t="s">
        <v>101</v>
      </c>
      <c r="L591">
        <v>230.56</v>
      </c>
      <c r="M591" t="s">
        <v>42</v>
      </c>
      <c r="N591">
        <f t="shared" si="82"/>
        <v>0</v>
      </c>
      <c r="O591" t="s">
        <v>24</v>
      </c>
      <c r="P591" t="s">
        <v>1222</v>
      </c>
      <c r="Q591">
        <v>0</v>
      </c>
      <c r="R591">
        <v>446</v>
      </c>
      <c r="S591">
        <f t="shared" si="83"/>
        <v>0.7745299151487659</v>
      </c>
      <c r="T591">
        <f t="shared" si="84"/>
        <v>0</v>
      </c>
      <c r="U591">
        <f t="shared" si="85"/>
        <v>0</v>
      </c>
      <c r="V591">
        <f t="shared" si="86"/>
        <v>0</v>
      </c>
      <c r="W591">
        <f t="shared" si="87"/>
        <v>0</v>
      </c>
      <c r="X591">
        <f t="shared" si="88"/>
        <v>0</v>
      </c>
      <c r="Y591">
        <f t="shared" si="89"/>
        <v>0</v>
      </c>
    </row>
    <row r="592" spans="1:25" x14ac:dyDescent="0.3">
      <c r="A592" t="s">
        <v>1223</v>
      </c>
      <c r="B592" t="s">
        <v>1224</v>
      </c>
      <c r="C592" s="1">
        <v>45841</v>
      </c>
      <c r="D592" s="3">
        <v>0.11387731481481482</v>
      </c>
      <c r="E592">
        <f t="shared" si="81"/>
        <v>2</v>
      </c>
      <c r="F592">
        <v>57</v>
      </c>
      <c r="G592" t="s">
        <v>18</v>
      </c>
      <c r="H592" t="s">
        <v>47</v>
      </c>
      <c r="I592" t="s">
        <v>85</v>
      </c>
      <c r="J592" t="s">
        <v>132</v>
      </c>
      <c r="K592" t="s">
        <v>101</v>
      </c>
      <c r="L592">
        <v>230.51</v>
      </c>
      <c r="M592" t="s">
        <v>23</v>
      </c>
      <c r="N592">
        <f t="shared" si="82"/>
        <v>0</v>
      </c>
      <c r="O592" t="s">
        <v>34</v>
      </c>
      <c r="P592" t="s">
        <v>1225</v>
      </c>
      <c r="Q592">
        <v>0</v>
      </c>
      <c r="R592">
        <v>138</v>
      </c>
      <c r="S592">
        <f t="shared" si="83"/>
        <v>0.77383770217496106</v>
      </c>
      <c r="T592">
        <f t="shared" si="84"/>
        <v>0</v>
      </c>
      <c r="U592">
        <f t="shared" si="85"/>
        <v>1</v>
      </c>
      <c r="V592">
        <f t="shared" si="86"/>
        <v>1</v>
      </c>
      <c r="W592">
        <f t="shared" si="87"/>
        <v>3</v>
      </c>
      <c r="X592">
        <f t="shared" si="88"/>
        <v>0</v>
      </c>
      <c r="Y592">
        <f t="shared" si="89"/>
        <v>0</v>
      </c>
    </row>
    <row r="593" spans="1:25" x14ac:dyDescent="0.3">
      <c r="A593" t="s">
        <v>4502</v>
      </c>
      <c r="B593" t="s">
        <v>4503</v>
      </c>
      <c r="C593" s="1">
        <v>45859</v>
      </c>
      <c r="D593" s="3">
        <v>0.97568287037037038</v>
      </c>
      <c r="E593">
        <f t="shared" si="81"/>
        <v>23</v>
      </c>
      <c r="F593">
        <v>35</v>
      </c>
      <c r="G593" t="s">
        <v>28</v>
      </c>
      <c r="H593" t="s">
        <v>90</v>
      </c>
      <c r="I593" t="s">
        <v>39</v>
      </c>
      <c r="J593" t="s">
        <v>76</v>
      </c>
      <c r="K593" t="s">
        <v>114</v>
      </c>
      <c r="L593">
        <v>230.47</v>
      </c>
      <c r="M593" t="s">
        <v>33</v>
      </c>
      <c r="N593">
        <f t="shared" si="82"/>
        <v>0</v>
      </c>
      <c r="O593" t="s">
        <v>24</v>
      </c>
      <c r="P593" t="s">
        <v>4504</v>
      </c>
      <c r="Q593">
        <v>1</v>
      </c>
      <c r="R593">
        <v>421</v>
      </c>
      <c r="S593">
        <f t="shared" si="83"/>
        <v>0.77328393179591748</v>
      </c>
      <c r="T593">
        <f t="shared" si="84"/>
        <v>0</v>
      </c>
      <c r="U593">
        <f t="shared" si="85"/>
        <v>0</v>
      </c>
      <c r="V593">
        <f t="shared" si="86"/>
        <v>0</v>
      </c>
      <c r="W593">
        <f t="shared" si="87"/>
        <v>0</v>
      </c>
      <c r="X593">
        <f t="shared" si="88"/>
        <v>0</v>
      </c>
      <c r="Y593">
        <f t="shared" si="89"/>
        <v>0</v>
      </c>
    </row>
    <row r="594" spans="1:25" x14ac:dyDescent="0.3">
      <c r="A594" t="s">
        <v>1673</v>
      </c>
      <c r="B594" t="s">
        <v>1674</v>
      </c>
      <c r="C594" s="1">
        <v>45831</v>
      </c>
      <c r="D594" s="3">
        <v>0.17560185185185184</v>
      </c>
      <c r="E594">
        <f t="shared" si="81"/>
        <v>4</v>
      </c>
      <c r="F594">
        <v>40</v>
      </c>
      <c r="G594" t="s">
        <v>18</v>
      </c>
      <c r="H594" t="s">
        <v>84</v>
      </c>
      <c r="I594" t="s">
        <v>119</v>
      </c>
      <c r="J594" t="s">
        <v>76</v>
      </c>
      <c r="K594" t="s">
        <v>32</v>
      </c>
      <c r="L594">
        <v>230.42</v>
      </c>
      <c r="M594" t="s">
        <v>23</v>
      </c>
      <c r="N594">
        <f t="shared" si="82"/>
        <v>0</v>
      </c>
      <c r="O594" t="s">
        <v>86</v>
      </c>
      <c r="P594" t="s">
        <v>1675</v>
      </c>
      <c r="Q594">
        <v>1</v>
      </c>
      <c r="R594">
        <v>385</v>
      </c>
      <c r="S594">
        <f t="shared" si="83"/>
        <v>0.77259171882211275</v>
      </c>
      <c r="T594">
        <f t="shared" si="84"/>
        <v>0</v>
      </c>
      <c r="U594">
        <f t="shared" si="85"/>
        <v>1</v>
      </c>
      <c r="V594">
        <f t="shared" si="86"/>
        <v>0</v>
      </c>
      <c r="W594">
        <f t="shared" si="87"/>
        <v>2</v>
      </c>
      <c r="X594">
        <f t="shared" si="88"/>
        <v>0</v>
      </c>
      <c r="Y594">
        <f t="shared" si="89"/>
        <v>0</v>
      </c>
    </row>
    <row r="595" spans="1:25" x14ac:dyDescent="0.3">
      <c r="A595" t="s">
        <v>1955</v>
      </c>
      <c r="B595" t="s">
        <v>1956</v>
      </c>
      <c r="C595" s="1">
        <v>45831</v>
      </c>
      <c r="D595" s="3">
        <v>0.5692476851851852</v>
      </c>
      <c r="E595">
        <f t="shared" si="81"/>
        <v>13</v>
      </c>
      <c r="F595">
        <v>26</v>
      </c>
      <c r="G595" t="s">
        <v>46</v>
      </c>
      <c r="H595" t="s">
        <v>175</v>
      </c>
      <c r="I595" t="s">
        <v>30</v>
      </c>
      <c r="J595" t="s">
        <v>127</v>
      </c>
      <c r="K595" t="s">
        <v>101</v>
      </c>
      <c r="L595">
        <v>230.17</v>
      </c>
      <c r="M595" t="s">
        <v>42</v>
      </c>
      <c r="N595">
        <f t="shared" si="82"/>
        <v>0</v>
      </c>
      <c r="O595" t="s">
        <v>86</v>
      </c>
      <c r="P595" t="s">
        <v>1957</v>
      </c>
      <c r="Q595">
        <v>0</v>
      </c>
      <c r="R595">
        <v>485</v>
      </c>
      <c r="S595">
        <f t="shared" si="83"/>
        <v>0.76913065395308955</v>
      </c>
      <c r="T595">
        <f t="shared" si="84"/>
        <v>0</v>
      </c>
      <c r="U595">
        <f t="shared" si="85"/>
        <v>0</v>
      </c>
      <c r="V595">
        <f t="shared" si="86"/>
        <v>0</v>
      </c>
      <c r="W595">
        <f t="shared" si="87"/>
        <v>0</v>
      </c>
      <c r="X595">
        <f t="shared" si="88"/>
        <v>0</v>
      </c>
      <c r="Y595">
        <f t="shared" si="89"/>
        <v>0</v>
      </c>
    </row>
    <row r="596" spans="1:25" x14ac:dyDescent="0.3">
      <c r="A596" t="s">
        <v>4775</v>
      </c>
      <c r="B596" t="s">
        <v>4776</v>
      </c>
      <c r="C596" s="1">
        <v>45741</v>
      </c>
      <c r="D596" s="3">
        <v>0.63121527777777775</v>
      </c>
      <c r="E596">
        <f t="shared" si="81"/>
        <v>15</v>
      </c>
      <c r="F596">
        <v>62</v>
      </c>
      <c r="G596" t="s">
        <v>60</v>
      </c>
      <c r="H596" t="s">
        <v>38</v>
      </c>
      <c r="I596" t="s">
        <v>48</v>
      </c>
      <c r="J596" t="s">
        <v>21</v>
      </c>
      <c r="K596" t="s">
        <v>32</v>
      </c>
      <c r="L596">
        <v>230</v>
      </c>
      <c r="M596" t="s">
        <v>42</v>
      </c>
      <c r="N596">
        <f t="shared" si="82"/>
        <v>0</v>
      </c>
      <c r="O596" t="s">
        <v>34</v>
      </c>
      <c r="P596" t="s">
        <v>4777</v>
      </c>
      <c r="Q596">
        <v>0</v>
      </c>
      <c r="R596">
        <v>402</v>
      </c>
      <c r="S596">
        <f t="shared" si="83"/>
        <v>0.76677712984215407</v>
      </c>
      <c r="T596">
        <f t="shared" si="84"/>
        <v>0</v>
      </c>
      <c r="U596">
        <f t="shared" si="85"/>
        <v>0</v>
      </c>
      <c r="V596">
        <f t="shared" si="86"/>
        <v>0</v>
      </c>
      <c r="W596">
        <f t="shared" si="87"/>
        <v>0</v>
      </c>
      <c r="X596">
        <f t="shared" si="88"/>
        <v>0</v>
      </c>
      <c r="Y596">
        <f t="shared" si="89"/>
        <v>0</v>
      </c>
    </row>
    <row r="597" spans="1:25" x14ac:dyDescent="0.3">
      <c r="A597" t="s">
        <v>283</v>
      </c>
      <c r="B597" t="s">
        <v>284</v>
      </c>
      <c r="C597" s="1">
        <v>45727</v>
      </c>
      <c r="D597" s="3">
        <v>4.8935185185185186E-2</v>
      </c>
      <c r="E597">
        <f t="shared" si="81"/>
        <v>1</v>
      </c>
      <c r="F597" s="4">
        <v>41</v>
      </c>
      <c r="G597" t="s">
        <v>28</v>
      </c>
      <c r="H597" t="s">
        <v>142</v>
      </c>
      <c r="I597" t="s">
        <v>39</v>
      </c>
      <c r="J597" t="s">
        <v>72</v>
      </c>
      <c r="K597" t="s">
        <v>114</v>
      </c>
      <c r="L597">
        <v>229.8</v>
      </c>
      <c r="M597" t="s">
        <v>6479</v>
      </c>
      <c r="N597">
        <f t="shared" si="82"/>
        <v>1</v>
      </c>
      <c r="O597" t="s">
        <v>34</v>
      </c>
      <c r="P597" t="s">
        <v>285</v>
      </c>
      <c r="Q597">
        <v>0</v>
      </c>
      <c r="R597">
        <v>234</v>
      </c>
      <c r="S597">
        <f t="shared" si="83"/>
        <v>0.76400827794693571</v>
      </c>
      <c r="T597">
        <f t="shared" si="84"/>
        <v>0</v>
      </c>
      <c r="U597">
        <f t="shared" si="85"/>
        <v>1</v>
      </c>
      <c r="V597">
        <f t="shared" si="86"/>
        <v>1</v>
      </c>
      <c r="W597">
        <f t="shared" si="87"/>
        <v>5</v>
      </c>
      <c r="X597">
        <f t="shared" si="88"/>
        <v>1</v>
      </c>
      <c r="Y597">
        <f t="shared" si="89"/>
        <v>1</v>
      </c>
    </row>
    <row r="598" spans="1:25" x14ac:dyDescent="0.3">
      <c r="A598" t="s">
        <v>2795</v>
      </c>
      <c r="B598" t="s">
        <v>2796</v>
      </c>
      <c r="C598" s="1">
        <v>45734</v>
      </c>
      <c r="D598" s="3">
        <v>0.17208333333333334</v>
      </c>
      <c r="E598">
        <f t="shared" si="81"/>
        <v>4</v>
      </c>
      <c r="F598">
        <v>24</v>
      </c>
      <c r="G598" t="s">
        <v>28</v>
      </c>
      <c r="H598" t="s">
        <v>80</v>
      </c>
      <c r="I598" t="s">
        <v>85</v>
      </c>
      <c r="J598" t="s">
        <v>21</v>
      </c>
      <c r="K598" t="s">
        <v>32</v>
      </c>
      <c r="L598">
        <v>229.75</v>
      </c>
      <c r="M598" t="s">
        <v>115</v>
      </c>
      <c r="N598">
        <f t="shared" si="82"/>
        <v>0</v>
      </c>
      <c r="O598" t="s">
        <v>51</v>
      </c>
      <c r="P598" t="s">
        <v>2797</v>
      </c>
      <c r="Q598">
        <v>0</v>
      </c>
      <c r="R598">
        <v>130</v>
      </c>
      <c r="S598">
        <f t="shared" si="83"/>
        <v>0.76331606497313098</v>
      </c>
      <c r="T598">
        <f t="shared" si="84"/>
        <v>0</v>
      </c>
      <c r="U598">
        <f t="shared" si="85"/>
        <v>1</v>
      </c>
      <c r="V598">
        <f t="shared" si="86"/>
        <v>1</v>
      </c>
      <c r="W598">
        <f t="shared" si="87"/>
        <v>3</v>
      </c>
      <c r="X598">
        <f t="shared" si="88"/>
        <v>0</v>
      </c>
      <c r="Y598">
        <f t="shared" si="89"/>
        <v>0</v>
      </c>
    </row>
    <row r="599" spans="1:25" x14ac:dyDescent="0.3">
      <c r="A599" t="s">
        <v>5396</v>
      </c>
      <c r="B599" t="s">
        <v>5397</v>
      </c>
      <c r="C599" s="1">
        <v>45867</v>
      </c>
      <c r="D599" s="3">
        <v>0.95993055555555551</v>
      </c>
      <c r="E599">
        <f t="shared" si="81"/>
        <v>23</v>
      </c>
      <c r="F599" s="4">
        <v>41</v>
      </c>
      <c r="G599" t="s">
        <v>46</v>
      </c>
      <c r="H599" t="s">
        <v>100</v>
      </c>
      <c r="I599" t="s">
        <v>30</v>
      </c>
      <c r="J599" t="s">
        <v>127</v>
      </c>
      <c r="K599" t="s">
        <v>120</v>
      </c>
      <c r="L599">
        <v>229.57</v>
      </c>
      <c r="M599" t="s">
        <v>23</v>
      </c>
      <c r="N599">
        <f t="shared" si="82"/>
        <v>0</v>
      </c>
      <c r="O599" t="s">
        <v>24</v>
      </c>
      <c r="P599" t="s">
        <v>5398</v>
      </c>
      <c r="Q599">
        <v>0</v>
      </c>
      <c r="R599">
        <v>68</v>
      </c>
      <c r="S599">
        <f t="shared" si="83"/>
        <v>0.76082409826743425</v>
      </c>
      <c r="T599">
        <f t="shared" si="84"/>
        <v>0</v>
      </c>
      <c r="U599">
        <f t="shared" si="85"/>
        <v>0</v>
      </c>
      <c r="V599">
        <f t="shared" si="86"/>
        <v>1</v>
      </c>
      <c r="W599">
        <f t="shared" si="87"/>
        <v>1</v>
      </c>
      <c r="X599">
        <f t="shared" si="88"/>
        <v>0</v>
      </c>
      <c r="Y599">
        <f t="shared" si="89"/>
        <v>0</v>
      </c>
    </row>
    <row r="600" spans="1:25" x14ac:dyDescent="0.3">
      <c r="A600" t="s">
        <v>6266</v>
      </c>
      <c r="B600" t="s">
        <v>6267</v>
      </c>
      <c r="C600" s="1">
        <v>45803</v>
      </c>
      <c r="D600" s="3">
        <v>0.65758101851851847</v>
      </c>
      <c r="E600">
        <f t="shared" si="81"/>
        <v>15</v>
      </c>
      <c r="F600">
        <v>25</v>
      </c>
      <c r="G600" t="s">
        <v>60</v>
      </c>
      <c r="H600" t="s">
        <v>185</v>
      </c>
      <c r="I600" t="s">
        <v>66</v>
      </c>
      <c r="J600" t="s">
        <v>76</v>
      </c>
      <c r="K600" t="s">
        <v>120</v>
      </c>
      <c r="L600">
        <v>229.49</v>
      </c>
      <c r="M600" t="s">
        <v>42</v>
      </c>
      <c r="N600">
        <f t="shared" si="82"/>
        <v>0</v>
      </c>
      <c r="O600" t="s">
        <v>24</v>
      </c>
      <c r="P600" t="s">
        <v>6268</v>
      </c>
      <c r="Q600">
        <v>0</v>
      </c>
      <c r="R600">
        <v>490</v>
      </c>
      <c r="S600">
        <f t="shared" si="83"/>
        <v>0.75971655750934708</v>
      </c>
      <c r="T600">
        <f t="shared" si="84"/>
        <v>0</v>
      </c>
      <c r="U600">
        <f t="shared" si="85"/>
        <v>0</v>
      </c>
      <c r="V600">
        <f t="shared" si="86"/>
        <v>0</v>
      </c>
      <c r="W600">
        <f t="shared" si="87"/>
        <v>0</v>
      </c>
      <c r="X600">
        <f t="shared" si="88"/>
        <v>0</v>
      </c>
      <c r="Y600">
        <f t="shared" si="89"/>
        <v>0</v>
      </c>
    </row>
    <row r="601" spans="1:25" x14ac:dyDescent="0.3">
      <c r="A601" t="s">
        <v>680</v>
      </c>
      <c r="B601" t="s">
        <v>681</v>
      </c>
      <c r="C601" s="1">
        <v>45744</v>
      </c>
      <c r="D601" s="3">
        <v>0.87320601851851853</v>
      </c>
      <c r="E601">
        <f t="shared" si="81"/>
        <v>20</v>
      </c>
      <c r="F601">
        <v>58</v>
      </c>
      <c r="G601" t="s">
        <v>46</v>
      </c>
      <c r="H601" t="s">
        <v>185</v>
      </c>
      <c r="I601" t="s">
        <v>30</v>
      </c>
      <c r="J601" t="s">
        <v>31</v>
      </c>
      <c r="K601" t="s">
        <v>32</v>
      </c>
      <c r="L601">
        <v>229.32</v>
      </c>
      <c r="M601" t="s">
        <v>115</v>
      </c>
      <c r="N601">
        <f t="shared" si="82"/>
        <v>0</v>
      </c>
      <c r="O601" t="s">
        <v>34</v>
      </c>
      <c r="P601" t="s">
        <v>682</v>
      </c>
      <c r="Q601">
        <v>0</v>
      </c>
      <c r="R601">
        <v>134</v>
      </c>
      <c r="S601">
        <f t="shared" si="83"/>
        <v>0.75736303339841105</v>
      </c>
      <c r="T601">
        <f t="shared" si="84"/>
        <v>0</v>
      </c>
      <c r="U601">
        <f t="shared" si="85"/>
        <v>0</v>
      </c>
      <c r="V601">
        <f t="shared" si="86"/>
        <v>1</v>
      </c>
      <c r="W601">
        <f t="shared" si="87"/>
        <v>1</v>
      </c>
      <c r="X601">
        <f t="shared" si="88"/>
        <v>0</v>
      </c>
      <c r="Y601">
        <f t="shared" si="89"/>
        <v>0</v>
      </c>
    </row>
    <row r="602" spans="1:25" x14ac:dyDescent="0.3">
      <c r="A602" t="s">
        <v>4376</v>
      </c>
      <c r="B602" t="s">
        <v>4377</v>
      </c>
      <c r="C602" s="1">
        <v>45843</v>
      </c>
      <c r="D602" s="3">
        <v>7.2604166666666664E-2</v>
      </c>
      <c r="E602">
        <f t="shared" si="81"/>
        <v>1</v>
      </c>
      <c r="F602" s="4">
        <v>41</v>
      </c>
      <c r="G602" t="s">
        <v>46</v>
      </c>
      <c r="H602" t="s">
        <v>38</v>
      </c>
      <c r="I602" t="s">
        <v>20</v>
      </c>
      <c r="J602" t="s">
        <v>21</v>
      </c>
      <c r="K602" t="s">
        <v>168</v>
      </c>
      <c r="L602">
        <v>229.09</v>
      </c>
      <c r="M602" t="s">
        <v>33</v>
      </c>
      <c r="N602">
        <f t="shared" si="82"/>
        <v>0</v>
      </c>
      <c r="O602" t="s">
        <v>34</v>
      </c>
      <c r="P602" t="s">
        <v>4378</v>
      </c>
      <c r="Q602">
        <v>0</v>
      </c>
      <c r="R602">
        <v>370</v>
      </c>
      <c r="S602">
        <f t="shared" si="83"/>
        <v>0.75417885371890991</v>
      </c>
      <c r="T602">
        <f t="shared" si="84"/>
        <v>0</v>
      </c>
      <c r="U602">
        <f t="shared" si="85"/>
        <v>1</v>
      </c>
      <c r="V602">
        <f t="shared" si="86"/>
        <v>0</v>
      </c>
      <c r="W602">
        <f t="shared" si="87"/>
        <v>2</v>
      </c>
      <c r="X602">
        <f t="shared" si="88"/>
        <v>0</v>
      </c>
      <c r="Y602">
        <f t="shared" si="89"/>
        <v>0</v>
      </c>
    </row>
    <row r="603" spans="1:25" x14ac:dyDescent="0.3">
      <c r="A603" t="s">
        <v>4190</v>
      </c>
      <c r="B603" t="s">
        <v>4191</v>
      </c>
      <c r="C603" s="1">
        <v>45806</v>
      </c>
      <c r="D603" s="3">
        <v>0.29462962962962963</v>
      </c>
      <c r="E603">
        <f t="shared" si="81"/>
        <v>7</v>
      </c>
      <c r="F603">
        <v>38</v>
      </c>
      <c r="G603" t="s">
        <v>46</v>
      </c>
      <c r="H603" t="s">
        <v>80</v>
      </c>
      <c r="I603" t="s">
        <v>48</v>
      </c>
      <c r="J603" t="s">
        <v>49</v>
      </c>
      <c r="K603" t="s">
        <v>114</v>
      </c>
      <c r="L603">
        <v>228.86</v>
      </c>
      <c r="M603" t="s">
        <v>23</v>
      </c>
      <c r="N603">
        <f t="shared" si="82"/>
        <v>0</v>
      </c>
      <c r="O603" t="s">
        <v>24</v>
      </c>
      <c r="P603" t="s">
        <v>4192</v>
      </c>
      <c r="Q603">
        <v>0</v>
      </c>
      <c r="R603">
        <v>133</v>
      </c>
      <c r="S603">
        <f t="shared" si="83"/>
        <v>0.75099467403940889</v>
      </c>
      <c r="T603">
        <f t="shared" si="84"/>
        <v>0</v>
      </c>
      <c r="U603">
        <f t="shared" si="85"/>
        <v>0</v>
      </c>
      <c r="V603">
        <f t="shared" si="86"/>
        <v>1</v>
      </c>
      <c r="W603">
        <f t="shared" si="87"/>
        <v>1</v>
      </c>
      <c r="X603">
        <f t="shared" si="88"/>
        <v>0</v>
      </c>
      <c r="Y603">
        <f t="shared" si="89"/>
        <v>0</v>
      </c>
    </row>
    <row r="604" spans="1:25" x14ac:dyDescent="0.3">
      <c r="A604" t="s">
        <v>4016</v>
      </c>
      <c r="B604" t="s">
        <v>4017</v>
      </c>
      <c r="C604" s="1">
        <v>45777</v>
      </c>
      <c r="D604" s="3">
        <v>0.80942129629629633</v>
      </c>
      <c r="E604">
        <f t="shared" si="81"/>
        <v>19</v>
      </c>
      <c r="F604">
        <v>36</v>
      </c>
      <c r="G604" t="s">
        <v>18</v>
      </c>
      <c r="H604" t="s">
        <v>38</v>
      </c>
      <c r="I604" t="s">
        <v>20</v>
      </c>
      <c r="J604" t="s">
        <v>49</v>
      </c>
      <c r="K604" t="s">
        <v>22</v>
      </c>
      <c r="L604">
        <v>228.81</v>
      </c>
      <c r="M604" t="s">
        <v>42</v>
      </c>
      <c r="N604">
        <f t="shared" si="82"/>
        <v>0</v>
      </c>
      <c r="O604" t="s">
        <v>24</v>
      </c>
      <c r="P604" t="s">
        <v>4018</v>
      </c>
      <c r="Q604">
        <v>0</v>
      </c>
      <c r="R604">
        <v>82</v>
      </c>
      <c r="S604">
        <f t="shared" si="83"/>
        <v>0.75030246106560405</v>
      </c>
      <c r="T604">
        <f t="shared" si="84"/>
        <v>0</v>
      </c>
      <c r="U604">
        <f t="shared" si="85"/>
        <v>0</v>
      </c>
      <c r="V604">
        <f t="shared" si="86"/>
        <v>1</v>
      </c>
      <c r="W604">
        <f t="shared" si="87"/>
        <v>1</v>
      </c>
      <c r="X604">
        <f t="shared" si="88"/>
        <v>0</v>
      </c>
      <c r="Y604">
        <f t="shared" si="89"/>
        <v>0</v>
      </c>
    </row>
    <row r="605" spans="1:25" x14ac:dyDescent="0.3">
      <c r="A605" t="s">
        <v>6020</v>
      </c>
      <c r="B605" t="s">
        <v>6021</v>
      </c>
      <c r="C605" s="1">
        <v>45779</v>
      </c>
      <c r="D605" s="3">
        <v>0.85824074074074075</v>
      </c>
      <c r="E605">
        <f t="shared" si="81"/>
        <v>20</v>
      </c>
      <c r="F605">
        <v>41</v>
      </c>
      <c r="G605" t="s">
        <v>99</v>
      </c>
      <c r="H605" t="s">
        <v>90</v>
      </c>
      <c r="I605" t="s">
        <v>119</v>
      </c>
      <c r="J605" t="s">
        <v>76</v>
      </c>
      <c r="K605" t="s">
        <v>95</v>
      </c>
      <c r="L605">
        <v>228.75</v>
      </c>
      <c r="M605" t="s">
        <v>33</v>
      </c>
      <c r="N605">
        <f t="shared" si="82"/>
        <v>0</v>
      </c>
      <c r="O605" t="s">
        <v>51</v>
      </c>
      <c r="P605" t="s">
        <v>6022</v>
      </c>
      <c r="Q605">
        <v>0</v>
      </c>
      <c r="R605">
        <v>238</v>
      </c>
      <c r="S605">
        <f t="shared" si="83"/>
        <v>0.74947180549703851</v>
      </c>
      <c r="T605">
        <f t="shared" si="84"/>
        <v>0</v>
      </c>
      <c r="U605">
        <f t="shared" si="85"/>
        <v>0</v>
      </c>
      <c r="V605">
        <f t="shared" si="86"/>
        <v>1</v>
      </c>
      <c r="W605">
        <f t="shared" si="87"/>
        <v>1</v>
      </c>
      <c r="X605">
        <f t="shared" si="88"/>
        <v>0</v>
      </c>
      <c r="Y605">
        <f t="shared" si="89"/>
        <v>0</v>
      </c>
    </row>
    <row r="606" spans="1:25" x14ac:dyDescent="0.3">
      <c r="A606" t="s">
        <v>749</v>
      </c>
      <c r="B606" t="s">
        <v>750</v>
      </c>
      <c r="C606" s="1">
        <v>45852</v>
      </c>
      <c r="D606" s="3">
        <v>0.32208333333333333</v>
      </c>
      <c r="E606">
        <f t="shared" si="81"/>
        <v>7</v>
      </c>
      <c r="F606">
        <v>28</v>
      </c>
      <c r="G606" t="s">
        <v>60</v>
      </c>
      <c r="H606" t="s">
        <v>29</v>
      </c>
      <c r="I606" t="s">
        <v>30</v>
      </c>
      <c r="J606" t="s">
        <v>31</v>
      </c>
      <c r="K606" t="s">
        <v>22</v>
      </c>
      <c r="L606">
        <v>228.7</v>
      </c>
      <c r="M606" t="s">
        <v>23</v>
      </c>
      <c r="N606">
        <f t="shared" si="82"/>
        <v>0</v>
      </c>
      <c r="O606" t="s">
        <v>86</v>
      </c>
      <c r="P606" t="s">
        <v>751</v>
      </c>
      <c r="Q606">
        <v>0</v>
      </c>
      <c r="R606">
        <v>109</v>
      </c>
      <c r="S606">
        <f t="shared" si="83"/>
        <v>0.74877959252323367</v>
      </c>
      <c r="T606">
        <f t="shared" si="84"/>
        <v>0</v>
      </c>
      <c r="U606">
        <f t="shared" si="85"/>
        <v>0</v>
      </c>
      <c r="V606">
        <f t="shared" si="86"/>
        <v>1</v>
      </c>
      <c r="W606">
        <f t="shared" si="87"/>
        <v>1</v>
      </c>
      <c r="X606">
        <f t="shared" si="88"/>
        <v>0</v>
      </c>
      <c r="Y606">
        <f t="shared" si="89"/>
        <v>0</v>
      </c>
    </row>
    <row r="607" spans="1:25" x14ac:dyDescent="0.3">
      <c r="A607" s="2" t="s">
        <v>647</v>
      </c>
      <c r="B607" t="s">
        <v>648</v>
      </c>
      <c r="C607" s="1">
        <v>45847</v>
      </c>
      <c r="D607" s="3">
        <v>0.42950231481481482</v>
      </c>
      <c r="E607">
        <f t="shared" si="81"/>
        <v>10</v>
      </c>
      <c r="F607">
        <v>44</v>
      </c>
      <c r="G607" t="s">
        <v>18</v>
      </c>
      <c r="H607" t="s">
        <v>131</v>
      </c>
      <c r="I607" t="s">
        <v>85</v>
      </c>
      <c r="J607" t="s">
        <v>76</v>
      </c>
      <c r="K607" t="s">
        <v>22</v>
      </c>
      <c r="L607">
        <v>228.59</v>
      </c>
      <c r="M607" t="s">
        <v>42</v>
      </c>
      <c r="N607">
        <f t="shared" si="82"/>
        <v>0</v>
      </c>
      <c r="O607" t="s">
        <v>24</v>
      </c>
      <c r="P607" t="s">
        <v>649</v>
      </c>
      <c r="Q607">
        <v>0</v>
      </c>
      <c r="R607">
        <v>256</v>
      </c>
      <c r="S607">
        <f t="shared" si="83"/>
        <v>0.74725672398086374</v>
      </c>
      <c r="T607">
        <f t="shared" si="84"/>
        <v>0</v>
      </c>
      <c r="U607">
        <f t="shared" si="85"/>
        <v>0</v>
      </c>
      <c r="V607">
        <f t="shared" si="86"/>
        <v>1</v>
      </c>
      <c r="W607">
        <f t="shared" si="87"/>
        <v>1</v>
      </c>
      <c r="X607">
        <f t="shared" si="88"/>
        <v>0</v>
      </c>
      <c r="Y607">
        <f t="shared" si="89"/>
        <v>0</v>
      </c>
    </row>
    <row r="608" spans="1:25" x14ac:dyDescent="0.3">
      <c r="A608" t="s">
        <v>350</v>
      </c>
      <c r="B608" t="s">
        <v>351</v>
      </c>
      <c r="C608" s="1">
        <v>45820</v>
      </c>
      <c r="D608" s="3">
        <v>0.39696759259259257</v>
      </c>
      <c r="E608">
        <f t="shared" si="81"/>
        <v>9</v>
      </c>
      <c r="F608">
        <v>58</v>
      </c>
      <c r="G608" t="s">
        <v>46</v>
      </c>
      <c r="H608" t="s">
        <v>185</v>
      </c>
      <c r="I608" t="s">
        <v>119</v>
      </c>
      <c r="J608" t="s">
        <v>127</v>
      </c>
      <c r="K608" t="s">
        <v>120</v>
      </c>
      <c r="L608">
        <v>228.52</v>
      </c>
      <c r="M608" t="s">
        <v>42</v>
      </c>
      <c r="N608">
        <f t="shared" si="82"/>
        <v>0</v>
      </c>
      <c r="O608" t="s">
        <v>34</v>
      </c>
      <c r="P608" t="s">
        <v>352</v>
      </c>
      <c r="Q608">
        <v>0</v>
      </c>
      <c r="R608">
        <v>301</v>
      </c>
      <c r="S608">
        <f t="shared" si="83"/>
        <v>0.74628762581753738</v>
      </c>
      <c r="T608">
        <f t="shared" si="84"/>
        <v>0</v>
      </c>
      <c r="U608">
        <f t="shared" si="85"/>
        <v>0</v>
      </c>
      <c r="V608">
        <f t="shared" si="86"/>
        <v>0</v>
      </c>
      <c r="W608">
        <f t="shared" si="87"/>
        <v>0</v>
      </c>
      <c r="X608">
        <f t="shared" si="88"/>
        <v>0</v>
      </c>
      <c r="Y608">
        <f t="shared" si="89"/>
        <v>0</v>
      </c>
    </row>
    <row r="609" spans="1:25" x14ac:dyDescent="0.3">
      <c r="A609" t="s">
        <v>3338</v>
      </c>
      <c r="B609" t="s">
        <v>3339</v>
      </c>
      <c r="C609" s="1">
        <v>45842</v>
      </c>
      <c r="D609" s="3">
        <v>0.6654282407407407</v>
      </c>
      <c r="E609">
        <f t="shared" si="81"/>
        <v>15</v>
      </c>
      <c r="F609">
        <v>31</v>
      </c>
      <c r="G609" t="s">
        <v>46</v>
      </c>
      <c r="H609" t="s">
        <v>189</v>
      </c>
      <c r="I609" t="s">
        <v>85</v>
      </c>
      <c r="J609" t="s">
        <v>132</v>
      </c>
      <c r="K609" t="s">
        <v>22</v>
      </c>
      <c r="L609">
        <v>228.14</v>
      </c>
      <c r="M609" t="s">
        <v>33</v>
      </c>
      <c r="N609">
        <f t="shared" si="82"/>
        <v>0</v>
      </c>
      <c r="O609" t="s">
        <v>86</v>
      </c>
      <c r="P609" t="s">
        <v>3340</v>
      </c>
      <c r="Q609">
        <v>0</v>
      </c>
      <c r="R609">
        <v>300</v>
      </c>
      <c r="S609">
        <f t="shared" si="83"/>
        <v>0.74102680721662184</v>
      </c>
      <c r="T609">
        <f t="shared" si="84"/>
        <v>0</v>
      </c>
      <c r="U609">
        <f t="shared" si="85"/>
        <v>0</v>
      </c>
      <c r="V609">
        <f t="shared" si="86"/>
        <v>0</v>
      </c>
      <c r="W609">
        <f t="shared" si="87"/>
        <v>0</v>
      </c>
      <c r="X609">
        <f t="shared" si="88"/>
        <v>0</v>
      </c>
      <c r="Y609">
        <f t="shared" si="89"/>
        <v>0</v>
      </c>
    </row>
    <row r="610" spans="1:25" x14ac:dyDescent="0.3">
      <c r="A610" t="s">
        <v>4118</v>
      </c>
      <c r="B610" t="s">
        <v>4119</v>
      </c>
      <c r="C610" s="1">
        <v>45874</v>
      </c>
      <c r="D610" s="3">
        <v>0.20664351851851853</v>
      </c>
      <c r="E610">
        <f t="shared" si="81"/>
        <v>4</v>
      </c>
      <c r="F610">
        <v>49</v>
      </c>
      <c r="G610" t="s">
        <v>18</v>
      </c>
      <c r="H610" t="s">
        <v>55</v>
      </c>
      <c r="I610" t="s">
        <v>85</v>
      </c>
      <c r="J610" t="s">
        <v>72</v>
      </c>
      <c r="K610" t="s">
        <v>95</v>
      </c>
      <c r="L610">
        <v>228.05</v>
      </c>
      <c r="M610" t="s">
        <v>115</v>
      </c>
      <c r="N610">
        <f t="shared" si="82"/>
        <v>0</v>
      </c>
      <c r="O610" t="s">
        <v>86</v>
      </c>
      <c r="P610" t="s">
        <v>4120</v>
      </c>
      <c r="Q610">
        <v>1</v>
      </c>
      <c r="R610">
        <v>94</v>
      </c>
      <c r="S610">
        <f t="shared" si="83"/>
        <v>0.73978082386377397</v>
      </c>
      <c r="T610">
        <f t="shared" si="84"/>
        <v>0</v>
      </c>
      <c r="U610">
        <f t="shared" si="85"/>
        <v>1</v>
      </c>
      <c r="V610">
        <f t="shared" si="86"/>
        <v>1</v>
      </c>
      <c r="W610">
        <f t="shared" si="87"/>
        <v>3</v>
      </c>
      <c r="X610">
        <f t="shared" si="88"/>
        <v>0</v>
      </c>
      <c r="Y610">
        <f t="shared" si="89"/>
        <v>0</v>
      </c>
    </row>
    <row r="611" spans="1:25" x14ac:dyDescent="0.3">
      <c r="A611" t="s">
        <v>758</v>
      </c>
      <c r="B611" t="s">
        <v>759</v>
      </c>
      <c r="C611" s="1">
        <v>45852</v>
      </c>
      <c r="D611" s="3">
        <v>0.69818287037037041</v>
      </c>
      <c r="E611">
        <f t="shared" si="81"/>
        <v>16</v>
      </c>
      <c r="F611">
        <v>41</v>
      </c>
      <c r="G611" t="s">
        <v>18</v>
      </c>
      <c r="H611" t="s">
        <v>47</v>
      </c>
      <c r="I611" t="s">
        <v>39</v>
      </c>
      <c r="J611" t="s">
        <v>132</v>
      </c>
      <c r="K611" t="s">
        <v>22</v>
      </c>
      <c r="L611">
        <v>228.03</v>
      </c>
      <c r="M611" t="s">
        <v>115</v>
      </c>
      <c r="N611">
        <f t="shared" si="82"/>
        <v>0</v>
      </c>
      <c r="O611" t="s">
        <v>24</v>
      </c>
      <c r="P611" t="s">
        <v>760</v>
      </c>
      <c r="Q611">
        <v>0</v>
      </c>
      <c r="R611">
        <v>477</v>
      </c>
      <c r="S611">
        <f t="shared" si="83"/>
        <v>0.7395039386742519</v>
      </c>
      <c r="T611">
        <f t="shared" si="84"/>
        <v>0</v>
      </c>
      <c r="U611">
        <f t="shared" si="85"/>
        <v>0</v>
      </c>
      <c r="V611">
        <f t="shared" si="86"/>
        <v>0</v>
      </c>
      <c r="W611">
        <f t="shared" si="87"/>
        <v>0</v>
      </c>
      <c r="X611">
        <f t="shared" si="88"/>
        <v>0</v>
      </c>
      <c r="Y611">
        <f t="shared" si="89"/>
        <v>0</v>
      </c>
    </row>
    <row r="612" spans="1:25" x14ac:dyDescent="0.3">
      <c r="A612" t="s">
        <v>3419</v>
      </c>
      <c r="B612" t="s">
        <v>3420</v>
      </c>
      <c r="C612" s="1">
        <v>45771</v>
      </c>
      <c r="D612" s="3">
        <v>0.9486458333333333</v>
      </c>
      <c r="E612">
        <f t="shared" si="81"/>
        <v>22</v>
      </c>
      <c r="F612">
        <v>27</v>
      </c>
      <c r="G612" t="s">
        <v>18</v>
      </c>
      <c r="H612" t="s">
        <v>55</v>
      </c>
      <c r="I612" t="s">
        <v>85</v>
      </c>
      <c r="J612" t="s">
        <v>31</v>
      </c>
      <c r="K612" t="s">
        <v>101</v>
      </c>
      <c r="L612">
        <v>228.01</v>
      </c>
      <c r="M612" t="s">
        <v>115</v>
      </c>
      <c r="N612">
        <f t="shared" si="82"/>
        <v>0</v>
      </c>
      <c r="O612" t="s">
        <v>24</v>
      </c>
      <c r="P612" t="s">
        <v>3421</v>
      </c>
      <c r="Q612">
        <v>0</v>
      </c>
      <c r="R612">
        <v>487</v>
      </c>
      <c r="S612">
        <f t="shared" si="83"/>
        <v>0.73922705348472995</v>
      </c>
      <c r="T612">
        <f t="shared" si="84"/>
        <v>0</v>
      </c>
      <c r="U612">
        <f t="shared" si="85"/>
        <v>0</v>
      </c>
      <c r="V612">
        <f t="shared" si="86"/>
        <v>0</v>
      </c>
      <c r="W612">
        <f t="shared" si="87"/>
        <v>0</v>
      </c>
      <c r="X612">
        <f t="shared" si="88"/>
        <v>0</v>
      </c>
      <c r="Y612">
        <f t="shared" si="89"/>
        <v>0</v>
      </c>
    </row>
    <row r="613" spans="1:25" x14ac:dyDescent="0.3">
      <c r="A613" t="s">
        <v>1316</v>
      </c>
      <c r="B613" t="s">
        <v>1317</v>
      </c>
      <c r="C613" s="1">
        <v>45864</v>
      </c>
      <c r="D613" s="3">
        <v>0.39471064814814816</v>
      </c>
      <c r="E613">
        <f t="shared" si="81"/>
        <v>9</v>
      </c>
      <c r="F613">
        <v>42</v>
      </c>
      <c r="G613" t="s">
        <v>18</v>
      </c>
      <c r="H613" t="s">
        <v>131</v>
      </c>
      <c r="I613" t="s">
        <v>66</v>
      </c>
      <c r="J613" t="s">
        <v>31</v>
      </c>
      <c r="K613" t="s">
        <v>22</v>
      </c>
      <c r="L613">
        <v>227.99</v>
      </c>
      <c r="M613" t="s">
        <v>115</v>
      </c>
      <c r="N613">
        <f t="shared" si="82"/>
        <v>0</v>
      </c>
      <c r="O613" t="s">
        <v>86</v>
      </c>
      <c r="P613" t="s">
        <v>1318</v>
      </c>
      <c r="Q613">
        <v>0</v>
      </c>
      <c r="R613">
        <v>182</v>
      </c>
      <c r="S613">
        <f t="shared" si="83"/>
        <v>0.73895016829520832</v>
      </c>
      <c r="T613">
        <f t="shared" si="84"/>
        <v>0</v>
      </c>
      <c r="U613">
        <f t="shared" si="85"/>
        <v>0</v>
      </c>
      <c r="V613">
        <f t="shared" si="86"/>
        <v>1</v>
      </c>
      <c r="W613">
        <f t="shared" si="87"/>
        <v>1</v>
      </c>
      <c r="X613">
        <f t="shared" si="88"/>
        <v>0</v>
      </c>
      <c r="Y613">
        <f t="shared" si="89"/>
        <v>0</v>
      </c>
    </row>
    <row r="614" spans="1:25" x14ac:dyDescent="0.3">
      <c r="A614" t="s">
        <v>247</v>
      </c>
      <c r="B614" t="s">
        <v>248</v>
      </c>
      <c r="C614" s="1">
        <v>45862</v>
      </c>
      <c r="D614" s="3">
        <v>0.45415509259259257</v>
      </c>
      <c r="E614">
        <f t="shared" si="81"/>
        <v>10</v>
      </c>
      <c r="F614">
        <v>52</v>
      </c>
      <c r="G614" t="s">
        <v>18</v>
      </c>
      <c r="H614" t="s">
        <v>55</v>
      </c>
      <c r="I614" t="s">
        <v>30</v>
      </c>
      <c r="J614" t="s">
        <v>72</v>
      </c>
      <c r="K614" t="s">
        <v>168</v>
      </c>
      <c r="L614">
        <v>227.73</v>
      </c>
      <c r="M614" t="s">
        <v>42</v>
      </c>
      <c r="N614">
        <f t="shared" si="82"/>
        <v>0</v>
      </c>
      <c r="O614" t="s">
        <v>34</v>
      </c>
      <c r="P614" t="s">
        <v>249</v>
      </c>
      <c r="Q614">
        <v>0</v>
      </c>
      <c r="R614">
        <v>200</v>
      </c>
      <c r="S614">
        <f t="shared" si="83"/>
        <v>0.73535066083142409</v>
      </c>
      <c r="T614">
        <f t="shared" si="84"/>
        <v>0</v>
      </c>
      <c r="U614">
        <f t="shared" si="85"/>
        <v>0</v>
      </c>
      <c r="V614">
        <f t="shared" si="86"/>
        <v>1</v>
      </c>
      <c r="W614">
        <f t="shared" si="87"/>
        <v>1</v>
      </c>
      <c r="X614">
        <f t="shared" si="88"/>
        <v>0</v>
      </c>
      <c r="Y614">
        <f t="shared" si="89"/>
        <v>0</v>
      </c>
    </row>
    <row r="615" spans="1:25" x14ac:dyDescent="0.3">
      <c r="A615" t="s">
        <v>437</v>
      </c>
      <c r="B615" t="s">
        <v>438</v>
      </c>
      <c r="C615" s="1">
        <v>45845</v>
      </c>
      <c r="D615" s="3">
        <v>0.88016203703703699</v>
      </c>
      <c r="E615">
        <f t="shared" si="81"/>
        <v>21</v>
      </c>
      <c r="F615">
        <v>50</v>
      </c>
      <c r="G615" t="s">
        <v>18</v>
      </c>
      <c r="H615" t="s">
        <v>84</v>
      </c>
      <c r="I615" t="s">
        <v>85</v>
      </c>
      <c r="J615" t="s">
        <v>76</v>
      </c>
      <c r="K615" t="s">
        <v>95</v>
      </c>
      <c r="L615">
        <v>227.51</v>
      </c>
      <c r="M615" t="s">
        <v>6479</v>
      </c>
      <c r="N615">
        <f t="shared" si="82"/>
        <v>1</v>
      </c>
      <c r="O615" t="s">
        <v>24</v>
      </c>
      <c r="P615" t="s">
        <v>439</v>
      </c>
      <c r="Q615">
        <v>0</v>
      </c>
      <c r="R615">
        <v>455</v>
      </c>
      <c r="S615">
        <f t="shared" si="83"/>
        <v>0.73230492374668377</v>
      </c>
      <c r="T615">
        <f t="shared" si="84"/>
        <v>0</v>
      </c>
      <c r="U615">
        <f t="shared" si="85"/>
        <v>0</v>
      </c>
      <c r="V615">
        <f t="shared" si="86"/>
        <v>0</v>
      </c>
      <c r="W615">
        <f t="shared" si="87"/>
        <v>2</v>
      </c>
      <c r="X615">
        <f t="shared" si="88"/>
        <v>0</v>
      </c>
      <c r="Y615">
        <f t="shared" si="89"/>
        <v>1</v>
      </c>
    </row>
    <row r="616" spans="1:25" x14ac:dyDescent="0.3">
      <c r="A616" t="s">
        <v>3329</v>
      </c>
      <c r="B616" t="s">
        <v>3330</v>
      </c>
      <c r="C616" s="1">
        <v>45715</v>
      </c>
      <c r="D616" s="3">
        <v>0.67525462962962968</v>
      </c>
      <c r="E616">
        <f t="shared" si="81"/>
        <v>16</v>
      </c>
      <c r="F616">
        <v>50</v>
      </c>
      <c r="G616" t="s">
        <v>60</v>
      </c>
      <c r="H616" t="s">
        <v>55</v>
      </c>
      <c r="I616" t="s">
        <v>105</v>
      </c>
      <c r="J616" t="s">
        <v>94</v>
      </c>
      <c r="K616" t="s">
        <v>114</v>
      </c>
      <c r="L616">
        <v>227.18</v>
      </c>
      <c r="M616" t="s">
        <v>23</v>
      </c>
      <c r="N616">
        <f t="shared" si="82"/>
        <v>0</v>
      </c>
      <c r="O616" t="s">
        <v>34</v>
      </c>
      <c r="P616" t="s">
        <v>3331</v>
      </c>
      <c r="Q616">
        <v>0</v>
      </c>
      <c r="R616">
        <v>261</v>
      </c>
      <c r="S616">
        <f t="shared" si="83"/>
        <v>0.7277363181195734</v>
      </c>
      <c r="T616">
        <f t="shared" si="84"/>
        <v>0</v>
      </c>
      <c r="U616">
        <f t="shared" si="85"/>
        <v>0</v>
      </c>
      <c r="V616">
        <f t="shared" si="86"/>
        <v>1</v>
      </c>
      <c r="W616">
        <f t="shared" si="87"/>
        <v>1</v>
      </c>
      <c r="X616">
        <f t="shared" si="88"/>
        <v>0</v>
      </c>
      <c r="Y616">
        <f t="shared" si="89"/>
        <v>0</v>
      </c>
    </row>
    <row r="617" spans="1:25" x14ac:dyDescent="0.3">
      <c r="A617" t="s">
        <v>2900</v>
      </c>
      <c r="B617" t="s">
        <v>2901</v>
      </c>
      <c r="C617" s="1">
        <v>45860</v>
      </c>
      <c r="D617" s="3">
        <v>0.87980324074074079</v>
      </c>
      <c r="E617">
        <f t="shared" si="81"/>
        <v>21</v>
      </c>
      <c r="F617">
        <v>64</v>
      </c>
      <c r="G617" t="s">
        <v>46</v>
      </c>
      <c r="H617" t="s">
        <v>167</v>
      </c>
      <c r="I617" t="s">
        <v>71</v>
      </c>
      <c r="J617" t="s">
        <v>132</v>
      </c>
      <c r="K617" t="s">
        <v>50</v>
      </c>
      <c r="L617">
        <v>227</v>
      </c>
      <c r="M617" t="s">
        <v>23</v>
      </c>
      <c r="N617">
        <f t="shared" si="82"/>
        <v>0</v>
      </c>
      <c r="O617" t="s">
        <v>34</v>
      </c>
      <c r="P617" t="s">
        <v>2902</v>
      </c>
      <c r="Q617">
        <v>0</v>
      </c>
      <c r="R617">
        <v>65</v>
      </c>
      <c r="S617">
        <f t="shared" si="83"/>
        <v>0.72524435141387666</v>
      </c>
      <c r="T617">
        <f t="shared" si="84"/>
        <v>0</v>
      </c>
      <c r="U617">
        <f t="shared" si="85"/>
        <v>0</v>
      </c>
      <c r="V617">
        <f t="shared" si="86"/>
        <v>1</v>
      </c>
      <c r="W617">
        <f t="shared" si="87"/>
        <v>1</v>
      </c>
      <c r="X617">
        <f t="shared" si="88"/>
        <v>0</v>
      </c>
      <c r="Y617">
        <f t="shared" si="89"/>
        <v>0</v>
      </c>
    </row>
    <row r="618" spans="1:25" x14ac:dyDescent="0.3">
      <c r="A618" t="s">
        <v>4745</v>
      </c>
      <c r="B618" t="s">
        <v>4746</v>
      </c>
      <c r="C618" s="1">
        <v>45810</v>
      </c>
      <c r="D618" s="3">
        <v>0.95026620370370374</v>
      </c>
      <c r="E618">
        <f t="shared" si="81"/>
        <v>22</v>
      </c>
      <c r="F618">
        <v>64</v>
      </c>
      <c r="G618" t="s">
        <v>28</v>
      </c>
      <c r="H618" t="s">
        <v>239</v>
      </c>
      <c r="I618" t="s">
        <v>105</v>
      </c>
      <c r="J618" t="s">
        <v>56</v>
      </c>
      <c r="K618" t="s">
        <v>32</v>
      </c>
      <c r="L618">
        <v>226.93</v>
      </c>
      <c r="M618" t="s">
        <v>42</v>
      </c>
      <c r="N618">
        <f t="shared" si="82"/>
        <v>0</v>
      </c>
      <c r="O618" t="s">
        <v>51</v>
      </c>
      <c r="P618" t="s">
        <v>4747</v>
      </c>
      <c r="Q618">
        <v>0</v>
      </c>
      <c r="R618">
        <v>173</v>
      </c>
      <c r="S618">
        <f t="shared" si="83"/>
        <v>0.72427525325055031</v>
      </c>
      <c r="T618">
        <f t="shared" si="84"/>
        <v>0</v>
      </c>
      <c r="U618">
        <f t="shared" si="85"/>
        <v>0</v>
      </c>
      <c r="V618">
        <f t="shared" si="86"/>
        <v>1</v>
      </c>
      <c r="W618">
        <f t="shared" si="87"/>
        <v>1</v>
      </c>
      <c r="X618">
        <f t="shared" si="88"/>
        <v>0</v>
      </c>
      <c r="Y618">
        <f t="shared" si="89"/>
        <v>0</v>
      </c>
    </row>
    <row r="619" spans="1:25" x14ac:dyDescent="0.3">
      <c r="A619" t="s">
        <v>4352</v>
      </c>
      <c r="B619" t="s">
        <v>4353</v>
      </c>
      <c r="C619" s="1">
        <v>45707</v>
      </c>
      <c r="D619" s="3">
        <v>0.81807870370370372</v>
      </c>
      <c r="E619">
        <f t="shared" si="81"/>
        <v>19</v>
      </c>
      <c r="F619">
        <v>36</v>
      </c>
      <c r="G619" t="s">
        <v>18</v>
      </c>
      <c r="H619" t="s">
        <v>167</v>
      </c>
      <c r="I619" t="s">
        <v>20</v>
      </c>
      <c r="J619" t="s">
        <v>40</v>
      </c>
      <c r="K619" t="s">
        <v>22</v>
      </c>
      <c r="L619">
        <v>226.86</v>
      </c>
      <c r="M619" t="s">
        <v>42</v>
      </c>
      <c r="N619">
        <f t="shared" si="82"/>
        <v>0</v>
      </c>
      <c r="O619" t="s">
        <v>86</v>
      </c>
      <c r="P619" t="s">
        <v>4354</v>
      </c>
      <c r="Q619">
        <v>0</v>
      </c>
      <c r="R619">
        <v>239</v>
      </c>
      <c r="S619">
        <f t="shared" si="83"/>
        <v>0.72330615508722396</v>
      </c>
      <c r="T619">
        <f t="shared" si="84"/>
        <v>0</v>
      </c>
      <c r="U619">
        <f t="shared" si="85"/>
        <v>0</v>
      </c>
      <c r="V619">
        <f t="shared" si="86"/>
        <v>1</v>
      </c>
      <c r="W619">
        <f t="shared" si="87"/>
        <v>1</v>
      </c>
      <c r="X619">
        <f t="shared" si="88"/>
        <v>0</v>
      </c>
      <c r="Y619">
        <f t="shared" si="89"/>
        <v>0</v>
      </c>
    </row>
    <row r="620" spans="1:25" x14ac:dyDescent="0.3">
      <c r="A620" t="s">
        <v>1145</v>
      </c>
      <c r="B620" s="2" t="s">
        <v>1146</v>
      </c>
      <c r="C620" s="1">
        <v>45803</v>
      </c>
      <c r="D620" s="3">
        <v>0.6988078703703704</v>
      </c>
      <c r="E620">
        <f t="shared" si="81"/>
        <v>16</v>
      </c>
      <c r="F620">
        <v>48</v>
      </c>
      <c r="G620" t="s">
        <v>60</v>
      </c>
      <c r="H620" t="s">
        <v>312</v>
      </c>
      <c r="I620" t="s">
        <v>66</v>
      </c>
      <c r="J620" t="s">
        <v>76</v>
      </c>
      <c r="K620" t="s">
        <v>22</v>
      </c>
      <c r="L620">
        <v>226.82</v>
      </c>
      <c r="M620" t="s">
        <v>115</v>
      </c>
      <c r="N620">
        <f t="shared" si="82"/>
        <v>0</v>
      </c>
      <c r="O620" t="s">
        <v>34</v>
      </c>
      <c r="P620" t="s">
        <v>1147</v>
      </c>
      <c r="Q620">
        <v>0</v>
      </c>
      <c r="R620">
        <v>236</v>
      </c>
      <c r="S620">
        <f t="shared" si="83"/>
        <v>0.72275238470817993</v>
      </c>
      <c r="T620">
        <f t="shared" si="84"/>
        <v>0</v>
      </c>
      <c r="U620">
        <f t="shared" si="85"/>
        <v>0</v>
      </c>
      <c r="V620">
        <f t="shared" si="86"/>
        <v>1</v>
      </c>
      <c r="W620">
        <f t="shared" si="87"/>
        <v>1</v>
      </c>
      <c r="X620">
        <f t="shared" si="88"/>
        <v>0</v>
      </c>
      <c r="Y620">
        <f t="shared" si="89"/>
        <v>0</v>
      </c>
    </row>
    <row r="621" spans="1:25" x14ac:dyDescent="0.3">
      <c r="A621" t="s">
        <v>5105</v>
      </c>
      <c r="B621" t="s">
        <v>5106</v>
      </c>
      <c r="C621" s="1">
        <v>45792</v>
      </c>
      <c r="D621" s="3">
        <v>0.69598379629629625</v>
      </c>
      <c r="E621">
        <f t="shared" si="81"/>
        <v>16</v>
      </c>
      <c r="F621">
        <v>50</v>
      </c>
      <c r="G621" t="s">
        <v>60</v>
      </c>
      <c r="H621" t="s">
        <v>29</v>
      </c>
      <c r="I621" t="s">
        <v>119</v>
      </c>
      <c r="J621" t="s">
        <v>132</v>
      </c>
      <c r="K621" t="s">
        <v>168</v>
      </c>
      <c r="L621">
        <v>226.77</v>
      </c>
      <c r="M621" t="s">
        <v>42</v>
      </c>
      <c r="N621">
        <f t="shared" si="82"/>
        <v>0</v>
      </c>
      <c r="O621" t="s">
        <v>34</v>
      </c>
      <c r="P621" t="s">
        <v>5107</v>
      </c>
      <c r="Q621">
        <v>0</v>
      </c>
      <c r="R621">
        <v>95</v>
      </c>
      <c r="S621">
        <f t="shared" si="83"/>
        <v>0.72206017173437553</v>
      </c>
      <c r="T621">
        <f t="shared" si="84"/>
        <v>0</v>
      </c>
      <c r="U621">
        <f t="shared" si="85"/>
        <v>0</v>
      </c>
      <c r="V621">
        <f t="shared" si="86"/>
        <v>1</v>
      </c>
      <c r="W621">
        <f t="shared" si="87"/>
        <v>1</v>
      </c>
      <c r="X621">
        <f t="shared" si="88"/>
        <v>0</v>
      </c>
      <c r="Y621">
        <f t="shared" si="89"/>
        <v>0</v>
      </c>
    </row>
    <row r="622" spans="1:25" x14ac:dyDescent="0.3">
      <c r="A622" t="s">
        <v>2741</v>
      </c>
      <c r="B622" t="s">
        <v>2742</v>
      </c>
      <c r="C622" s="1">
        <v>45854</v>
      </c>
      <c r="D622" s="3">
        <v>0.51609953703703704</v>
      </c>
      <c r="E622">
        <f t="shared" si="81"/>
        <v>12</v>
      </c>
      <c r="F622">
        <v>43</v>
      </c>
      <c r="G622" t="s">
        <v>46</v>
      </c>
      <c r="H622" t="s">
        <v>189</v>
      </c>
      <c r="I622" t="s">
        <v>30</v>
      </c>
      <c r="J622" t="s">
        <v>40</v>
      </c>
      <c r="K622" t="s">
        <v>62</v>
      </c>
      <c r="L622">
        <v>226.72</v>
      </c>
      <c r="M622" t="s">
        <v>33</v>
      </c>
      <c r="N622">
        <f t="shared" si="82"/>
        <v>0</v>
      </c>
      <c r="O622" t="s">
        <v>51</v>
      </c>
      <c r="P622" t="s">
        <v>2743</v>
      </c>
      <c r="Q622">
        <v>0</v>
      </c>
      <c r="R622">
        <v>59</v>
      </c>
      <c r="S622">
        <f t="shared" si="83"/>
        <v>0.7213679587605708</v>
      </c>
      <c r="T622">
        <f t="shared" si="84"/>
        <v>0</v>
      </c>
      <c r="U622">
        <f t="shared" si="85"/>
        <v>0</v>
      </c>
      <c r="V622">
        <f t="shared" si="86"/>
        <v>1</v>
      </c>
      <c r="W622">
        <f t="shared" si="87"/>
        <v>1</v>
      </c>
      <c r="X622">
        <f t="shared" si="88"/>
        <v>0</v>
      </c>
      <c r="Y622">
        <f t="shared" si="89"/>
        <v>0</v>
      </c>
    </row>
    <row r="623" spans="1:25" x14ac:dyDescent="0.3">
      <c r="A623" t="s">
        <v>1853</v>
      </c>
      <c r="B623" t="s">
        <v>1854</v>
      </c>
      <c r="C623" s="1">
        <v>45808</v>
      </c>
      <c r="D623" s="3">
        <v>0.6599652777777778</v>
      </c>
      <c r="E623">
        <f t="shared" si="81"/>
        <v>15</v>
      </c>
      <c r="F623">
        <v>33</v>
      </c>
      <c r="G623" t="s">
        <v>18</v>
      </c>
      <c r="H623" t="s">
        <v>312</v>
      </c>
      <c r="I623" t="s">
        <v>30</v>
      </c>
      <c r="J623" t="s">
        <v>127</v>
      </c>
      <c r="K623" t="s">
        <v>22</v>
      </c>
      <c r="L623">
        <v>226.7</v>
      </c>
      <c r="M623" t="s">
        <v>33</v>
      </c>
      <c r="N623">
        <f t="shared" si="82"/>
        <v>0</v>
      </c>
      <c r="O623" t="s">
        <v>24</v>
      </c>
      <c r="P623" t="s">
        <v>1855</v>
      </c>
      <c r="Q623">
        <v>0</v>
      </c>
      <c r="R623">
        <v>100</v>
      </c>
      <c r="S623">
        <f t="shared" si="83"/>
        <v>0.72109107357104885</v>
      </c>
      <c r="T623">
        <f t="shared" si="84"/>
        <v>0</v>
      </c>
      <c r="U623">
        <f t="shared" si="85"/>
        <v>0</v>
      </c>
      <c r="V623">
        <f t="shared" si="86"/>
        <v>1</v>
      </c>
      <c r="W623">
        <f t="shared" si="87"/>
        <v>1</v>
      </c>
      <c r="X623">
        <f t="shared" si="88"/>
        <v>0</v>
      </c>
      <c r="Y623">
        <f t="shared" si="89"/>
        <v>0</v>
      </c>
    </row>
    <row r="624" spans="1:25" x14ac:dyDescent="0.3">
      <c r="A624" t="s">
        <v>4067</v>
      </c>
      <c r="B624" t="s">
        <v>4068</v>
      </c>
      <c r="C624" s="1">
        <v>45821</v>
      </c>
      <c r="D624" s="3">
        <v>0.40212962962962961</v>
      </c>
      <c r="E624">
        <f t="shared" si="81"/>
        <v>9</v>
      </c>
      <c r="F624">
        <v>37</v>
      </c>
      <c r="G624" t="s">
        <v>46</v>
      </c>
      <c r="H624" t="s">
        <v>239</v>
      </c>
      <c r="I624" t="s">
        <v>30</v>
      </c>
      <c r="J624" t="s">
        <v>94</v>
      </c>
      <c r="K624" t="s">
        <v>41</v>
      </c>
      <c r="L624">
        <v>226.67</v>
      </c>
      <c r="M624" t="s">
        <v>42</v>
      </c>
      <c r="N624">
        <f t="shared" si="82"/>
        <v>0</v>
      </c>
      <c r="O624" t="s">
        <v>51</v>
      </c>
      <c r="P624" t="s">
        <v>4069</v>
      </c>
      <c r="Q624">
        <v>0</v>
      </c>
      <c r="R624">
        <v>107</v>
      </c>
      <c r="S624">
        <f t="shared" si="83"/>
        <v>0.72067574578676596</v>
      </c>
      <c r="T624">
        <f t="shared" si="84"/>
        <v>0</v>
      </c>
      <c r="U624">
        <f t="shared" si="85"/>
        <v>0</v>
      </c>
      <c r="V624">
        <f t="shared" si="86"/>
        <v>1</v>
      </c>
      <c r="W624">
        <f t="shared" si="87"/>
        <v>1</v>
      </c>
      <c r="X624">
        <f t="shared" si="88"/>
        <v>0</v>
      </c>
      <c r="Y624">
        <f t="shared" si="89"/>
        <v>0</v>
      </c>
    </row>
    <row r="625" spans="1:25" x14ac:dyDescent="0.3">
      <c r="A625" t="s">
        <v>1838</v>
      </c>
      <c r="B625" t="s">
        <v>1839</v>
      </c>
      <c r="C625" s="1">
        <v>45764</v>
      </c>
      <c r="D625" s="3">
        <v>0.50934027777777779</v>
      </c>
      <c r="E625">
        <f t="shared" si="81"/>
        <v>12</v>
      </c>
      <c r="F625" s="4">
        <v>41</v>
      </c>
      <c r="G625" t="s">
        <v>46</v>
      </c>
      <c r="H625" t="s">
        <v>90</v>
      </c>
      <c r="I625" t="s">
        <v>85</v>
      </c>
      <c r="J625" t="s">
        <v>127</v>
      </c>
      <c r="K625" t="s">
        <v>120</v>
      </c>
      <c r="L625">
        <v>226.55</v>
      </c>
      <c r="M625" t="s">
        <v>23</v>
      </c>
      <c r="N625">
        <f t="shared" si="82"/>
        <v>0</v>
      </c>
      <c r="O625" t="s">
        <v>24</v>
      </c>
      <c r="P625" t="s">
        <v>1840</v>
      </c>
      <c r="Q625">
        <v>0</v>
      </c>
      <c r="R625">
        <v>382</v>
      </c>
      <c r="S625">
        <f t="shared" si="83"/>
        <v>0.71901443464963521</v>
      </c>
      <c r="T625">
        <f t="shared" si="84"/>
        <v>0</v>
      </c>
      <c r="U625">
        <f t="shared" si="85"/>
        <v>0</v>
      </c>
      <c r="V625">
        <f t="shared" si="86"/>
        <v>0</v>
      </c>
      <c r="W625">
        <f t="shared" si="87"/>
        <v>0</v>
      </c>
      <c r="X625">
        <f t="shared" si="88"/>
        <v>0</v>
      </c>
      <c r="Y625">
        <f t="shared" si="89"/>
        <v>0</v>
      </c>
    </row>
    <row r="626" spans="1:25" x14ac:dyDescent="0.3">
      <c r="A626" t="s">
        <v>4829</v>
      </c>
      <c r="B626" t="s">
        <v>4830</v>
      </c>
      <c r="C626" s="1">
        <v>45844</v>
      </c>
      <c r="D626" s="3">
        <v>0.89758101851851857</v>
      </c>
      <c r="E626">
        <f t="shared" si="81"/>
        <v>21</v>
      </c>
      <c r="F626" s="4">
        <v>41</v>
      </c>
      <c r="G626" t="s">
        <v>46</v>
      </c>
      <c r="H626" t="s">
        <v>175</v>
      </c>
      <c r="I626" t="s">
        <v>105</v>
      </c>
      <c r="J626" t="s">
        <v>76</v>
      </c>
      <c r="K626" t="s">
        <v>41</v>
      </c>
      <c r="L626">
        <v>226.36</v>
      </c>
      <c r="M626" t="s">
        <v>42</v>
      </c>
      <c r="N626">
        <f t="shared" si="82"/>
        <v>0</v>
      </c>
      <c r="O626" t="s">
        <v>86</v>
      </c>
      <c r="P626" t="s">
        <v>4831</v>
      </c>
      <c r="Q626">
        <v>1</v>
      </c>
      <c r="R626">
        <v>440</v>
      </c>
      <c r="S626">
        <f t="shared" si="83"/>
        <v>0.71638402534917767</v>
      </c>
      <c r="T626">
        <f t="shared" si="84"/>
        <v>0</v>
      </c>
      <c r="U626">
        <f t="shared" si="85"/>
        <v>0</v>
      </c>
      <c r="V626">
        <f t="shared" si="86"/>
        <v>0</v>
      </c>
      <c r="W626">
        <f t="shared" si="87"/>
        <v>0</v>
      </c>
      <c r="X626">
        <f t="shared" si="88"/>
        <v>0</v>
      </c>
      <c r="Y626">
        <f t="shared" si="89"/>
        <v>0</v>
      </c>
    </row>
    <row r="627" spans="1:25" x14ac:dyDescent="0.3">
      <c r="A627" t="s">
        <v>6278</v>
      </c>
      <c r="B627" t="s">
        <v>6279</v>
      </c>
      <c r="C627" s="1">
        <v>45711</v>
      </c>
      <c r="D627" s="3">
        <v>0.88070601851851849</v>
      </c>
      <c r="E627">
        <f t="shared" si="81"/>
        <v>21</v>
      </c>
      <c r="F627">
        <v>37</v>
      </c>
      <c r="G627" t="s">
        <v>46</v>
      </c>
      <c r="H627" t="s">
        <v>239</v>
      </c>
      <c r="I627" t="s">
        <v>48</v>
      </c>
      <c r="J627" t="s">
        <v>94</v>
      </c>
      <c r="K627" t="s">
        <v>95</v>
      </c>
      <c r="L627">
        <v>226.35</v>
      </c>
      <c r="M627" t="s">
        <v>23</v>
      </c>
      <c r="N627">
        <f t="shared" si="82"/>
        <v>0</v>
      </c>
      <c r="O627" t="s">
        <v>24</v>
      </c>
      <c r="P627" t="s">
        <v>6280</v>
      </c>
      <c r="Q627">
        <v>0</v>
      </c>
      <c r="R627">
        <v>71</v>
      </c>
      <c r="S627">
        <f t="shared" si="83"/>
        <v>0.71624558275441652</v>
      </c>
      <c r="T627">
        <f t="shared" si="84"/>
        <v>0</v>
      </c>
      <c r="U627">
        <f t="shared" si="85"/>
        <v>0</v>
      </c>
      <c r="V627">
        <f t="shared" si="86"/>
        <v>1</v>
      </c>
      <c r="W627">
        <f t="shared" si="87"/>
        <v>1</v>
      </c>
      <c r="X627">
        <f t="shared" si="88"/>
        <v>0</v>
      </c>
      <c r="Y627">
        <f t="shared" si="89"/>
        <v>0</v>
      </c>
    </row>
    <row r="628" spans="1:25" x14ac:dyDescent="0.3">
      <c r="A628" t="s">
        <v>3104</v>
      </c>
      <c r="B628" t="s">
        <v>3105</v>
      </c>
      <c r="C628" s="1">
        <v>45881</v>
      </c>
      <c r="D628" s="3">
        <v>0.24562500000000001</v>
      </c>
      <c r="E628">
        <f t="shared" si="81"/>
        <v>5</v>
      </c>
      <c r="F628">
        <v>54</v>
      </c>
      <c r="G628" t="s">
        <v>18</v>
      </c>
      <c r="H628" t="s">
        <v>312</v>
      </c>
      <c r="I628" t="s">
        <v>119</v>
      </c>
      <c r="J628" t="s">
        <v>31</v>
      </c>
      <c r="K628" t="s">
        <v>62</v>
      </c>
      <c r="L628">
        <v>226.34</v>
      </c>
      <c r="M628" t="s">
        <v>33</v>
      </c>
      <c r="N628">
        <f t="shared" si="82"/>
        <v>0</v>
      </c>
      <c r="O628" t="s">
        <v>24</v>
      </c>
      <c r="P628" t="s">
        <v>3106</v>
      </c>
      <c r="Q628">
        <v>0</v>
      </c>
      <c r="R628">
        <v>123</v>
      </c>
      <c r="S628">
        <f t="shared" si="83"/>
        <v>0.71610714015965571</v>
      </c>
      <c r="T628">
        <f t="shared" si="84"/>
        <v>0</v>
      </c>
      <c r="U628">
        <f t="shared" si="85"/>
        <v>1</v>
      </c>
      <c r="V628">
        <f t="shared" si="86"/>
        <v>1</v>
      </c>
      <c r="W628">
        <f t="shared" si="87"/>
        <v>3</v>
      </c>
      <c r="X628">
        <f t="shared" si="88"/>
        <v>0</v>
      </c>
      <c r="Y628">
        <f t="shared" si="89"/>
        <v>0</v>
      </c>
    </row>
    <row r="629" spans="1:25" x14ac:dyDescent="0.3">
      <c r="A629" t="s">
        <v>797</v>
      </c>
      <c r="B629" t="s">
        <v>798</v>
      </c>
      <c r="C629" s="1">
        <v>45773</v>
      </c>
      <c r="D629" s="3">
        <v>0.61378472222222225</v>
      </c>
      <c r="E629">
        <f t="shared" si="81"/>
        <v>14</v>
      </c>
      <c r="F629">
        <v>20</v>
      </c>
      <c r="G629" t="s">
        <v>46</v>
      </c>
      <c r="H629" t="s">
        <v>61</v>
      </c>
      <c r="I629" t="s">
        <v>85</v>
      </c>
      <c r="J629" t="s">
        <v>21</v>
      </c>
      <c r="K629" t="s">
        <v>101</v>
      </c>
      <c r="L629">
        <v>226.32</v>
      </c>
      <c r="M629" t="s">
        <v>23</v>
      </c>
      <c r="N629">
        <f t="shared" si="82"/>
        <v>0</v>
      </c>
      <c r="O629" t="s">
        <v>86</v>
      </c>
      <c r="P629" t="s">
        <v>799</v>
      </c>
      <c r="Q629">
        <v>0</v>
      </c>
      <c r="R629">
        <v>268</v>
      </c>
      <c r="S629">
        <f t="shared" si="83"/>
        <v>0.71583025497013375</v>
      </c>
      <c r="T629">
        <f t="shared" si="84"/>
        <v>0</v>
      </c>
      <c r="U629">
        <f t="shared" si="85"/>
        <v>0</v>
      </c>
      <c r="V629">
        <f t="shared" si="86"/>
        <v>1</v>
      </c>
      <c r="W629">
        <f t="shared" si="87"/>
        <v>1</v>
      </c>
      <c r="X629">
        <f t="shared" si="88"/>
        <v>0</v>
      </c>
      <c r="Y629">
        <f t="shared" si="89"/>
        <v>0</v>
      </c>
    </row>
    <row r="630" spans="1:25" x14ac:dyDescent="0.3">
      <c r="A630" t="s">
        <v>4640</v>
      </c>
      <c r="B630" t="s">
        <v>4641</v>
      </c>
      <c r="C630" s="1">
        <v>45760</v>
      </c>
      <c r="D630" s="3">
        <v>0.22939814814814816</v>
      </c>
      <c r="E630">
        <f t="shared" si="81"/>
        <v>5</v>
      </c>
      <c r="F630">
        <v>57</v>
      </c>
      <c r="G630" t="s">
        <v>46</v>
      </c>
      <c r="H630" t="s">
        <v>38</v>
      </c>
      <c r="I630" t="s">
        <v>119</v>
      </c>
      <c r="J630" t="s">
        <v>94</v>
      </c>
      <c r="K630" t="s">
        <v>41</v>
      </c>
      <c r="L630">
        <v>226.24</v>
      </c>
      <c r="M630" t="s">
        <v>33</v>
      </c>
      <c r="N630">
        <f t="shared" si="82"/>
        <v>0</v>
      </c>
      <c r="O630" t="s">
        <v>51</v>
      </c>
      <c r="P630" t="s">
        <v>4642</v>
      </c>
      <c r="Q630">
        <v>0</v>
      </c>
      <c r="R630">
        <v>171</v>
      </c>
      <c r="S630">
        <f t="shared" si="83"/>
        <v>0.71472271421204658</v>
      </c>
      <c r="T630">
        <f t="shared" si="84"/>
        <v>0</v>
      </c>
      <c r="U630">
        <f t="shared" si="85"/>
        <v>1</v>
      </c>
      <c r="V630">
        <f t="shared" si="86"/>
        <v>1</v>
      </c>
      <c r="W630">
        <f t="shared" si="87"/>
        <v>3</v>
      </c>
      <c r="X630">
        <f t="shared" si="88"/>
        <v>0</v>
      </c>
      <c r="Y630">
        <f t="shared" si="89"/>
        <v>0</v>
      </c>
    </row>
    <row r="631" spans="1:25" x14ac:dyDescent="0.3">
      <c r="A631" t="s">
        <v>4115</v>
      </c>
      <c r="B631" t="s">
        <v>4116</v>
      </c>
      <c r="C631" s="1">
        <v>45796</v>
      </c>
      <c r="D631" s="3">
        <v>0.12033564814814815</v>
      </c>
      <c r="E631">
        <f t="shared" si="81"/>
        <v>2</v>
      </c>
      <c r="F631">
        <v>40</v>
      </c>
      <c r="G631" t="s">
        <v>46</v>
      </c>
      <c r="H631" t="s">
        <v>47</v>
      </c>
      <c r="I631" t="s">
        <v>105</v>
      </c>
      <c r="J631" t="s">
        <v>56</v>
      </c>
      <c r="K631" t="s">
        <v>95</v>
      </c>
      <c r="L631">
        <v>226.1</v>
      </c>
      <c r="M631" t="s">
        <v>33</v>
      </c>
      <c r="N631">
        <f t="shared" si="82"/>
        <v>0</v>
      </c>
      <c r="O631" t="s">
        <v>34</v>
      </c>
      <c r="P631" t="s">
        <v>4117</v>
      </c>
      <c r="Q631">
        <v>0</v>
      </c>
      <c r="R631">
        <v>394</v>
      </c>
      <c r="S631">
        <f t="shared" si="83"/>
        <v>0.71278451788539343</v>
      </c>
      <c r="T631">
        <f t="shared" si="84"/>
        <v>0</v>
      </c>
      <c r="U631">
        <f t="shared" si="85"/>
        <v>1</v>
      </c>
      <c r="V631">
        <f t="shared" si="86"/>
        <v>0</v>
      </c>
      <c r="W631">
        <f t="shared" si="87"/>
        <v>2</v>
      </c>
      <c r="X631">
        <f t="shared" si="88"/>
        <v>0</v>
      </c>
      <c r="Y631">
        <f t="shared" si="89"/>
        <v>0</v>
      </c>
    </row>
    <row r="632" spans="1:25" x14ac:dyDescent="0.3">
      <c r="A632" t="s">
        <v>4580</v>
      </c>
      <c r="B632" t="s">
        <v>4581</v>
      </c>
      <c r="C632" s="1">
        <v>45851</v>
      </c>
      <c r="D632" s="3">
        <v>0.10576388888888889</v>
      </c>
      <c r="E632">
        <f t="shared" si="81"/>
        <v>2</v>
      </c>
      <c r="F632">
        <v>46</v>
      </c>
      <c r="G632" t="s">
        <v>60</v>
      </c>
      <c r="H632" t="s">
        <v>175</v>
      </c>
      <c r="I632" t="s">
        <v>48</v>
      </c>
      <c r="J632" t="s">
        <v>76</v>
      </c>
      <c r="K632" t="s">
        <v>50</v>
      </c>
      <c r="L632">
        <v>226.1</v>
      </c>
      <c r="M632" t="s">
        <v>115</v>
      </c>
      <c r="N632">
        <f t="shared" si="82"/>
        <v>0</v>
      </c>
      <c r="O632" t="s">
        <v>51</v>
      </c>
      <c r="P632" t="s">
        <v>4582</v>
      </c>
      <c r="Q632">
        <v>0</v>
      </c>
      <c r="R632">
        <v>439</v>
      </c>
      <c r="S632">
        <f t="shared" si="83"/>
        <v>0.71278451788539343</v>
      </c>
      <c r="T632">
        <f t="shared" si="84"/>
        <v>0</v>
      </c>
      <c r="U632">
        <f t="shared" si="85"/>
        <v>1</v>
      </c>
      <c r="V632">
        <f t="shared" si="86"/>
        <v>0</v>
      </c>
      <c r="W632">
        <f t="shared" si="87"/>
        <v>2</v>
      </c>
      <c r="X632">
        <f t="shared" si="88"/>
        <v>0</v>
      </c>
      <c r="Y632">
        <f t="shared" si="89"/>
        <v>0</v>
      </c>
    </row>
    <row r="633" spans="1:25" x14ac:dyDescent="0.3">
      <c r="A633" t="s">
        <v>1703</v>
      </c>
      <c r="B633" t="s">
        <v>1704</v>
      </c>
      <c r="C633" s="1">
        <v>45751</v>
      </c>
      <c r="D633" s="3">
        <v>0.60887731481481477</v>
      </c>
      <c r="E633">
        <f t="shared" si="81"/>
        <v>14</v>
      </c>
      <c r="F633">
        <v>24</v>
      </c>
      <c r="G633" t="s">
        <v>18</v>
      </c>
      <c r="H633" t="s">
        <v>185</v>
      </c>
      <c r="I633" t="s">
        <v>66</v>
      </c>
      <c r="J633" t="s">
        <v>72</v>
      </c>
      <c r="K633" t="s">
        <v>50</v>
      </c>
      <c r="L633">
        <v>226.07</v>
      </c>
      <c r="M633" t="s">
        <v>23</v>
      </c>
      <c r="N633">
        <f t="shared" si="82"/>
        <v>0</v>
      </c>
      <c r="O633" t="s">
        <v>34</v>
      </c>
      <c r="P633" t="s">
        <v>1705</v>
      </c>
      <c r="Q633">
        <v>0</v>
      </c>
      <c r="R633">
        <v>68</v>
      </c>
      <c r="S633">
        <f t="shared" si="83"/>
        <v>0.71236919010111066</v>
      </c>
      <c r="T633">
        <f t="shared" si="84"/>
        <v>0</v>
      </c>
      <c r="U633">
        <f t="shared" si="85"/>
        <v>0</v>
      </c>
      <c r="V633">
        <f t="shared" si="86"/>
        <v>1</v>
      </c>
      <c r="W633">
        <f t="shared" si="87"/>
        <v>1</v>
      </c>
      <c r="X633">
        <f t="shared" si="88"/>
        <v>0</v>
      </c>
      <c r="Y633">
        <f t="shared" si="89"/>
        <v>0</v>
      </c>
    </row>
    <row r="634" spans="1:25" x14ac:dyDescent="0.3">
      <c r="A634" t="s">
        <v>3578</v>
      </c>
      <c r="B634" t="s">
        <v>3579</v>
      </c>
      <c r="C634" s="1">
        <v>45711</v>
      </c>
      <c r="D634" s="3">
        <v>0.48895833333333333</v>
      </c>
      <c r="E634">
        <f t="shared" si="81"/>
        <v>11</v>
      </c>
      <c r="F634">
        <v>53</v>
      </c>
      <c r="G634" t="s">
        <v>46</v>
      </c>
      <c r="H634" t="s">
        <v>61</v>
      </c>
      <c r="I634" t="s">
        <v>110</v>
      </c>
      <c r="J634" t="s">
        <v>72</v>
      </c>
      <c r="K634" t="s">
        <v>50</v>
      </c>
      <c r="L634">
        <v>225.83</v>
      </c>
      <c r="M634" t="s">
        <v>115</v>
      </c>
      <c r="N634">
        <f t="shared" si="82"/>
        <v>0</v>
      </c>
      <c r="O634" t="s">
        <v>51</v>
      </c>
      <c r="P634" t="s">
        <v>3580</v>
      </c>
      <c r="Q634">
        <v>0</v>
      </c>
      <c r="R634">
        <v>129</v>
      </c>
      <c r="S634">
        <f t="shared" si="83"/>
        <v>0.70904656782684872</v>
      </c>
      <c r="T634">
        <f t="shared" si="84"/>
        <v>0</v>
      </c>
      <c r="U634">
        <f t="shared" si="85"/>
        <v>0</v>
      </c>
      <c r="V634">
        <f t="shared" si="86"/>
        <v>1</v>
      </c>
      <c r="W634">
        <f t="shared" si="87"/>
        <v>1</v>
      </c>
      <c r="X634">
        <f t="shared" si="88"/>
        <v>0</v>
      </c>
      <c r="Y634">
        <f t="shared" si="89"/>
        <v>0</v>
      </c>
    </row>
    <row r="635" spans="1:25" x14ac:dyDescent="0.3">
      <c r="A635" t="s">
        <v>4193</v>
      </c>
      <c r="B635" s="2" t="s">
        <v>4194</v>
      </c>
      <c r="C635" s="1">
        <v>45731</v>
      </c>
      <c r="D635" s="3">
        <v>0.46807870370370369</v>
      </c>
      <c r="E635">
        <f t="shared" si="81"/>
        <v>11</v>
      </c>
      <c r="F635">
        <v>59</v>
      </c>
      <c r="G635" t="s">
        <v>18</v>
      </c>
      <c r="H635" t="s">
        <v>100</v>
      </c>
      <c r="I635" t="s">
        <v>66</v>
      </c>
      <c r="J635" t="s">
        <v>76</v>
      </c>
      <c r="K635" t="s">
        <v>41</v>
      </c>
      <c r="L635">
        <v>225.57</v>
      </c>
      <c r="M635" t="s">
        <v>42</v>
      </c>
      <c r="N635">
        <f t="shared" si="82"/>
        <v>0</v>
      </c>
      <c r="O635" t="s">
        <v>51</v>
      </c>
      <c r="P635" t="s">
        <v>4195</v>
      </c>
      <c r="Q635">
        <v>0</v>
      </c>
      <c r="R635">
        <v>107</v>
      </c>
      <c r="S635">
        <f t="shared" si="83"/>
        <v>0.70544706036306437</v>
      </c>
      <c r="T635">
        <f t="shared" si="84"/>
        <v>0</v>
      </c>
      <c r="U635">
        <f t="shared" si="85"/>
        <v>0</v>
      </c>
      <c r="V635">
        <f t="shared" si="86"/>
        <v>1</v>
      </c>
      <c r="W635">
        <f t="shared" si="87"/>
        <v>1</v>
      </c>
      <c r="X635">
        <f t="shared" si="88"/>
        <v>0</v>
      </c>
      <c r="Y635">
        <f t="shared" si="89"/>
        <v>0</v>
      </c>
    </row>
    <row r="636" spans="1:25" x14ac:dyDescent="0.3">
      <c r="A636" t="s">
        <v>5654</v>
      </c>
      <c r="B636" t="s">
        <v>5655</v>
      </c>
      <c r="C636" s="1">
        <v>45832</v>
      </c>
      <c r="D636" s="3">
        <v>0.12590277777777778</v>
      </c>
      <c r="E636">
        <f t="shared" si="81"/>
        <v>3</v>
      </c>
      <c r="F636">
        <v>30</v>
      </c>
      <c r="G636" t="s">
        <v>18</v>
      </c>
      <c r="H636" t="s">
        <v>19</v>
      </c>
      <c r="I636" t="s">
        <v>110</v>
      </c>
      <c r="J636" t="s">
        <v>40</v>
      </c>
      <c r="K636" t="s">
        <v>120</v>
      </c>
      <c r="L636">
        <v>225.49</v>
      </c>
      <c r="M636" t="s">
        <v>23</v>
      </c>
      <c r="N636">
        <f t="shared" si="82"/>
        <v>0</v>
      </c>
      <c r="O636" t="s">
        <v>86</v>
      </c>
      <c r="P636" t="s">
        <v>5656</v>
      </c>
      <c r="Q636">
        <v>0</v>
      </c>
      <c r="R636">
        <v>328</v>
      </c>
      <c r="S636">
        <f t="shared" si="83"/>
        <v>0.7043395196049772</v>
      </c>
      <c r="T636">
        <f t="shared" si="84"/>
        <v>0</v>
      </c>
      <c r="U636">
        <f t="shared" si="85"/>
        <v>1</v>
      </c>
      <c r="V636">
        <f t="shared" si="86"/>
        <v>0</v>
      </c>
      <c r="W636">
        <f t="shared" si="87"/>
        <v>2</v>
      </c>
      <c r="X636">
        <f t="shared" si="88"/>
        <v>0</v>
      </c>
      <c r="Y636">
        <f t="shared" si="89"/>
        <v>0</v>
      </c>
    </row>
    <row r="637" spans="1:25" x14ac:dyDescent="0.3">
      <c r="A637" t="s">
        <v>4373</v>
      </c>
      <c r="B637" t="s">
        <v>4374</v>
      </c>
      <c r="C637" s="1">
        <v>45719</v>
      </c>
      <c r="D637" s="3">
        <v>0.6849884259259259</v>
      </c>
      <c r="E637">
        <f t="shared" si="81"/>
        <v>16</v>
      </c>
      <c r="F637" s="4">
        <v>41</v>
      </c>
      <c r="G637" t="s">
        <v>46</v>
      </c>
      <c r="H637" t="s">
        <v>312</v>
      </c>
      <c r="I637" t="s">
        <v>119</v>
      </c>
      <c r="J637" t="s">
        <v>56</v>
      </c>
      <c r="K637" t="s">
        <v>101</v>
      </c>
      <c r="L637">
        <v>225.37</v>
      </c>
      <c r="M637" t="s">
        <v>6479</v>
      </c>
      <c r="N637">
        <f t="shared" si="82"/>
        <v>1</v>
      </c>
      <c r="O637" t="s">
        <v>86</v>
      </c>
      <c r="P637" t="s">
        <v>4375</v>
      </c>
      <c r="Q637">
        <v>0</v>
      </c>
      <c r="R637">
        <v>266</v>
      </c>
      <c r="S637">
        <f t="shared" si="83"/>
        <v>0.70267820846784601</v>
      </c>
      <c r="T637">
        <f t="shared" si="84"/>
        <v>0</v>
      </c>
      <c r="U637">
        <f t="shared" si="85"/>
        <v>0</v>
      </c>
      <c r="V637">
        <f t="shared" si="86"/>
        <v>1</v>
      </c>
      <c r="W637">
        <f t="shared" si="87"/>
        <v>3</v>
      </c>
      <c r="X637">
        <f t="shared" si="88"/>
        <v>0</v>
      </c>
      <c r="Y637">
        <f t="shared" si="89"/>
        <v>1</v>
      </c>
    </row>
    <row r="638" spans="1:25" x14ac:dyDescent="0.3">
      <c r="A638" t="s">
        <v>6029</v>
      </c>
      <c r="B638" t="s">
        <v>6030</v>
      </c>
      <c r="C638" s="1">
        <v>45763</v>
      </c>
      <c r="D638" s="3">
        <v>0.45982638888888888</v>
      </c>
      <c r="E638">
        <f t="shared" si="81"/>
        <v>11</v>
      </c>
      <c r="F638">
        <v>21</v>
      </c>
      <c r="G638" t="s">
        <v>60</v>
      </c>
      <c r="H638" t="s">
        <v>239</v>
      </c>
      <c r="I638" t="s">
        <v>30</v>
      </c>
      <c r="J638" t="s">
        <v>132</v>
      </c>
      <c r="K638" t="s">
        <v>32</v>
      </c>
      <c r="L638">
        <v>225.24</v>
      </c>
      <c r="M638" t="s">
        <v>115</v>
      </c>
      <c r="N638">
        <f t="shared" si="82"/>
        <v>0</v>
      </c>
      <c r="O638" t="s">
        <v>51</v>
      </c>
      <c r="P638" t="s">
        <v>6031</v>
      </c>
      <c r="Q638">
        <v>0</v>
      </c>
      <c r="R638">
        <v>272</v>
      </c>
      <c r="S638">
        <f t="shared" si="83"/>
        <v>0.70087845473595412</v>
      </c>
      <c r="T638">
        <f t="shared" si="84"/>
        <v>0</v>
      </c>
      <c r="U638">
        <f t="shared" si="85"/>
        <v>0</v>
      </c>
      <c r="V638">
        <f t="shared" si="86"/>
        <v>1</v>
      </c>
      <c r="W638">
        <f t="shared" si="87"/>
        <v>1</v>
      </c>
      <c r="X638">
        <f t="shared" si="88"/>
        <v>0</v>
      </c>
      <c r="Y638">
        <f t="shared" si="89"/>
        <v>0</v>
      </c>
    </row>
    <row r="639" spans="1:25" x14ac:dyDescent="0.3">
      <c r="A639" t="s">
        <v>3560</v>
      </c>
      <c r="B639" t="s">
        <v>3561</v>
      </c>
      <c r="C639" s="1">
        <v>45799</v>
      </c>
      <c r="D639" s="3">
        <v>0.94609953703703709</v>
      </c>
      <c r="E639">
        <f t="shared" si="81"/>
        <v>22</v>
      </c>
      <c r="F639">
        <v>50</v>
      </c>
      <c r="G639" t="s">
        <v>46</v>
      </c>
      <c r="H639" t="s">
        <v>142</v>
      </c>
      <c r="I639" t="s">
        <v>85</v>
      </c>
      <c r="J639" t="s">
        <v>31</v>
      </c>
      <c r="K639" t="s">
        <v>168</v>
      </c>
      <c r="L639">
        <v>225.18</v>
      </c>
      <c r="M639" t="s">
        <v>23</v>
      </c>
      <c r="N639">
        <f t="shared" si="82"/>
        <v>0</v>
      </c>
      <c r="O639" t="s">
        <v>34</v>
      </c>
      <c r="P639" t="s">
        <v>3562</v>
      </c>
      <c r="Q639">
        <v>0</v>
      </c>
      <c r="R639">
        <v>491</v>
      </c>
      <c r="S639">
        <f t="shared" si="83"/>
        <v>0.70004779916738846</v>
      </c>
      <c r="T639">
        <f t="shared" si="84"/>
        <v>0</v>
      </c>
      <c r="U639">
        <f t="shared" si="85"/>
        <v>0</v>
      </c>
      <c r="V639">
        <f t="shared" si="86"/>
        <v>0</v>
      </c>
      <c r="W639">
        <f t="shared" si="87"/>
        <v>0</v>
      </c>
      <c r="X639">
        <f t="shared" si="88"/>
        <v>0</v>
      </c>
      <c r="Y639">
        <f t="shared" si="89"/>
        <v>0</v>
      </c>
    </row>
    <row r="640" spans="1:25" x14ac:dyDescent="0.3">
      <c r="A640" t="s">
        <v>5750</v>
      </c>
      <c r="B640" t="s">
        <v>5751</v>
      </c>
      <c r="C640" s="1">
        <v>45814</v>
      </c>
      <c r="D640" s="3">
        <v>0.58251157407407406</v>
      </c>
      <c r="E640">
        <f t="shared" si="81"/>
        <v>13</v>
      </c>
      <c r="F640">
        <v>50</v>
      </c>
      <c r="G640" t="s">
        <v>18</v>
      </c>
      <c r="H640" t="s">
        <v>142</v>
      </c>
      <c r="I640" t="s">
        <v>71</v>
      </c>
      <c r="J640" t="s">
        <v>72</v>
      </c>
      <c r="K640" t="s">
        <v>114</v>
      </c>
      <c r="L640">
        <v>225.15</v>
      </c>
      <c r="M640" t="s">
        <v>23</v>
      </c>
      <c r="N640">
        <f t="shared" si="82"/>
        <v>0</v>
      </c>
      <c r="O640" t="s">
        <v>34</v>
      </c>
      <c r="P640" t="s">
        <v>5752</v>
      </c>
      <c r="Q640">
        <v>0</v>
      </c>
      <c r="R640">
        <v>187</v>
      </c>
      <c r="S640">
        <f t="shared" si="83"/>
        <v>0.69963247138310569</v>
      </c>
      <c r="T640">
        <f t="shared" si="84"/>
        <v>0</v>
      </c>
      <c r="U640">
        <f t="shared" si="85"/>
        <v>0</v>
      </c>
      <c r="V640">
        <f t="shared" si="86"/>
        <v>1</v>
      </c>
      <c r="W640">
        <f t="shared" si="87"/>
        <v>1</v>
      </c>
      <c r="X640">
        <f t="shared" si="88"/>
        <v>0</v>
      </c>
      <c r="Y640">
        <f t="shared" si="89"/>
        <v>0</v>
      </c>
    </row>
    <row r="641" spans="1:25" x14ac:dyDescent="0.3">
      <c r="A641" t="s">
        <v>4409</v>
      </c>
      <c r="B641" t="s">
        <v>4410</v>
      </c>
      <c r="C641" s="1">
        <v>45735</v>
      </c>
      <c r="D641" s="3">
        <v>0.99305555555555558</v>
      </c>
      <c r="E641">
        <f t="shared" si="81"/>
        <v>23</v>
      </c>
      <c r="F641">
        <v>42</v>
      </c>
      <c r="G641" t="s">
        <v>46</v>
      </c>
      <c r="H641" t="s">
        <v>167</v>
      </c>
      <c r="I641" t="s">
        <v>85</v>
      </c>
      <c r="J641" t="s">
        <v>94</v>
      </c>
      <c r="K641" t="s">
        <v>101</v>
      </c>
      <c r="L641">
        <v>225</v>
      </c>
      <c r="M641" t="s">
        <v>42</v>
      </c>
      <c r="N641">
        <f t="shared" si="82"/>
        <v>0</v>
      </c>
      <c r="O641" t="s">
        <v>34</v>
      </c>
      <c r="P641" t="s">
        <v>4411</v>
      </c>
      <c r="Q641">
        <v>1</v>
      </c>
      <c r="R641">
        <v>433</v>
      </c>
      <c r="S641">
        <f t="shared" si="83"/>
        <v>0.69755583246169173</v>
      </c>
      <c r="T641">
        <f t="shared" si="84"/>
        <v>0</v>
      </c>
      <c r="U641">
        <f t="shared" si="85"/>
        <v>0</v>
      </c>
      <c r="V641">
        <f t="shared" si="86"/>
        <v>0</v>
      </c>
      <c r="W641">
        <f t="shared" si="87"/>
        <v>0</v>
      </c>
      <c r="X641">
        <f t="shared" si="88"/>
        <v>0</v>
      </c>
      <c r="Y641">
        <f t="shared" si="89"/>
        <v>0</v>
      </c>
    </row>
    <row r="642" spans="1:25" x14ac:dyDescent="0.3">
      <c r="A642" t="s">
        <v>6242</v>
      </c>
      <c r="B642" t="s">
        <v>6243</v>
      </c>
      <c r="C642" s="1">
        <v>45777</v>
      </c>
      <c r="D642" s="3">
        <v>0.47839120370370369</v>
      </c>
      <c r="E642">
        <f t="shared" ref="E642:E705" si="90">HOUR(D642)</f>
        <v>11</v>
      </c>
      <c r="F642">
        <v>46</v>
      </c>
      <c r="G642" t="s">
        <v>18</v>
      </c>
      <c r="H642" t="s">
        <v>131</v>
      </c>
      <c r="I642" t="s">
        <v>85</v>
      </c>
      <c r="J642" t="s">
        <v>21</v>
      </c>
      <c r="K642" t="s">
        <v>120</v>
      </c>
      <c r="L642">
        <v>224.93</v>
      </c>
      <c r="M642" t="s">
        <v>6479</v>
      </c>
      <c r="N642">
        <f t="shared" ref="N642:N705" si="91">IF(M642="Unknown",1,0)</f>
        <v>1</v>
      </c>
      <c r="O642" t="s">
        <v>24</v>
      </c>
      <c r="P642" t="s">
        <v>6244</v>
      </c>
      <c r="Q642">
        <v>0</v>
      </c>
      <c r="R642">
        <v>316</v>
      </c>
      <c r="S642">
        <f t="shared" ref="S642:S705" si="92">(L642-$P$2137)/$P$2138</f>
        <v>0.69658673429836537</v>
      </c>
      <c r="T642">
        <f t="shared" ref="T642:T705" si="93">IF(ABS(Z642)&gt;3,1,0)</f>
        <v>0</v>
      </c>
      <c r="U642">
        <f t="shared" ref="U642:U705" si="94">IF(AND(E642&gt;=0,E642&lt;=5),1,0)</f>
        <v>0</v>
      </c>
      <c r="V642">
        <f t="shared" ref="V642:V705" si="95">IF(R642&lt;AVERAGE($R:$R),1,0)</f>
        <v>0</v>
      </c>
      <c r="W642">
        <f t="shared" ref="W642:W705" si="96">T642*3+U642*2+V642*1+N642*2</f>
        <v>2</v>
      </c>
      <c r="X642">
        <f t="shared" ref="X642:X705" si="97">IF(W642&gt;=5,1,0)</f>
        <v>0</v>
      </c>
      <c r="Y642">
        <f t="shared" ref="Y642:Y705" si="98">IF(M642="Unknown",1,0)</f>
        <v>1</v>
      </c>
    </row>
    <row r="643" spans="1:25" x14ac:dyDescent="0.3">
      <c r="A643" t="s">
        <v>3623</v>
      </c>
      <c r="B643" t="s">
        <v>3624</v>
      </c>
      <c r="C643" s="1">
        <v>45721</v>
      </c>
      <c r="D643" s="3">
        <v>0.96082175925925928</v>
      </c>
      <c r="E643">
        <f t="shared" si="90"/>
        <v>23</v>
      </c>
      <c r="F643">
        <v>28</v>
      </c>
      <c r="G643" t="s">
        <v>46</v>
      </c>
      <c r="H643" t="s">
        <v>55</v>
      </c>
      <c r="I643" t="s">
        <v>105</v>
      </c>
      <c r="J643" t="s">
        <v>132</v>
      </c>
      <c r="K643" t="s">
        <v>32</v>
      </c>
      <c r="L643">
        <v>224.89</v>
      </c>
      <c r="M643" t="s">
        <v>42</v>
      </c>
      <c r="N643">
        <f t="shared" si="91"/>
        <v>0</v>
      </c>
      <c r="O643" t="s">
        <v>51</v>
      </c>
      <c r="P643" t="s">
        <v>3625</v>
      </c>
      <c r="Q643">
        <v>0</v>
      </c>
      <c r="R643">
        <v>284</v>
      </c>
      <c r="S643">
        <f t="shared" si="92"/>
        <v>0.69603296391932146</v>
      </c>
      <c r="T643">
        <f t="shared" si="93"/>
        <v>0</v>
      </c>
      <c r="U643">
        <f t="shared" si="94"/>
        <v>0</v>
      </c>
      <c r="V643">
        <f t="shared" si="95"/>
        <v>0</v>
      </c>
      <c r="W643">
        <f t="shared" si="96"/>
        <v>0</v>
      </c>
      <c r="X643">
        <f t="shared" si="97"/>
        <v>0</v>
      </c>
      <c r="Y643">
        <f t="shared" si="98"/>
        <v>0</v>
      </c>
    </row>
    <row r="644" spans="1:25" x14ac:dyDescent="0.3">
      <c r="A644" t="s">
        <v>1163</v>
      </c>
      <c r="B644" t="s">
        <v>1164</v>
      </c>
      <c r="C644" s="1">
        <v>45782</v>
      </c>
      <c r="D644" s="3">
        <v>0.30045138888888889</v>
      </c>
      <c r="E644">
        <f t="shared" si="90"/>
        <v>7</v>
      </c>
      <c r="F644" s="4">
        <v>41</v>
      </c>
      <c r="G644" t="s">
        <v>46</v>
      </c>
      <c r="H644" t="s">
        <v>38</v>
      </c>
      <c r="I644" t="s">
        <v>71</v>
      </c>
      <c r="J644" t="s">
        <v>94</v>
      </c>
      <c r="K644" t="s">
        <v>95</v>
      </c>
      <c r="L644">
        <v>224.8</v>
      </c>
      <c r="M644" t="s">
        <v>23</v>
      </c>
      <c r="N644">
        <f t="shared" si="91"/>
        <v>0</v>
      </c>
      <c r="O644" t="s">
        <v>34</v>
      </c>
      <c r="P644" t="s">
        <v>1165</v>
      </c>
      <c r="Q644">
        <v>0</v>
      </c>
      <c r="R644">
        <v>158</v>
      </c>
      <c r="S644">
        <f t="shared" si="92"/>
        <v>0.69478698056647348</v>
      </c>
      <c r="T644">
        <f t="shared" si="93"/>
        <v>0</v>
      </c>
      <c r="U644">
        <f t="shared" si="94"/>
        <v>0</v>
      </c>
      <c r="V644">
        <f t="shared" si="95"/>
        <v>1</v>
      </c>
      <c r="W644">
        <f t="shared" si="96"/>
        <v>1</v>
      </c>
      <c r="X644">
        <f t="shared" si="97"/>
        <v>0</v>
      </c>
      <c r="Y644">
        <f t="shared" si="98"/>
        <v>0</v>
      </c>
    </row>
    <row r="645" spans="1:25" x14ac:dyDescent="0.3">
      <c r="A645" t="s">
        <v>3668</v>
      </c>
      <c r="B645" t="s">
        <v>3669</v>
      </c>
      <c r="C645" s="1">
        <v>45826</v>
      </c>
      <c r="D645" s="3">
        <v>0.94160879629629635</v>
      </c>
      <c r="E645">
        <f t="shared" si="90"/>
        <v>22</v>
      </c>
      <c r="F645">
        <v>26</v>
      </c>
      <c r="G645" t="s">
        <v>18</v>
      </c>
      <c r="H645" t="s">
        <v>239</v>
      </c>
      <c r="I645" t="s">
        <v>39</v>
      </c>
      <c r="J645" t="s">
        <v>31</v>
      </c>
      <c r="K645" t="s">
        <v>32</v>
      </c>
      <c r="L645">
        <v>224.79</v>
      </c>
      <c r="M645" t="s">
        <v>115</v>
      </c>
      <c r="N645">
        <f t="shared" si="91"/>
        <v>0</v>
      </c>
      <c r="O645" t="s">
        <v>34</v>
      </c>
      <c r="P645" t="s">
        <v>3670</v>
      </c>
      <c r="Q645">
        <v>0</v>
      </c>
      <c r="R645">
        <v>379</v>
      </c>
      <c r="S645">
        <f t="shared" si="92"/>
        <v>0.69464853797171222</v>
      </c>
      <c r="T645">
        <f t="shared" si="93"/>
        <v>0</v>
      </c>
      <c r="U645">
        <f t="shared" si="94"/>
        <v>0</v>
      </c>
      <c r="V645">
        <f t="shared" si="95"/>
        <v>0</v>
      </c>
      <c r="W645">
        <f t="shared" si="96"/>
        <v>0</v>
      </c>
      <c r="X645">
        <f t="shared" si="97"/>
        <v>0</v>
      </c>
      <c r="Y645">
        <f t="shared" si="98"/>
        <v>0</v>
      </c>
    </row>
    <row r="646" spans="1:25" x14ac:dyDescent="0.3">
      <c r="A646" t="s">
        <v>3965</v>
      </c>
      <c r="B646" t="s">
        <v>3966</v>
      </c>
      <c r="C646" s="1">
        <v>45766</v>
      </c>
      <c r="D646" s="3">
        <v>0.79500000000000004</v>
      </c>
      <c r="E646">
        <f t="shared" si="90"/>
        <v>19</v>
      </c>
      <c r="F646">
        <v>49</v>
      </c>
      <c r="G646" t="s">
        <v>18</v>
      </c>
      <c r="H646" t="s">
        <v>90</v>
      </c>
      <c r="I646" t="s">
        <v>48</v>
      </c>
      <c r="J646" t="s">
        <v>40</v>
      </c>
      <c r="K646" t="s">
        <v>114</v>
      </c>
      <c r="L646">
        <v>224.72</v>
      </c>
      <c r="M646" t="s">
        <v>115</v>
      </c>
      <c r="N646">
        <f t="shared" si="91"/>
        <v>0</v>
      </c>
      <c r="O646" t="s">
        <v>24</v>
      </c>
      <c r="P646" t="s">
        <v>3967</v>
      </c>
      <c r="Q646">
        <v>0</v>
      </c>
      <c r="R646">
        <v>239</v>
      </c>
      <c r="S646">
        <f t="shared" si="92"/>
        <v>0.69367943980838587</v>
      </c>
      <c r="T646">
        <f t="shared" si="93"/>
        <v>0</v>
      </c>
      <c r="U646">
        <f t="shared" si="94"/>
        <v>0</v>
      </c>
      <c r="V646">
        <f t="shared" si="95"/>
        <v>1</v>
      </c>
      <c r="W646">
        <f t="shared" si="96"/>
        <v>1</v>
      </c>
      <c r="X646">
        <f t="shared" si="97"/>
        <v>0</v>
      </c>
      <c r="Y646">
        <f t="shared" si="98"/>
        <v>0</v>
      </c>
    </row>
    <row r="647" spans="1:25" x14ac:dyDescent="0.3">
      <c r="A647" t="s">
        <v>304</v>
      </c>
      <c r="B647" t="s">
        <v>305</v>
      </c>
      <c r="C647" s="1">
        <v>45796</v>
      </c>
      <c r="D647" s="3">
        <v>0.13906250000000001</v>
      </c>
      <c r="E647">
        <f t="shared" si="90"/>
        <v>3</v>
      </c>
      <c r="F647">
        <v>65</v>
      </c>
      <c r="G647" t="s">
        <v>46</v>
      </c>
      <c r="H647" t="s">
        <v>19</v>
      </c>
      <c r="I647" t="s">
        <v>48</v>
      </c>
      <c r="J647" t="s">
        <v>94</v>
      </c>
      <c r="K647" t="s">
        <v>114</v>
      </c>
      <c r="L647">
        <v>224.62</v>
      </c>
      <c r="M647" t="s">
        <v>115</v>
      </c>
      <c r="N647">
        <f t="shared" si="91"/>
        <v>0</v>
      </c>
      <c r="O647" t="s">
        <v>24</v>
      </c>
      <c r="P647" t="s">
        <v>306</v>
      </c>
      <c r="Q647">
        <v>0</v>
      </c>
      <c r="R647">
        <v>189</v>
      </c>
      <c r="S647">
        <f t="shared" si="92"/>
        <v>0.69229501386077674</v>
      </c>
      <c r="T647">
        <f t="shared" si="93"/>
        <v>0</v>
      </c>
      <c r="U647">
        <f t="shared" si="94"/>
        <v>1</v>
      </c>
      <c r="V647">
        <f t="shared" si="95"/>
        <v>1</v>
      </c>
      <c r="W647">
        <f t="shared" si="96"/>
        <v>3</v>
      </c>
      <c r="X647">
        <f t="shared" si="97"/>
        <v>0</v>
      </c>
      <c r="Y647">
        <f t="shared" si="98"/>
        <v>0</v>
      </c>
    </row>
    <row r="648" spans="1:25" x14ac:dyDescent="0.3">
      <c r="A648" t="s">
        <v>3266</v>
      </c>
      <c r="B648" t="s">
        <v>3267</v>
      </c>
      <c r="C648" s="1">
        <v>45818</v>
      </c>
      <c r="D648" s="3">
        <v>0.86807870370370366</v>
      </c>
      <c r="E648">
        <f t="shared" si="90"/>
        <v>20</v>
      </c>
      <c r="F648">
        <v>31</v>
      </c>
      <c r="G648" t="s">
        <v>18</v>
      </c>
      <c r="H648" t="s">
        <v>312</v>
      </c>
      <c r="I648" t="s">
        <v>119</v>
      </c>
      <c r="J648" t="s">
        <v>21</v>
      </c>
      <c r="K648" t="s">
        <v>50</v>
      </c>
      <c r="L648">
        <v>224.25</v>
      </c>
      <c r="M648" t="s">
        <v>42</v>
      </c>
      <c r="N648">
        <f t="shared" si="91"/>
        <v>0</v>
      </c>
      <c r="O648" t="s">
        <v>86</v>
      </c>
      <c r="P648" t="s">
        <v>3268</v>
      </c>
      <c r="Q648">
        <v>0</v>
      </c>
      <c r="R648">
        <v>238</v>
      </c>
      <c r="S648">
        <f t="shared" si="92"/>
        <v>0.68717263785462246</v>
      </c>
      <c r="T648">
        <f t="shared" si="93"/>
        <v>0</v>
      </c>
      <c r="U648">
        <f t="shared" si="94"/>
        <v>0</v>
      </c>
      <c r="V648">
        <f t="shared" si="95"/>
        <v>1</v>
      </c>
      <c r="W648">
        <f t="shared" si="96"/>
        <v>1</v>
      </c>
      <c r="X648">
        <f t="shared" si="97"/>
        <v>0</v>
      </c>
      <c r="Y648">
        <f t="shared" si="98"/>
        <v>0</v>
      </c>
    </row>
    <row r="649" spans="1:25" x14ac:dyDescent="0.3">
      <c r="A649" t="s">
        <v>2438</v>
      </c>
      <c r="B649" t="s">
        <v>2439</v>
      </c>
      <c r="C649" s="1">
        <v>45867</v>
      </c>
      <c r="D649" s="3">
        <v>0.47956018518518517</v>
      </c>
      <c r="E649">
        <f t="shared" si="90"/>
        <v>11</v>
      </c>
      <c r="F649" s="4">
        <v>41</v>
      </c>
      <c r="G649" t="s">
        <v>46</v>
      </c>
      <c r="H649" t="s">
        <v>84</v>
      </c>
      <c r="I649" t="s">
        <v>110</v>
      </c>
      <c r="J649" t="s">
        <v>94</v>
      </c>
      <c r="K649" t="s">
        <v>120</v>
      </c>
      <c r="L649">
        <v>224.14</v>
      </c>
      <c r="M649" t="s">
        <v>42</v>
      </c>
      <c r="N649">
        <f t="shared" si="91"/>
        <v>0</v>
      </c>
      <c r="O649" t="s">
        <v>34</v>
      </c>
      <c r="P649" t="s">
        <v>2440</v>
      </c>
      <c r="Q649">
        <v>0</v>
      </c>
      <c r="R649">
        <v>195</v>
      </c>
      <c r="S649">
        <f t="shared" si="92"/>
        <v>0.68564976931225208</v>
      </c>
      <c r="T649">
        <f t="shared" si="93"/>
        <v>0</v>
      </c>
      <c r="U649">
        <f t="shared" si="94"/>
        <v>0</v>
      </c>
      <c r="V649">
        <f t="shared" si="95"/>
        <v>1</v>
      </c>
      <c r="W649">
        <f t="shared" si="96"/>
        <v>1</v>
      </c>
      <c r="X649">
        <f t="shared" si="97"/>
        <v>0</v>
      </c>
      <c r="Y649">
        <f t="shared" si="98"/>
        <v>0</v>
      </c>
    </row>
    <row r="650" spans="1:25" x14ac:dyDescent="0.3">
      <c r="A650" t="s">
        <v>153</v>
      </c>
      <c r="B650" t="s">
        <v>154</v>
      </c>
      <c r="C650" s="1">
        <v>45758</v>
      </c>
      <c r="D650" s="3">
        <v>0.17766203703703703</v>
      </c>
      <c r="E650">
        <f t="shared" si="90"/>
        <v>4</v>
      </c>
      <c r="F650">
        <v>61</v>
      </c>
      <c r="G650" t="s">
        <v>60</v>
      </c>
      <c r="H650" t="s">
        <v>55</v>
      </c>
      <c r="I650" t="s">
        <v>30</v>
      </c>
      <c r="J650" t="s">
        <v>49</v>
      </c>
      <c r="K650" t="s">
        <v>22</v>
      </c>
      <c r="L650">
        <v>224.01</v>
      </c>
      <c r="M650" t="s">
        <v>23</v>
      </c>
      <c r="N650">
        <f t="shared" si="91"/>
        <v>0</v>
      </c>
      <c r="O650" t="s">
        <v>86</v>
      </c>
      <c r="P650" t="s">
        <v>155</v>
      </c>
      <c r="Q650">
        <v>0</v>
      </c>
      <c r="R650">
        <v>179</v>
      </c>
      <c r="S650">
        <f t="shared" si="92"/>
        <v>0.68385001558036007</v>
      </c>
      <c r="T650">
        <f t="shared" si="93"/>
        <v>0</v>
      </c>
      <c r="U650">
        <f t="shared" si="94"/>
        <v>1</v>
      </c>
      <c r="V650">
        <f t="shared" si="95"/>
        <v>1</v>
      </c>
      <c r="W650">
        <f t="shared" si="96"/>
        <v>3</v>
      </c>
      <c r="X650">
        <f t="shared" si="97"/>
        <v>0</v>
      </c>
      <c r="Y650">
        <f t="shared" si="98"/>
        <v>0</v>
      </c>
    </row>
    <row r="651" spans="1:25" x14ac:dyDescent="0.3">
      <c r="A651" t="s">
        <v>4853</v>
      </c>
      <c r="B651" t="s">
        <v>4854</v>
      </c>
      <c r="C651" s="1">
        <v>45771</v>
      </c>
      <c r="D651" s="3">
        <v>8.6921296296296302E-2</v>
      </c>
      <c r="E651">
        <f t="shared" si="90"/>
        <v>2</v>
      </c>
      <c r="F651">
        <v>42</v>
      </c>
      <c r="G651" t="s">
        <v>46</v>
      </c>
      <c r="H651" t="s">
        <v>47</v>
      </c>
      <c r="I651" t="s">
        <v>20</v>
      </c>
      <c r="J651" t="s">
        <v>127</v>
      </c>
      <c r="K651" t="s">
        <v>168</v>
      </c>
      <c r="L651">
        <v>223.97</v>
      </c>
      <c r="M651" t="s">
        <v>33</v>
      </c>
      <c r="N651">
        <f t="shared" si="91"/>
        <v>0</v>
      </c>
      <c r="O651" t="s">
        <v>34</v>
      </c>
      <c r="P651" t="s">
        <v>4855</v>
      </c>
      <c r="Q651">
        <v>0</v>
      </c>
      <c r="R651">
        <v>492</v>
      </c>
      <c r="S651">
        <f t="shared" si="92"/>
        <v>0.68329624520131649</v>
      </c>
      <c r="T651">
        <f t="shared" si="93"/>
        <v>0</v>
      </c>
      <c r="U651">
        <f t="shared" si="94"/>
        <v>1</v>
      </c>
      <c r="V651">
        <f t="shared" si="95"/>
        <v>0</v>
      </c>
      <c r="W651">
        <f t="shared" si="96"/>
        <v>2</v>
      </c>
      <c r="X651">
        <f t="shared" si="97"/>
        <v>0</v>
      </c>
      <c r="Y651">
        <f t="shared" si="98"/>
        <v>0</v>
      </c>
    </row>
    <row r="652" spans="1:25" x14ac:dyDescent="0.3">
      <c r="A652" t="s">
        <v>3767</v>
      </c>
      <c r="B652" t="s">
        <v>3768</v>
      </c>
      <c r="C652" s="1">
        <v>45748</v>
      </c>
      <c r="D652" s="3">
        <v>0.88929398148148153</v>
      </c>
      <c r="E652">
        <f t="shared" si="90"/>
        <v>21</v>
      </c>
      <c r="F652">
        <v>37</v>
      </c>
      <c r="G652" t="s">
        <v>46</v>
      </c>
      <c r="H652" t="s">
        <v>19</v>
      </c>
      <c r="I652" t="s">
        <v>85</v>
      </c>
      <c r="J652" t="s">
        <v>56</v>
      </c>
      <c r="K652" t="s">
        <v>62</v>
      </c>
      <c r="L652">
        <v>223.95</v>
      </c>
      <c r="M652" t="s">
        <v>33</v>
      </c>
      <c r="N652">
        <f t="shared" si="91"/>
        <v>0</v>
      </c>
      <c r="O652" t="s">
        <v>24</v>
      </c>
      <c r="P652" t="s">
        <v>3769</v>
      </c>
      <c r="Q652">
        <v>0</v>
      </c>
      <c r="R652">
        <v>471</v>
      </c>
      <c r="S652">
        <f t="shared" si="92"/>
        <v>0.68301936001179453</v>
      </c>
      <c r="T652">
        <f t="shared" si="93"/>
        <v>0</v>
      </c>
      <c r="U652">
        <f t="shared" si="94"/>
        <v>0</v>
      </c>
      <c r="V652">
        <f t="shared" si="95"/>
        <v>0</v>
      </c>
      <c r="W652">
        <f t="shared" si="96"/>
        <v>0</v>
      </c>
      <c r="X652">
        <f t="shared" si="97"/>
        <v>0</v>
      </c>
      <c r="Y652">
        <f t="shared" si="98"/>
        <v>0</v>
      </c>
    </row>
    <row r="653" spans="1:25" x14ac:dyDescent="0.3">
      <c r="A653" t="s">
        <v>4700</v>
      </c>
      <c r="B653" t="s">
        <v>4701</v>
      </c>
      <c r="C653" s="1">
        <v>45812</v>
      </c>
      <c r="D653" s="3">
        <v>0.16913194444444443</v>
      </c>
      <c r="E653">
        <f t="shared" si="90"/>
        <v>4</v>
      </c>
      <c r="F653">
        <v>51</v>
      </c>
      <c r="G653" t="s">
        <v>60</v>
      </c>
      <c r="H653" t="s">
        <v>38</v>
      </c>
      <c r="I653" t="s">
        <v>66</v>
      </c>
      <c r="J653" t="s">
        <v>31</v>
      </c>
      <c r="K653" t="s">
        <v>95</v>
      </c>
      <c r="L653">
        <v>223.82</v>
      </c>
      <c r="M653" t="s">
        <v>33</v>
      </c>
      <c r="N653">
        <f t="shared" si="91"/>
        <v>0</v>
      </c>
      <c r="O653" t="s">
        <v>51</v>
      </c>
      <c r="P653" t="s">
        <v>4702</v>
      </c>
      <c r="Q653">
        <v>0</v>
      </c>
      <c r="R653">
        <v>343</v>
      </c>
      <c r="S653">
        <f t="shared" si="92"/>
        <v>0.68121960627990263</v>
      </c>
      <c r="T653">
        <f t="shared" si="93"/>
        <v>0</v>
      </c>
      <c r="U653">
        <f t="shared" si="94"/>
        <v>1</v>
      </c>
      <c r="V653">
        <f t="shared" si="95"/>
        <v>0</v>
      </c>
      <c r="W653">
        <f t="shared" si="96"/>
        <v>2</v>
      </c>
      <c r="X653">
        <f t="shared" si="97"/>
        <v>0</v>
      </c>
      <c r="Y653">
        <f t="shared" si="98"/>
        <v>0</v>
      </c>
    </row>
    <row r="654" spans="1:25" x14ac:dyDescent="0.3">
      <c r="A654" t="s">
        <v>3038</v>
      </c>
      <c r="B654" t="s">
        <v>3039</v>
      </c>
      <c r="C654" s="1">
        <v>45871</v>
      </c>
      <c r="D654" s="3">
        <v>0.48311342592592593</v>
      </c>
      <c r="E654">
        <f t="shared" si="90"/>
        <v>11</v>
      </c>
      <c r="F654">
        <v>55</v>
      </c>
      <c r="G654" t="s">
        <v>46</v>
      </c>
      <c r="H654" t="s">
        <v>38</v>
      </c>
      <c r="I654" t="s">
        <v>71</v>
      </c>
      <c r="J654" t="s">
        <v>31</v>
      </c>
      <c r="K654" t="s">
        <v>101</v>
      </c>
      <c r="L654">
        <v>223.7</v>
      </c>
      <c r="M654" t="s">
        <v>33</v>
      </c>
      <c r="N654">
        <f t="shared" si="91"/>
        <v>0</v>
      </c>
      <c r="O654" t="s">
        <v>51</v>
      </c>
      <c r="P654" t="s">
        <v>3040</v>
      </c>
      <c r="Q654">
        <v>0</v>
      </c>
      <c r="R654">
        <v>381</v>
      </c>
      <c r="S654">
        <f t="shared" si="92"/>
        <v>0.67955829514277144</v>
      </c>
      <c r="T654">
        <f t="shared" si="93"/>
        <v>0</v>
      </c>
      <c r="U654">
        <f t="shared" si="94"/>
        <v>0</v>
      </c>
      <c r="V654">
        <f t="shared" si="95"/>
        <v>0</v>
      </c>
      <c r="W654">
        <f t="shared" si="96"/>
        <v>0</v>
      </c>
      <c r="X654">
        <f t="shared" si="97"/>
        <v>0</v>
      </c>
      <c r="Y654">
        <f t="shared" si="98"/>
        <v>0</v>
      </c>
    </row>
    <row r="655" spans="1:25" x14ac:dyDescent="0.3">
      <c r="A655" t="s">
        <v>3677</v>
      </c>
      <c r="B655" t="s">
        <v>3678</v>
      </c>
      <c r="C655" s="1">
        <v>45860</v>
      </c>
      <c r="D655" s="3">
        <v>0.25947916666666665</v>
      </c>
      <c r="E655">
        <f t="shared" si="90"/>
        <v>6</v>
      </c>
      <c r="F655">
        <v>43</v>
      </c>
      <c r="G655" t="s">
        <v>46</v>
      </c>
      <c r="H655" t="s">
        <v>47</v>
      </c>
      <c r="I655" t="s">
        <v>85</v>
      </c>
      <c r="J655" t="s">
        <v>31</v>
      </c>
      <c r="K655" t="s">
        <v>95</v>
      </c>
      <c r="L655">
        <v>223.6</v>
      </c>
      <c r="M655" t="s">
        <v>115</v>
      </c>
      <c r="N655">
        <f t="shared" si="91"/>
        <v>0</v>
      </c>
      <c r="O655" t="s">
        <v>86</v>
      </c>
      <c r="P655" t="s">
        <v>3679</v>
      </c>
      <c r="Q655">
        <v>0</v>
      </c>
      <c r="R655">
        <v>403</v>
      </c>
      <c r="S655">
        <f t="shared" si="92"/>
        <v>0.67817386919516232</v>
      </c>
      <c r="T655">
        <f t="shared" si="93"/>
        <v>0</v>
      </c>
      <c r="U655">
        <f t="shared" si="94"/>
        <v>0</v>
      </c>
      <c r="V655">
        <f t="shared" si="95"/>
        <v>0</v>
      </c>
      <c r="W655">
        <f t="shared" si="96"/>
        <v>0</v>
      </c>
      <c r="X655">
        <f t="shared" si="97"/>
        <v>0</v>
      </c>
      <c r="Y655">
        <f t="shared" si="98"/>
        <v>0</v>
      </c>
    </row>
    <row r="656" spans="1:25" x14ac:dyDescent="0.3">
      <c r="A656" t="s">
        <v>2612</v>
      </c>
      <c r="B656" t="s">
        <v>2613</v>
      </c>
      <c r="C656" s="1">
        <v>45878</v>
      </c>
      <c r="D656" s="3">
        <v>0.58351851851851855</v>
      </c>
      <c r="E656">
        <f t="shared" si="90"/>
        <v>14</v>
      </c>
      <c r="F656">
        <v>48</v>
      </c>
      <c r="G656" t="s">
        <v>46</v>
      </c>
      <c r="H656" t="s">
        <v>19</v>
      </c>
      <c r="I656" t="s">
        <v>71</v>
      </c>
      <c r="J656" t="s">
        <v>21</v>
      </c>
      <c r="K656" t="s">
        <v>95</v>
      </c>
      <c r="L656">
        <v>223.56</v>
      </c>
      <c r="M656" t="s">
        <v>115</v>
      </c>
      <c r="N656">
        <f t="shared" si="91"/>
        <v>0</v>
      </c>
      <c r="O656" t="s">
        <v>24</v>
      </c>
      <c r="P656" t="s">
        <v>2614</v>
      </c>
      <c r="Q656">
        <v>0</v>
      </c>
      <c r="R656">
        <v>360</v>
      </c>
      <c r="S656">
        <f t="shared" si="92"/>
        <v>0.67762009881611862</v>
      </c>
      <c r="T656">
        <f t="shared" si="93"/>
        <v>0</v>
      </c>
      <c r="U656">
        <f t="shared" si="94"/>
        <v>0</v>
      </c>
      <c r="V656">
        <f t="shared" si="95"/>
        <v>0</v>
      </c>
      <c r="W656">
        <f t="shared" si="96"/>
        <v>0</v>
      </c>
      <c r="X656">
        <f t="shared" si="97"/>
        <v>0</v>
      </c>
      <c r="Y656">
        <f t="shared" si="98"/>
        <v>0</v>
      </c>
    </row>
    <row r="657" spans="1:25" x14ac:dyDescent="0.3">
      <c r="A657" t="s">
        <v>5531</v>
      </c>
      <c r="B657" t="s">
        <v>5532</v>
      </c>
      <c r="C657" s="1">
        <v>45867</v>
      </c>
      <c r="D657" s="3">
        <v>0.2000925925925926</v>
      </c>
      <c r="E657">
        <f t="shared" si="90"/>
        <v>4</v>
      </c>
      <c r="F657">
        <v>41</v>
      </c>
      <c r="G657" t="s">
        <v>18</v>
      </c>
      <c r="H657" t="s">
        <v>175</v>
      </c>
      <c r="I657" t="s">
        <v>66</v>
      </c>
      <c r="J657" t="s">
        <v>56</v>
      </c>
      <c r="K657" t="s">
        <v>41</v>
      </c>
      <c r="L657">
        <v>223.42</v>
      </c>
      <c r="M657" t="s">
        <v>23</v>
      </c>
      <c r="N657">
        <f t="shared" si="91"/>
        <v>0</v>
      </c>
      <c r="O657" t="s">
        <v>34</v>
      </c>
      <c r="P657" t="s">
        <v>5533</v>
      </c>
      <c r="Q657">
        <v>0</v>
      </c>
      <c r="R657">
        <v>314</v>
      </c>
      <c r="S657">
        <f t="shared" si="92"/>
        <v>0.67568190248946558</v>
      </c>
      <c r="T657">
        <f t="shared" si="93"/>
        <v>0</v>
      </c>
      <c r="U657">
        <f t="shared" si="94"/>
        <v>1</v>
      </c>
      <c r="V657">
        <f t="shared" si="95"/>
        <v>0</v>
      </c>
      <c r="W657">
        <f t="shared" si="96"/>
        <v>2</v>
      </c>
      <c r="X657">
        <f t="shared" si="97"/>
        <v>0</v>
      </c>
      <c r="Y657">
        <f t="shared" si="98"/>
        <v>0</v>
      </c>
    </row>
    <row r="658" spans="1:25" x14ac:dyDescent="0.3">
      <c r="A658" t="s">
        <v>674</v>
      </c>
      <c r="B658" t="s">
        <v>675</v>
      </c>
      <c r="C658" s="1">
        <v>45823</v>
      </c>
      <c r="D658" s="3">
        <v>0.40049768518518519</v>
      </c>
      <c r="E658">
        <f t="shared" si="90"/>
        <v>9</v>
      </c>
      <c r="F658">
        <v>49</v>
      </c>
      <c r="G658" t="s">
        <v>60</v>
      </c>
      <c r="H658" t="s">
        <v>142</v>
      </c>
      <c r="I658" t="s">
        <v>39</v>
      </c>
      <c r="J658" t="s">
        <v>21</v>
      </c>
      <c r="K658" t="s">
        <v>22</v>
      </c>
      <c r="L658">
        <v>223.4</v>
      </c>
      <c r="M658" t="s">
        <v>23</v>
      </c>
      <c r="N658">
        <f t="shared" si="91"/>
        <v>0</v>
      </c>
      <c r="O658" t="s">
        <v>86</v>
      </c>
      <c r="P658" t="s">
        <v>676</v>
      </c>
      <c r="Q658">
        <v>0</v>
      </c>
      <c r="R658">
        <v>120</v>
      </c>
      <c r="S658">
        <f t="shared" si="92"/>
        <v>0.67540501729994395</v>
      </c>
      <c r="T658">
        <f t="shared" si="93"/>
        <v>0</v>
      </c>
      <c r="U658">
        <f t="shared" si="94"/>
        <v>0</v>
      </c>
      <c r="V658">
        <f t="shared" si="95"/>
        <v>1</v>
      </c>
      <c r="W658">
        <f t="shared" si="96"/>
        <v>1</v>
      </c>
      <c r="X658">
        <f t="shared" si="97"/>
        <v>0</v>
      </c>
      <c r="Y658">
        <f t="shared" si="98"/>
        <v>0</v>
      </c>
    </row>
    <row r="659" spans="1:25" x14ac:dyDescent="0.3">
      <c r="A659" t="s">
        <v>5900</v>
      </c>
      <c r="B659" t="s">
        <v>5901</v>
      </c>
      <c r="C659" s="1">
        <v>45791</v>
      </c>
      <c r="D659" s="3">
        <v>7.2604166666666664E-2</v>
      </c>
      <c r="E659">
        <f t="shared" si="90"/>
        <v>1</v>
      </c>
      <c r="F659">
        <v>20</v>
      </c>
      <c r="G659" t="s">
        <v>28</v>
      </c>
      <c r="H659" t="s">
        <v>61</v>
      </c>
      <c r="I659" t="s">
        <v>20</v>
      </c>
      <c r="J659" t="s">
        <v>31</v>
      </c>
      <c r="K659" t="s">
        <v>50</v>
      </c>
      <c r="L659">
        <v>223.32</v>
      </c>
      <c r="M659" t="s">
        <v>115</v>
      </c>
      <c r="N659">
        <f t="shared" si="91"/>
        <v>0</v>
      </c>
      <c r="O659" t="s">
        <v>24</v>
      </c>
      <c r="P659" t="s">
        <v>5902</v>
      </c>
      <c r="Q659">
        <v>0</v>
      </c>
      <c r="R659">
        <v>435</v>
      </c>
      <c r="S659">
        <f t="shared" si="92"/>
        <v>0.67429747654185634</v>
      </c>
      <c r="T659">
        <f t="shared" si="93"/>
        <v>0</v>
      </c>
      <c r="U659">
        <f t="shared" si="94"/>
        <v>1</v>
      </c>
      <c r="V659">
        <f t="shared" si="95"/>
        <v>0</v>
      </c>
      <c r="W659">
        <f t="shared" si="96"/>
        <v>2</v>
      </c>
      <c r="X659">
        <f t="shared" si="97"/>
        <v>0</v>
      </c>
      <c r="Y659">
        <f t="shared" si="98"/>
        <v>0</v>
      </c>
    </row>
    <row r="660" spans="1:25" x14ac:dyDescent="0.3">
      <c r="A660" t="s">
        <v>5780</v>
      </c>
      <c r="B660" t="s">
        <v>5781</v>
      </c>
      <c r="C660" s="1">
        <v>45761</v>
      </c>
      <c r="D660" s="3">
        <v>0.87484953703703705</v>
      </c>
      <c r="E660">
        <f t="shared" si="90"/>
        <v>20</v>
      </c>
      <c r="F660">
        <v>47</v>
      </c>
      <c r="G660" t="s">
        <v>18</v>
      </c>
      <c r="H660" t="s">
        <v>142</v>
      </c>
      <c r="I660" t="s">
        <v>66</v>
      </c>
      <c r="J660" t="s">
        <v>40</v>
      </c>
      <c r="K660" t="s">
        <v>22</v>
      </c>
      <c r="L660">
        <v>223.2</v>
      </c>
      <c r="M660" t="s">
        <v>42</v>
      </c>
      <c r="N660">
        <f t="shared" si="91"/>
        <v>0</v>
      </c>
      <c r="O660" t="s">
        <v>24</v>
      </c>
      <c r="P660" t="s">
        <v>5782</v>
      </c>
      <c r="Q660">
        <v>0</v>
      </c>
      <c r="R660">
        <v>225</v>
      </c>
      <c r="S660">
        <f t="shared" si="92"/>
        <v>0.67263616540472515</v>
      </c>
      <c r="T660">
        <f t="shared" si="93"/>
        <v>0</v>
      </c>
      <c r="U660">
        <f t="shared" si="94"/>
        <v>0</v>
      </c>
      <c r="V660">
        <f t="shared" si="95"/>
        <v>1</v>
      </c>
      <c r="W660">
        <f t="shared" si="96"/>
        <v>1</v>
      </c>
      <c r="X660">
        <f t="shared" si="97"/>
        <v>0</v>
      </c>
      <c r="Y660">
        <f t="shared" si="98"/>
        <v>0</v>
      </c>
    </row>
    <row r="661" spans="1:25" x14ac:dyDescent="0.3">
      <c r="A661" t="s">
        <v>4466</v>
      </c>
      <c r="B661" t="s">
        <v>4467</v>
      </c>
      <c r="C661" s="1">
        <v>45836</v>
      </c>
      <c r="D661" s="3">
        <v>0.31168981481481484</v>
      </c>
      <c r="E661">
        <f t="shared" si="90"/>
        <v>7</v>
      </c>
      <c r="F661">
        <v>41</v>
      </c>
      <c r="G661" t="s">
        <v>99</v>
      </c>
      <c r="H661" t="s">
        <v>185</v>
      </c>
      <c r="I661" t="s">
        <v>20</v>
      </c>
      <c r="J661" t="s">
        <v>132</v>
      </c>
      <c r="K661" t="s">
        <v>50</v>
      </c>
      <c r="L661">
        <v>222.97</v>
      </c>
      <c r="M661" t="s">
        <v>115</v>
      </c>
      <c r="N661">
        <f t="shared" si="91"/>
        <v>0</v>
      </c>
      <c r="O661" t="s">
        <v>86</v>
      </c>
      <c r="P661" t="s">
        <v>4468</v>
      </c>
      <c r="Q661">
        <v>0</v>
      </c>
      <c r="R661">
        <v>235</v>
      </c>
      <c r="S661">
        <f t="shared" si="92"/>
        <v>0.66945198572522413</v>
      </c>
      <c r="T661">
        <f t="shared" si="93"/>
        <v>0</v>
      </c>
      <c r="U661">
        <f t="shared" si="94"/>
        <v>0</v>
      </c>
      <c r="V661">
        <f t="shared" si="95"/>
        <v>1</v>
      </c>
      <c r="W661">
        <f t="shared" si="96"/>
        <v>1</v>
      </c>
      <c r="X661">
        <f t="shared" si="97"/>
        <v>0</v>
      </c>
      <c r="Y661">
        <f t="shared" si="98"/>
        <v>0</v>
      </c>
    </row>
    <row r="662" spans="1:25" x14ac:dyDescent="0.3">
      <c r="A662" t="s">
        <v>1442</v>
      </c>
      <c r="B662" s="2" t="s">
        <v>1443</v>
      </c>
      <c r="C662" s="1">
        <v>45762</v>
      </c>
      <c r="D662" s="3">
        <v>0.92004629629629631</v>
      </c>
      <c r="E662">
        <f t="shared" si="90"/>
        <v>22</v>
      </c>
      <c r="F662">
        <v>42</v>
      </c>
      <c r="G662" t="s">
        <v>46</v>
      </c>
      <c r="H662" t="s">
        <v>70</v>
      </c>
      <c r="I662" t="s">
        <v>48</v>
      </c>
      <c r="J662" t="s">
        <v>49</v>
      </c>
      <c r="K662" t="s">
        <v>95</v>
      </c>
      <c r="L662">
        <v>222.67</v>
      </c>
      <c r="M662" t="s">
        <v>6479</v>
      </c>
      <c r="N662">
        <f t="shared" si="91"/>
        <v>1</v>
      </c>
      <c r="O662" t="s">
        <v>34</v>
      </c>
      <c r="P662" t="s">
        <v>1444</v>
      </c>
      <c r="Q662">
        <v>0</v>
      </c>
      <c r="R662">
        <v>158</v>
      </c>
      <c r="S662">
        <f t="shared" si="92"/>
        <v>0.6652987078823962</v>
      </c>
      <c r="T662">
        <f t="shared" si="93"/>
        <v>0</v>
      </c>
      <c r="U662">
        <f t="shared" si="94"/>
        <v>0</v>
      </c>
      <c r="V662">
        <f t="shared" si="95"/>
        <v>1</v>
      </c>
      <c r="W662">
        <f t="shared" si="96"/>
        <v>3</v>
      </c>
      <c r="X662">
        <f t="shared" si="97"/>
        <v>0</v>
      </c>
      <c r="Y662">
        <f t="shared" si="98"/>
        <v>1</v>
      </c>
    </row>
    <row r="663" spans="1:25" x14ac:dyDescent="0.3">
      <c r="A663" t="s">
        <v>6023</v>
      </c>
      <c r="B663" t="s">
        <v>6024</v>
      </c>
      <c r="C663" s="1">
        <v>45733</v>
      </c>
      <c r="D663" s="3">
        <v>0.25221064814814814</v>
      </c>
      <c r="E663">
        <f t="shared" si="90"/>
        <v>6</v>
      </c>
      <c r="F663">
        <v>37</v>
      </c>
      <c r="G663" t="s">
        <v>6479</v>
      </c>
      <c r="H663" t="s">
        <v>167</v>
      </c>
      <c r="I663" t="s">
        <v>30</v>
      </c>
      <c r="J663" t="s">
        <v>21</v>
      </c>
      <c r="K663" t="s">
        <v>168</v>
      </c>
      <c r="L663">
        <v>222.63</v>
      </c>
      <c r="M663" t="s">
        <v>33</v>
      </c>
      <c r="N663">
        <f t="shared" si="91"/>
        <v>0</v>
      </c>
      <c r="O663" t="s">
        <v>34</v>
      </c>
      <c r="P663" t="s">
        <v>6025</v>
      </c>
      <c r="Q663">
        <v>0</v>
      </c>
      <c r="R663">
        <v>74</v>
      </c>
      <c r="S663">
        <f t="shared" si="92"/>
        <v>0.66474493750335262</v>
      </c>
      <c r="T663">
        <f t="shared" si="93"/>
        <v>0</v>
      </c>
      <c r="U663">
        <f t="shared" si="94"/>
        <v>0</v>
      </c>
      <c r="V663">
        <f t="shared" si="95"/>
        <v>1</v>
      </c>
      <c r="W663">
        <f t="shared" si="96"/>
        <v>1</v>
      </c>
      <c r="X663">
        <f t="shared" si="97"/>
        <v>0</v>
      </c>
      <c r="Y663">
        <f t="shared" si="98"/>
        <v>0</v>
      </c>
    </row>
    <row r="664" spans="1:25" x14ac:dyDescent="0.3">
      <c r="A664" t="s">
        <v>5216</v>
      </c>
      <c r="B664" t="s">
        <v>5217</v>
      </c>
      <c r="C664" s="1">
        <v>45758</v>
      </c>
      <c r="D664" s="3">
        <v>0.71532407407407406</v>
      </c>
      <c r="E664">
        <f t="shared" si="90"/>
        <v>17</v>
      </c>
      <c r="F664">
        <v>29</v>
      </c>
      <c r="G664" t="s">
        <v>18</v>
      </c>
      <c r="H664" t="s">
        <v>189</v>
      </c>
      <c r="I664" t="s">
        <v>119</v>
      </c>
      <c r="J664" t="s">
        <v>76</v>
      </c>
      <c r="K664" t="s">
        <v>120</v>
      </c>
      <c r="L664">
        <v>222.55</v>
      </c>
      <c r="M664" t="s">
        <v>42</v>
      </c>
      <c r="N664">
        <f t="shared" si="91"/>
        <v>0</v>
      </c>
      <c r="O664" t="s">
        <v>34</v>
      </c>
      <c r="P664" t="s">
        <v>5218</v>
      </c>
      <c r="Q664">
        <v>0</v>
      </c>
      <c r="R664">
        <v>386</v>
      </c>
      <c r="S664">
        <f t="shared" si="92"/>
        <v>0.66363739674526545</v>
      </c>
      <c r="T664">
        <f t="shared" si="93"/>
        <v>0</v>
      </c>
      <c r="U664">
        <f t="shared" si="94"/>
        <v>0</v>
      </c>
      <c r="V664">
        <f t="shared" si="95"/>
        <v>0</v>
      </c>
      <c r="W664">
        <f t="shared" si="96"/>
        <v>0</v>
      </c>
      <c r="X664">
        <f t="shared" si="97"/>
        <v>0</v>
      </c>
      <c r="Y664">
        <f t="shared" si="98"/>
        <v>0</v>
      </c>
    </row>
    <row r="665" spans="1:25" x14ac:dyDescent="0.3">
      <c r="A665" t="s">
        <v>1721</v>
      </c>
      <c r="B665" t="s">
        <v>1722</v>
      </c>
      <c r="C665" s="1">
        <v>45859</v>
      </c>
      <c r="D665" s="3">
        <v>0.60709490740740746</v>
      </c>
      <c r="E665">
        <f t="shared" si="90"/>
        <v>14</v>
      </c>
      <c r="F665">
        <v>42</v>
      </c>
      <c r="G665" t="s">
        <v>46</v>
      </c>
      <c r="H665" t="s">
        <v>61</v>
      </c>
      <c r="I665" t="s">
        <v>71</v>
      </c>
      <c r="J665" t="s">
        <v>76</v>
      </c>
      <c r="K665" t="s">
        <v>62</v>
      </c>
      <c r="L665">
        <v>222.47</v>
      </c>
      <c r="M665" t="s">
        <v>42</v>
      </c>
      <c r="N665">
        <f t="shared" si="91"/>
        <v>0</v>
      </c>
      <c r="O665" t="s">
        <v>34</v>
      </c>
      <c r="P665" t="s">
        <v>1723</v>
      </c>
      <c r="Q665">
        <v>0</v>
      </c>
      <c r="R665">
        <v>216</v>
      </c>
      <c r="S665">
        <f t="shared" si="92"/>
        <v>0.66252985598717784</v>
      </c>
      <c r="T665">
        <f t="shared" si="93"/>
        <v>0</v>
      </c>
      <c r="U665">
        <f t="shared" si="94"/>
        <v>0</v>
      </c>
      <c r="V665">
        <f t="shared" si="95"/>
        <v>1</v>
      </c>
      <c r="W665">
        <f t="shared" si="96"/>
        <v>1</v>
      </c>
      <c r="X665">
        <f t="shared" si="97"/>
        <v>0</v>
      </c>
      <c r="Y665">
        <f t="shared" si="98"/>
        <v>0</v>
      </c>
    </row>
    <row r="666" spans="1:25" x14ac:dyDescent="0.3">
      <c r="A666" t="s">
        <v>3239</v>
      </c>
      <c r="B666" t="s">
        <v>3240</v>
      </c>
      <c r="C666" s="1">
        <v>45786</v>
      </c>
      <c r="D666" s="3">
        <v>0.58105324074074072</v>
      </c>
      <c r="E666">
        <f t="shared" si="90"/>
        <v>13</v>
      </c>
      <c r="F666">
        <v>58</v>
      </c>
      <c r="G666" t="s">
        <v>46</v>
      </c>
      <c r="H666" t="s">
        <v>131</v>
      </c>
      <c r="I666" t="s">
        <v>119</v>
      </c>
      <c r="J666" t="s">
        <v>76</v>
      </c>
      <c r="K666" t="s">
        <v>168</v>
      </c>
      <c r="L666">
        <v>222.37</v>
      </c>
      <c r="M666" t="s">
        <v>42</v>
      </c>
      <c r="N666">
        <f t="shared" si="91"/>
        <v>0</v>
      </c>
      <c r="O666" t="s">
        <v>24</v>
      </c>
      <c r="P666" t="s">
        <v>3241</v>
      </c>
      <c r="Q666">
        <v>0</v>
      </c>
      <c r="R666">
        <v>497</v>
      </c>
      <c r="S666">
        <f t="shared" si="92"/>
        <v>0.66114543003956872</v>
      </c>
      <c r="T666">
        <f t="shared" si="93"/>
        <v>0</v>
      </c>
      <c r="U666">
        <f t="shared" si="94"/>
        <v>0</v>
      </c>
      <c r="V666">
        <f t="shared" si="95"/>
        <v>0</v>
      </c>
      <c r="W666">
        <f t="shared" si="96"/>
        <v>0</v>
      </c>
      <c r="X666">
        <f t="shared" si="97"/>
        <v>0</v>
      </c>
      <c r="Y666">
        <f t="shared" si="98"/>
        <v>0</v>
      </c>
    </row>
    <row r="667" spans="1:25" x14ac:dyDescent="0.3">
      <c r="A667" t="s">
        <v>1742</v>
      </c>
      <c r="B667" t="s">
        <v>1743</v>
      </c>
      <c r="C667" s="1">
        <v>45775</v>
      </c>
      <c r="D667" s="3">
        <v>0.30128472222222225</v>
      </c>
      <c r="E667">
        <f t="shared" si="90"/>
        <v>7</v>
      </c>
      <c r="F667">
        <v>52</v>
      </c>
      <c r="G667" t="s">
        <v>60</v>
      </c>
      <c r="H667" t="s">
        <v>167</v>
      </c>
      <c r="I667" t="s">
        <v>66</v>
      </c>
      <c r="J667" t="s">
        <v>49</v>
      </c>
      <c r="K667" t="s">
        <v>168</v>
      </c>
      <c r="L667">
        <v>222.24</v>
      </c>
      <c r="M667" t="s">
        <v>23</v>
      </c>
      <c r="N667">
        <f t="shared" si="91"/>
        <v>0</v>
      </c>
      <c r="O667" t="s">
        <v>34</v>
      </c>
      <c r="P667" t="s">
        <v>1744</v>
      </c>
      <c r="Q667">
        <v>0</v>
      </c>
      <c r="R667">
        <v>189</v>
      </c>
      <c r="S667">
        <f t="shared" si="92"/>
        <v>0.65934567630767671</v>
      </c>
      <c r="T667">
        <f t="shared" si="93"/>
        <v>0</v>
      </c>
      <c r="U667">
        <f t="shared" si="94"/>
        <v>0</v>
      </c>
      <c r="V667">
        <f t="shared" si="95"/>
        <v>1</v>
      </c>
      <c r="W667">
        <f t="shared" si="96"/>
        <v>1</v>
      </c>
      <c r="X667">
        <f t="shared" si="97"/>
        <v>0</v>
      </c>
      <c r="Y667">
        <f t="shared" si="98"/>
        <v>0</v>
      </c>
    </row>
    <row r="668" spans="1:25" x14ac:dyDescent="0.3">
      <c r="A668" t="s">
        <v>2762</v>
      </c>
      <c r="B668" t="s">
        <v>2763</v>
      </c>
      <c r="C668" s="1">
        <v>45747</v>
      </c>
      <c r="D668" s="3">
        <v>0.72694444444444439</v>
      </c>
      <c r="E668">
        <f t="shared" si="90"/>
        <v>17</v>
      </c>
      <c r="F668">
        <v>39</v>
      </c>
      <c r="G668" t="s">
        <v>60</v>
      </c>
      <c r="H668" t="s">
        <v>19</v>
      </c>
      <c r="I668" t="s">
        <v>105</v>
      </c>
      <c r="J668" t="s">
        <v>31</v>
      </c>
      <c r="K668" t="s">
        <v>62</v>
      </c>
      <c r="L668">
        <v>222.21</v>
      </c>
      <c r="M668" t="s">
        <v>6479</v>
      </c>
      <c r="N668">
        <f t="shared" si="91"/>
        <v>1</v>
      </c>
      <c r="O668" t="s">
        <v>24</v>
      </c>
      <c r="P668" t="s">
        <v>2764</v>
      </c>
      <c r="Q668">
        <v>0</v>
      </c>
      <c r="R668">
        <v>289</v>
      </c>
      <c r="S668">
        <f t="shared" si="92"/>
        <v>0.65893034852339394</v>
      </c>
      <c r="T668">
        <f t="shared" si="93"/>
        <v>0</v>
      </c>
      <c r="U668">
        <f t="shared" si="94"/>
        <v>0</v>
      </c>
      <c r="V668">
        <f t="shared" si="95"/>
        <v>0</v>
      </c>
      <c r="W668">
        <f t="shared" si="96"/>
        <v>2</v>
      </c>
      <c r="X668">
        <f t="shared" si="97"/>
        <v>0</v>
      </c>
      <c r="Y668">
        <f t="shared" si="98"/>
        <v>1</v>
      </c>
    </row>
    <row r="669" spans="1:25" x14ac:dyDescent="0.3">
      <c r="A669" t="s">
        <v>2036</v>
      </c>
      <c r="B669" t="s">
        <v>2037</v>
      </c>
      <c r="C669" s="1">
        <v>45761</v>
      </c>
      <c r="D669" s="3">
        <v>8.2673611111111114E-2</v>
      </c>
      <c r="E669">
        <f t="shared" si="90"/>
        <v>1</v>
      </c>
      <c r="F669">
        <v>36</v>
      </c>
      <c r="G669" t="s">
        <v>60</v>
      </c>
      <c r="H669" t="s">
        <v>84</v>
      </c>
      <c r="I669" t="s">
        <v>20</v>
      </c>
      <c r="J669" t="s">
        <v>72</v>
      </c>
      <c r="K669" t="s">
        <v>114</v>
      </c>
      <c r="L669">
        <v>222.16</v>
      </c>
      <c r="M669" t="s">
        <v>33</v>
      </c>
      <c r="N669">
        <f t="shared" si="91"/>
        <v>0</v>
      </c>
      <c r="O669" t="s">
        <v>86</v>
      </c>
      <c r="P669" t="s">
        <v>2038</v>
      </c>
      <c r="Q669">
        <v>0</v>
      </c>
      <c r="R669">
        <v>459</v>
      </c>
      <c r="S669">
        <f t="shared" si="92"/>
        <v>0.65823813554958921</v>
      </c>
      <c r="T669">
        <f t="shared" si="93"/>
        <v>0</v>
      </c>
      <c r="U669">
        <f t="shared" si="94"/>
        <v>1</v>
      </c>
      <c r="V669">
        <f t="shared" si="95"/>
        <v>0</v>
      </c>
      <c r="W669">
        <f t="shared" si="96"/>
        <v>2</v>
      </c>
      <c r="X669">
        <f t="shared" si="97"/>
        <v>0</v>
      </c>
      <c r="Y669">
        <f t="shared" si="98"/>
        <v>0</v>
      </c>
    </row>
    <row r="670" spans="1:25" x14ac:dyDescent="0.3">
      <c r="A670" t="s">
        <v>5771</v>
      </c>
      <c r="B670" t="s">
        <v>5772</v>
      </c>
      <c r="C670" s="1">
        <v>45858</v>
      </c>
      <c r="D670" s="3">
        <v>0.4558564814814815</v>
      </c>
      <c r="E670">
        <f t="shared" si="90"/>
        <v>10</v>
      </c>
      <c r="F670">
        <v>50</v>
      </c>
      <c r="G670" t="s">
        <v>46</v>
      </c>
      <c r="H670" t="s">
        <v>131</v>
      </c>
      <c r="I670" t="s">
        <v>39</v>
      </c>
      <c r="J670" t="s">
        <v>72</v>
      </c>
      <c r="K670" t="s">
        <v>114</v>
      </c>
      <c r="L670">
        <v>222.12</v>
      </c>
      <c r="M670" t="s">
        <v>42</v>
      </c>
      <c r="N670">
        <f t="shared" si="91"/>
        <v>0</v>
      </c>
      <c r="O670" t="s">
        <v>34</v>
      </c>
      <c r="P670" t="s">
        <v>5773</v>
      </c>
      <c r="Q670">
        <v>0</v>
      </c>
      <c r="R670">
        <v>377</v>
      </c>
      <c r="S670">
        <f t="shared" si="92"/>
        <v>0.65768436517054563</v>
      </c>
      <c r="T670">
        <f t="shared" si="93"/>
        <v>0</v>
      </c>
      <c r="U670">
        <f t="shared" si="94"/>
        <v>0</v>
      </c>
      <c r="V670">
        <f t="shared" si="95"/>
        <v>0</v>
      </c>
      <c r="W670">
        <f t="shared" si="96"/>
        <v>0</v>
      </c>
      <c r="X670">
        <f t="shared" si="97"/>
        <v>0</v>
      </c>
      <c r="Y670">
        <f t="shared" si="98"/>
        <v>0</v>
      </c>
    </row>
    <row r="671" spans="1:25" x14ac:dyDescent="0.3">
      <c r="A671" t="s">
        <v>704</v>
      </c>
      <c r="B671" t="s">
        <v>705</v>
      </c>
      <c r="C671" s="1">
        <v>45753</v>
      </c>
      <c r="D671" s="3">
        <v>0.78236111111111106</v>
      </c>
      <c r="E671">
        <f t="shared" si="90"/>
        <v>18</v>
      </c>
      <c r="F671">
        <v>19</v>
      </c>
      <c r="G671" t="s">
        <v>18</v>
      </c>
      <c r="H671" t="s">
        <v>185</v>
      </c>
      <c r="I671" t="s">
        <v>105</v>
      </c>
      <c r="J671" t="s">
        <v>56</v>
      </c>
      <c r="K671" t="s">
        <v>101</v>
      </c>
      <c r="L671">
        <v>221.88</v>
      </c>
      <c r="M671" t="s">
        <v>115</v>
      </c>
      <c r="N671">
        <f t="shared" si="91"/>
        <v>0</v>
      </c>
      <c r="O671" t="s">
        <v>51</v>
      </c>
      <c r="P671" t="s">
        <v>706</v>
      </c>
      <c r="Q671">
        <v>0</v>
      </c>
      <c r="R671">
        <v>88</v>
      </c>
      <c r="S671">
        <f t="shared" si="92"/>
        <v>0.65436174289628324</v>
      </c>
      <c r="T671">
        <f t="shared" si="93"/>
        <v>0</v>
      </c>
      <c r="U671">
        <f t="shared" si="94"/>
        <v>0</v>
      </c>
      <c r="V671">
        <f t="shared" si="95"/>
        <v>1</v>
      </c>
      <c r="W671">
        <f t="shared" si="96"/>
        <v>1</v>
      </c>
      <c r="X671">
        <f t="shared" si="97"/>
        <v>0</v>
      </c>
      <c r="Y671">
        <f t="shared" si="98"/>
        <v>0</v>
      </c>
    </row>
    <row r="672" spans="1:25" x14ac:dyDescent="0.3">
      <c r="A672" t="s">
        <v>5081</v>
      </c>
      <c r="B672" s="2" t="s">
        <v>5082</v>
      </c>
      <c r="C672" s="1">
        <v>45746</v>
      </c>
      <c r="D672" s="3">
        <v>0.50317129629629631</v>
      </c>
      <c r="E672">
        <f t="shared" si="90"/>
        <v>12</v>
      </c>
      <c r="F672">
        <v>46</v>
      </c>
      <c r="G672" t="s">
        <v>46</v>
      </c>
      <c r="H672" t="s">
        <v>38</v>
      </c>
      <c r="I672" t="s">
        <v>20</v>
      </c>
      <c r="J672" t="s">
        <v>94</v>
      </c>
      <c r="K672" t="s">
        <v>101</v>
      </c>
      <c r="L672">
        <v>221.74</v>
      </c>
      <c r="M672" t="s">
        <v>115</v>
      </c>
      <c r="N672">
        <f t="shared" si="91"/>
        <v>0</v>
      </c>
      <c r="O672" t="s">
        <v>34</v>
      </c>
      <c r="P672" t="s">
        <v>5083</v>
      </c>
      <c r="Q672">
        <v>0</v>
      </c>
      <c r="R672">
        <v>353</v>
      </c>
      <c r="S672">
        <f t="shared" si="92"/>
        <v>0.65242354656963053</v>
      </c>
      <c r="T672">
        <f t="shared" si="93"/>
        <v>0</v>
      </c>
      <c r="U672">
        <f t="shared" si="94"/>
        <v>0</v>
      </c>
      <c r="V672">
        <f t="shared" si="95"/>
        <v>0</v>
      </c>
      <c r="W672">
        <f t="shared" si="96"/>
        <v>0</v>
      </c>
      <c r="X672">
        <f t="shared" si="97"/>
        <v>0</v>
      </c>
      <c r="Y672">
        <f t="shared" si="98"/>
        <v>0</v>
      </c>
    </row>
    <row r="673" spans="1:25" x14ac:dyDescent="0.3">
      <c r="A673" t="s">
        <v>4529</v>
      </c>
      <c r="B673" t="s">
        <v>4530</v>
      </c>
      <c r="C673" s="1">
        <v>45824</v>
      </c>
      <c r="D673" s="3">
        <v>0.69009259259259259</v>
      </c>
      <c r="E673">
        <f t="shared" si="90"/>
        <v>16</v>
      </c>
      <c r="F673">
        <v>49</v>
      </c>
      <c r="G673" t="s">
        <v>60</v>
      </c>
      <c r="H673" t="s">
        <v>100</v>
      </c>
      <c r="I673" t="s">
        <v>105</v>
      </c>
      <c r="J673" t="s">
        <v>127</v>
      </c>
      <c r="K673" t="s">
        <v>22</v>
      </c>
      <c r="L673">
        <v>221.56</v>
      </c>
      <c r="M673" t="s">
        <v>42</v>
      </c>
      <c r="N673">
        <f t="shared" si="91"/>
        <v>0</v>
      </c>
      <c r="O673" t="s">
        <v>51</v>
      </c>
      <c r="P673" t="s">
        <v>4531</v>
      </c>
      <c r="Q673">
        <v>0</v>
      </c>
      <c r="R673">
        <v>251</v>
      </c>
      <c r="S673">
        <f t="shared" si="92"/>
        <v>0.64993157986393379</v>
      </c>
      <c r="T673">
        <f t="shared" si="93"/>
        <v>0</v>
      </c>
      <c r="U673">
        <f t="shared" si="94"/>
        <v>0</v>
      </c>
      <c r="V673">
        <f t="shared" si="95"/>
        <v>1</v>
      </c>
      <c r="W673">
        <f t="shared" si="96"/>
        <v>1</v>
      </c>
      <c r="X673">
        <f t="shared" si="97"/>
        <v>0</v>
      </c>
      <c r="Y673">
        <f t="shared" si="98"/>
        <v>0</v>
      </c>
    </row>
    <row r="674" spans="1:25" x14ac:dyDescent="0.3">
      <c r="A674" t="s">
        <v>4565</v>
      </c>
      <c r="B674" t="s">
        <v>4566</v>
      </c>
      <c r="C674" s="1">
        <v>45718</v>
      </c>
      <c r="D674" s="3">
        <v>0.34349537037037037</v>
      </c>
      <c r="E674">
        <f t="shared" si="90"/>
        <v>8</v>
      </c>
      <c r="F674">
        <v>24</v>
      </c>
      <c r="G674" t="s">
        <v>18</v>
      </c>
      <c r="H674" t="s">
        <v>80</v>
      </c>
      <c r="I674" t="s">
        <v>85</v>
      </c>
      <c r="J674" t="s">
        <v>127</v>
      </c>
      <c r="K674" t="s">
        <v>50</v>
      </c>
      <c r="L674">
        <v>221.52</v>
      </c>
      <c r="M674" t="s">
        <v>33</v>
      </c>
      <c r="N674">
        <f t="shared" si="91"/>
        <v>0</v>
      </c>
      <c r="O674" t="s">
        <v>86</v>
      </c>
      <c r="P674" t="s">
        <v>4567</v>
      </c>
      <c r="Q674">
        <v>0</v>
      </c>
      <c r="R674">
        <v>61</v>
      </c>
      <c r="S674">
        <f t="shared" si="92"/>
        <v>0.64937780948489021</v>
      </c>
      <c r="T674">
        <f t="shared" si="93"/>
        <v>0</v>
      </c>
      <c r="U674">
        <f t="shared" si="94"/>
        <v>0</v>
      </c>
      <c r="V674">
        <f t="shared" si="95"/>
        <v>1</v>
      </c>
      <c r="W674">
        <f t="shared" si="96"/>
        <v>1</v>
      </c>
      <c r="X674">
        <f t="shared" si="97"/>
        <v>0</v>
      </c>
      <c r="Y674">
        <f t="shared" si="98"/>
        <v>0</v>
      </c>
    </row>
    <row r="675" spans="1:25" x14ac:dyDescent="0.3">
      <c r="A675" t="s">
        <v>2333</v>
      </c>
      <c r="B675" t="s">
        <v>2334</v>
      </c>
      <c r="C675" s="1">
        <v>45744</v>
      </c>
      <c r="D675" s="3">
        <v>0.927337962962963</v>
      </c>
      <c r="E675">
        <f t="shared" si="90"/>
        <v>22</v>
      </c>
      <c r="F675">
        <v>58</v>
      </c>
      <c r="G675" t="s">
        <v>18</v>
      </c>
      <c r="H675" t="s">
        <v>312</v>
      </c>
      <c r="I675" t="s">
        <v>105</v>
      </c>
      <c r="J675" t="s">
        <v>40</v>
      </c>
      <c r="K675" t="s">
        <v>62</v>
      </c>
      <c r="L675">
        <v>221.43</v>
      </c>
      <c r="M675" t="s">
        <v>33</v>
      </c>
      <c r="N675">
        <f t="shared" si="91"/>
        <v>0</v>
      </c>
      <c r="O675" t="s">
        <v>51</v>
      </c>
      <c r="P675" t="s">
        <v>2335</v>
      </c>
      <c r="Q675">
        <v>0</v>
      </c>
      <c r="R675">
        <v>347</v>
      </c>
      <c r="S675">
        <f t="shared" si="92"/>
        <v>0.64813182613204179</v>
      </c>
      <c r="T675">
        <f t="shared" si="93"/>
        <v>0</v>
      </c>
      <c r="U675">
        <f t="shared" si="94"/>
        <v>0</v>
      </c>
      <c r="V675">
        <f t="shared" si="95"/>
        <v>0</v>
      </c>
      <c r="W675">
        <f t="shared" si="96"/>
        <v>0</v>
      </c>
      <c r="X675">
        <f t="shared" si="97"/>
        <v>0</v>
      </c>
      <c r="Y675">
        <f t="shared" si="98"/>
        <v>0</v>
      </c>
    </row>
    <row r="676" spans="1:25" x14ac:dyDescent="0.3">
      <c r="A676" t="s">
        <v>5990</v>
      </c>
      <c r="B676" t="s">
        <v>5991</v>
      </c>
      <c r="C676" s="1">
        <v>45767</v>
      </c>
      <c r="D676" s="3">
        <v>0.82518518518518513</v>
      </c>
      <c r="E676">
        <f t="shared" si="90"/>
        <v>19</v>
      </c>
      <c r="F676">
        <v>27</v>
      </c>
      <c r="G676" t="s">
        <v>18</v>
      </c>
      <c r="H676" t="s">
        <v>100</v>
      </c>
      <c r="I676" t="s">
        <v>20</v>
      </c>
      <c r="J676" t="s">
        <v>127</v>
      </c>
      <c r="K676" t="s">
        <v>114</v>
      </c>
      <c r="L676">
        <v>221.37</v>
      </c>
      <c r="M676" t="s">
        <v>33</v>
      </c>
      <c r="N676">
        <f t="shared" si="91"/>
        <v>0</v>
      </c>
      <c r="O676" t="s">
        <v>34</v>
      </c>
      <c r="P676" t="s">
        <v>5992</v>
      </c>
      <c r="Q676">
        <v>0</v>
      </c>
      <c r="R676">
        <v>314</v>
      </c>
      <c r="S676">
        <f t="shared" si="92"/>
        <v>0.64730117056347625</v>
      </c>
      <c r="T676">
        <f t="shared" si="93"/>
        <v>0</v>
      </c>
      <c r="U676">
        <f t="shared" si="94"/>
        <v>0</v>
      </c>
      <c r="V676">
        <f t="shared" si="95"/>
        <v>0</v>
      </c>
      <c r="W676">
        <f t="shared" si="96"/>
        <v>0</v>
      </c>
      <c r="X676">
        <f t="shared" si="97"/>
        <v>0</v>
      </c>
      <c r="Y676">
        <f t="shared" si="98"/>
        <v>0</v>
      </c>
    </row>
    <row r="677" spans="1:25" x14ac:dyDescent="0.3">
      <c r="A677" t="s">
        <v>4739</v>
      </c>
      <c r="B677" t="s">
        <v>4740</v>
      </c>
      <c r="C677" s="1">
        <v>45792</v>
      </c>
      <c r="D677" s="3">
        <v>0.46633101851851849</v>
      </c>
      <c r="E677">
        <f t="shared" si="90"/>
        <v>11</v>
      </c>
      <c r="F677">
        <v>33</v>
      </c>
      <c r="G677" t="s">
        <v>18</v>
      </c>
      <c r="H677" t="s">
        <v>100</v>
      </c>
      <c r="I677" t="s">
        <v>30</v>
      </c>
      <c r="J677" t="s">
        <v>31</v>
      </c>
      <c r="K677" t="s">
        <v>168</v>
      </c>
      <c r="L677">
        <v>221.2</v>
      </c>
      <c r="M677" t="s">
        <v>42</v>
      </c>
      <c r="N677">
        <f t="shared" si="91"/>
        <v>0</v>
      </c>
      <c r="O677" t="s">
        <v>51</v>
      </c>
      <c r="P677" t="s">
        <v>4741</v>
      </c>
      <c r="Q677">
        <v>0</v>
      </c>
      <c r="R677">
        <v>319</v>
      </c>
      <c r="S677">
        <f t="shared" si="92"/>
        <v>0.64494764645254032</v>
      </c>
      <c r="T677">
        <f t="shared" si="93"/>
        <v>0</v>
      </c>
      <c r="U677">
        <f t="shared" si="94"/>
        <v>0</v>
      </c>
      <c r="V677">
        <f t="shared" si="95"/>
        <v>0</v>
      </c>
      <c r="W677">
        <f t="shared" si="96"/>
        <v>0</v>
      </c>
      <c r="X677">
        <f t="shared" si="97"/>
        <v>0</v>
      </c>
      <c r="Y677">
        <f t="shared" si="98"/>
        <v>0</v>
      </c>
    </row>
    <row r="678" spans="1:25" x14ac:dyDescent="0.3">
      <c r="A678" t="s">
        <v>2735</v>
      </c>
      <c r="B678" t="s">
        <v>2736</v>
      </c>
      <c r="C678" s="1">
        <v>45852</v>
      </c>
      <c r="D678" s="3">
        <v>0.85722222222222222</v>
      </c>
      <c r="E678">
        <f t="shared" si="90"/>
        <v>20</v>
      </c>
      <c r="F678">
        <v>65</v>
      </c>
      <c r="G678" t="s">
        <v>18</v>
      </c>
      <c r="H678" t="s">
        <v>29</v>
      </c>
      <c r="I678" t="s">
        <v>71</v>
      </c>
      <c r="J678" t="s">
        <v>132</v>
      </c>
      <c r="K678" t="s">
        <v>32</v>
      </c>
      <c r="L678">
        <v>221.12</v>
      </c>
      <c r="M678" t="s">
        <v>33</v>
      </c>
      <c r="N678">
        <f t="shared" si="91"/>
        <v>0</v>
      </c>
      <c r="O678" t="s">
        <v>24</v>
      </c>
      <c r="P678" t="s">
        <v>2737</v>
      </c>
      <c r="Q678">
        <v>0</v>
      </c>
      <c r="R678">
        <v>423</v>
      </c>
      <c r="S678">
        <f t="shared" si="92"/>
        <v>0.64384010569445316</v>
      </c>
      <c r="T678">
        <f t="shared" si="93"/>
        <v>0</v>
      </c>
      <c r="U678">
        <f t="shared" si="94"/>
        <v>0</v>
      </c>
      <c r="V678">
        <f t="shared" si="95"/>
        <v>0</v>
      </c>
      <c r="W678">
        <f t="shared" si="96"/>
        <v>0</v>
      </c>
      <c r="X678">
        <f t="shared" si="97"/>
        <v>0</v>
      </c>
      <c r="Y678">
        <f t="shared" si="98"/>
        <v>0</v>
      </c>
    </row>
    <row r="679" spans="1:25" x14ac:dyDescent="0.3">
      <c r="A679" t="s">
        <v>3050</v>
      </c>
      <c r="B679" t="s">
        <v>3051</v>
      </c>
      <c r="C679" s="1">
        <v>45841</v>
      </c>
      <c r="D679" s="3">
        <v>0.3613425925925926</v>
      </c>
      <c r="E679">
        <f t="shared" si="90"/>
        <v>8</v>
      </c>
      <c r="F679">
        <v>25</v>
      </c>
      <c r="G679" t="s">
        <v>18</v>
      </c>
      <c r="H679" t="s">
        <v>70</v>
      </c>
      <c r="I679" t="s">
        <v>30</v>
      </c>
      <c r="J679" t="s">
        <v>132</v>
      </c>
      <c r="K679" t="s">
        <v>168</v>
      </c>
      <c r="L679">
        <v>221.06</v>
      </c>
      <c r="M679" t="s">
        <v>23</v>
      </c>
      <c r="N679">
        <f t="shared" si="91"/>
        <v>0</v>
      </c>
      <c r="O679" t="s">
        <v>24</v>
      </c>
      <c r="P679" t="s">
        <v>3052</v>
      </c>
      <c r="Q679">
        <v>0</v>
      </c>
      <c r="R679">
        <v>313</v>
      </c>
      <c r="S679">
        <f t="shared" si="92"/>
        <v>0.64300945012588751</v>
      </c>
      <c r="T679">
        <f t="shared" si="93"/>
        <v>0</v>
      </c>
      <c r="U679">
        <f t="shared" si="94"/>
        <v>0</v>
      </c>
      <c r="V679">
        <f t="shared" si="95"/>
        <v>0</v>
      </c>
      <c r="W679">
        <f t="shared" si="96"/>
        <v>0</v>
      </c>
      <c r="X679">
        <f t="shared" si="97"/>
        <v>0</v>
      </c>
      <c r="Y679">
        <f t="shared" si="98"/>
        <v>0</v>
      </c>
    </row>
    <row r="680" spans="1:25" x14ac:dyDescent="0.3">
      <c r="A680" t="s">
        <v>4619</v>
      </c>
      <c r="B680" t="s">
        <v>4620</v>
      </c>
      <c r="C680" s="1">
        <v>45731</v>
      </c>
      <c r="D680" s="3">
        <v>0.32731481481481484</v>
      </c>
      <c r="E680">
        <f t="shared" si="90"/>
        <v>7</v>
      </c>
      <c r="F680">
        <v>52</v>
      </c>
      <c r="G680" t="s">
        <v>28</v>
      </c>
      <c r="H680" t="s">
        <v>142</v>
      </c>
      <c r="I680" t="s">
        <v>66</v>
      </c>
      <c r="J680" t="s">
        <v>76</v>
      </c>
      <c r="K680" t="s">
        <v>50</v>
      </c>
      <c r="L680">
        <v>220.97</v>
      </c>
      <c r="M680" t="s">
        <v>33</v>
      </c>
      <c r="N680">
        <f t="shared" si="91"/>
        <v>0</v>
      </c>
      <c r="O680" t="s">
        <v>86</v>
      </c>
      <c r="P680" t="s">
        <v>4621</v>
      </c>
      <c r="Q680">
        <v>0</v>
      </c>
      <c r="R680">
        <v>256</v>
      </c>
      <c r="S680">
        <f t="shared" si="92"/>
        <v>0.64176346677303919</v>
      </c>
      <c r="T680">
        <f t="shared" si="93"/>
        <v>0</v>
      </c>
      <c r="U680">
        <f t="shared" si="94"/>
        <v>0</v>
      </c>
      <c r="V680">
        <f t="shared" si="95"/>
        <v>1</v>
      </c>
      <c r="W680">
        <f t="shared" si="96"/>
        <v>1</v>
      </c>
      <c r="X680">
        <f t="shared" si="97"/>
        <v>0</v>
      </c>
      <c r="Y680">
        <f t="shared" si="98"/>
        <v>0</v>
      </c>
    </row>
    <row r="681" spans="1:25" x14ac:dyDescent="0.3">
      <c r="A681" t="s">
        <v>3164</v>
      </c>
      <c r="B681" t="s">
        <v>3165</v>
      </c>
      <c r="C681" s="1">
        <v>45707</v>
      </c>
      <c r="D681" s="3">
        <v>0.58981481481481479</v>
      </c>
      <c r="E681">
        <f t="shared" si="90"/>
        <v>14</v>
      </c>
      <c r="F681">
        <v>26</v>
      </c>
      <c r="G681" t="s">
        <v>60</v>
      </c>
      <c r="H681" t="s">
        <v>131</v>
      </c>
      <c r="I681" t="s">
        <v>66</v>
      </c>
      <c r="J681" t="s">
        <v>56</v>
      </c>
      <c r="K681" t="s">
        <v>101</v>
      </c>
      <c r="L681">
        <v>220.83</v>
      </c>
      <c r="M681" t="s">
        <v>33</v>
      </c>
      <c r="N681">
        <f t="shared" si="91"/>
        <v>0</v>
      </c>
      <c r="O681" t="s">
        <v>51</v>
      </c>
      <c r="P681" t="s">
        <v>3166</v>
      </c>
      <c r="Q681">
        <v>0</v>
      </c>
      <c r="R681">
        <v>347</v>
      </c>
      <c r="S681">
        <f t="shared" si="92"/>
        <v>0.63982527044638637</v>
      </c>
      <c r="T681">
        <f t="shared" si="93"/>
        <v>0</v>
      </c>
      <c r="U681">
        <f t="shared" si="94"/>
        <v>0</v>
      </c>
      <c r="V681">
        <f t="shared" si="95"/>
        <v>0</v>
      </c>
      <c r="W681">
        <f t="shared" si="96"/>
        <v>0</v>
      </c>
      <c r="X681">
        <f t="shared" si="97"/>
        <v>0</v>
      </c>
      <c r="Y681">
        <f t="shared" si="98"/>
        <v>0</v>
      </c>
    </row>
    <row r="682" spans="1:25" x14ac:dyDescent="0.3">
      <c r="A682" t="s">
        <v>3014</v>
      </c>
      <c r="B682" t="s">
        <v>3015</v>
      </c>
      <c r="C682" s="1">
        <v>45881</v>
      </c>
      <c r="D682" s="3">
        <v>0.40677083333333336</v>
      </c>
      <c r="E682">
        <f t="shared" si="90"/>
        <v>9</v>
      </c>
      <c r="F682">
        <v>19</v>
      </c>
      <c r="G682" t="s">
        <v>28</v>
      </c>
      <c r="H682" t="s">
        <v>61</v>
      </c>
      <c r="I682" t="s">
        <v>66</v>
      </c>
      <c r="J682" t="s">
        <v>31</v>
      </c>
      <c r="K682" t="s">
        <v>22</v>
      </c>
      <c r="L682">
        <v>220.77</v>
      </c>
      <c r="M682" t="s">
        <v>115</v>
      </c>
      <c r="N682">
        <f t="shared" si="91"/>
        <v>0</v>
      </c>
      <c r="O682" t="s">
        <v>24</v>
      </c>
      <c r="P682" t="s">
        <v>3016</v>
      </c>
      <c r="Q682">
        <v>0</v>
      </c>
      <c r="R682">
        <v>219</v>
      </c>
      <c r="S682">
        <f t="shared" si="92"/>
        <v>0.63899461487782083</v>
      </c>
      <c r="T682">
        <f t="shared" si="93"/>
        <v>0</v>
      </c>
      <c r="U682">
        <f t="shared" si="94"/>
        <v>0</v>
      </c>
      <c r="V682">
        <f t="shared" si="95"/>
        <v>1</v>
      </c>
      <c r="W682">
        <f t="shared" si="96"/>
        <v>1</v>
      </c>
      <c r="X682">
        <f t="shared" si="97"/>
        <v>0</v>
      </c>
      <c r="Y682">
        <f t="shared" si="98"/>
        <v>0</v>
      </c>
    </row>
    <row r="683" spans="1:25" x14ac:dyDescent="0.3">
      <c r="A683" t="s">
        <v>180</v>
      </c>
      <c r="B683" t="s">
        <v>181</v>
      </c>
      <c r="C683" s="1">
        <v>45789</v>
      </c>
      <c r="D683" s="3">
        <v>0.57819444444444446</v>
      </c>
      <c r="E683">
        <f t="shared" si="90"/>
        <v>13</v>
      </c>
      <c r="F683">
        <v>61</v>
      </c>
      <c r="G683" t="s">
        <v>46</v>
      </c>
      <c r="H683" t="s">
        <v>80</v>
      </c>
      <c r="I683" t="s">
        <v>66</v>
      </c>
      <c r="J683" t="s">
        <v>56</v>
      </c>
      <c r="K683" t="s">
        <v>120</v>
      </c>
      <c r="L683">
        <v>220.66</v>
      </c>
      <c r="M683" t="s">
        <v>42</v>
      </c>
      <c r="N683">
        <f t="shared" si="91"/>
        <v>0</v>
      </c>
      <c r="O683" t="s">
        <v>86</v>
      </c>
      <c r="P683" t="s">
        <v>182</v>
      </c>
      <c r="Q683">
        <v>0</v>
      </c>
      <c r="R683">
        <v>464</v>
      </c>
      <c r="S683">
        <f t="shared" si="92"/>
        <v>0.63747174633545045</v>
      </c>
      <c r="T683">
        <f t="shared" si="93"/>
        <v>0</v>
      </c>
      <c r="U683">
        <f t="shared" si="94"/>
        <v>0</v>
      </c>
      <c r="V683">
        <f t="shared" si="95"/>
        <v>0</v>
      </c>
      <c r="W683">
        <f t="shared" si="96"/>
        <v>0</v>
      </c>
      <c r="X683">
        <f t="shared" si="97"/>
        <v>0</v>
      </c>
      <c r="Y683">
        <f t="shared" si="98"/>
        <v>0</v>
      </c>
    </row>
    <row r="684" spans="1:25" x14ac:dyDescent="0.3">
      <c r="A684" t="s">
        <v>668</v>
      </c>
      <c r="B684" t="s">
        <v>669</v>
      </c>
      <c r="C684" s="1">
        <v>45734</v>
      </c>
      <c r="D684" s="3">
        <v>0.9243055555555556</v>
      </c>
      <c r="E684">
        <f t="shared" si="90"/>
        <v>22</v>
      </c>
      <c r="F684">
        <v>32</v>
      </c>
      <c r="G684" t="s">
        <v>60</v>
      </c>
      <c r="H684" t="s">
        <v>175</v>
      </c>
      <c r="I684" t="s">
        <v>85</v>
      </c>
      <c r="J684" t="s">
        <v>132</v>
      </c>
      <c r="K684" t="s">
        <v>41</v>
      </c>
      <c r="L684">
        <v>220.62</v>
      </c>
      <c r="M684" t="s">
        <v>42</v>
      </c>
      <c r="N684">
        <f t="shared" si="91"/>
        <v>0</v>
      </c>
      <c r="O684" t="s">
        <v>51</v>
      </c>
      <c r="P684" t="s">
        <v>670</v>
      </c>
      <c r="Q684">
        <v>0</v>
      </c>
      <c r="R684">
        <v>288</v>
      </c>
      <c r="S684">
        <f t="shared" si="92"/>
        <v>0.63691797595640687</v>
      </c>
      <c r="T684">
        <f t="shared" si="93"/>
        <v>0</v>
      </c>
      <c r="U684">
        <f t="shared" si="94"/>
        <v>0</v>
      </c>
      <c r="V684">
        <f t="shared" si="95"/>
        <v>0</v>
      </c>
      <c r="W684">
        <f t="shared" si="96"/>
        <v>0</v>
      </c>
      <c r="X684">
        <f t="shared" si="97"/>
        <v>0</v>
      </c>
      <c r="Y684">
        <f t="shared" si="98"/>
        <v>0</v>
      </c>
    </row>
    <row r="685" spans="1:25" x14ac:dyDescent="0.3">
      <c r="A685" t="s">
        <v>5933</v>
      </c>
      <c r="B685" t="s">
        <v>5934</v>
      </c>
      <c r="C685" s="1">
        <v>45759</v>
      </c>
      <c r="D685" s="3">
        <v>0.44769675925925928</v>
      </c>
      <c r="E685">
        <f t="shared" si="90"/>
        <v>10</v>
      </c>
      <c r="F685">
        <v>62</v>
      </c>
      <c r="G685" t="s">
        <v>99</v>
      </c>
      <c r="H685" t="s">
        <v>175</v>
      </c>
      <c r="I685" t="s">
        <v>30</v>
      </c>
      <c r="J685" t="s">
        <v>31</v>
      </c>
      <c r="K685" t="s">
        <v>120</v>
      </c>
      <c r="L685">
        <v>220.47</v>
      </c>
      <c r="M685" t="s">
        <v>33</v>
      </c>
      <c r="N685">
        <f t="shared" si="91"/>
        <v>0</v>
      </c>
      <c r="O685" t="s">
        <v>86</v>
      </c>
      <c r="P685" t="s">
        <v>5935</v>
      </c>
      <c r="Q685">
        <v>0</v>
      </c>
      <c r="R685">
        <v>213</v>
      </c>
      <c r="S685">
        <f t="shared" si="92"/>
        <v>0.6348413370349929</v>
      </c>
      <c r="T685">
        <f t="shared" si="93"/>
        <v>0</v>
      </c>
      <c r="U685">
        <f t="shared" si="94"/>
        <v>0</v>
      </c>
      <c r="V685">
        <f t="shared" si="95"/>
        <v>1</v>
      </c>
      <c r="W685">
        <f t="shared" si="96"/>
        <v>1</v>
      </c>
      <c r="X685">
        <f t="shared" si="97"/>
        <v>0</v>
      </c>
      <c r="Y685">
        <f t="shared" si="98"/>
        <v>0</v>
      </c>
    </row>
    <row r="686" spans="1:25" x14ac:dyDescent="0.3">
      <c r="A686" t="s">
        <v>560</v>
      </c>
      <c r="B686" t="s">
        <v>561</v>
      </c>
      <c r="C686" s="1">
        <v>45818</v>
      </c>
      <c r="D686" s="3">
        <v>0.84498842592592593</v>
      </c>
      <c r="E686">
        <f t="shared" si="90"/>
        <v>20</v>
      </c>
      <c r="F686">
        <v>53</v>
      </c>
      <c r="G686" t="s">
        <v>6479</v>
      </c>
      <c r="H686" t="s">
        <v>232</v>
      </c>
      <c r="I686" t="s">
        <v>48</v>
      </c>
      <c r="J686" t="s">
        <v>49</v>
      </c>
      <c r="K686" t="s">
        <v>95</v>
      </c>
      <c r="L686">
        <v>220.04</v>
      </c>
      <c r="M686" t="s">
        <v>42</v>
      </c>
      <c r="N686">
        <f t="shared" si="91"/>
        <v>0</v>
      </c>
      <c r="O686" t="s">
        <v>34</v>
      </c>
      <c r="P686" t="s">
        <v>562</v>
      </c>
      <c r="Q686">
        <v>0</v>
      </c>
      <c r="R686">
        <v>108</v>
      </c>
      <c r="S686">
        <f t="shared" si="92"/>
        <v>0.62888830546027308</v>
      </c>
      <c r="T686">
        <f t="shared" si="93"/>
        <v>0</v>
      </c>
      <c r="U686">
        <f t="shared" si="94"/>
        <v>0</v>
      </c>
      <c r="V686">
        <f t="shared" si="95"/>
        <v>1</v>
      </c>
      <c r="W686">
        <f t="shared" si="96"/>
        <v>1</v>
      </c>
      <c r="X686">
        <f t="shared" si="97"/>
        <v>0</v>
      </c>
      <c r="Y686">
        <f t="shared" si="98"/>
        <v>0</v>
      </c>
    </row>
    <row r="687" spans="1:25" x14ac:dyDescent="0.3">
      <c r="A687" t="s">
        <v>4772</v>
      </c>
      <c r="B687" t="s">
        <v>4773</v>
      </c>
      <c r="C687" s="1">
        <v>45756</v>
      </c>
      <c r="D687" s="3">
        <v>7.9398148148148145E-3</v>
      </c>
      <c r="E687">
        <f t="shared" si="90"/>
        <v>0</v>
      </c>
      <c r="F687">
        <v>20</v>
      </c>
      <c r="G687" t="s">
        <v>46</v>
      </c>
      <c r="H687" t="s">
        <v>312</v>
      </c>
      <c r="I687" t="s">
        <v>48</v>
      </c>
      <c r="J687" t="s">
        <v>127</v>
      </c>
      <c r="K687" t="s">
        <v>168</v>
      </c>
      <c r="L687">
        <v>220</v>
      </c>
      <c r="M687" t="s">
        <v>33</v>
      </c>
      <c r="N687">
        <f t="shared" si="91"/>
        <v>0</v>
      </c>
      <c r="O687" t="s">
        <v>24</v>
      </c>
      <c r="P687" t="s">
        <v>4774</v>
      </c>
      <c r="Q687">
        <v>0</v>
      </c>
      <c r="R687">
        <v>183</v>
      </c>
      <c r="S687">
        <f t="shared" si="92"/>
        <v>0.62833453508122949</v>
      </c>
      <c r="T687">
        <f t="shared" si="93"/>
        <v>0</v>
      </c>
      <c r="U687">
        <f t="shared" si="94"/>
        <v>1</v>
      </c>
      <c r="V687">
        <f t="shared" si="95"/>
        <v>1</v>
      </c>
      <c r="W687">
        <f t="shared" si="96"/>
        <v>3</v>
      </c>
      <c r="X687">
        <f t="shared" si="97"/>
        <v>0</v>
      </c>
      <c r="Y687">
        <f t="shared" si="98"/>
        <v>0</v>
      </c>
    </row>
    <row r="688" spans="1:25" x14ac:dyDescent="0.3">
      <c r="A688" t="s">
        <v>4679</v>
      </c>
      <c r="B688" t="s">
        <v>4680</v>
      </c>
      <c r="C688" s="1">
        <v>45741</v>
      </c>
      <c r="D688" s="3">
        <v>0.71034722222222224</v>
      </c>
      <c r="E688">
        <f t="shared" si="90"/>
        <v>17</v>
      </c>
      <c r="F688">
        <v>33</v>
      </c>
      <c r="G688" t="s">
        <v>18</v>
      </c>
      <c r="H688" t="s">
        <v>84</v>
      </c>
      <c r="I688" t="s">
        <v>20</v>
      </c>
      <c r="J688" t="s">
        <v>49</v>
      </c>
      <c r="K688" t="s">
        <v>114</v>
      </c>
      <c r="L688">
        <v>219.8</v>
      </c>
      <c r="M688" t="s">
        <v>33</v>
      </c>
      <c r="N688">
        <f t="shared" si="91"/>
        <v>0</v>
      </c>
      <c r="O688" t="s">
        <v>86</v>
      </c>
      <c r="P688" t="s">
        <v>4681</v>
      </c>
      <c r="Q688">
        <v>0</v>
      </c>
      <c r="R688">
        <v>187</v>
      </c>
      <c r="S688">
        <f t="shared" si="92"/>
        <v>0.62556568318601113</v>
      </c>
      <c r="T688">
        <f t="shared" si="93"/>
        <v>0</v>
      </c>
      <c r="U688">
        <f t="shared" si="94"/>
        <v>0</v>
      </c>
      <c r="V688">
        <f t="shared" si="95"/>
        <v>1</v>
      </c>
      <c r="W688">
        <f t="shared" si="96"/>
        <v>1</v>
      </c>
      <c r="X688">
        <f t="shared" si="97"/>
        <v>0</v>
      </c>
      <c r="Y688">
        <f t="shared" si="98"/>
        <v>0</v>
      </c>
    </row>
    <row r="689" spans="1:25" x14ac:dyDescent="0.3">
      <c r="A689" t="s">
        <v>4910</v>
      </c>
      <c r="B689" t="s">
        <v>4911</v>
      </c>
      <c r="C689" s="1">
        <v>45809</v>
      </c>
      <c r="D689" s="3">
        <v>0.17061342592592593</v>
      </c>
      <c r="E689">
        <f t="shared" si="90"/>
        <v>4</v>
      </c>
      <c r="F689">
        <v>26</v>
      </c>
      <c r="G689" t="s">
        <v>46</v>
      </c>
      <c r="H689" t="s">
        <v>142</v>
      </c>
      <c r="I689" t="s">
        <v>39</v>
      </c>
      <c r="J689" t="s">
        <v>40</v>
      </c>
      <c r="K689" t="s">
        <v>32</v>
      </c>
      <c r="L689">
        <v>219.7</v>
      </c>
      <c r="M689" t="s">
        <v>33</v>
      </c>
      <c r="N689">
        <f t="shared" si="91"/>
        <v>0</v>
      </c>
      <c r="O689" t="s">
        <v>34</v>
      </c>
      <c r="P689" t="s">
        <v>4912</v>
      </c>
      <c r="Q689">
        <v>0</v>
      </c>
      <c r="R689">
        <v>332</v>
      </c>
      <c r="S689">
        <f t="shared" si="92"/>
        <v>0.62418125723840157</v>
      </c>
      <c r="T689">
        <f t="shared" si="93"/>
        <v>0</v>
      </c>
      <c r="U689">
        <f t="shared" si="94"/>
        <v>1</v>
      </c>
      <c r="V689">
        <f t="shared" si="95"/>
        <v>0</v>
      </c>
      <c r="W689">
        <f t="shared" si="96"/>
        <v>2</v>
      </c>
      <c r="X689">
        <f t="shared" si="97"/>
        <v>0</v>
      </c>
      <c r="Y689">
        <f t="shared" si="98"/>
        <v>0</v>
      </c>
    </row>
    <row r="690" spans="1:25" x14ac:dyDescent="0.3">
      <c r="A690" t="s">
        <v>1532</v>
      </c>
      <c r="B690" t="s">
        <v>1533</v>
      </c>
      <c r="C690" s="1">
        <v>45719</v>
      </c>
      <c r="D690" s="3">
        <v>0.38991898148148146</v>
      </c>
      <c r="E690">
        <f t="shared" si="90"/>
        <v>9</v>
      </c>
      <c r="F690">
        <v>53</v>
      </c>
      <c r="G690" t="s">
        <v>60</v>
      </c>
      <c r="H690" t="s">
        <v>80</v>
      </c>
      <c r="I690" t="s">
        <v>119</v>
      </c>
      <c r="J690" t="s">
        <v>76</v>
      </c>
      <c r="K690" t="s">
        <v>32</v>
      </c>
      <c r="L690">
        <v>219.63</v>
      </c>
      <c r="M690" t="s">
        <v>42</v>
      </c>
      <c r="N690">
        <f t="shared" si="91"/>
        <v>0</v>
      </c>
      <c r="O690" t="s">
        <v>24</v>
      </c>
      <c r="P690" t="s">
        <v>1534</v>
      </c>
      <c r="Q690">
        <v>0</v>
      </c>
      <c r="R690">
        <v>203</v>
      </c>
      <c r="S690">
        <f t="shared" si="92"/>
        <v>0.62321215907507521</v>
      </c>
      <c r="T690">
        <f t="shared" si="93"/>
        <v>0</v>
      </c>
      <c r="U690">
        <f t="shared" si="94"/>
        <v>0</v>
      </c>
      <c r="V690">
        <f t="shared" si="95"/>
        <v>1</v>
      </c>
      <c r="W690">
        <f t="shared" si="96"/>
        <v>1</v>
      </c>
      <c r="X690">
        <f t="shared" si="97"/>
        <v>0</v>
      </c>
      <c r="Y690">
        <f t="shared" si="98"/>
        <v>0</v>
      </c>
    </row>
    <row r="691" spans="1:25" x14ac:dyDescent="0.3">
      <c r="A691" t="s">
        <v>3710</v>
      </c>
      <c r="B691" t="s">
        <v>3711</v>
      </c>
      <c r="C691" s="1">
        <v>45727</v>
      </c>
      <c r="D691" s="3">
        <v>0.7214814814814815</v>
      </c>
      <c r="E691">
        <f t="shared" si="90"/>
        <v>17</v>
      </c>
      <c r="F691">
        <v>51</v>
      </c>
      <c r="G691" t="s">
        <v>28</v>
      </c>
      <c r="H691" t="s">
        <v>131</v>
      </c>
      <c r="I691" t="s">
        <v>71</v>
      </c>
      <c r="J691" t="s">
        <v>132</v>
      </c>
      <c r="K691" t="s">
        <v>22</v>
      </c>
      <c r="L691">
        <v>219.59</v>
      </c>
      <c r="M691" t="s">
        <v>115</v>
      </c>
      <c r="N691">
        <f t="shared" si="91"/>
        <v>0</v>
      </c>
      <c r="O691" t="s">
        <v>86</v>
      </c>
      <c r="P691" t="s">
        <v>3712</v>
      </c>
      <c r="Q691">
        <v>0</v>
      </c>
      <c r="R691">
        <v>290</v>
      </c>
      <c r="S691">
        <f t="shared" si="92"/>
        <v>0.62265838869603163</v>
      </c>
      <c r="T691">
        <f t="shared" si="93"/>
        <v>0</v>
      </c>
      <c r="U691">
        <f t="shared" si="94"/>
        <v>0</v>
      </c>
      <c r="V691">
        <f t="shared" si="95"/>
        <v>0</v>
      </c>
      <c r="W691">
        <f t="shared" si="96"/>
        <v>0</v>
      </c>
      <c r="X691">
        <f t="shared" si="97"/>
        <v>0</v>
      </c>
      <c r="Y691">
        <f t="shared" si="98"/>
        <v>0</v>
      </c>
    </row>
    <row r="692" spans="1:25" x14ac:dyDescent="0.3">
      <c r="A692" t="s">
        <v>518</v>
      </c>
      <c r="B692" t="s">
        <v>519</v>
      </c>
      <c r="C692" s="1">
        <v>45766</v>
      </c>
      <c r="D692" s="3">
        <v>0.63350694444444444</v>
      </c>
      <c r="E692">
        <f t="shared" si="90"/>
        <v>15</v>
      </c>
      <c r="F692">
        <v>59</v>
      </c>
      <c r="G692" t="s">
        <v>46</v>
      </c>
      <c r="H692" t="s">
        <v>47</v>
      </c>
      <c r="I692" t="s">
        <v>66</v>
      </c>
      <c r="J692" t="s">
        <v>72</v>
      </c>
      <c r="K692" t="s">
        <v>120</v>
      </c>
      <c r="L692">
        <v>219.47</v>
      </c>
      <c r="M692" t="s">
        <v>6479</v>
      </c>
      <c r="N692">
        <f t="shared" si="91"/>
        <v>1</v>
      </c>
      <c r="O692" t="s">
        <v>86</v>
      </c>
      <c r="P692" t="s">
        <v>520</v>
      </c>
      <c r="Q692">
        <v>0</v>
      </c>
      <c r="R692">
        <v>161</v>
      </c>
      <c r="S692">
        <f t="shared" si="92"/>
        <v>0.62099707755890043</v>
      </c>
      <c r="T692">
        <f t="shared" si="93"/>
        <v>0</v>
      </c>
      <c r="U692">
        <f t="shared" si="94"/>
        <v>0</v>
      </c>
      <c r="V692">
        <f t="shared" si="95"/>
        <v>1</v>
      </c>
      <c r="W692">
        <f t="shared" si="96"/>
        <v>3</v>
      </c>
      <c r="X692">
        <f t="shared" si="97"/>
        <v>0</v>
      </c>
      <c r="Y692">
        <f t="shared" si="98"/>
        <v>1</v>
      </c>
    </row>
    <row r="693" spans="1:25" x14ac:dyDescent="0.3">
      <c r="A693" t="s">
        <v>5420</v>
      </c>
      <c r="B693" t="s">
        <v>5421</v>
      </c>
      <c r="C693" s="1">
        <v>45843</v>
      </c>
      <c r="D693" s="3">
        <v>0.79138888888888892</v>
      </c>
      <c r="E693">
        <f t="shared" si="90"/>
        <v>18</v>
      </c>
      <c r="F693">
        <v>34</v>
      </c>
      <c r="G693" t="s">
        <v>18</v>
      </c>
      <c r="H693" t="s">
        <v>232</v>
      </c>
      <c r="I693" t="s">
        <v>30</v>
      </c>
      <c r="J693" t="s">
        <v>56</v>
      </c>
      <c r="K693" t="s">
        <v>41</v>
      </c>
      <c r="L693">
        <v>219.47</v>
      </c>
      <c r="M693" t="s">
        <v>23</v>
      </c>
      <c r="N693">
        <f t="shared" si="91"/>
        <v>0</v>
      </c>
      <c r="O693" t="s">
        <v>51</v>
      </c>
      <c r="P693" t="s">
        <v>5422</v>
      </c>
      <c r="Q693">
        <v>0</v>
      </c>
      <c r="R693">
        <v>125</v>
      </c>
      <c r="S693">
        <f t="shared" si="92"/>
        <v>0.62099707755890043</v>
      </c>
      <c r="T693">
        <f t="shared" si="93"/>
        <v>0</v>
      </c>
      <c r="U693">
        <f t="shared" si="94"/>
        <v>0</v>
      </c>
      <c r="V693">
        <f t="shared" si="95"/>
        <v>1</v>
      </c>
      <c r="W693">
        <f t="shared" si="96"/>
        <v>1</v>
      </c>
      <c r="X693">
        <f t="shared" si="97"/>
        <v>0</v>
      </c>
      <c r="Y693">
        <f t="shared" si="98"/>
        <v>0</v>
      </c>
    </row>
    <row r="694" spans="1:25" x14ac:dyDescent="0.3">
      <c r="A694" t="s">
        <v>6188</v>
      </c>
      <c r="B694" t="s">
        <v>6189</v>
      </c>
      <c r="C694" s="1">
        <v>45787</v>
      </c>
      <c r="D694" s="3">
        <v>0.74815972222222227</v>
      </c>
      <c r="E694">
        <f t="shared" si="90"/>
        <v>17</v>
      </c>
      <c r="F694">
        <v>19</v>
      </c>
      <c r="G694" t="s">
        <v>46</v>
      </c>
      <c r="H694" t="s">
        <v>70</v>
      </c>
      <c r="I694" t="s">
        <v>110</v>
      </c>
      <c r="J694" t="s">
        <v>31</v>
      </c>
      <c r="K694" t="s">
        <v>120</v>
      </c>
      <c r="L694">
        <v>219.44</v>
      </c>
      <c r="M694" t="s">
        <v>23</v>
      </c>
      <c r="N694">
        <f t="shared" si="91"/>
        <v>0</v>
      </c>
      <c r="O694" t="s">
        <v>51</v>
      </c>
      <c r="P694" t="s">
        <v>6190</v>
      </c>
      <c r="Q694">
        <v>0</v>
      </c>
      <c r="R694">
        <v>299</v>
      </c>
      <c r="S694">
        <f t="shared" si="92"/>
        <v>0.62058174977461766</v>
      </c>
      <c r="T694">
        <f t="shared" si="93"/>
        <v>0</v>
      </c>
      <c r="U694">
        <f t="shared" si="94"/>
        <v>0</v>
      </c>
      <c r="V694">
        <f t="shared" si="95"/>
        <v>0</v>
      </c>
      <c r="W694">
        <f t="shared" si="96"/>
        <v>0</v>
      </c>
      <c r="X694">
        <f t="shared" si="97"/>
        <v>0</v>
      </c>
      <c r="Y694">
        <f t="shared" si="98"/>
        <v>0</v>
      </c>
    </row>
    <row r="695" spans="1:25" x14ac:dyDescent="0.3">
      <c r="A695" t="s">
        <v>1307</v>
      </c>
      <c r="B695" t="s">
        <v>1308</v>
      </c>
      <c r="C695" s="1">
        <v>45766</v>
      </c>
      <c r="D695" s="3">
        <v>0.84012731481481484</v>
      </c>
      <c r="E695">
        <f t="shared" si="90"/>
        <v>20</v>
      </c>
      <c r="F695">
        <v>49</v>
      </c>
      <c r="G695" t="s">
        <v>60</v>
      </c>
      <c r="H695" t="s">
        <v>312</v>
      </c>
      <c r="I695" t="s">
        <v>30</v>
      </c>
      <c r="J695" t="s">
        <v>132</v>
      </c>
      <c r="K695" t="s">
        <v>168</v>
      </c>
      <c r="L695">
        <v>219.25</v>
      </c>
      <c r="M695" t="s">
        <v>115</v>
      </c>
      <c r="N695">
        <f t="shared" si="91"/>
        <v>0</v>
      </c>
      <c r="O695" t="s">
        <v>34</v>
      </c>
      <c r="P695" t="s">
        <v>1309</v>
      </c>
      <c r="Q695">
        <v>0</v>
      </c>
      <c r="R695">
        <v>142</v>
      </c>
      <c r="S695">
        <f t="shared" si="92"/>
        <v>0.61795134047416012</v>
      </c>
      <c r="T695">
        <f t="shared" si="93"/>
        <v>0</v>
      </c>
      <c r="U695">
        <f t="shared" si="94"/>
        <v>0</v>
      </c>
      <c r="V695">
        <f t="shared" si="95"/>
        <v>1</v>
      </c>
      <c r="W695">
        <f t="shared" si="96"/>
        <v>1</v>
      </c>
      <c r="X695">
        <f t="shared" si="97"/>
        <v>0</v>
      </c>
      <c r="Y695">
        <f t="shared" si="98"/>
        <v>0</v>
      </c>
    </row>
    <row r="696" spans="1:25" x14ac:dyDescent="0.3">
      <c r="A696" t="s">
        <v>1790</v>
      </c>
      <c r="B696" t="s">
        <v>1791</v>
      </c>
      <c r="C696" s="1">
        <v>45723</v>
      </c>
      <c r="D696" s="3">
        <v>0.1771875</v>
      </c>
      <c r="E696">
        <f t="shared" si="90"/>
        <v>4</v>
      </c>
      <c r="F696">
        <v>58</v>
      </c>
      <c r="G696" t="s">
        <v>18</v>
      </c>
      <c r="H696" t="s">
        <v>47</v>
      </c>
      <c r="I696" t="s">
        <v>66</v>
      </c>
      <c r="J696" t="s">
        <v>49</v>
      </c>
      <c r="K696" t="s">
        <v>22</v>
      </c>
      <c r="L696">
        <v>218.97</v>
      </c>
      <c r="M696" t="s">
        <v>115</v>
      </c>
      <c r="N696">
        <f t="shared" si="91"/>
        <v>0</v>
      </c>
      <c r="O696" t="s">
        <v>51</v>
      </c>
      <c r="P696" t="s">
        <v>1792</v>
      </c>
      <c r="Q696">
        <v>0</v>
      </c>
      <c r="R696">
        <v>432</v>
      </c>
      <c r="S696">
        <f t="shared" si="92"/>
        <v>0.61407494782085426</v>
      </c>
      <c r="T696">
        <f t="shared" si="93"/>
        <v>0</v>
      </c>
      <c r="U696">
        <f t="shared" si="94"/>
        <v>1</v>
      </c>
      <c r="V696">
        <f t="shared" si="95"/>
        <v>0</v>
      </c>
      <c r="W696">
        <f t="shared" si="96"/>
        <v>2</v>
      </c>
      <c r="X696">
        <f t="shared" si="97"/>
        <v>0</v>
      </c>
      <c r="Y696">
        <f t="shared" si="98"/>
        <v>0</v>
      </c>
    </row>
    <row r="697" spans="1:25" x14ac:dyDescent="0.3">
      <c r="A697" t="s">
        <v>4832</v>
      </c>
      <c r="B697" t="s">
        <v>4833</v>
      </c>
      <c r="C697" s="1">
        <v>45708</v>
      </c>
      <c r="D697" s="3">
        <v>0.97842592592592592</v>
      </c>
      <c r="E697">
        <f t="shared" si="90"/>
        <v>23</v>
      </c>
      <c r="F697">
        <v>23</v>
      </c>
      <c r="G697" t="s">
        <v>46</v>
      </c>
      <c r="H697" t="s">
        <v>29</v>
      </c>
      <c r="I697" t="s">
        <v>20</v>
      </c>
      <c r="J697" t="s">
        <v>72</v>
      </c>
      <c r="K697" t="s">
        <v>22</v>
      </c>
      <c r="L697">
        <v>218.94</v>
      </c>
      <c r="M697" t="s">
        <v>115</v>
      </c>
      <c r="N697">
        <f t="shared" si="91"/>
        <v>0</v>
      </c>
      <c r="O697" t="s">
        <v>51</v>
      </c>
      <c r="P697" t="s">
        <v>4834</v>
      </c>
      <c r="Q697">
        <v>0</v>
      </c>
      <c r="R697">
        <v>230</v>
      </c>
      <c r="S697">
        <f t="shared" si="92"/>
        <v>0.61365962003657148</v>
      </c>
      <c r="T697">
        <f t="shared" si="93"/>
        <v>0</v>
      </c>
      <c r="U697">
        <f t="shared" si="94"/>
        <v>0</v>
      </c>
      <c r="V697">
        <f t="shared" si="95"/>
        <v>1</v>
      </c>
      <c r="W697">
        <f t="shared" si="96"/>
        <v>1</v>
      </c>
      <c r="X697">
        <f t="shared" si="97"/>
        <v>0</v>
      </c>
      <c r="Y697">
        <f t="shared" si="98"/>
        <v>0</v>
      </c>
    </row>
    <row r="698" spans="1:25" x14ac:dyDescent="0.3">
      <c r="A698" t="s">
        <v>3224</v>
      </c>
      <c r="B698" t="s">
        <v>3225</v>
      </c>
      <c r="C698" s="1">
        <v>45787</v>
      </c>
      <c r="D698" s="3">
        <v>0.52265046296296291</v>
      </c>
      <c r="E698">
        <f t="shared" si="90"/>
        <v>12</v>
      </c>
      <c r="F698">
        <v>57</v>
      </c>
      <c r="G698" t="s">
        <v>6479</v>
      </c>
      <c r="H698" t="s">
        <v>61</v>
      </c>
      <c r="I698" t="s">
        <v>119</v>
      </c>
      <c r="J698" t="s">
        <v>132</v>
      </c>
      <c r="K698" t="s">
        <v>101</v>
      </c>
      <c r="L698">
        <v>218.9</v>
      </c>
      <c r="M698" t="s">
        <v>33</v>
      </c>
      <c r="N698">
        <f t="shared" si="91"/>
        <v>0</v>
      </c>
      <c r="O698" t="s">
        <v>86</v>
      </c>
      <c r="P698" t="s">
        <v>3226</v>
      </c>
      <c r="Q698">
        <v>0</v>
      </c>
      <c r="R698">
        <v>189</v>
      </c>
      <c r="S698">
        <f t="shared" si="92"/>
        <v>0.6131058496575279</v>
      </c>
      <c r="T698">
        <f t="shared" si="93"/>
        <v>0</v>
      </c>
      <c r="U698">
        <f t="shared" si="94"/>
        <v>0</v>
      </c>
      <c r="V698">
        <f t="shared" si="95"/>
        <v>1</v>
      </c>
      <c r="W698">
        <f t="shared" si="96"/>
        <v>1</v>
      </c>
      <c r="X698">
        <f t="shared" si="97"/>
        <v>0</v>
      </c>
      <c r="Y698">
        <f t="shared" si="98"/>
        <v>0</v>
      </c>
    </row>
    <row r="699" spans="1:25" x14ac:dyDescent="0.3">
      <c r="A699" t="s">
        <v>3008</v>
      </c>
      <c r="B699" t="s">
        <v>3009</v>
      </c>
      <c r="C699" s="1">
        <v>45775</v>
      </c>
      <c r="D699" s="3">
        <v>0.82708333333333328</v>
      </c>
      <c r="E699">
        <f t="shared" si="90"/>
        <v>19</v>
      </c>
      <c r="F699">
        <v>48</v>
      </c>
      <c r="G699" t="s">
        <v>99</v>
      </c>
      <c r="H699" t="s">
        <v>55</v>
      </c>
      <c r="I699" t="s">
        <v>85</v>
      </c>
      <c r="J699" t="s">
        <v>49</v>
      </c>
      <c r="K699" t="s">
        <v>32</v>
      </c>
      <c r="L699">
        <v>218.86</v>
      </c>
      <c r="M699" t="s">
        <v>33</v>
      </c>
      <c r="N699">
        <f t="shared" si="91"/>
        <v>0</v>
      </c>
      <c r="O699" t="s">
        <v>86</v>
      </c>
      <c r="P699" t="s">
        <v>3010</v>
      </c>
      <c r="Q699">
        <v>0</v>
      </c>
      <c r="R699">
        <v>100</v>
      </c>
      <c r="S699">
        <f t="shared" si="92"/>
        <v>0.61255207927848432</v>
      </c>
      <c r="T699">
        <f t="shared" si="93"/>
        <v>0</v>
      </c>
      <c r="U699">
        <f t="shared" si="94"/>
        <v>0</v>
      </c>
      <c r="V699">
        <f t="shared" si="95"/>
        <v>1</v>
      </c>
      <c r="W699">
        <f t="shared" si="96"/>
        <v>1</v>
      </c>
      <c r="X699">
        <f t="shared" si="97"/>
        <v>0</v>
      </c>
      <c r="Y699">
        <f t="shared" si="98"/>
        <v>0</v>
      </c>
    </row>
    <row r="700" spans="1:25" x14ac:dyDescent="0.3">
      <c r="A700" t="s">
        <v>1310</v>
      </c>
      <c r="B700" t="s">
        <v>1311</v>
      </c>
      <c r="C700" s="1">
        <v>45715</v>
      </c>
      <c r="D700" s="3">
        <v>0.51415509259259262</v>
      </c>
      <c r="E700">
        <f t="shared" si="90"/>
        <v>12</v>
      </c>
      <c r="F700">
        <v>40</v>
      </c>
      <c r="G700" t="s">
        <v>60</v>
      </c>
      <c r="H700" t="s">
        <v>61</v>
      </c>
      <c r="I700" t="s">
        <v>30</v>
      </c>
      <c r="J700" t="s">
        <v>49</v>
      </c>
      <c r="K700" t="s">
        <v>101</v>
      </c>
      <c r="L700">
        <v>218.76</v>
      </c>
      <c r="M700" t="s">
        <v>6479</v>
      </c>
      <c r="N700">
        <f t="shared" si="91"/>
        <v>1</v>
      </c>
      <c r="O700" t="s">
        <v>51</v>
      </c>
      <c r="P700" t="s">
        <v>1312</v>
      </c>
      <c r="Q700">
        <v>0</v>
      </c>
      <c r="R700">
        <v>165</v>
      </c>
      <c r="S700">
        <f t="shared" si="92"/>
        <v>0.61116765333087475</v>
      </c>
      <c r="T700">
        <f t="shared" si="93"/>
        <v>0</v>
      </c>
      <c r="U700">
        <f t="shared" si="94"/>
        <v>0</v>
      </c>
      <c r="V700">
        <f t="shared" si="95"/>
        <v>1</v>
      </c>
      <c r="W700">
        <f t="shared" si="96"/>
        <v>3</v>
      </c>
      <c r="X700">
        <f t="shared" si="97"/>
        <v>0</v>
      </c>
      <c r="Y700">
        <f t="shared" si="98"/>
        <v>1</v>
      </c>
    </row>
    <row r="701" spans="1:25" x14ac:dyDescent="0.3">
      <c r="A701" t="s">
        <v>4964</v>
      </c>
      <c r="B701" t="s">
        <v>4965</v>
      </c>
      <c r="C701" s="1">
        <v>45815</v>
      </c>
      <c r="D701" s="3">
        <v>0.59679398148148144</v>
      </c>
      <c r="E701">
        <f t="shared" si="90"/>
        <v>14</v>
      </c>
      <c r="F701">
        <v>54</v>
      </c>
      <c r="G701" t="s">
        <v>28</v>
      </c>
      <c r="H701" t="s">
        <v>61</v>
      </c>
      <c r="I701" t="s">
        <v>85</v>
      </c>
      <c r="J701" t="s">
        <v>31</v>
      </c>
      <c r="K701" t="s">
        <v>22</v>
      </c>
      <c r="L701">
        <v>218.56</v>
      </c>
      <c r="M701" t="s">
        <v>33</v>
      </c>
      <c r="N701">
        <f t="shared" si="91"/>
        <v>0</v>
      </c>
      <c r="O701" t="s">
        <v>51</v>
      </c>
      <c r="P701" t="s">
        <v>4966</v>
      </c>
      <c r="Q701">
        <v>0</v>
      </c>
      <c r="R701">
        <v>355</v>
      </c>
      <c r="S701">
        <f t="shared" si="92"/>
        <v>0.60839880143565639</v>
      </c>
      <c r="T701">
        <f t="shared" si="93"/>
        <v>0</v>
      </c>
      <c r="U701">
        <f t="shared" si="94"/>
        <v>0</v>
      </c>
      <c r="V701">
        <f t="shared" si="95"/>
        <v>0</v>
      </c>
      <c r="W701">
        <f t="shared" si="96"/>
        <v>0</v>
      </c>
      <c r="X701">
        <f t="shared" si="97"/>
        <v>0</v>
      </c>
      <c r="Y701">
        <f t="shared" si="98"/>
        <v>0</v>
      </c>
    </row>
    <row r="702" spans="1:25" x14ac:dyDescent="0.3">
      <c r="A702" t="s">
        <v>5495</v>
      </c>
      <c r="B702" t="s">
        <v>5496</v>
      </c>
      <c r="C702" s="1">
        <v>45858</v>
      </c>
      <c r="D702" s="3">
        <v>0.43939814814814815</v>
      </c>
      <c r="E702">
        <f t="shared" si="90"/>
        <v>10</v>
      </c>
      <c r="F702">
        <v>54</v>
      </c>
      <c r="G702" t="s">
        <v>60</v>
      </c>
      <c r="H702" t="s">
        <v>312</v>
      </c>
      <c r="I702" t="s">
        <v>30</v>
      </c>
      <c r="J702" t="s">
        <v>21</v>
      </c>
      <c r="K702" t="s">
        <v>168</v>
      </c>
      <c r="L702">
        <v>218.51</v>
      </c>
      <c r="M702" t="s">
        <v>23</v>
      </c>
      <c r="N702">
        <f t="shared" si="91"/>
        <v>0</v>
      </c>
      <c r="O702" t="s">
        <v>51</v>
      </c>
      <c r="P702" t="s">
        <v>5497</v>
      </c>
      <c r="Q702">
        <v>0</v>
      </c>
      <c r="R702">
        <v>418</v>
      </c>
      <c r="S702">
        <f t="shared" si="92"/>
        <v>0.60770658846185166</v>
      </c>
      <c r="T702">
        <f t="shared" si="93"/>
        <v>0</v>
      </c>
      <c r="U702">
        <f t="shared" si="94"/>
        <v>0</v>
      </c>
      <c r="V702">
        <f t="shared" si="95"/>
        <v>0</v>
      </c>
      <c r="W702">
        <f t="shared" si="96"/>
        <v>0</v>
      </c>
      <c r="X702">
        <f t="shared" si="97"/>
        <v>0</v>
      </c>
      <c r="Y702">
        <f t="shared" si="98"/>
        <v>0</v>
      </c>
    </row>
    <row r="703" spans="1:25" x14ac:dyDescent="0.3">
      <c r="A703" t="s">
        <v>4160</v>
      </c>
      <c r="B703" t="s">
        <v>4161</v>
      </c>
      <c r="C703" s="1">
        <v>45785</v>
      </c>
      <c r="D703" s="3">
        <v>0.6889467592592593</v>
      </c>
      <c r="E703">
        <f t="shared" si="90"/>
        <v>16</v>
      </c>
      <c r="F703">
        <v>21</v>
      </c>
      <c r="G703" t="s">
        <v>18</v>
      </c>
      <c r="H703" t="s">
        <v>175</v>
      </c>
      <c r="I703" t="s">
        <v>39</v>
      </c>
      <c r="J703" t="s">
        <v>31</v>
      </c>
      <c r="K703" t="s">
        <v>62</v>
      </c>
      <c r="L703">
        <v>218.29</v>
      </c>
      <c r="M703" t="s">
        <v>42</v>
      </c>
      <c r="N703">
        <f t="shared" si="91"/>
        <v>0</v>
      </c>
      <c r="O703" t="s">
        <v>86</v>
      </c>
      <c r="P703" t="s">
        <v>4162</v>
      </c>
      <c r="Q703">
        <v>0</v>
      </c>
      <c r="R703">
        <v>251</v>
      </c>
      <c r="S703">
        <f t="shared" si="92"/>
        <v>0.60466085137711134</v>
      </c>
      <c r="T703">
        <f t="shared" si="93"/>
        <v>0</v>
      </c>
      <c r="U703">
        <f t="shared" si="94"/>
        <v>0</v>
      </c>
      <c r="V703">
        <f t="shared" si="95"/>
        <v>1</v>
      </c>
      <c r="W703">
        <f t="shared" si="96"/>
        <v>1</v>
      </c>
      <c r="X703">
        <f t="shared" si="97"/>
        <v>0</v>
      </c>
      <c r="Y703">
        <f t="shared" si="98"/>
        <v>0</v>
      </c>
    </row>
    <row r="704" spans="1:25" x14ac:dyDescent="0.3">
      <c r="A704" t="s">
        <v>1355</v>
      </c>
      <c r="B704" t="s">
        <v>1356</v>
      </c>
      <c r="C704" s="1">
        <v>45845</v>
      </c>
      <c r="D704" s="3">
        <v>0.89178240740740744</v>
      </c>
      <c r="E704">
        <f t="shared" si="90"/>
        <v>21</v>
      </c>
      <c r="F704">
        <v>56</v>
      </c>
      <c r="G704" t="s">
        <v>18</v>
      </c>
      <c r="H704" t="s">
        <v>239</v>
      </c>
      <c r="I704" t="s">
        <v>30</v>
      </c>
      <c r="J704" t="s">
        <v>56</v>
      </c>
      <c r="K704" t="s">
        <v>168</v>
      </c>
      <c r="L704">
        <v>218.23</v>
      </c>
      <c r="M704" t="s">
        <v>42</v>
      </c>
      <c r="N704">
        <f t="shared" si="91"/>
        <v>0</v>
      </c>
      <c r="O704" t="s">
        <v>34</v>
      </c>
      <c r="P704" t="s">
        <v>1357</v>
      </c>
      <c r="Q704">
        <v>0</v>
      </c>
      <c r="R704">
        <v>398</v>
      </c>
      <c r="S704">
        <f t="shared" si="92"/>
        <v>0.60383019580854569</v>
      </c>
      <c r="T704">
        <f t="shared" si="93"/>
        <v>0</v>
      </c>
      <c r="U704">
        <f t="shared" si="94"/>
        <v>0</v>
      </c>
      <c r="V704">
        <f t="shared" si="95"/>
        <v>0</v>
      </c>
      <c r="W704">
        <f t="shared" si="96"/>
        <v>0</v>
      </c>
      <c r="X704">
        <f t="shared" si="97"/>
        <v>0</v>
      </c>
      <c r="Y704">
        <f t="shared" si="98"/>
        <v>0</v>
      </c>
    </row>
    <row r="705" spans="1:25" x14ac:dyDescent="0.3">
      <c r="A705" t="s">
        <v>6455</v>
      </c>
      <c r="B705" t="s">
        <v>6456</v>
      </c>
      <c r="C705" s="1">
        <v>45875</v>
      </c>
      <c r="D705" s="3">
        <v>0.80248842592592595</v>
      </c>
      <c r="E705">
        <f t="shared" si="90"/>
        <v>19</v>
      </c>
      <c r="F705">
        <v>64</v>
      </c>
      <c r="G705" t="s">
        <v>46</v>
      </c>
      <c r="H705" t="s">
        <v>38</v>
      </c>
      <c r="I705" t="s">
        <v>105</v>
      </c>
      <c r="J705" t="s">
        <v>72</v>
      </c>
      <c r="K705" t="s">
        <v>41</v>
      </c>
      <c r="L705">
        <v>218.18</v>
      </c>
      <c r="M705" t="s">
        <v>42</v>
      </c>
      <c r="N705">
        <f t="shared" si="91"/>
        <v>0</v>
      </c>
      <c r="O705" t="s">
        <v>86</v>
      </c>
      <c r="P705" t="s">
        <v>6457</v>
      </c>
      <c r="Q705">
        <v>0</v>
      </c>
      <c r="R705">
        <v>140</v>
      </c>
      <c r="S705">
        <f t="shared" si="92"/>
        <v>0.60313798283474129</v>
      </c>
      <c r="T705">
        <f t="shared" si="93"/>
        <v>0</v>
      </c>
      <c r="U705">
        <f t="shared" si="94"/>
        <v>0</v>
      </c>
      <c r="V705">
        <f t="shared" si="95"/>
        <v>1</v>
      </c>
      <c r="W705">
        <f t="shared" si="96"/>
        <v>1</v>
      </c>
      <c r="X705">
        <f t="shared" si="97"/>
        <v>0</v>
      </c>
      <c r="Y705">
        <f t="shared" si="98"/>
        <v>0</v>
      </c>
    </row>
    <row r="706" spans="1:25" x14ac:dyDescent="0.3">
      <c r="A706" t="s">
        <v>1148</v>
      </c>
      <c r="B706" t="s">
        <v>1149</v>
      </c>
      <c r="C706" s="1">
        <v>45735</v>
      </c>
      <c r="D706" s="3">
        <v>0.72084490740740736</v>
      </c>
      <c r="E706">
        <f t="shared" ref="E706:E769" si="99">HOUR(D706)</f>
        <v>17</v>
      </c>
      <c r="F706">
        <v>52</v>
      </c>
      <c r="G706" t="s">
        <v>46</v>
      </c>
      <c r="H706" t="s">
        <v>189</v>
      </c>
      <c r="I706" t="s">
        <v>20</v>
      </c>
      <c r="J706" t="s">
        <v>76</v>
      </c>
      <c r="K706" t="s">
        <v>101</v>
      </c>
      <c r="L706">
        <v>217.92</v>
      </c>
      <c r="M706" t="s">
        <v>42</v>
      </c>
      <c r="N706">
        <f t="shared" ref="N706:N769" si="100">IF(M706="Unknown",1,0)</f>
        <v>0</v>
      </c>
      <c r="O706" t="s">
        <v>24</v>
      </c>
      <c r="P706" t="s">
        <v>1150</v>
      </c>
      <c r="Q706">
        <v>0</v>
      </c>
      <c r="R706">
        <v>480</v>
      </c>
      <c r="S706">
        <f t="shared" ref="S706:S769" si="101">(L706-$P$2137)/$P$2138</f>
        <v>0.59953847537095706</v>
      </c>
      <c r="T706">
        <f t="shared" ref="T706:T769" si="102">IF(ABS(Z706)&gt;3,1,0)</f>
        <v>0</v>
      </c>
      <c r="U706">
        <f t="shared" ref="U706:U769" si="103">IF(AND(E706&gt;=0,E706&lt;=5),1,0)</f>
        <v>0</v>
      </c>
      <c r="V706">
        <f t="shared" ref="V706:V769" si="104">IF(R706&lt;AVERAGE($R:$R),1,0)</f>
        <v>0</v>
      </c>
      <c r="W706">
        <f t="shared" ref="W706:W769" si="105">T706*3+U706*2+V706*1+N706*2</f>
        <v>0</v>
      </c>
      <c r="X706">
        <f t="shared" ref="X706:X769" si="106">IF(W706&gt;=5,1,0)</f>
        <v>0</v>
      </c>
      <c r="Y706">
        <f t="shared" ref="Y706:Y769" si="107">IF(M706="Unknown",1,0)</f>
        <v>0</v>
      </c>
    </row>
    <row r="707" spans="1:25" x14ac:dyDescent="0.3">
      <c r="A707" t="s">
        <v>1154</v>
      </c>
      <c r="B707" t="s">
        <v>1155</v>
      </c>
      <c r="C707" s="1">
        <v>45867</v>
      </c>
      <c r="D707" s="3">
        <v>0.8943402777777778</v>
      </c>
      <c r="E707">
        <f t="shared" si="99"/>
        <v>21</v>
      </c>
      <c r="F707">
        <v>38</v>
      </c>
      <c r="G707" t="s">
        <v>46</v>
      </c>
      <c r="H707" t="s">
        <v>61</v>
      </c>
      <c r="I707" t="s">
        <v>85</v>
      </c>
      <c r="J707" t="s">
        <v>127</v>
      </c>
      <c r="K707" t="s">
        <v>50</v>
      </c>
      <c r="L707">
        <v>217.86</v>
      </c>
      <c r="M707" t="s">
        <v>23</v>
      </c>
      <c r="N707">
        <f t="shared" si="100"/>
        <v>0</v>
      </c>
      <c r="O707" t="s">
        <v>86</v>
      </c>
      <c r="P707" t="s">
        <v>1156</v>
      </c>
      <c r="Q707">
        <v>0</v>
      </c>
      <c r="R707">
        <v>295</v>
      </c>
      <c r="S707">
        <f t="shared" si="101"/>
        <v>0.59870781980239185</v>
      </c>
      <c r="T707">
        <f t="shared" si="102"/>
        <v>0</v>
      </c>
      <c r="U707">
        <f t="shared" si="103"/>
        <v>0</v>
      </c>
      <c r="V707">
        <f t="shared" si="104"/>
        <v>0</v>
      </c>
      <c r="W707">
        <f t="shared" si="105"/>
        <v>0</v>
      </c>
      <c r="X707">
        <f t="shared" si="106"/>
        <v>0</v>
      </c>
      <c r="Y707">
        <f t="shared" si="107"/>
        <v>0</v>
      </c>
    </row>
    <row r="708" spans="1:25" x14ac:dyDescent="0.3">
      <c r="A708" t="s">
        <v>5003</v>
      </c>
      <c r="B708" t="s">
        <v>5004</v>
      </c>
      <c r="C708" s="1">
        <v>45730</v>
      </c>
      <c r="D708" s="3">
        <v>0.29913194444444446</v>
      </c>
      <c r="E708">
        <f t="shared" si="99"/>
        <v>7</v>
      </c>
      <c r="F708">
        <v>26</v>
      </c>
      <c r="G708" t="s">
        <v>46</v>
      </c>
      <c r="H708" t="s">
        <v>61</v>
      </c>
      <c r="I708" t="s">
        <v>85</v>
      </c>
      <c r="J708" t="s">
        <v>72</v>
      </c>
      <c r="K708" t="s">
        <v>120</v>
      </c>
      <c r="L708">
        <v>217.78</v>
      </c>
      <c r="M708" t="s">
        <v>23</v>
      </c>
      <c r="N708">
        <f t="shared" si="100"/>
        <v>0</v>
      </c>
      <c r="O708" t="s">
        <v>86</v>
      </c>
      <c r="P708" t="s">
        <v>5005</v>
      </c>
      <c r="Q708">
        <v>1</v>
      </c>
      <c r="R708">
        <v>231</v>
      </c>
      <c r="S708">
        <f t="shared" si="101"/>
        <v>0.59760027904430424</v>
      </c>
      <c r="T708">
        <f t="shared" si="102"/>
        <v>0</v>
      </c>
      <c r="U708">
        <f t="shared" si="103"/>
        <v>0</v>
      </c>
      <c r="V708">
        <f t="shared" si="104"/>
        <v>1</v>
      </c>
      <c r="W708">
        <f t="shared" si="105"/>
        <v>1</v>
      </c>
      <c r="X708">
        <f t="shared" si="106"/>
        <v>0</v>
      </c>
      <c r="Y708">
        <f t="shared" si="107"/>
        <v>0</v>
      </c>
    </row>
    <row r="709" spans="1:25" x14ac:dyDescent="0.3">
      <c r="A709" t="s">
        <v>2483</v>
      </c>
      <c r="B709" t="s">
        <v>2484</v>
      </c>
      <c r="C709" s="1">
        <v>45771</v>
      </c>
      <c r="D709" s="3">
        <v>0.76447916666666671</v>
      </c>
      <c r="E709">
        <f t="shared" si="99"/>
        <v>18</v>
      </c>
      <c r="F709" s="4">
        <v>41</v>
      </c>
      <c r="G709" t="s">
        <v>60</v>
      </c>
      <c r="H709" t="s">
        <v>100</v>
      </c>
      <c r="I709" t="s">
        <v>66</v>
      </c>
      <c r="J709" t="s">
        <v>132</v>
      </c>
      <c r="K709" t="s">
        <v>114</v>
      </c>
      <c r="L709">
        <v>217.74</v>
      </c>
      <c r="M709" t="s">
        <v>115</v>
      </c>
      <c r="N709">
        <f t="shared" si="100"/>
        <v>0</v>
      </c>
      <c r="O709" t="s">
        <v>24</v>
      </c>
      <c r="P709" t="s">
        <v>2485</v>
      </c>
      <c r="Q709">
        <v>0</v>
      </c>
      <c r="R709">
        <v>258</v>
      </c>
      <c r="S709">
        <f t="shared" si="101"/>
        <v>0.59704650866526066</v>
      </c>
      <c r="T709">
        <f t="shared" si="102"/>
        <v>0</v>
      </c>
      <c r="U709">
        <f t="shared" si="103"/>
        <v>0</v>
      </c>
      <c r="V709">
        <f t="shared" si="104"/>
        <v>1</v>
      </c>
      <c r="W709">
        <f t="shared" si="105"/>
        <v>1</v>
      </c>
      <c r="X709">
        <f t="shared" si="106"/>
        <v>0</v>
      </c>
      <c r="Y709">
        <f t="shared" si="107"/>
        <v>0</v>
      </c>
    </row>
    <row r="710" spans="1:25" x14ac:dyDescent="0.3">
      <c r="A710" t="s">
        <v>4142</v>
      </c>
      <c r="B710" t="s">
        <v>4143</v>
      </c>
      <c r="C710" s="1">
        <v>45874</v>
      </c>
      <c r="D710" s="3">
        <v>0.74831018518518522</v>
      </c>
      <c r="E710">
        <f t="shared" si="99"/>
        <v>17</v>
      </c>
      <c r="F710">
        <v>42</v>
      </c>
      <c r="G710" t="s">
        <v>99</v>
      </c>
      <c r="H710" t="s">
        <v>185</v>
      </c>
      <c r="I710" t="s">
        <v>30</v>
      </c>
      <c r="J710" t="s">
        <v>132</v>
      </c>
      <c r="K710" t="s">
        <v>114</v>
      </c>
      <c r="L710">
        <v>217.55</v>
      </c>
      <c r="M710" t="s">
        <v>42</v>
      </c>
      <c r="N710">
        <f t="shared" si="100"/>
        <v>0</v>
      </c>
      <c r="O710" t="s">
        <v>86</v>
      </c>
      <c r="P710" t="s">
        <v>4144</v>
      </c>
      <c r="Q710">
        <v>1</v>
      </c>
      <c r="R710">
        <v>325</v>
      </c>
      <c r="S710">
        <f t="shared" si="101"/>
        <v>0.59441609936480311</v>
      </c>
      <c r="T710">
        <f t="shared" si="102"/>
        <v>0</v>
      </c>
      <c r="U710">
        <f t="shared" si="103"/>
        <v>0</v>
      </c>
      <c r="V710">
        <f t="shared" si="104"/>
        <v>0</v>
      </c>
      <c r="W710">
        <f t="shared" si="105"/>
        <v>0</v>
      </c>
      <c r="X710">
        <f t="shared" si="106"/>
        <v>0</v>
      </c>
      <c r="Y710">
        <f t="shared" si="107"/>
        <v>0</v>
      </c>
    </row>
    <row r="711" spans="1:25" x14ac:dyDescent="0.3">
      <c r="A711" t="s">
        <v>5693</v>
      </c>
      <c r="B711" t="s">
        <v>5694</v>
      </c>
      <c r="C711" s="1">
        <v>45721</v>
      </c>
      <c r="D711" s="3">
        <v>0.84670138888888891</v>
      </c>
      <c r="E711">
        <f t="shared" si="99"/>
        <v>20</v>
      </c>
      <c r="F711">
        <v>62</v>
      </c>
      <c r="G711" t="s">
        <v>6479</v>
      </c>
      <c r="H711" t="s">
        <v>167</v>
      </c>
      <c r="I711" t="s">
        <v>119</v>
      </c>
      <c r="J711" t="s">
        <v>40</v>
      </c>
      <c r="K711" t="s">
        <v>114</v>
      </c>
      <c r="L711">
        <v>217.37</v>
      </c>
      <c r="M711" t="s">
        <v>6479</v>
      </c>
      <c r="N711">
        <f t="shared" si="100"/>
        <v>1</v>
      </c>
      <c r="O711" t="s">
        <v>51</v>
      </c>
      <c r="P711" t="s">
        <v>5695</v>
      </c>
      <c r="Q711">
        <v>0</v>
      </c>
      <c r="R711">
        <v>393</v>
      </c>
      <c r="S711">
        <f t="shared" si="101"/>
        <v>0.59192413265910637</v>
      </c>
      <c r="T711">
        <f t="shared" si="102"/>
        <v>0</v>
      </c>
      <c r="U711">
        <f t="shared" si="103"/>
        <v>0</v>
      </c>
      <c r="V711">
        <f t="shared" si="104"/>
        <v>0</v>
      </c>
      <c r="W711">
        <f t="shared" si="105"/>
        <v>2</v>
      </c>
      <c r="X711">
        <f t="shared" si="106"/>
        <v>0</v>
      </c>
      <c r="Y711">
        <f t="shared" si="107"/>
        <v>1</v>
      </c>
    </row>
    <row r="712" spans="1:25" x14ac:dyDescent="0.3">
      <c r="A712" t="s">
        <v>1121</v>
      </c>
      <c r="B712" t="s">
        <v>1122</v>
      </c>
      <c r="C712" s="1">
        <v>45835</v>
      </c>
      <c r="D712" s="3">
        <v>0.92291666666666672</v>
      </c>
      <c r="E712">
        <f t="shared" si="99"/>
        <v>22</v>
      </c>
      <c r="F712">
        <v>63</v>
      </c>
      <c r="G712" t="s">
        <v>46</v>
      </c>
      <c r="H712" t="s">
        <v>29</v>
      </c>
      <c r="I712" t="s">
        <v>48</v>
      </c>
      <c r="J712" t="s">
        <v>127</v>
      </c>
      <c r="K712" t="s">
        <v>120</v>
      </c>
      <c r="L712">
        <v>217.33</v>
      </c>
      <c r="M712" t="s">
        <v>33</v>
      </c>
      <c r="N712">
        <f t="shared" si="100"/>
        <v>0</v>
      </c>
      <c r="O712" t="s">
        <v>86</v>
      </c>
      <c r="P712" t="s">
        <v>1123</v>
      </c>
      <c r="Q712">
        <v>0</v>
      </c>
      <c r="R712">
        <v>377</v>
      </c>
      <c r="S712">
        <f t="shared" si="101"/>
        <v>0.59137036228006279</v>
      </c>
      <c r="T712">
        <f t="shared" si="102"/>
        <v>0</v>
      </c>
      <c r="U712">
        <f t="shared" si="103"/>
        <v>0</v>
      </c>
      <c r="V712">
        <f t="shared" si="104"/>
        <v>0</v>
      </c>
      <c r="W712">
        <f t="shared" si="105"/>
        <v>0</v>
      </c>
      <c r="X712">
        <f t="shared" si="106"/>
        <v>0</v>
      </c>
      <c r="Y712">
        <f t="shared" si="107"/>
        <v>0</v>
      </c>
    </row>
    <row r="713" spans="1:25" x14ac:dyDescent="0.3">
      <c r="A713" t="s">
        <v>2498</v>
      </c>
      <c r="B713" t="s">
        <v>2499</v>
      </c>
      <c r="C713" s="1">
        <v>45813</v>
      </c>
      <c r="D713" s="3">
        <v>0.28739583333333335</v>
      </c>
      <c r="E713">
        <f t="shared" si="99"/>
        <v>6</v>
      </c>
      <c r="F713">
        <v>56</v>
      </c>
      <c r="G713" t="s">
        <v>18</v>
      </c>
      <c r="H713" t="s">
        <v>100</v>
      </c>
      <c r="I713" t="s">
        <v>119</v>
      </c>
      <c r="J713" t="s">
        <v>127</v>
      </c>
      <c r="K713" t="s">
        <v>50</v>
      </c>
      <c r="L713">
        <v>217.09</v>
      </c>
      <c r="M713" t="s">
        <v>33</v>
      </c>
      <c r="N713">
        <f t="shared" si="100"/>
        <v>0</v>
      </c>
      <c r="O713" t="s">
        <v>51</v>
      </c>
      <c r="P713" t="s">
        <v>2500</v>
      </c>
      <c r="Q713">
        <v>0</v>
      </c>
      <c r="R713">
        <v>347</v>
      </c>
      <c r="S713">
        <f t="shared" si="101"/>
        <v>0.58804774000580051</v>
      </c>
      <c r="T713">
        <f t="shared" si="102"/>
        <v>0</v>
      </c>
      <c r="U713">
        <f t="shared" si="103"/>
        <v>0</v>
      </c>
      <c r="V713">
        <f t="shared" si="104"/>
        <v>0</v>
      </c>
      <c r="W713">
        <f t="shared" si="105"/>
        <v>0</v>
      </c>
      <c r="X713">
        <f t="shared" si="106"/>
        <v>0</v>
      </c>
      <c r="Y713">
        <f t="shared" si="107"/>
        <v>0</v>
      </c>
    </row>
    <row r="714" spans="1:25" x14ac:dyDescent="0.3">
      <c r="A714" t="s">
        <v>1469</v>
      </c>
      <c r="B714" t="s">
        <v>1470</v>
      </c>
      <c r="C714" s="1">
        <v>45765</v>
      </c>
      <c r="D714" s="3">
        <v>7.6655092592592594E-2</v>
      </c>
      <c r="E714">
        <f t="shared" si="99"/>
        <v>1</v>
      </c>
      <c r="F714">
        <v>20</v>
      </c>
      <c r="G714" t="s">
        <v>18</v>
      </c>
      <c r="H714" t="s">
        <v>239</v>
      </c>
      <c r="I714" t="s">
        <v>66</v>
      </c>
      <c r="J714" t="s">
        <v>94</v>
      </c>
      <c r="K714" t="s">
        <v>114</v>
      </c>
      <c r="L714">
        <v>216.99</v>
      </c>
      <c r="M714" t="s">
        <v>33</v>
      </c>
      <c r="N714">
        <f t="shared" si="100"/>
        <v>0</v>
      </c>
      <c r="O714" t="s">
        <v>86</v>
      </c>
      <c r="P714" t="s">
        <v>1471</v>
      </c>
      <c r="Q714">
        <v>0</v>
      </c>
      <c r="R714">
        <v>289</v>
      </c>
      <c r="S714">
        <f t="shared" si="101"/>
        <v>0.58666331405819139</v>
      </c>
      <c r="T714">
        <f t="shared" si="102"/>
        <v>0</v>
      </c>
      <c r="U714">
        <f t="shared" si="103"/>
        <v>1</v>
      </c>
      <c r="V714">
        <f t="shared" si="104"/>
        <v>0</v>
      </c>
      <c r="W714">
        <f t="shared" si="105"/>
        <v>2</v>
      </c>
      <c r="X714">
        <f t="shared" si="106"/>
        <v>0</v>
      </c>
      <c r="Y714">
        <f t="shared" si="107"/>
        <v>0</v>
      </c>
    </row>
    <row r="715" spans="1:25" x14ac:dyDescent="0.3">
      <c r="A715" t="s">
        <v>1094</v>
      </c>
      <c r="B715" t="s">
        <v>1095</v>
      </c>
      <c r="C715" s="1">
        <v>45850</v>
      </c>
      <c r="D715" s="3">
        <v>0.46537037037037038</v>
      </c>
      <c r="E715">
        <f t="shared" si="99"/>
        <v>11</v>
      </c>
      <c r="F715">
        <v>65</v>
      </c>
      <c r="G715" t="s">
        <v>18</v>
      </c>
      <c r="H715" t="s">
        <v>84</v>
      </c>
      <c r="I715" t="s">
        <v>30</v>
      </c>
      <c r="J715" t="s">
        <v>76</v>
      </c>
      <c r="K715" t="s">
        <v>120</v>
      </c>
      <c r="L715">
        <v>216.98</v>
      </c>
      <c r="M715" t="s">
        <v>23</v>
      </c>
      <c r="N715">
        <f t="shared" si="100"/>
        <v>0</v>
      </c>
      <c r="O715" t="s">
        <v>24</v>
      </c>
      <c r="P715" t="s">
        <v>1096</v>
      </c>
      <c r="Q715">
        <v>0</v>
      </c>
      <c r="R715">
        <v>77</v>
      </c>
      <c r="S715">
        <f t="shared" si="101"/>
        <v>0.58652487146343013</v>
      </c>
      <c r="T715">
        <f t="shared" si="102"/>
        <v>0</v>
      </c>
      <c r="U715">
        <f t="shared" si="103"/>
        <v>0</v>
      </c>
      <c r="V715">
        <f t="shared" si="104"/>
        <v>1</v>
      </c>
      <c r="W715">
        <f t="shared" si="105"/>
        <v>1</v>
      </c>
      <c r="X715">
        <f t="shared" si="106"/>
        <v>0</v>
      </c>
      <c r="Y715">
        <f t="shared" si="107"/>
        <v>0</v>
      </c>
    </row>
    <row r="716" spans="1:25" x14ac:dyDescent="0.3">
      <c r="A716" s="2" t="s">
        <v>4844</v>
      </c>
      <c r="B716" t="s">
        <v>4845</v>
      </c>
      <c r="C716" s="1">
        <v>45770</v>
      </c>
      <c r="D716" s="3">
        <v>0.86943287037037043</v>
      </c>
      <c r="E716">
        <f t="shared" si="99"/>
        <v>20</v>
      </c>
      <c r="F716">
        <v>28</v>
      </c>
      <c r="G716" t="s">
        <v>18</v>
      </c>
      <c r="H716" t="s">
        <v>100</v>
      </c>
      <c r="I716" t="s">
        <v>20</v>
      </c>
      <c r="J716" t="s">
        <v>21</v>
      </c>
      <c r="K716" t="s">
        <v>50</v>
      </c>
      <c r="L716">
        <v>216.92</v>
      </c>
      <c r="M716" t="s">
        <v>42</v>
      </c>
      <c r="N716">
        <f t="shared" si="100"/>
        <v>0</v>
      </c>
      <c r="O716" t="s">
        <v>24</v>
      </c>
      <c r="P716" t="s">
        <v>4846</v>
      </c>
      <c r="Q716">
        <v>0</v>
      </c>
      <c r="R716">
        <v>272</v>
      </c>
      <c r="S716">
        <f t="shared" si="101"/>
        <v>0.58569421589486459</v>
      </c>
      <c r="T716">
        <f t="shared" si="102"/>
        <v>0</v>
      </c>
      <c r="U716">
        <f t="shared" si="103"/>
        <v>0</v>
      </c>
      <c r="V716">
        <f t="shared" si="104"/>
        <v>1</v>
      </c>
      <c r="W716">
        <f t="shared" si="105"/>
        <v>1</v>
      </c>
      <c r="X716">
        <f t="shared" si="106"/>
        <v>0</v>
      </c>
      <c r="Y716">
        <f t="shared" si="107"/>
        <v>0</v>
      </c>
    </row>
    <row r="717" spans="1:25" x14ac:dyDescent="0.3">
      <c r="A717" t="s">
        <v>6275</v>
      </c>
      <c r="B717" t="s">
        <v>6276</v>
      </c>
      <c r="C717" s="1">
        <v>45766</v>
      </c>
      <c r="D717" s="3">
        <v>0.16149305555555554</v>
      </c>
      <c r="E717">
        <f t="shared" si="99"/>
        <v>3</v>
      </c>
      <c r="F717">
        <v>18</v>
      </c>
      <c r="G717" t="s">
        <v>46</v>
      </c>
      <c r="H717" t="s">
        <v>80</v>
      </c>
      <c r="I717" t="s">
        <v>110</v>
      </c>
      <c r="J717" t="s">
        <v>49</v>
      </c>
      <c r="K717" t="s">
        <v>114</v>
      </c>
      <c r="L717">
        <v>216.9</v>
      </c>
      <c r="M717" t="s">
        <v>33</v>
      </c>
      <c r="N717">
        <f t="shared" si="100"/>
        <v>0</v>
      </c>
      <c r="O717" t="s">
        <v>24</v>
      </c>
      <c r="P717" t="s">
        <v>6277</v>
      </c>
      <c r="Q717">
        <v>0</v>
      </c>
      <c r="R717">
        <v>453</v>
      </c>
      <c r="S717">
        <f t="shared" si="101"/>
        <v>0.58541733070534296</v>
      </c>
      <c r="T717">
        <f t="shared" si="102"/>
        <v>0</v>
      </c>
      <c r="U717">
        <f t="shared" si="103"/>
        <v>1</v>
      </c>
      <c r="V717">
        <f t="shared" si="104"/>
        <v>0</v>
      </c>
      <c r="W717">
        <f t="shared" si="105"/>
        <v>2</v>
      </c>
      <c r="X717">
        <f t="shared" si="106"/>
        <v>0</v>
      </c>
      <c r="Y717">
        <f t="shared" si="107"/>
        <v>0</v>
      </c>
    </row>
    <row r="718" spans="1:25" x14ac:dyDescent="0.3">
      <c r="A718" t="s">
        <v>4175</v>
      </c>
      <c r="B718" t="s">
        <v>4176</v>
      </c>
      <c r="C718" s="1">
        <v>45864</v>
      </c>
      <c r="D718" s="3">
        <v>0.21638888888888888</v>
      </c>
      <c r="E718">
        <f t="shared" si="99"/>
        <v>5</v>
      </c>
      <c r="F718">
        <v>40</v>
      </c>
      <c r="G718" t="s">
        <v>18</v>
      </c>
      <c r="H718" t="s">
        <v>84</v>
      </c>
      <c r="I718" t="s">
        <v>20</v>
      </c>
      <c r="J718" t="s">
        <v>76</v>
      </c>
      <c r="K718" t="s">
        <v>95</v>
      </c>
      <c r="L718">
        <v>216.8</v>
      </c>
      <c r="M718" t="s">
        <v>23</v>
      </c>
      <c r="N718">
        <f t="shared" si="100"/>
        <v>0</v>
      </c>
      <c r="O718" t="s">
        <v>51</v>
      </c>
      <c r="P718" t="s">
        <v>4177</v>
      </c>
      <c r="Q718">
        <v>0</v>
      </c>
      <c r="R718">
        <v>161</v>
      </c>
      <c r="S718">
        <f t="shared" si="101"/>
        <v>0.58403290475773384</v>
      </c>
      <c r="T718">
        <f t="shared" si="102"/>
        <v>0</v>
      </c>
      <c r="U718">
        <f t="shared" si="103"/>
        <v>1</v>
      </c>
      <c r="V718">
        <f t="shared" si="104"/>
        <v>1</v>
      </c>
      <c r="W718">
        <f t="shared" si="105"/>
        <v>3</v>
      </c>
      <c r="X718">
        <f t="shared" si="106"/>
        <v>0</v>
      </c>
      <c r="Y718">
        <f t="shared" si="107"/>
        <v>0</v>
      </c>
    </row>
    <row r="719" spans="1:25" x14ac:dyDescent="0.3">
      <c r="A719" t="s">
        <v>6461</v>
      </c>
      <c r="B719" t="s">
        <v>6462</v>
      </c>
      <c r="C719" s="1">
        <v>45709</v>
      </c>
      <c r="D719" s="3">
        <v>9.8067129629629629E-2</v>
      </c>
      <c r="E719">
        <f t="shared" si="99"/>
        <v>2</v>
      </c>
      <c r="F719">
        <v>18</v>
      </c>
      <c r="G719" t="s">
        <v>60</v>
      </c>
      <c r="H719" t="s">
        <v>100</v>
      </c>
      <c r="I719" t="s">
        <v>30</v>
      </c>
      <c r="J719" t="s">
        <v>127</v>
      </c>
      <c r="K719" t="s">
        <v>22</v>
      </c>
      <c r="L719">
        <v>216.72</v>
      </c>
      <c r="M719" t="s">
        <v>42</v>
      </c>
      <c r="N719">
        <f t="shared" si="100"/>
        <v>0</v>
      </c>
      <c r="O719" t="s">
        <v>86</v>
      </c>
      <c r="P719" t="s">
        <v>6463</v>
      </c>
      <c r="Q719">
        <v>0</v>
      </c>
      <c r="R719">
        <v>242</v>
      </c>
      <c r="S719">
        <f t="shared" si="101"/>
        <v>0.58292536399964623</v>
      </c>
      <c r="T719">
        <f t="shared" si="102"/>
        <v>0</v>
      </c>
      <c r="U719">
        <f t="shared" si="103"/>
        <v>1</v>
      </c>
      <c r="V719">
        <f t="shared" si="104"/>
        <v>1</v>
      </c>
      <c r="W719">
        <f t="shared" si="105"/>
        <v>3</v>
      </c>
      <c r="X719">
        <f t="shared" si="106"/>
        <v>0</v>
      </c>
      <c r="Y719">
        <f t="shared" si="107"/>
        <v>0</v>
      </c>
    </row>
    <row r="720" spans="1:25" x14ac:dyDescent="0.3">
      <c r="A720" t="s">
        <v>1226</v>
      </c>
      <c r="B720" t="s">
        <v>1227</v>
      </c>
      <c r="C720" s="1">
        <v>45779</v>
      </c>
      <c r="D720" s="3">
        <v>0.37331018518518516</v>
      </c>
      <c r="E720">
        <f t="shared" si="99"/>
        <v>8</v>
      </c>
      <c r="F720">
        <v>50</v>
      </c>
      <c r="G720" t="s">
        <v>60</v>
      </c>
      <c r="H720" t="s">
        <v>84</v>
      </c>
      <c r="I720" t="s">
        <v>39</v>
      </c>
      <c r="J720" t="s">
        <v>21</v>
      </c>
      <c r="K720" t="s">
        <v>22</v>
      </c>
      <c r="L720">
        <v>216.62</v>
      </c>
      <c r="M720" t="s">
        <v>33</v>
      </c>
      <c r="N720">
        <f t="shared" si="100"/>
        <v>0</v>
      </c>
      <c r="O720" t="s">
        <v>24</v>
      </c>
      <c r="P720" t="s">
        <v>1228</v>
      </c>
      <c r="Q720">
        <v>0</v>
      </c>
      <c r="R720">
        <v>283</v>
      </c>
      <c r="S720">
        <f t="shared" si="101"/>
        <v>0.5815409380520371</v>
      </c>
      <c r="T720">
        <f t="shared" si="102"/>
        <v>0</v>
      </c>
      <c r="U720">
        <f t="shared" si="103"/>
        <v>0</v>
      </c>
      <c r="V720">
        <f t="shared" si="104"/>
        <v>0</v>
      </c>
      <c r="W720">
        <f t="shared" si="105"/>
        <v>0</v>
      </c>
      <c r="X720">
        <f t="shared" si="106"/>
        <v>0</v>
      </c>
      <c r="Y720">
        <f t="shared" si="107"/>
        <v>0</v>
      </c>
    </row>
    <row r="721" spans="1:25" x14ac:dyDescent="0.3">
      <c r="A721" t="s">
        <v>596</v>
      </c>
      <c r="B721" t="s">
        <v>597</v>
      </c>
      <c r="C721" s="1">
        <v>45752</v>
      </c>
      <c r="D721" s="3">
        <v>0.22686342592592593</v>
      </c>
      <c r="E721">
        <f t="shared" si="99"/>
        <v>5</v>
      </c>
      <c r="F721">
        <v>61</v>
      </c>
      <c r="G721" t="s">
        <v>99</v>
      </c>
      <c r="H721" t="s">
        <v>175</v>
      </c>
      <c r="I721" t="s">
        <v>71</v>
      </c>
      <c r="J721" t="s">
        <v>132</v>
      </c>
      <c r="K721" t="s">
        <v>95</v>
      </c>
      <c r="L721">
        <v>216.55</v>
      </c>
      <c r="M721" t="s">
        <v>33</v>
      </c>
      <c r="N721">
        <f t="shared" si="100"/>
        <v>0</v>
      </c>
      <c r="O721" t="s">
        <v>24</v>
      </c>
      <c r="P721" t="s">
        <v>598</v>
      </c>
      <c r="Q721">
        <v>0</v>
      </c>
      <c r="R721">
        <v>122</v>
      </c>
      <c r="S721">
        <f t="shared" si="101"/>
        <v>0.58057183988871064</v>
      </c>
      <c r="T721">
        <f t="shared" si="102"/>
        <v>0</v>
      </c>
      <c r="U721">
        <f t="shared" si="103"/>
        <v>1</v>
      </c>
      <c r="V721">
        <f t="shared" si="104"/>
        <v>1</v>
      </c>
      <c r="W721">
        <f t="shared" si="105"/>
        <v>3</v>
      </c>
      <c r="X721">
        <f t="shared" si="106"/>
        <v>0</v>
      </c>
      <c r="Y721">
        <f t="shared" si="107"/>
        <v>0</v>
      </c>
    </row>
    <row r="722" spans="1:25" x14ac:dyDescent="0.3">
      <c r="A722" t="s">
        <v>1832</v>
      </c>
      <c r="B722" t="s">
        <v>1833</v>
      </c>
      <c r="C722" s="1">
        <v>45708</v>
      </c>
      <c r="D722" s="3">
        <v>0.93256944444444445</v>
      </c>
      <c r="E722">
        <f t="shared" si="99"/>
        <v>22</v>
      </c>
      <c r="F722">
        <v>26</v>
      </c>
      <c r="G722" t="s">
        <v>46</v>
      </c>
      <c r="H722" t="s">
        <v>47</v>
      </c>
      <c r="I722" t="s">
        <v>30</v>
      </c>
      <c r="J722" t="s">
        <v>56</v>
      </c>
      <c r="K722" t="s">
        <v>120</v>
      </c>
      <c r="L722">
        <v>216.46</v>
      </c>
      <c r="M722" t="s">
        <v>115</v>
      </c>
      <c r="N722">
        <f t="shared" si="100"/>
        <v>0</v>
      </c>
      <c r="O722" t="s">
        <v>24</v>
      </c>
      <c r="P722" t="s">
        <v>1834</v>
      </c>
      <c r="Q722">
        <v>0</v>
      </c>
      <c r="R722">
        <v>183</v>
      </c>
      <c r="S722">
        <f t="shared" si="101"/>
        <v>0.57932585653586233</v>
      </c>
      <c r="T722">
        <f t="shared" si="102"/>
        <v>0</v>
      </c>
      <c r="U722">
        <f t="shared" si="103"/>
        <v>0</v>
      </c>
      <c r="V722">
        <f t="shared" si="104"/>
        <v>1</v>
      </c>
      <c r="W722">
        <f t="shared" si="105"/>
        <v>1</v>
      </c>
      <c r="X722">
        <f t="shared" si="106"/>
        <v>0</v>
      </c>
      <c r="Y722">
        <f t="shared" si="107"/>
        <v>0</v>
      </c>
    </row>
    <row r="723" spans="1:25" x14ac:dyDescent="0.3">
      <c r="A723" s="2" t="s">
        <v>6035</v>
      </c>
      <c r="B723" t="s">
        <v>6036</v>
      </c>
      <c r="C723" s="1">
        <v>45865</v>
      </c>
      <c r="D723" s="3">
        <v>0.80510416666666662</v>
      </c>
      <c r="E723">
        <f t="shared" si="99"/>
        <v>19</v>
      </c>
      <c r="F723">
        <v>61</v>
      </c>
      <c r="G723" t="s">
        <v>46</v>
      </c>
      <c r="H723" t="s">
        <v>239</v>
      </c>
      <c r="I723" t="s">
        <v>20</v>
      </c>
      <c r="J723" t="s">
        <v>21</v>
      </c>
      <c r="K723" t="s">
        <v>168</v>
      </c>
      <c r="L723">
        <v>216.42</v>
      </c>
      <c r="M723" t="s">
        <v>115</v>
      </c>
      <c r="N723">
        <f t="shared" si="100"/>
        <v>0</v>
      </c>
      <c r="O723" t="s">
        <v>51</v>
      </c>
      <c r="P723" t="s">
        <v>6037</v>
      </c>
      <c r="Q723">
        <v>0</v>
      </c>
      <c r="R723">
        <v>202</v>
      </c>
      <c r="S723">
        <f t="shared" si="101"/>
        <v>0.5787720861568183</v>
      </c>
      <c r="T723">
        <f t="shared" si="102"/>
        <v>0</v>
      </c>
      <c r="U723">
        <f t="shared" si="103"/>
        <v>0</v>
      </c>
      <c r="V723">
        <f t="shared" si="104"/>
        <v>1</v>
      </c>
      <c r="W723">
        <f t="shared" si="105"/>
        <v>1</v>
      </c>
      <c r="X723">
        <f t="shared" si="106"/>
        <v>0</v>
      </c>
      <c r="Y723">
        <f t="shared" si="107"/>
        <v>0</v>
      </c>
    </row>
    <row r="724" spans="1:25" x14ac:dyDescent="0.3">
      <c r="A724" t="s">
        <v>6389</v>
      </c>
      <c r="B724" t="s">
        <v>6390</v>
      </c>
      <c r="C724" s="1">
        <v>45780</v>
      </c>
      <c r="D724" s="3">
        <v>0.12003472222222222</v>
      </c>
      <c r="E724">
        <f t="shared" si="99"/>
        <v>2</v>
      </c>
      <c r="F724">
        <v>56</v>
      </c>
      <c r="G724" t="s">
        <v>46</v>
      </c>
      <c r="H724" t="s">
        <v>70</v>
      </c>
      <c r="I724" t="s">
        <v>30</v>
      </c>
      <c r="J724" t="s">
        <v>72</v>
      </c>
      <c r="K724" t="s">
        <v>50</v>
      </c>
      <c r="L724">
        <v>216.37</v>
      </c>
      <c r="M724" t="s">
        <v>42</v>
      </c>
      <c r="N724">
        <f t="shared" si="100"/>
        <v>0</v>
      </c>
      <c r="O724" t="s">
        <v>86</v>
      </c>
      <c r="P724" t="s">
        <v>6391</v>
      </c>
      <c r="Q724">
        <v>0</v>
      </c>
      <c r="R724">
        <v>471</v>
      </c>
      <c r="S724">
        <f t="shared" si="101"/>
        <v>0.5780798731830139</v>
      </c>
      <c r="T724">
        <f t="shared" si="102"/>
        <v>0</v>
      </c>
      <c r="U724">
        <f t="shared" si="103"/>
        <v>1</v>
      </c>
      <c r="V724">
        <f t="shared" si="104"/>
        <v>0</v>
      </c>
      <c r="W724">
        <f t="shared" si="105"/>
        <v>2</v>
      </c>
      <c r="X724">
        <f t="shared" si="106"/>
        <v>0</v>
      </c>
      <c r="Y724">
        <f t="shared" si="107"/>
        <v>0</v>
      </c>
    </row>
    <row r="725" spans="1:25" x14ac:dyDescent="0.3">
      <c r="A725" t="s">
        <v>2585</v>
      </c>
      <c r="B725" t="s">
        <v>2586</v>
      </c>
      <c r="C725" s="1">
        <v>45704</v>
      </c>
      <c r="D725" s="3">
        <v>0.80622685185185183</v>
      </c>
      <c r="E725">
        <f t="shared" si="99"/>
        <v>19</v>
      </c>
      <c r="F725">
        <v>19</v>
      </c>
      <c r="G725" t="s">
        <v>99</v>
      </c>
      <c r="H725" t="s">
        <v>90</v>
      </c>
      <c r="I725" t="s">
        <v>85</v>
      </c>
      <c r="J725" t="s">
        <v>94</v>
      </c>
      <c r="K725" t="s">
        <v>62</v>
      </c>
      <c r="L725">
        <v>216.09</v>
      </c>
      <c r="M725" t="s">
        <v>23</v>
      </c>
      <c r="N725">
        <f t="shared" si="100"/>
        <v>0</v>
      </c>
      <c r="O725" t="s">
        <v>24</v>
      </c>
      <c r="P725" t="s">
        <v>2587</v>
      </c>
      <c r="Q725">
        <v>1</v>
      </c>
      <c r="R725">
        <v>187</v>
      </c>
      <c r="S725">
        <f t="shared" si="101"/>
        <v>0.57420348052970804</v>
      </c>
      <c r="T725">
        <f t="shared" si="102"/>
        <v>0</v>
      </c>
      <c r="U725">
        <f t="shared" si="103"/>
        <v>0</v>
      </c>
      <c r="V725">
        <f t="shared" si="104"/>
        <v>1</v>
      </c>
      <c r="W725">
        <f t="shared" si="105"/>
        <v>1</v>
      </c>
      <c r="X725">
        <f t="shared" si="106"/>
        <v>0</v>
      </c>
      <c r="Y725">
        <f t="shared" si="107"/>
        <v>0</v>
      </c>
    </row>
    <row r="726" spans="1:25" x14ac:dyDescent="0.3">
      <c r="A726" t="s">
        <v>2717</v>
      </c>
      <c r="B726" t="s">
        <v>2718</v>
      </c>
      <c r="C726" s="1">
        <v>45878</v>
      </c>
      <c r="D726" s="3">
        <v>9.1435185185185178E-3</v>
      </c>
      <c r="E726">
        <f t="shared" si="99"/>
        <v>0</v>
      </c>
      <c r="F726">
        <v>43</v>
      </c>
      <c r="G726" t="s">
        <v>46</v>
      </c>
      <c r="H726" t="s">
        <v>47</v>
      </c>
      <c r="I726" t="s">
        <v>30</v>
      </c>
      <c r="J726" t="s">
        <v>132</v>
      </c>
      <c r="K726" t="s">
        <v>168</v>
      </c>
      <c r="L726">
        <v>216.08</v>
      </c>
      <c r="M726" t="s">
        <v>23</v>
      </c>
      <c r="N726">
        <f t="shared" si="100"/>
        <v>0</v>
      </c>
      <c r="O726" t="s">
        <v>51</v>
      </c>
      <c r="P726" t="s">
        <v>2719</v>
      </c>
      <c r="Q726">
        <v>0</v>
      </c>
      <c r="R726">
        <v>122</v>
      </c>
      <c r="S726">
        <f t="shared" si="101"/>
        <v>0.57406503793494723</v>
      </c>
      <c r="T726">
        <f t="shared" si="102"/>
        <v>0</v>
      </c>
      <c r="U726">
        <f t="shared" si="103"/>
        <v>1</v>
      </c>
      <c r="V726">
        <f t="shared" si="104"/>
        <v>1</v>
      </c>
      <c r="W726">
        <f t="shared" si="105"/>
        <v>3</v>
      </c>
      <c r="X726">
        <f t="shared" si="106"/>
        <v>0</v>
      </c>
      <c r="Y726">
        <f t="shared" si="107"/>
        <v>0</v>
      </c>
    </row>
    <row r="727" spans="1:25" x14ac:dyDescent="0.3">
      <c r="A727" t="s">
        <v>4706</v>
      </c>
      <c r="B727" t="s">
        <v>4707</v>
      </c>
      <c r="C727" s="1">
        <v>45797</v>
      </c>
      <c r="D727" s="3">
        <v>6.4143518518518516E-2</v>
      </c>
      <c r="E727">
        <f t="shared" si="99"/>
        <v>1</v>
      </c>
      <c r="F727">
        <v>30</v>
      </c>
      <c r="G727" t="s">
        <v>46</v>
      </c>
      <c r="H727" t="s">
        <v>175</v>
      </c>
      <c r="I727" t="s">
        <v>30</v>
      </c>
      <c r="J727" t="s">
        <v>94</v>
      </c>
      <c r="K727" t="s">
        <v>101</v>
      </c>
      <c r="L727">
        <v>215.89</v>
      </c>
      <c r="M727" t="s">
        <v>42</v>
      </c>
      <c r="N727">
        <f t="shared" si="100"/>
        <v>0</v>
      </c>
      <c r="O727" t="s">
        <v>86</v>
      </c>
      <c r="P727" t="s">
        <v>4708</v>
      </c>
      <c r="Q727">
        <v>0</v>
      </c>
      <c r="R727">
        <v>338</v>
      </c>
      <c r="S727">
        <f t="shared" si="101"/>
        <v>0.57143462863448935</v>
      </c>
      <c r="T727">
        <f t="shared" si="102"/>
        <v>0</v>
      </c>
      <c r="U727">
        <f t="shared" si="103"/>
        <v>1</v>
      </c>
      <c r="V727">
        <f t="shared" si="104"/>
        <v>0</v>
      </c>
      <c r="W727">
        <f t="shared" si="105"/>
        <v>2</v>
      </c>
      <c r="X727">
        <f t="shared" si="106"/>
        <v>0</v>
      </c>
      <c r="Y727">
        <f t="shared" si="107"/>
        <v>0</v>
      </c>
    </row>
    <row r="728" spans="1:25" x14ac:dyDescent="0.3">
      <c r="A728" t="s">
        <v>4469</v>
      </c>
      <c r="B728" t="s">
        <v>4470</v>
      </c>
      <c r="C728" s="1">
        <v>45731</v>
      </c>
      <c r="D728" s="3">
        <v>0.9236805555555555</v>
      </c>
      <c r="E728">
        <f t="shared" si="99"/>
        <v>22</v>
      </c>
      <c r="F728">
        <v>36</v>
      </c>
      <c r="G728" t="s">
        <v>46</v>
      </c>
      <c r="H728" t="s">
        <v>84</v>
      </c>
      <c r="I728" t="s">
        <v>30</v>
      </c>
      <c r="J728" t="s">
        <v>127</v>
      </c>
      <c r="K728" t="s">
        <v>95</v>
      </c>
      <c r="L728">
        <v>215.77</v>
      </c>
      <c r="M728" t="s">
        <v>115</v>
      </c>
      <c r="N728">
        <f t="shared" si="100"/>
        <v>0</v>
      </c>
      <c r="O728" t="s">
        <v>51</v>
      </c>
      <c r="P728" t="s">
        <v>4471</v>
      </c>
      <c r="Q728">
        <v>0</v>
      </c>
      <c r="R728">
        <v>466</v>
      </c>
      <c r="S728">
        <f t="shared" si="101"/>
        <v>0.5697733174973586</v>
      </c>
      <c r="T728">
        <f t="shared" si="102"/>
        <v>0</v>
      </c>
      <c r="U728">
        <f t="shared" si="103"/>
        <v>0</v>
      </c>
      <c r="V728">
        <f t="shared" si="104"/>
        <v>0</v>
      </c>
      <c r="W728">
        <f t="shared" si="105"/>
        <v>0</v>
      </c>
      <c r="X728">
        <f t="shared" si="106"/>
        <v>0</v>
      </c>
      <c r="Y728">
        <f t="shared" si="107"/>
        <v>0</v>
      </c>
    </row>
    <row r="729" spans="1:25" x14ac:dyDescent="0.3">
      <c r="A729" t="s">
        <v>4064</v>
      </c>
      <c r="B729" t="s">
        <v>4065</v>
      </c>
      <c r="C729" s="1">
        <v>45731</v>
      </c>
      <c r="D729" s="3">
        <v>0.84381944444444446</v>
      </c>
      <c r="E729">
        <f t="shared" si="99"/>
        <v>20</v>
      </c>
      <c r="F729">
        <v>29</v>
      </c>
      <c r="G729" t="s">
        <v>46</v>
      </c>
      <c r="H729" t="s">
        <v>185</v>
      </c>
      <c r="I729" t="s">
        <v>30</v>
      </c>
      <c r="J729" t="s">
        <v>94</v>
      </c>
      <c r="K729" t="s">
        <v>22</v>
      </c>
      <c r="L729">
        <v>215.54</v>
      </c>
      <c r="M729" t="s">
        <v>115</v>
      </c>
      <c r="N729">
        <f t="shared" si="100"/>
        <v>0</v>
      </c>
      <c r="O729" t="s">
        <v>24</v>
      </c>
      <c r="P729" t="s">
        <v>4066</v>
      </c>
      <c r="Q729">
        <v>0</v>
      </c>
      <c r="R729">
        <v>291</v>
      </c>
      <c r="S729">
        <f t="shared" si="101"/>
        <v>0.56658913781785702</v>
      </c>
      <c r="T729">
        <f t="shared" si="102"/>
        <v>0</v>
      </c>
      <c r="U729">
        <f t="shared" si="103"/>
        <v>0</v>
      </c>
      <c r="V729">
        <f t="shared" si="104"/>
        <v>0</v>
      </c>
      <c r="W729">
        <f t="shared" si="105"/>
        <v>0</v>
      </c>
      <c r="X729">
        <f t="shared" si="106"/>
        <v>0</v>
      </c>
      <c r="Y729">
        <f t="shared" si="107"/>
        <v>0</v>
      </c>
    </row>
    <row r="730" spans="1:25" x14ac:dyDescent="0.3">
      <c r="A730" t="s">
        <v>4997</v>
      </c>
      <c r="B730" t="s">
        <v>4998</v>
      </c>
      <c r="C730" s="1">
        <v>45790</v>
      </c>
      <c r="D730" s="3">
        <v>0.26870370370370372</v>
      </c>
      <c r="E730">
        <f t="shared" si="99"/>
        <v>6</v>
      </c>
      <c r="F730">
        <v>29</v>
      </c>
      <c r="G730" t="s">
        <v>18</v>
      </c>
      <c r="H730" t="s">
        <v>175</v>
      </c>
      <c r="I730" t="s">
        <v>20</v>
      </c>
      <c r="J730" t="s">
        <v>31</v>
      </c>
      <c r="K730" t="s">
        <v>168</v>
      </c>
      <c r="L730">
        <v>215.49</v>
      </c>
      <c r="M730" t="s">
        <v>115</v>
      </c>
      <c r="N730">
        <f t="shared" si="100"/>
        <v>0</v>
      </c>
      <c r="O730" t="s">
        <v>51</v>
      </c>
      <c r="P730" t="s">
        <v>4999</v>
      </c>
      <c r="Q730">
        <v>0</v>
      </c>
      <c r="R730">
        <v>358</v>
      </c>
      <c r="S730">
        <f t="shared" si="101"/>
        <v>0.56589692484405263</v>
      </c>
      <c r="T730">
        <f t="shared" si="102"/>
        <v>0</v>
      </c>
      <c r="U730">
        <f t="shared" si="103"/>
        <v>0</v>
      </c>
      <c r="V730">
        <f t="shared" si="104"/>
        <v>0</v>
      </c>
      <c r="W730">
        <f t="shared" si="105"/>
        <v>0</v>
      </c>
      <c r="X730">
        <f t="shared" si="106"/>
        <v>0</v>
      </c>
      <c r="Y730">
        <f t="shared" si="107"/>
        <v>0</v>
      </c>
    </row>
    <row r="731" spans="1:25" x14ac:dyDescent="0.3">
      <c r="A731" t="s">
        <v>3878</v>
      </c>
      <c r="B731" t="s">
        <v>3879</v>
      </c>
      <c r="C731" s="1">
        <v>45800</v>
      </c>
      <c r="D731" s="3">
        <v>0.43400462962962966</v>
      </c>
      <c r="E731">
        <f t="shared" si="99"/>
        <v>10</v>
      </c>
      <c r="F731">
        <v>27</v>
      </c>
      <c r="G731" t="s">
        <v>99</v>
      </c>
      <c r="H731" t="s">
        <v>55</v>
      </c>
      <c r="I731" t="s">
        <v>119</v>
      </c>
      <c r="J731" t="s">
        <v>76</v>
      </c>
      <c r="K731" t="s">
        <v>32</v>
      </c>
      <c r="L731">
        <v>215.28</v>
      </c>
      <c r="M731" t="s">
        <v>23</v>
      </c>
      <c r="N731">
        <f t="shared" si="100"/>
        <v>0</v>
      </c>
      <c r="O731" t="s">
        <v>51</v>
      </c>
      <c r="P731" t="s">
        <v>3880</v>
      </c>
      <c r="Q731">
        <v>0</v>
      </c>
      <c r="R731">
        <v>224</v>
      </c>
      <c r="S731">
        <f t="shared" si="101"/>
        <v>0.56298963035407312</v>
      </c>
      <c r="T731">
        <f t="shared" si="102"/>
        <v>0</v>
      </c>
      <c r="U731">
        <f t="shared" si="103"/>
        <v>0</v>
      </c>
      <c r="V731">
        <f t="shared" si="104"/>
        <v>1</v>
      </c>
      <c r="W731">
        <f t="shared" si="105"/>
        <v>1</v>
      </c>
      <c r="X731">
        <f t="shared" si="106"/>
        <v>0</v>
      </c>
      <c r="Y731">
        <f t="shared" si="107"/>
        <v>0</v>
      </c>
    </row>
    <row r="732" spans="1:25" x14ac:dyDescent="0.3">
      <c r="A732" t="s">
        <v>1646</v>
      </c>
      <c r="B732" t="s">
        <v>1647</v>
      </c>
      <c r="C732" s="1">
        <v>45812</v>
      </c>
      <c r="D732" s="3">
        <v>0.76697916666666666</v>
      </c>
      <c r="E732">
        <f t="shared" si="99"/>
        <v>18</v>
      </c>
      <c r="F732">
        <v>60</v>
      </c>
      <c r="G732" t="s">
        <v>18</v>
      </c>
      <c r="H732" t="s">
        <v>185</v>
      </c>
      <c r="I732" t="s">
        <v>71</v>
      </c>
      <c r="J732" t="s">
        <v>76</v>
      </c>
      <c r="K732" t="s">
        <v>22</v>
      </c>
      <c r="L732">
        <v>215.25</v>
      </c>
      <c r="M732" t="s">
        <v>23</v>
      </c>
      <c r="N732">
        <f t="shared" si="100"/>
        <v>0</v>
      </c>
      <c r="O732" t="s">
        <v>86</v>
      </c>
      <c r="P732" t="s">
        <v>1648</v>
      </c>
      <c r="Q732">
        <v>0</v>
      </c>
      <c r="R732">
        <v>295</v>
      </c>
      <c r="S732">
        <f t="shared" si="101"/>
        <v>0.56257430256979035</v>
      </c>
      <c r="T732">
        <f t="shared" si="102"/>
        <v>0</v>
      </c>
      <c r="U732">
        <f t="shared" si="103"/>
        <v>0</v>
      </c>
      <c r="V732">
        <f t="shared" si="104"/>
        <v>0</v>
      </c>
      <c r="W732">
        <f t="shared" si="105"/>
        <v>0</v>
      </c>
      <c r="X732">
        <f t="shared" si="106"/>
        <v>0</v>
      </c>
      <c r="Y732">
        <f t="shared" si="107"/>
        <v>0</v>
      </c>
    </row>
    <row r="733" spans="1:25" x14ac:dyDescent="0.3">
      <c r="A733" t="s">
        <v>2180</v>
      </c>
      <c r="B733" t="s">
        <v>2181</v>
      </c>
      <c r="C733" s="1">
        <v>45802</v>
      </c>
      <c r="D733" s="3">
        <v>0.10859953703703704</v>
      </c>
      <c r="E733">
        <f t="shared" si="99"/>
        <v>2</v>
      </c>
      <c r="F733">
        <v>25</v>
      </c>
      <c r="G733" t="s">
        <v>46</v>
      </c>
      <c r="H733" t="s">
        <v>90</v>
      </c>
      <c r="I733" t="s">
        <v>71</v>
      </c>
      <c r="J733" t="s">
        <v>49</v>
      </c>
      <c r="K733" t="s">
        <v>168</v>
      </c>
      <c r="L733">
        <v>215.16</v>
      </c>
      <c r="M733" t="s">
        <v>33</v>
      </c>
      <c r="N733">
        <f t="shared" si="100"/>
        <v>0</v>
      </c>
      <c r="O733" t="s">
        <v>34</v>
      </c>
      <c r="P733" t="s">
        <v>2182</v>
      </c>
      <c r="Q733">
        <v>0</v>
      </c>
      <c r="R733">
        <v>79</v>
      </c>
      <c r="S733">
        <f t="shared" si="101"/>
        <v>0.56132831921694193</v>
      </c>
      <c r="T733">
        <f t="shared" si="102"/>
        <v>0</v>
      </c>
      <c r="U733">
        <f t="shared" si="103"/>
        <v>1</v>
      </c>
      <c r="V733">
        <f t="shared" si="104"/>
        <v>1</v>
      </c>
      <c r="W733">
        <f t="shared" si="105"/>
        <v>3</v>
      </c>
      <c r="X733">
        <f t="shared" si="106"/>
        <v>0</v>
      </c>
      <c r="Y733">
        <f t="shared" si="107"/>
        <v>0</v>
      </c>
    </row>
    <row r="734" spans="1:25" x14ac:dyDescent="0.3">
      <c r="A734" t="s">
        <v>4130</v>
      </c>
      <c r="B734" t="s">
        <v>4131</v>
      </c>
      <c r="C734" s="1">
        <v>45799</v>
      </c>
      <c r="D734" s="3">
        <v>0.69445601851851857</v>
      </c>
      <c r="E734">
        <f t="shared" si="99"/>
        <v>16</v>
      </c>
      <c r="F734">
        <v>26</v>
      </c>
      <c r="G734" t="s">
        <v>28</v>
      </c>
      <c r="H734" t="s">
        <v>61</v>
      </c>
      <c r="I734" t="s">
        <v>71</v>
      </c>
      <c r="J734" t="s">
        <v>49</v>
      </c>
      <c r="K734" t="s">
        <v>41</v>
      </c>
      <c r="L734">
        <v>214.94</v>
      </c>
      <c r="M734" t="s">
        <v>23</v>
      </c>
      <c r="N734">
        <f t="shared" si="100"/>
        <v>0</v>
      </c>
      <c r="O734" t="s">
        <v>86</v>
      </c>
      <c r="P734" t="s">
        <v>4132</v>
      </c>
      <c r="Q734">
        <v>0</v>
      </c>
      <c r="R734">
        <v>455</v>
      </c>
      <c r="S734">
        <f t="shared" si="101"/>
        <v>0.55828258213220161</v>
      </c>
      <c r="T734">
        <f t="shared" si="102"/>
        <v>0</v>
      </c>
      <c r="U734">
        <f t="shared" si="103"/>
        <v>0</v>
      </c>
      <c r="V734">
        <f t="shared" si="104"/>
        <v>0</v>
      </c>
      <c r="W734">
        <f t="shared" si="105"/>
        <v>0</v>
      </c>
      <c r="X734">
        <f t="shared" si="106"/>
        <v>0</v>
      </c>
      <c r="Y734">
        <f t="shared" si="107"/>
        <v>0</v>
      </c>
    </row>
    <row r="735" spans="1:25" x14ac:dyDescent="0.3">
      <c r="A735" t="s">
        <v>6476</v>
      </c>
      <c r="B735" t="s">
        <v>6477</v>
      </c>
      <c r="C735" s="1">
        <v>45710</v>
      </c>
      <c r="D735" s="3">
        <v>0.87832175925925926</v>
      </c>
      <c r="E735">
        <f t="shared" si="99"/>
        <v>21</v>
      </c>
      <c r="F735">
        <v>35</v>
      </c>
      <c r="G735" t="s">
        <v>28</v>
      </c>
      <c r="H735" t="s">
        <v>19</v>
      </c>
      <c r="I735" t="s">
        <v>30</v>
      </c>
      <c r="J735" t="s">
        <v>31</v>
      </c>
      <c r="K735" t="s">
        <v>95</v>
      </c>
      <c r="L735">
        <v>214.88</v>
      </c>
      <c r="M735" t="s">
        <v>42</v>
      </c>
      <c r="N735">
        <f t="shared" si="100"/>
        <v>0</v>
      </c>
      <c r="O735" t="s">
        <v>24</v>
      </c>
      <c r="P735" t="s">
        <v>6478</v>
      </c>
      <c r="Q735">
        <v>0</v>
      </c>
      <c r="R735">
        <v>261</v>
      </c>
      <c r="S735">
        <f t="shared" si="101"/>
        <v>0.55745192656363607</v>
      </c>
      <c r="T735">
        <f t="shared" si="102"/>
        <v>0</v>
      </c>
      <c r="U735">
        <f t="shared" si="103"/>
        <v>0</v>
      </c>
      <c r="V735">
        <f t="shared" si="104"/>
        <v>1</v>
      </c>
      <c r="W735">
        <f t="shared" si="105"/>
        <v>1</v>
      </c>
      <c r="X735">
        <f t="shared" si="106"/>
        <v>0</v>
      </c>
      <c r="Y735">
        <f t="shared" si="107"/>
        <v>0</v>
      </c>
    </row>
    <row r="736" spans="1:25" x14ac:dyDescent="0.3">
      <c r="A736" t="s">
        <v>896</v>
      </c>
      <c r="B736" t="s">
        <v>897</v>
      </c>
      <c r="C736" s="1">
        <v>45839</v>
      </c>
      <c r="D736" s="3">
        <v>5.2627314814814814E-2</v>
      </c>
      <c r="E736">
        <f t="shared" si="99"/>
        <v>1</v>
      </c>
      <c r="F736" s="4">
        <v>41</v>
      </c>
      <c r="G736" t="s">
        <v>46</v>
      </c>
      <c r="H736" t="s">
        <v>84</v>
      </c>
      <c r="I736" t="s">
        <v>20</v>
      </c>
      <c r="J736" t="s">
        <v>72</v>
      </c>
      <c r="K736" t="s">
        <v>168</v>
      </c>
      <c r="L736">
        <v>214.84</v>
      </c>
      <c r="M736" t="s">
        <v>23</v>
      </c>
      <c r="N736">
        <f t="shared" si="100"/>
        <v>0</v>
      </c>
      <c r="O736" t="s">
        <v>86</v>
      </c>
      <c r="P736" t="s">
        <v>898</v>
      </c>
      <c r="Q736">
        <v>0</v>
      </c>
      <c r="R736">
        <v>290</v>
      </c>
      <c r="S736">
        <f t="shared" si="101"/>
        <v>0.55689815618459249</v>
      </c>
      <c r="T736">
        <f t="shared" si="102"/>
        <v>0</v>
      </c>
      <c r="U736">
        <f t="shared" si="103"/>
        <v>1</v>
      </c>
      <c r="V736">
        <f t="shared" si="104"/>
        <v>0</v>
      </c>
      <c r="W736">
        <f t="shared" si="105"/>
        <v>2</v>
      </c>
      <c r="X736">
        <f t="shared" si="106"/>
        <v>0</v>
      </c>
      <c r="Y736">
        <f t="shared" si="107"/>
        <v>0</v>
      </c>
    </row>
    <row r="737" spans="1:25" x14ac:dyDescent="0.3">
      <c r="A737" t="s">
        <v>404</v>
      </c>
      <c r="B737" t="s">
        <v>405</v>
      </c>
      <c r="C737" s="1">
        <v>45782</v>
      </c>
      <c r="D737" s="3">
        <v>0.19815972222222222</v>
      </c>
      <c r="E737">
        <f t="shared" si="99"/>
        <v>4</v>
      </c>
      <c r="F737">
        <v>50</v>
      </c>
      <c r="G737" t="s">
        <v>28</v>
      </c>
      <c r="H737" t="s">
        <v>232</v>
      </c>
      <c r="I737" t="s">
        <v>110</v>
      </c>
      <c r="J737" t="s">
        <v>132</v>
      </c>
      <c r="K737" t="s">
        <v>41</v>
      </c>
      <c r="L737">
        <v>214.7</v>
      </c>
      <c r="M737" t="s">
        <v>42</v>
      </c>
      <c r="N737">
        <f t="shared" si="100"/>
        <v>0</v>
      </c>
      <c r="O737" t="s">
        <v>86</v>
      </c>
      <c r="P737" t="s">
        <v>406</v>
      </c>
      <c r="Q737">
        <v>0</v>
      </c>
      <c r="R737">
        <v>77</v>
      </c>
      <c r="S737">
        <f t="shared" si="101"/>
        <v>0.55495995985793933</v>
      </c>
      <c r="T737">
        <f t="shared" si="102"/>
        <v>0</v>
      </c>
      <c r="U737">
        <f t="shared" si="103"/>
        <v>1</v>
      </c>
      <c r="V737">
        <f t="shared" si="104"/>
        <v>1</v>
      </c>
      <c r="W737">
        <f t="shared" si="105"/>
        <v>3</v>
      </c>
      <c r="X737">
        <f t="shared" si="106"/>
        <v>0</v>
      </c>
      <c r="Y737">
        <f t="shared" si="107"/>
        <v>0</v>
      </c>
    </row>
    <row r="738" spans="1:25" x14ac:dyDescent="0.3">
      <c r="A738" t="s">
        <v>5375</v>
      </c>
      <c r="B738" t="s">
        <v>5376</v>
      </c>
      <c r="C738" s="1">
        <v>45820</v>
      </c>
      <c r="D738" s="3">
        <v>0.85268518518518521</v>
      </c>
      <c r="E738">
        <f t="shared" si="99"/>
        <v>20</v>
      </c>
      <c r="F738">
        <v>46</v>
      </c>
      <c r="G738" t="s">
        <v>46</v>
      </c>
      <c r="H738" t="s">
        <v>131</v>
      </c>
      <c r="I738" t="s">
        <v>105</v>
      </c>
      <c r="J738" t="s">
        <v>76</v>
      </c>
      <c r="K738" t="s">
        <v>50</v>
      </c>
      <c r="L738">
        <v>214.66</v>
      </c>
      <c r="M738" t="s">
        <v>42</v>
      </c>
      <c r="N738">
        <f t="shared" si="100"/>
        <v>0</v>
      </c>
      <c r="O738" t="s">
        <v>51</v>
      </c>
      <c r="P738" t="s">
        <v>5377</v>
      </c>
      <c r="Q738">
        <v>0</v>
      </c>
      <c r="R738">
        <v>96</v>
      </c>
      <c r="S738">
        <f t="shared" si="101"/>
        <v>0.55440618947889575</v>
      </c>
      <c r="T738">
        <f t="shared" si="102"/>
        <v>0</v>
      </c>
      <c r="U738">
        <f t="shared" si="103"/>
        <v>0</v>
      </c>
      <c r="V738">
        <f t="shared" si="104"/>
        <v>1</v>
      </c>
      <c r="W738">
        <f t="shared" si="105"/>
        <v>1</v>
      </c>
      <c r="X738">
        <f t="shared" si="106"/>
        <v>0</v>
      </c>
      <c r="Y738">
        <f t="shared" si="107"/>
        <v>0</v>
      </c>
    </row>
    <row r="739" spans="1:25" x14ac:dyDescent="0.3">
      <c r="A739" t="s">
        <v>1181</v>
      </c>
      <c r="B739" t="s">
        <v>1182</v>
      </c>
      <c r="C739" s="1">
        <v>45727</v>
      </c>
      <c r="D739" s="3">
        <v>0.40546296296296297</v>
      </c>
      <c r="E739">
        <f t="shared" si="99"/>
        <v>9</v>
      </c>
      <c r="F739">
        <v>20</v>
      </c>
      <c r="G739" t="s">
        <v>18</v>
      </c>
      <c r="H739" t="s">
        <v>131</v>
      </c>
      <c r="I739" t="s">
        <v>119</v>
      </c>
      <c r="J739" t="s">
        <v>127</v>
      </c>
      <c r="K739" t="s">
        <v>120</v>
      </c>
      <c r="L739">
        <v>214.47</v>
      </c>
      <c r="M739" t="s">
        <v>33</v>
      </c>
      <c r="N739">
        <f t="shared" si="100"/>
        <v>0</v>
      </c>
      <c r="O739" t="s">
        <v>86</v>
      </c>
      <c r="P739" t="s">
        <v>1183</v>
      </c>
      <c r="Q739">
        <v>0</v>
      </c>
      <c r="R739">
        <v>297</v>
      </c>
      <c r="S739">
        <f t="shared" si="101"/>
        <v>0.5517757801784382</v>
      </c>
      <c r="T739">
        <f t="shared" si="102"/>
        <v>0</v>
      </c>
      <c r="U739">
        <f t="shared" si="103"/>
        <v>0</v>
      </c>
      <c r="V739">
        <f t="shared" si="104"/>
        <v>0</v>
      </c>
      <c r="W739">
        <f t="shared" si="105"/>
        <v>0</v>
      </c>
      <c r="X739">
        <f t="shared" si="106"/>
        <v>0</v>
      </c>
      <c r="Y739">
        <f t="shared" si="107"/>
        <v>0</v>
      </c>
    </row>
    <row r="740" spans="1:25" x14ac:dyDescent="0.3">
      <c r="A740" t="s">
        <v>2462</v>
      </c>
      <c r="B740" t="s">
        <v>2463</v>
      </c>
      <c r="C740" s="1">
        <v>45864</v>
      </c>
      <c r="D740" s="3">
        <v>0.75983796296296291</v>
      </c>
      <c r="E740">
        <f t="shared" si="99"/>
        <v>18</v>
      </c>
      <c r="F740">
        <v>47</v>
      </c>
      <c r="G740" t="s">
        <v>18</v>
      </c>
      <c r="H740" t="s">
        <v>239</v>
      </c>
      <c r="I740" t="s">
        <v>39</v>
      </c>
      <c r="J740" t="s">
        <v>132</v>
      </c>
      <c r="K740" t="s">
        <v>41</v>
      </c>
      <c r="L740">
        <v>214.4</v>
      </c>
      <c r="M740" t="s">
        <v>115</v>
      </c>
      <c r="N740">
        <f t="shared" si="100"/>
        <v>0</v>
      </c>
      <c r="O740" t="s">
        <v>86</v>
      </c>
      <c r="P740" t="s">
        <v>2464</v>
      </c>
      <c r="Q740">
        <v>0</v>
      </c>
      <c r="R740">
        <v>401</v>
      </c>
      <c r="S740">
        <f t="shared" si="101"/>
        <v>0.55080668201511185</v>
      </c>
      <c r="T740">
        <f t="shared" si="102"/>
        <v>0</v>
      </c>
      <c r="U740">
        <f t="shared" si="103"/>
        <v>0</v>
      </c>
      <c r="V740">
        <f t="shared" si="104"/>
        <v>0</v>
      </c>
      <c r="W740">
        <f t="shared" si="105"/>
        <v>0</v>
      </c>
      <c r="X740">
        <f t="shared" si="106"/>
        <v>0</v>
      </c>
      <c r="Y740">
        <f t="shared" si="107"/>
        <v>0</v>
      </c>
    </row>
    <row r="741" spans="1:25" x14ac:dyDescent="0.3">
      <c r="A741" t="s">
        <v>1001</v>
      </c>
      <c r="B741" t="s">
        <v>1002</v>
      </c>
      <c r="C741" s="1">
        <v>45871</v>
      </c>
      <c r="D741" s="3">
        <v>0.78243055555555552</v>
      </c>
      <c r="E741">
        <f t="shared" si="99"/>
        <v>18</v>
      </c>
      <c r="F741">
        <v>21</v>
      </c>
      <c r="G741" t="s">
        <v>46</v>
      </c>
      <c r="H741" t="s">
        <v>19</v>
      </c>
      <c r="I741" t="s">
        <v>66</v>
      </c>
      <c r="J741" t="s">
        <v>56</v>
      </c>
      <c r="K741" t="s">
        <v>114</v>
      </c>
      <c r="L741">
        <v>214.12</v>
      </c>
      <c r="M741" t="s">
        <v>33</v>
      </c>
      <c r="N741">
        <f t="shared" si="100"/>
        <v>0</v>
      </c>
      <c r="O741" t="s">
        <v>34</v>
      </c>
      <c r="P741" t="s">
        <v>1003</v>
      </c>
      <c r="Q741">
        <v>0</v>
      </c>
      <c r="R741">
        <v>309</v>
      </c>
      <c r="S741">
        <f t="shared" si="101"/>
        <v>0.54693028936180599</v>
      </c>
      <c r="T741">
        <f t="shared" si="102"/>
        <v>0</v>
      </c>
      <c r="U741">
        <f t="shared" si="103"/>
        <v>0</v>
      </c>
      <c r="V741">
        <f t="shared" si="104"/>
        <v>0</v>
      </c>
      <c r="W741">
        <f t="shared" si="105"/>
        <v>0</v>
      </c>
      <c r="X741">
        <f t="shared" si="106"/>
        <v>0</v>
      </c>
      <c r="Y741">
        <f t="shared" si="107"/>
        <v>0</v>
      </c>
    </row>
    <row r="742" spans="1:25" x14ac:dyDescent="0.3">
      <c r="A742" t="s">
        <v>1241</v>
      </c>
      <c r="B742" t="s">
        <v>1242</v>
      </c>
      <c r="C742" s="1">
        <v>45872</v>
      </c>
      <c r="D742" s="3">
        <v>0.95306712962962958</v>
      </c>
      <c r="E742">
        <f t="shared" si="99"/>
        <v>22</v>
      </c>
      <c r="F742">
        <v>46</v>
      </c>
      <c r="G742" t="s">
        <v>28</v>
      </c>
      <c r="H742" t="s">
        <v>189</v>
      </c>
      <c r="I742" t="s">
        <v>85</v>
      </c>
      <c r="J742" t="s">
        <v>21</v>
      </c>
      <c r="K742" t="s">
        <v>41</v>
      </c>
      <c r="L742">
        <v>213.79</v>
      </c>
      <c r="M742" t="s">
        <v>42</v>
      </c>
      <c r="N742">
        <f t="shared" si="100"/>
        <v>0</v>
      </c>
      <c r="O742" t="s">
        <v>34</v>
      </c>
      <c r="P742" t="s">
        <v>1243</v>
      </c>
      <c r="Q742">
        <v>0</v>
      </c>
      <c r="R742">
        <v>169</v>
      </c>
      <c r="S742">
        <f t="shared" si="101"/>
        <v>0.54236168373469529</v>
      </c>
      <c r="T742">
        <f t="shared" si="102"/>
        <v>0</v>
      </c>
      <c r="U742">
        <f t="shared" si="103"/>
        <v>0</v>
      </c>
      <c r="V742">
        <f t="shared" si="104"/>
        <v>1</v>
      </c>
      <c r="W742">
        <f t="shared" si="105"/>
        <v>1</v>
      </c>
      <c r="X742">
        <f t="shared" si="106"/>
        <v>0</v>
      </c>
      <c r="Y742">
        <f t="shared" si="107"/>
        <v>0</v>
      </c>
    </row>
    <row r="743" spans="1:25" x14ac:dyDescent="0.3">
      <c r="A743" t="s">
        <v>5753</v>
      </c>
      <c r="B743" t="s">
        <v>5754</v>
      </c>
      <c r="C743" s="1">
        <v>45713</v>
      </c>
      <c r="D743" s="3">
        <v>0.19582175925925926</v>
      </c>
      <c r="E743">
        <f t="shared" si="99"/>
        <v>4</v>
      </c>
      <c r="F743">
        <v>27</v>
      </c>
      <c r="G743" t="s">
        <v>18</v>
      </c>
      <c r="H743" t="s">
        <v>55</v>
      </c>
      <c r="I743" t="s">
        <v>48</v>
      </c>
      <c r="J743" t="s">
        <v>49</v>
      </c>
      <c r="K743" t="s">
        <v>22</v>
      </c>
      <c r="L743">
        <v>213.66</v>
      </c>
      <c r="M743" t="s">
        <v>115</v>
      </c>
      <c r="N743">
        <f t="shared" si="100"/>
        <v>0</v>
      </c>
      <c r="O743" t="s">
        <v>34</v>
      </c>
      <c r="P743" t="s">
        <v>5755</v>
      </c>
      <c r="Q743">
        <v>0</v>
      </c>
      <c r="R743">
        <v>185</v>
      </c>
      <c r="S743">
        <f t="shared" si="101"/>
        <v>0.54056193000280328</v>
      </c>
      <c r="T743">
        <f t="shared" si="102"/>
        <v>0</v>
      </c>
      <c r="U743">
        <f t="shared" si="103"/>
        <v>1</v>
      </c>
      <c r="V743">
        <f t="shared" si="104"/>
        <v>1</v>
      </c>
      <c r="W743">
        <f t="shared" si="105"/>
        <v>3</v>
      </c>
      <c r="X743">
        <f t="shared" si="106"/>
        <v>0</v>
      </c>
      <c r="Y743">
        <f t="shared" si="107"/>
        <v>0</v>
      </c>
    </row>
    <row r="744" spans="1:25" x14ac:dyDescent="0.3">
      <c r="A744" t="s">
        <v>2828</v>
      </c>
      <c r="B744" t="s">
        <v>2829</v>
      </c>
      <c r="C744" s="1">
        <v>45749</v>
      </c>
      <c r="D744" s="3">
        <v>0.45436342592592593</v>
      </c>
      <c r="E744">
        <f t="shared" si="99"/>
        <v>10</v>
      </c>
      <c r="F744">
        <v>32</v>
      </c>
      <c r="G744" t="s">
        <v>18</v>
      </c>
      <c r="H744" t="s">
        <v>239</v>
      </c>
      <c r="I744" t="s">
        <v>85</v>
      </c>
      <c r="J744" t="s">
        <v>31</v>
      </c>
      <c r="K744" t="s">
        <v>50</v>
      </c>
      <c r="L744">
        <v>213.41</v>
      </c>
      <c r="M744" t="s">
        <v>23</v>
      </c>
      <c r="N744">
        <f t="shared" si="100"/>
        <v>0</v>
      </c>
      <c r="O744" t="s">
        <v>34</v>
      </c>
      <c r="P744" t="s">
        <v>2830</v>
      </c>
      <c r="Q744">
        <v>0</v>
      </c>
      <c r="R744">
        <v>270</v>
      </c>
      <c r="S744">
        <f t="shared" si="101"/>
        <v>0.53710086513378019</v>
      </c>
      <c r="T744">
        <f t="shared" si="102"/>
        <v>0</v>
      </c>
      <c r="U744">
        <f t="shared" si="103"/>
        <v>0</v>
      </c>
      <c r="V744">
        <f t="shared" si="104"/>
        <v>1</v>
      </c>
      <c r="W744">
        <f t="shared" si="105"/>
        <v>1</v>
      </c>
      <c r="X744">
        <f t="shared" si="106"/>
        <v>0</v>
      </c>
      <c r="Y744">
        <f t="shared" si="107"/>
        <v>0</v>
      </c>
    </row>
    <row r="745" spans="1:25" x14ac:dyDescent="0.3">
      <c r="A745" t="s">
        <v>497</v>
      </c>
      <c r="B745" t="s">
        <v>498</v>
      </c>
      <c r="C745" s="1">
        <v>45854</v>
      </c>
      <c r="D745" s="3">
        <v>0.89621527777777776</v>
      </c>
      <c r="E745">
        <f t="shared" si="99"/>
        <v>21</v>
      </c>
      <c r="F745">
        <v>31</v>
      </c>
      <c r="G745" t="s">
        <v>60</v>
      </c>
      <c r="H745" t="s">
        <v>90</v>
      </c>
      <c r="I745" t="s">
        <v>105</v>
      </c>
      <c r="J745" t="s">
        <v>21</v>
      </c>
      <c r="K745" t="s">
        <v>101</v>
      </c>
      <c r="L745">
        <v>213.2</v>
      </c>
      <c r="M745" t="s">
        <v>115</v>
      </c>
      <c r="N745">
        <f t="shared" si="100"/>
        <v>0</v>
      </c>
      <c r="O745" t="s">
        <v>34</v>
      </c>
      <c r="P745" t="s">
        <v>499</v>
      </c>
      <c r="Q745">
        <v>0</v>
      </c>
      <c r="R745">
        <v>177</v>
      </c>
      <c r="S745">
        <f t="shared" si="101"/>
        <v>0.53419357064380069</v>
      </c>
      <c r="T745">
        <f t="shared" si="102"/>
        <v>0</v>
      </c>
      <c r="U745">
        <f t="shared" si="103"/>
        <v>0</v>
      </c>
      <c r="V745">
        <f t="shared" si="104"/>
        <v>1</v>
      </c>
      <c r="W745">
        <f t="shared" si="105"/>
        <v>1</v>
      </c>
      <c r="X745">
        <f t="shared" si="106"/>
        <v>0</v>
      </c>
      <c r="Y745">
        <f t="shared" si="107"/>
        <v>0</v>
      </c>
    </row>
    <row r="746" spans="1:25" x14ac:dyDescent="0.3">
      <c r="A746" t="s">
        <v>3914</v>
      </c>
      <c r="B746" t="s">
        <v>3915</v>
      </c>
      <c r="C746" s="1">
        <v>45870</v>
      </c>
      <c r="D746" s="3">
        <v>0.86751157407407409</v>
      </c>
      <c r="E746">
        <f t="shared" si="99"/>
        <v>20</v>
      </c>
      <c r="F746" s="4">
        <v>41</v>
      </c>
      <c r="G746" t="s">
        <v>18</v>
      </c>
      <c r="H746" t="s">
        <v>47</v>
      </c>
      <c r="I746" t="s">
        <v>66</v>
      </c>
      <c r="J746" t="s">
        <v>76</v>
      </c>
      <c r="K746" t="s">
        <v>168</v>
      </c>
      <c r="L746">
        <v>213.01</v>
      </c>
      <c r="M746" t="s">
        <v>42</v>
      </c>
      <c r="N746">
        <f t="shared" si="100"/>
        <v>0</v>
      </c>
      <c r="O746" t="s">
        <v>34</v>
      </c>
      <c r="P746" t="s">
        <v>3916</v>
      </c>
      <c r="Q746">
        <v>0</v>
      </c>
      <c r="R746">
        <v>468</v>
      </c>
      <c r="S746">
        <f t="shared" si="101"/>
        <v>0.53156316134334314</v>
      </c>
      <c r="T746">
        <f t="shared" si="102"/>
        <v>0</v>
      </c>
      <c r="U746">
        <f t="shared" si="103"/>
        <v>0</v>
      </c>
      <c r="V746">
        <f t="shared" si="104"/>
        <v>0</v>
      </c>
      <c r="W746">
        <f t="shared" si="105"/>
        <v>0</v>
      </c>
      <c r="X746">
        <f t="shared" si="106"/>
        <v>0</v>
      </c>
      <c r="Y746">
        <f t="shared" si="107"/>
        <v>0</v>
      </c>
    </row>
    <row r="747" spans="1:25" x14ac:dyDescent="0.3">
      <c r="A747" t="s">
        <v>6056</v>
      </c>
      <c r="B747" t="s">
        <v>6057</v>
      </c>
      <c r="C747" s="1">
        <v>45839</v>
      </c>
      <c r="D747" s="3">
        <v>0.98429398148148151</v>
      </c>
      <c r="E747">
        <f t="shared" si="99"/>
        <v>23</v>
      </c>
      <c r="F747">
        <v>53</v>
      </c>
      <c r="G747" t="s">
        <v>99</v>
      </c>
      <c r="H747" t="s">
        <v>19</v>
      </c>
      <c r="I747" t="s">
        <v>85</v>
      </c>
      <c r="J747" t="s">
        <v>40</v>
      </c>
      <c r="K747" t="s">
        <v>41</v>
      </c>
      <c r="L747">
        <v>212.95</v>
      </c>
      <c r="M747" t="s">
        <v>23</v>
      </c>
      <c r="N747">
        <f t="shared" si="100"/>
        <v>0</v>
      </c>
      <c r="O747" t="s">
        <v>51</v>
      </c>
      <c r="P747" t="s">
        <v>6058</v>
      </c>
      <c r="Q747">
        <v>0</v>
      </c>
      <c r="R747">
        <v>412</v>
      </c>
      <c r="S747">
        <f t="shared" si="101"/>
        <v>0.5307325057747776</v>
      </c>
      <c r="T747">
        <f t="shared" si="102"/>
        <v>0</v>
      </c>
      <c r="U747">
        <f t="shared" si="103"/>
        <v>0</v>
      </c>
      <c r="V747">
        <f t="shared" si="104"/>
        <v>0</v>
      </c>
      <c r="W747">
        <f t="shared" si="105"/>
        <v>0</v>
      </c>
      <c r="X747">
        <f t="shared" si="106"/>
        <v>0</v>
      </c>
      <c r="Y747">
        <f t="shared" si="107"/>
        <v>0</v>
      </c>
    </row>
    <row r="748" spans="1:25" x14ac:dyDescent="0.3">
      <c r="A748" t="s">
        <v>764</v>
      </c>
      <c r="B748" t="s">
        <v>765</v>
      </c>
      <c r="C748" s="1">
        <v>45703</v>
      </c>
      <c r="D748" s="3">
        <v>0.12769675925925925</v>
      </c>
      <c r="E748">
        <f t="shared" si="99"/>
        <v>3</v>
      </c>
      <c r="F748">
        <v>51</v>
      </c>
      <c r="G748" t="s">
        <v>60</v>
      </c>
      <c r="H748" t="s">
        <v>131</v>
      </c>
      <c r="I748" t="s">
        <v>85</v>
      </c>
      <c r="J748" t="s">
        <v>49</v>
      </c>
      <c r="K748" t="s">
        <v>22</v>
      </c>
      <c r="L748">
        <v>212.87</v>
      </c>
      <c r="M748" t="s">
        <v>33</v>
      </c>
      <c r="N748">
        <f t="shared" si="100"/>
        <v>0</v>
      </c>
      <c r="O748" t="s">
        <v>86</v>
      </c>
      <c r="P748" t="s">
        <v>766</v>
      </c>
      <c r="Q748">
        <v>0</v>
      </c>
      <c r="R748">
        <v>400</v>
      </c>
      <c r="S748">
        <f t="shared" si="101"/>
        <v>0.52962496501669032</v>
      </c>
      <c r="T748">
        <f t="shared" si="102"/>
        <v>0</v>
      </c>
      <c r="U748">
        <f t="shared" si="103"/>
        <v>1</v>
      </c>
      <c r="V748">
        <f t="shared" si="104"/>
        <v>0</v>
      </c>
      <c r="W748">
        <f t="shared" si="105"/>
        <v>2</v>
      </c>
      <c r="X748">
        <f t="shared" si="106"/>
        <v>0</v>
      </c>
      <c r="Y748">
        <f t="shared" si="107"/>
        <v>0</v>
      </c>
    </row>
    <row r="749" spans="1:25" x14ac:dyDescent="0.3">
      <c r="A749" t="s">
        <v>1961</v>
      </c>
      <c r="B749" t="s">
        <v>1962</v>
      </c>
      <c r="C749" s="1">
        <v>45842</v>
      </c>
      <c r="D749" s="3">
        <v>0.12298611111111112</v>
      </c>
      <c r="E749">
        <f t="shared" si="99"/>
        <v>2</v>
      </c>
      <c r="F749">
        <v>19</v>
      </c>
      <c r="G749" t="s">
        <v>99</v>
      </c>
      <c r="H749" t="s">
        <v>167</v>
      </c>
      <c r="I749" t="s">
        <v>119</v>
      </c>
      <c r="J749" t="s">
        <v>56</v>
      </c>
      <c r="K749" t="s">
        <v>120</v>
      </c>
      <c r="L749">
        <v>212.8</v>
      </c>
      <c r="M749" t="s">
        <v>115</v>
      </c>
      <c r="N749">
        <f t="shared" si="100"/>
        <v>0</v>
      </c>
      <c r="O749" t="s">
        <v>34</v>
      </c>
      <c r="P749" t="s">
        <v>1963</v>
      </c>
      <c r="Q749">
        <v>0</v>
      </c>
      <c r="R749">
        <v>266</v>
      </c>
      <c r="S749">
        <f t="shared" si="101"/>
        <v>0.52865586685336396</v>
      </c>
      <c r="T749">
        <f t="shared" si="102"/>
        <v>0</v>
      </c>
      <c r="U749">
        <f t="shared" si="103"/>
        <v>1</v>
      </c>
      <c r="V749">
        <f t="shared" si="104"/>
        <v>1</v>
      </c>
      <c r="W749">
        <f t="shared" si="105"/>
        <v>3</v>
      </c>
      <c r="X749">
        <f t="shared" si="106"/>
        <v>0</v>
      </c>
      <c r="Y749">
        <f t="shared" si="107"/>
        <v>0</v>
      </c>
    </row>
    <row r="750" spans="1:25" x14ac:dyDescent="0.3">
      <c r="A750" t="s">
        <v>5519</v>
      </c>
      <c r="B750" t="s">
        <v>5520</v>
      </c>
      <c r="C750" s="1">
        <v>45875</v>
      </c>
      <c r="D750" s="3">
        <v>0.78267361111111111</v>
      </c>
      <c r="E750">
        <f t="shared" si="99"/>
        <v>18</v>
      </c>
      <c r="F750">
        <v>32</v>
      </c>
      <c r="G750" t="s">
        <v>60</v>
      </c>
      <c r="H750" t="s">
        <v>175</v>
      </c>
      <c r="I750" t="s">
        <v>119</v>
      </c>
      <c r="J750" t="s">
        <v>132</v>
      </c>
      <c r="K750" t="s">
        <v>22</v>
      </c>
      <c r="L750">
        <v>212.65</v>
      </c>
      <c r="M750" t="s">
        <v>42</v>
      </c>
      <c r="N750">
        <f t="shared" si="100"/>
        <v>0</v>
      </c>
      <c r="O750" t="s">
        <v>34</v>
      </c>
      <c r="P750" t="s">
        <v>5521</v>
      </c>
      <c r="Q750">
        <v>0</v>
      </c>
      <c r="R750">
        <v>444</v>
      </c>
      <c r="S750">
        <f t="shared" si="101"/>
        <v>0.52657922793195</v>
      </c>
      <c r="T750">
        <f t="shared" si="102"/>
        <v>0</v>
      </c>
      <c r="U750">
        <f t="shared" si="103"/>
        <v>0</v>
      </c>
      <c r="V750">
        <f t="shared" si="104"/>
        <v>0</v>
      </c>
      <c r="W750">
        <f t="shared" si="105"/>
        <v>0</v>
      </c>
      <c r="X750">
        <f t="shared" si="106"/>
        <v>0</v>
      </c>
      <c r="Y750">
        <f t="shared" si="107"/>
        <v>0</v>
      </c>
    </row>
    <row r="751" spans="1:25" x14ac:dyDescent="0.3">
      <c r="A751" t="s">
        <v>5804</v>
      </c>
      <c r="B751" t="s">
        <v>5805</v>
      </c>
      <c r="C751" s="1">
        <v>45848</v>
      </c>
      <c r="D751" s="3">
        <v>0.46231481481481479</v>
      </c>
      <c r="E751">
        <f t="shared" si="99"/>
        <v>11</v>
      </c>
      <c r="F751">
        <v>56</v>
      </c>
      <c r="G751" t="s">
        <v>60</v>
      </c>
      <c r="H751" t="s">
        <v>80</v>
      </c>
      <c r="I751" t="s">
        <v>30</v>
      </c>
      <c r="J751" t="s">
        <v>21</v>
      </c>
      <c r="K751" t="s">
        <v>95</v>
      </c>
      <c r="L751">
        <v>212.58</v>
      </c>
      <c r="M751" t="s">
        <v>23</v>
      </c>
      <c r="N751">
        <f t="shared" si="100"/>
        <v>0</v>
      </c>
      <c r="O751" t="s">
        <v>51</v>
      </c>
      <c r="P751" t="s">
        <v>5806</v>
      </c>
      <c r="Q751">
        <v>0</v>
      </c>
      <c r="R751">
        <v>500</v>
      </c>
      <c r="S751">
        <f t="shared" si="101"/>
        <v>0.52561012976862365</v>
      </c>
      <c r="T751">
        <f t="shared" si="102"/>
        <v>0</v>
      </c>
      <c r="U751">
        <f t="shared" si="103"/>
        <v>0</v>
      </c>
      <c r="V751">
        <f t="shared" si="104"/>
        <v>0</v>
      </c>
      <c r="W751">
        <f t="shared" si="105"/>
        <v>0</v>
      </c>
      <c r="X751">
        <f t="shared" si="106"/>
        <v>0</v>
      </c>
      <c r="Y751">
        <f t="shared" si="107"/>
        <v>0</v>
      </c>
    </row>
    <row r="752" spans="1:25" x14ac:dyDescent="0.3">
      <c r="A752" t="s">
        <v>428</v>
      </c>
      <c r="B752" t="s">
        <v>429</v>
      </c>
      <c r="C752" s="1">
        <v>45769</v>
      </c>
      <c r="D752" s="3">
        <v>0.73038194444444449</v>
      </c>
      <c r="E752">
        <f t="shared" si="99"/>
        <v>17</v>
      </c>
      <c r="F752">
        <v>25</v>
      </c>
      <c r="G752" t="s">
        <v>46</v>
      </c>
      <c r="H752" t="s">
        <v>70</v>
      </c>
      <c r="I752" t="s">
        <v>20</v>
      </c>
      <c r="J752" t="s">
        <v>132</v>
      </c>
      <c r="K752" t="s">
        <v>168</v>
      </c>
      <c r="L752">
        <v>212.38</v>
      </c>
      <c r="M752" t="s">
        <v>33</v>
      </c>
      <c r="N752">
        <f t="shared" si="100"/>
        <v>0</v>
      </c>
      <c r="O752" t="s">
        <v>34</v>
      </c>
      <c r="P752" t="s">
        <v>430</v>
      </c>
      <c r="Q752">
        <v>0</v>
      </c>
      <c r="R752">
        <v>99</v>
      </c>
      <c r="S752">
        <f t="shared" si="101"/>
        <v>0.52284127787340495</v>
      </c>
      <c r="T752">
        <f t="shared" si="102"/>
        <v>0</v>
      </c>
      <c r="U752">
        <f t="shared" si="103"/>
        <v>0</v>
      </c>
      <c r="V752">
        <f t="shared" si="104"/>
        <v>1</v>
      </c>
      <c r="W752">
        <f t="shared" si="105"/>
        <v>1</v>
      </c>
      <c r="X752">
        <f t="shared" si="106"/>
        <v>0</v>
      </c>
      <c r="Y752">
        <f t="shared" si="107"/>
        <v>0</v>
      </c>
    </row>
    <row r="753" spans="1:25" x14ac:dyDescent="0.3">
      <c r="A753" t="s">
        <v>5573</v>
      </c>
      <c r="B753" t="s">
        <v>5574</v>
      </c>
      <c r="C753" s="1">
        <v>45722</v>
      </c>
      <c r="D753" s="3">
        <v>0.82836805555555559</v>
      </c>
      <c r="E753">
        <f t="shared" si="99"/>
        <v>19</v>
      </c>
      <c r="F753">
        <v>44</v>
      </c>
      <c r="G753" t="s">
        <v>28</v>
      </c>
      <c r="H753" t="s">
        <v>90</v>
      </c>
      <c r="I753" t="s">
        <v>30</v>
      </c>
      <c r="J753" t="s">
        <v>21</v>
      </c>
      <c r="K753" t="s">
        <v>120</v>
      </c>
      <c r="L753">
        <v>212.09</v>
      </c>
      <c r="M753" t="s">
        <v>23</v>
      </c>
      <c r="N753">
        <f t="shared" si="100"/>
        <v>0</v>
      </c>
      <c r="O753" t="s">
        <v>51</v>
      </c>
      <c r="P753" t="s">
        <v>5575</v>
      </c>
      <c r="Q753">
        <v>0</v>
      </c>
      <c r="R753">
        <v>211</v>
      </c>
      <c r="S753">
        <f t="shared" si="101"/>
        <v>0.51882644262533828</v>
      </c>
      <c r="T753">
        <f t="shared" si="102"/>
        <v>0</v>
      </c>
      <c r="U753">
        <f t="shared" si="103"/>
        <v>0</v>
      </c>
      <c r="V753">
        <f t="shared" si="104"/>
        <v>1</v>
      </c>
      <c r="W753">
        <f t="shared" si="105"/>
        <v>1</v>
      </c>
      <c r="X753">
        <f t="shared" si="106"/>
        <v>0</v>
      </c>
      <c r="Y753">
        <f t="shared" si="107"/>
        <v>0</v>
      </c>
    </row>
    <row r="754" spans="1:25" x14ac:dyDescent="0.3">
      <c r="A754" t="s">
        <v>3131</v>
      </c>
      <c r="B754" t="s">
        <v>3132</v>
      </c>
      <c r="C754" s="1">
        <v>45712</v>
      </c>
      <c r="D754" s="3">
        <v>0.57703703703703701</v>
      </c>
      <c r="E754">
        <f t="shared" si="99"/>
        <v>13</v>
      </c>
      <c r="F754">
        <v>22</v>
      </c>
      <c r="G754" t="s">
        <v>18</v>
      </c>
      <c r="H754" t="s">
        <v>19</v>
      </c>
      <c r="I754" t="s">
        <v>48</v>
      </c>
      <c r="J754" t="s">
        <v>94</v>
      </c>
      <c r="K754" t="s">
        <v>41</v>
      </c>
      <c r="L754">
        <v>212.03</v>
      </c>
      <c r="M754" t="s">
        <v>42</v>
      </c>
      <c r="N754">
        <f t="shared" si="100"/>
        <v>0</v>
      </c>
      <c r="O754" t="s">
        <v>86</v>
      </c>
      <c r="P754" t="s">
        <v>3133</v>
      </c>
      <c r="Q754">
        <v>0</v>
      </c>
      <c r="R754">
        <v>87</v>
      </c>
      <c r="S754">
        <f t="shared" si="101"/>
        <v>0.51799578705677263</v>
      </c>
      <c r="T754">
        <f t="shared" si="102"/>
        <v>0</v>
      </c>
      <c r="U754">
        <f t="shared" si="103"/>
        <v>0</v>
      </c>
      <c r="V754">
        <f t="shared" si="104"/>
        <v>1</v>
      </c>
      <c r="W754">
        <f t="shared" si="105"/>
        <v>1</v>
      </c>
      <c r="X754">
        <f t="shared" si="106"/>
        <v>0</v>
      </c>
      <c r="Y754">
        <f t="shared" si="107"/>
        <v>0</v>
      </c>
    </row>
    <row r="755" spans="1:25" x14ac:dyDescent="0.3">
      <c r="A755" t="s">
        <v>1487</v>
      </c>
      <c r="B755" t="s">
        <v>1488</v>
      </c>
      <c r="C755" s="1">
        <v>45711</v>
      </c>
      <c r="D755" s="3">
        <v>0.79347222222222225</v>
      </c>
      <c r="E755">
        <f t="shared" si="99"/>
        <v>19</v>
      </c>
      <c r="F755">
        <v>46</v>
      </c>
      <c r="G755" t="s">
        <v>60</v>
      </c>
      <c r="H755" t="s">
        <v>38</v>
      </c>
      <c r="I755" t="s">
        <v>110</v>
      </c>
      <c r="J755" t="s">
        <v>31</v>
      </c>
      <c r="K755" t="s">
        <v>32</v>
      </c>
      <c r="L755">
        <v>211.9</v>
      </c>
      <c r="M755" t="s">
        <v>23</v>
      </c>
      <c r="N755">
        <f t="shared" si="100"/>
        <v>0</v>
      </c>
      <c r="O755" t="s">
        <v>51</v>
      </c>
      <c r="P755" t="s">
        <v>1489</v>
      </c>
      <c r="Q755">
        <v>0</v>
      </c>
      <c r="R755">
        <v>267</v>
      </c>
      <c r="S755">
        <f t="shared" si="101"/>
        <v>0.51619603332488073</v>
      </c>
      <c r="T755">
        <f t="shared" si="102"/>
        <v>0</v>
      </c>
      <c r="U755">
        <f t="shared" si="103"/>
        <v>0</v>
      </c>
      <c r="V755">
        <f t="shared" si="104"/>
        <v>1</v>
      </c>
      <c r="W755">
        <f t="shared" si="105"/>
        <v>1</v>
      </c>
      <c r="X755">
        <f t="shared" si="106"/>
        <v>0</v>
      </c>
      <c r="Y755">
        <f t="shared" si="107"/>
        <v>0</v>
      </c>
    </row>
    <row r="756" spans="1:25" x14ac:dyDescent="0.3">
      <c r="A756" t="s">
        <v>5606</v>
      </c>
      <c r="B756" t="s">
        <v>5607</v>
      </c>
      <c r="C756" s="1">
        <v>45854</v>
      </c>
      <c r="D756" s="3">
        <v>0.39479166666666665</v>
      </c>
      <c r="E756">
        <f t="shared" si="99"/>
        <v>9</v>
      </c>
      <c r="F756">
        <v>42</v>
      </c>
      <c r="G756" t="s">
        <v>18</v>
      </c>
      <c r="H756" t="s">
        <v>175</v>
      </c>
      <c r="I756" t="s">
        <v>105</v>
      </c>
      <c r="J756" t="s">
        <v>56</v>
      </c>
      <c r="K756" t="s">
        <v>114</v>
      </c>
      <c r="L756">
        <v>211.61</v>
      </c>
      <c r="M756" t="s">
        <v>115</v>
      </c>
      <c r="N756">
        <f t="shared" si="100"/>
        <v>0</v>
      </c>
      <c r="O756" t="s">
        <v>24</v>
      </c>
      <c r="P756" t="s">
        <v>5608</v>
      </c>
      <c r="Q756">
        <v>0</v>
      </c>
      <c r="R756">
        <v>211</v>
      </c>
      <c r="S756">
        <f t="shared" si="101"/>
        <v>0.51218119807681395</v>
      </c>
      <c r="T756">
        <f t="shared" si="102"/>
        <v>0</v>
      </c>
      <c r="U756">
        <f t="shared" si="103"/>
        <v>0</v>
      </c>
      <c r="V756">
        <f t="shared" si="104"/>
        <v>1</v>
      </c>
      <c r="W756">
        <f t="shared" si="105"/>
        <v>1</v>
      </c>
      <c r="X756">
        <f t="shared" si="106"/>
        <v>0</v>
      </c>
      <c r="Y756">
        <f t="shared" si="107"/>
        <v>0</v>
      </c>
    </row>
    <row r="757" spans="1:25" x14ac:dyDescent="0.3">
      <c r="A757" t="s">
        <v>2135</v>
      </c>
      <c r="B757" t="s">
        <v>2136</v>
      </c>
      <c r="C757" s="1">
        <v>45771</v>
      </c>
      <c r="D757" s="3">
        <v>0.46077546296296296</v>
      </c>
      <c r="E757">
        <f t="shared" si="99"/>
        <v>11</v>
      </c>
      <c r="F757" s="4">
        <v>41</v>
      </c>
      <c r="G757" t="s">
        <v>46</v>
      </c>
      <c r="H757" t="s">
        <v>70</v>
      </c>
      <c r="I757" t="s">
        <v>30</v>
      </c>
      <c r="J757" t="s">
        <v>94</v>
      </c>
      <c r="K757" t="s">
        <v>22</v>
      </c>
      <c r="L757">
        <v>211.56</v>
      </c>
      <c r="M757" t="s">
        <v>115</v>
      </c>
      <c r="N757">
        <f t="shared" si="100"/>
        <v>0</v>
      </c>
      <c r="O757" t="s">
        <v>34</v>
      </c>
      <c r="P757" t="s">
        <v>2137</v>
      </c>
      <c r="Q757">
        <v>0</v>
      </c>
      <c r="R757">
        <v>321</v>
      </c>
      <c r="S757">
        <f t="shared" si="101"/>
        <v>0.51148898510300922</v>
      </c>
      <c r="T757">
        <f t="shared" si="102"/>
        <v>0</v>
      </c>
      <c r="U757">
        <f t="shared" si="103"/>
        <v>0</v>
      </c>
      <c r="V757">
        <f t="shared" si="104"/>
        <v>0</v>
      </c>
      <c r="W757">
        <f t="shared" si="105"/>
        <v>0</v>
      </c>
      <c r="X757">
        <f t="shared" si="106"/>
        <v>0</v>
      </c>
      <c r="Y757">
        <f t="shared" si="107"/>
        <v>0</v>
      </c>
    </row>
    <row r="758" spans="1:25" x14ac:dyDescent="0.3">
      <c r="A758" t="s">
        <v>1064</v>
      </c>
      <c r="B758" t="s">
        <v>1065</v>
      </c>
      <c r="C758" s="1">
        <v>45749</v>
      </c>
      <c r="D758" s="3">
        <v>0.77622685185185181</v>
      </c>
      <c r="E758">
        <f t="shared" si="99"/>
        <v>18</v>
      </c>
      <c r="F758">
        <v>44</v>
      </c>
      <c r="G758" t="s">
        <v>60</v>
      </c>
      <c r="H758" t="s">
        <v>175</v>
      </c>
      <c r="I758" t="s">
        <v>48</v>
      </c>
      <c r="J758" t="s">
        <v>76</v>
      </c>
      <c r="K758" t="s">
        <v>22</v>
      </c>
      <c r="L758">
        <v>211.45</v>
      </c>
      <c r="M758" t="s">
        <v>115</v>
      </c>
      <c r="N758">
        <f t="shared" si="100"/>
        <v>0</v>
      </c>
      <c r="O758" t="s">
        <v>51</v>
      </c>
      <c r="P758" t="s">
        <v>1066</v>
      </c>
      <c r="Q758">
        <v>0</v>
      </c>
      <c r="R758">
        <v>230</v>
      </c>
      <c r="S758">
        <f t="shared" si="101"/>
        <v>0.50996611656063884</v>
      </c>
      <c r="T758">
        <f t="shared" si="102"/>
        <v>0</v>
      </c>
      <c r="U758">
        <f t="shared" si="103"/>
        <v>0</v>
      </c>
      <c r="V758">
        <f t="shared" si="104"/>
        <v>1</v>
      </c>
      <c r="W758">
        <f t="shared" si="105"/>
        <v>1</v>
      </c>
      <c r="X758">
        <f t="shared" si="106"/>
        <v>0</v>
      </c>
      <c r="Y758">
        <f t="shared" si="107"/>
        <v>0</v>
      </c>
    </row>
    <row r="759" spans="1:25" x14ac:dyDescent="0.3">
      <c r="A759" t="s">
        <v>1370</v>
      </c>
      <c r="B759" t="s">
        <v>1371</v>
      </c>
      <c r="C759" s="1">
        <v>45740</v>
      </c>
      <c r="D759" s="3">
        <v>0.65976851851851848</v>
      </c>
      <c r="E759">
        <f t="shared" si="99"/>
        <v>15</v>
      </c>
      <c r="F759">
        <v>47</v>
      </c>
      <c r="G759" t="s">
        <v>6479</v>
      </c>
      <c r="H759" t="s">
        <v>239</v>
      </c>
      <c r="I759" t="s">
        <v>66</v>
      </c>
      <c r="J759" t="s">
        <v>132</v>
      </c>
      <c r="K759" t="s">
        <v>114</v>
      </c>
      <c r="L759">
        <v>211.44</v>
      </c>
      <c r="M759" t="s">
        <v>33</v>
      </c>
      <c r="N759">
        <f t="shared" si="100"/>
        <v>0</v>
      </c>
      <c r="O759" t="s">
        <v>24</v>
      </c>
      <c r="P759" t="s">
        <v>1372</v>
      </c>
      <c r="Q759">
        <v>0</v>
      </c>
      <c r="R759">
        <v>418</v>
      </c>
      <c r="S759">
        <f t="shared" si="101"/>
        <v>0.50982767396587803</v>
      </c>
      <c r="T759">
        <f t="shared" si="102"/>
        <v>0</v>
      </c>
      <c r="U759">
        <f t="shared" si="103"/>
        <v>0</v>
      </c>
      <c r="V759">
        <f t="shared" si="104"/>
        <v>0</v>
      </c>
      <c r="W759">
        <f t="shared" si="105"/>
        <v>0</v>
      </c>
      <c r="X759">
        <f t="shared" si="106"/>
        <v>0</v>
      </c>
      <c r="Y759">
        <f t="shared" si="107"/>
        <v>0</v>
      </c>
    </row>
    <row r="760" spans="1:25" x14ac:dyDescent="0.3">
      <c r="A760" t="s">
        <v>5615</v>
      </c>
      <c r="B760" t="s">
        <v>5616</v>
      </c>
      <c r="C760" s="1">
        <v>45845</v>
      </c>
      <c r="D760" s="3">
        <v>0.27399305555555553</v>
      </c>
      <c r="E760">
        <f t="shared" si="99"/>
        <v>6</v>
      </c>
      <c r="F760">
        <v>24</v>
      </c>
      <c r="G760" t="s">
        <v>18</v>
      </c>
      <c r="H760" t="s">
        <v>167</v>
      </c>
      <c r="I760" t="s">
        <v>48</v>
      </c>
      <c r="J760" t="s">
        <v>21</v>
      </c>
      <c r="K760" t="s">
        <v>32</v>
      </c>
      <c r="L760">
        <v>211.43</v>
      </c>
      <c r="M760" t="s">
        <v>33</v>
      </c>
      <c r="N760">
        <f t="shared" si="100"/>
        <v>0</v>
      </c>
      <c r="O760" t="s">
        <v>86</v>
      </c>
      <c r="P760" t="s">
        <v>5617</v>
      </c>
      <c r="Q760">
        <v>0</v>
      </c>
      <c r="R760">
        <v>190</v>
      </c>
      <c r="S760">
        <f t="shared" si="101"/>
        <v>0.50968923137111721</v>
      </c>
      <c r="T760">
        <f t="shared" si="102"/>
        <v>0</v>
      </c>
      <c r="U760">
        <f t="shared" si="103"/>
        <v>0</v>
      </c>
      <c r="V760">
        <f t="shared" si="104"/>
        <v>1</v>
      </c>
      <c r="W760">
        <f t="shared" si="105"/>
        <v>1</v>
      </c>
      <c r="X760">
        <f t="shared" si="106"/>
        <v>0</v>
      </c>
      <c r="Y760">
        <f t="shared" si="107"/>
        <v>0</v>
      </c>
    </row>
    <row r="761" spans="1:25" x14ac:dyDescent="0.3">
      <c r="A761" t="s">
        <v>3377</v>
      </c>
      <c r="B761" t="s">
        <v>3378</v>
      </c>
      <c r="C761" s="1">
        <v>45843</v>
      </c>
      <c r="D761" s="3">
        <v>0.39156249999999998</v>
      </c>
      <c r="E761">
        <f t="shared" si="99"/>
        <v>9</v>
      </c>
      <c r="F761">
        <v>50</v>
      </c>
      <c r="G761" t="s">
        <v>46</v>
      </c>
      <c r="H761" t="s">
        <v>175</v>
      </c>
      <c r="I761" t="s">
        <v>48</v>
      </c>
      <c r="J761" t="s">
        <v>94</v>
      </c>
      <c r="K761" t="s">
        <v>50</v>
      </c>
      <c r="L761">
        <v>211.33</v>
      </c>
      <c r="M761" t="s">
        <v>23</v>
      </c>
      <c r="N761">
        <f t="shared" si="100"/>
        <v>0</v>
      </c>
      <c r="O761" t="s">
        <v>86</v>
      </c>
      <c r="P761" t="s">
        <v>3379</v>
      </c>
      <c r="Q761">
        <v>0</v>
      </c>
      <c r="R761">
        <v>385</v>
      </c>
      <c r="S761">
        <f t="shared" si="101"/>
        <v>0.50830480542350809</v>
      </c>
      <c r="T761">
        <f t="shared" si="102"/>
        <v>0</v>
      </c>
      <c r="U761">
        <f t="shared" si="103"/>
        <v>0</v>
      </c>
      <c r="V761">
        <f t="shared" si="104"/>
        <v>0</v>
      </c>
      <c r="W761">
        <f t="shared" si="105"/>
        <v>0</v>
      </c>
      <c r="X761">
        <f t="shared" si="106"/>
        <v>0</v>
      </c>
      <c r="Y761">
        <f t="shared" si="107"/>
        <v>0</v>
      </c>
    </row>
    <row r="762" spans="1:25" x14ac:dyDescent="0.3">
      <c r="A762" t="s">
        <v>2678</v>
      </c>
      <c r="B762" t="s">
        <v>2679</v>
      </c>
      <c r="C762" s="1">
        <v>45786</v>
      </c>
      <c r="D762" s="3">
        <v>0.54864583333333339</v>
      </c>
      <c r="E762">
        <f t="shared" si="99"/>
        <v>13</v>
      </c>
      <c r="F762">
        <v>23</v>
      </c>
      <c r="G762" t="s">
        <v>46</v>
      </c>
      <c r="H762" t="s">
        <v>189</v>
      </c>
      <c r="I762" t="s">
        <v>66</v>
      </c>
      <c r="J762" t="s">
        <v>76</v>
      </c>
      <c r="K762" t="s">
        <v>101</v>
      </c>
      <c r="L762">
        <v>211.28</v>
      </c>
      <c r="M762" t="s">
        <v>42</v>
      </c>
      <c r="N762">
        <f t="shared" si="100"/>
        <v>0</v>
      </c>
      <c r="O762" t="s">
        <v>86</v>
      </c>
      <c r="P762" t="s">
        <v>2680</v>
      </c>
      <c r="Q762">
        <v>0</v>
      </c>
      <c r="R762">
        <v>394</v>
      </c>
      <c r="S762">
        <f t="shared" si="101"/>
        <v>0.50761259244970336</v>
      </c>
      <c r="T762">
        <f t="shared" si="102"/>
        <v>0</v>
      </c>
      <c r="U762">
        <f t="shared" si="103"/>
        <v>0</v>
      </c>
      <c r="V762">
        <f t="shared" si="104"/>
        <v>0</v>
      </c>
      <c r="W762">
        <f t="shared" si="105"/>
        <v>0</v>
      </c>
      <c r="X762">
        <f t="shared" si="106"/>
        <v>0</v>
      </c>
      <c r="Y762">
        <f t="shared" si="107"/>
        <v>0</v>
      </c>
    </row>
    <row r="763" spans="1:25" x14ac:dyDescent="0.3">
      <c r="A763" t="s">
        <v>3170</v>
      </c>
      <c r="B763" t="s">
        <v>3171</v>
      </c>
      <c r="C763" s="1">
        <v>45770</v>
      </c>
      <c r="D763" s="3">
        <v>0.10510416666666667</v>
      </c>
      <c r="E763">
        <f t="shared" si="99"/>
        <v>2</v>
      </c>
      <c r="F763">
        <v>26</v>
      </c>
      <c r="G763" t="s">
        <v>28</v>
      </c>
      <c r="H763" t="s">
        <v>84</v>
      </c>
      <c r="I763" t="s">
        <v>39</v>
      </c>
      <c r="J763" t="s">
        <v>56</v>
      </c>
      <c r="K763" t="s">
        <v>62</v>
      </c>
      <c r="L763">
        <v>211.26</v>
      </c>
      <c r="M763" t="s">
        <v>115</v>
      </c>
      <c r="N763">
        <f t="shared" si="100"/>
        <v>0</v>
      </c>
      <c r="O763" t="s">
        <v>86</v>
      </c>
      <c r="P763" t="s">
        <v>3172</v>
      </c>
      <c r="Q763">
        <v>0</v>
      </c>
      <c r="R763">
        <v>496</v>
      </c>
      <c r="S763">
        <f t="shared" si="101"/>
        <v>0.50733570726018129</v>
      </c>
      <c r="T763">
        <f t="shared" si="102"/>
        <v>0</v>
      </c>
      <c r="U763">
        <f t="shared" si="103"/>
        <v>1</v>
      </c>
      <c r="V763">
        <f t="shared" si="104"/>
        <v>0</v>
      </c>
      <c r="W763">
        <f t="shared" si="105"/>
        <v>2</v>
      </c>
      <c r="X763">
        <f t="shared" si="106"/>
        <v>0</v>
      </c>
      <c r="Y763">
        <f t="shared" si="107"/>
        <v>0</v>
      </c>
    </row>
    <row r="764" spans="1:25" x14ac:dyDescent="0.3">
      <c r="A764" t="s">
        <v>1427</v>
      </c>
      <c r="B764" t="s">
        <v>1428</v>
      </c>
      <c r="C764" s="1">
        <v>45792</v>
      </c>
      <c r="D764" s="3">
        <v>0.75876157407407407</v>
      </c>
      <c r="E764">
        <f t="shared" si="99"/>
        <v>18</v>
      </c>
      <c r="F764">
        <v>18</v>
      </c>
      <c r="G764" t="s">
        <v>18</v>
      </c>
      <c r="H764" t="s">
        <v>175</v>
      </c>
      <c r="I764" t="s">
        <v>105</v>
      </c>
      <c r="J764" t="s">
        <v>49</v>
      </c>
      <c r="K764" t="s">
        <v>41</v>
      </c>
      <c r="L764">
        <v>211.21</v>
      </c>
      <c r="M764" t="s">
        <v>23</v>
      </c>
      <c r="N764">
        <f t="shared" si="100"/>
        <v>0</v>
      </c>
      <c r="O764" t="s">
        <v>51</v>
      </c>
      <c r="P764" t="s">
        <v>1429</v>
      </c>
      <c r="Q764">
        <v>0</v>
      </c>
      <c r="R764">
        <v>334</v>
      </c>
      <c r="S764">
        <f t="shared" si="101"/>
        <v>0.50664349428637689</v>
      </c>
      <c r="T764">
        <f t="shared" si="102"/>
        <v>0</v>
      </c>
      <c r="U764">
        <f t="shared" si="103"/>
        <v>0</v>
      </c>
      <c r="V764">
        <f t="shared" si="104"/>
        <v>0</v>
      </c>
      <c r="W764">
        <f t="shared" si="105"/>
        <v>0</v>
      </c>
      <c r="X764">
        <f t="shared" si="106"/>
        <v>0</v>
      </c>
      <c r="Y764">
        <f t="shared" si="107"/>
        <v>0</v>
      </c>
    </row>
    <row r="765" spans="1:25" x14ac:dyDescent="0.3">
      <c r="A765" t="s">
        <v>1166</v>
      </c>
      <c r="B765" t="s">
        <v>1167</v>
      </c>
      <c r="C765" s="1">
        <v>45720</v>
      </c>
      <c r="D765" s="3">
        <v>0.67837962962962961</v>
      </c>
      <c r="E765">
        <f t="shared" si="99"/>
        <v>16</v>
      </c>
      <c r="F765">
        <v>20</v>
      </c>
      <c r="G765" t="s">
        <v>46</v>
      </c>
      <c r="H765" t="s">
        <v>175</v>
      </c>
      <c r="I765" t="s">
        <v>39</v>
      </c>
      <c r="J765" t="s">
        <v>72</v>
      </c>
      <c r="K765" t="s">
        <v>101</v>
      </c>
      <c r="L765">
        <v>211.2</v>
      </c>
      <c r="M765" t="s">
        <v>33</v>
      </c>
      <c r="N765">
        <f t="shared" si="100"/>
        <v>0</v>
      </c>
      <c r="O765" t="s">
        <v>51</v>
      </c>
      <c r="P765" t="s">
        <v>1168</v>
      </c>
      <c r="Q765">
        <v>0</v>
      </c>
      <c r="R765">
        <v>402</v>
      </c>
      <c r="S765">
        <f t="shared" si="101"/>
        <v>0.50650505169161575</v>
      </c>
      <c r="T765">
        <f t="shared" si="102"/>
        <v>0</v>
      </c>
      <c r="U765">
        <f t="shared" si="103"/>
        <v>0</v>
      </c>
      <c r="V765">
        <f t="shared" si="104"/>
        <v>0</v>
      </c>
      <c r="W765">
        <f t="shared" si="105"/>
        <v>0</v>
      </c>
      <c r="X765">
        <f t="shared" si="106"/>
        <v>0</v>
      </c>
      <c r="Y765">
        <f t="shared" si="107"/>
        <v>0</v>
      </c>
    </row>
    <row r="766" spans="1:25" x14ac:dyDescent="0.3">
      <c r="A766" t="s">
        <v>4433</v>
      </c>
      <c r="B766" t="s">
        <v>4434</v>
      </c>
      <c r="C766" s="1">
        <v>45705</v>
      </c>
      <c r="D766" s="3">
        <v>0.56693287037037032</v>
      </c>
      <c r="E766">
        <f t="shared" si="99"/>
        <v>13</v>
      </c>
      <c r="F766">
        <v>55</v>
      </c>
      <c r="G766" t="s">
        <v>46</v>
      </c>
      <c r="H766" t="s">
        <v>185</v>
      </c>
      <c r="I766" t="s">
        <v>48</v>
      </c>
      <c r="J766" t="s">
        <v>31</v>
      </c>
      <c r="K766" t="s">
        <v>120</v>
      </c>
      <c r="L766">
        <v>211.13</v>
      </c>
      <c r="M766" t="s">
        <v>33</v>
      </c>
      <c r="N766">
        <f t="shared" si="100"/>
        <v>0</v>
      </c>
      <c r="O766" t="s">
        <v>86</v>
      </c>
      <c r="P766" t="s">
        <v>4435</v>
      </c>
      <c r="Q766">
        <v>0</v>
      </c>
      <c r="R766">
        <v>485</v>
      </c>
      <c r="S766">
        <f t="shared" si="101"/>
        <v>0.50553595352828939</v>
      </c>
      <c r="T766">
        <f t="shared" si="102"/>
        <v>0</v>
      </c>
      <c r="U766">
        <f t="shared" si="103"/>
        <v>0</v>
      </c>
      <c r="V766">
        <f t="shared" si="104"/>
        <v>0</v>
      </c>
      <c r="W766">
        <f t="shared" si="105"/>
        <v>0</v>
      </c>
      <c r="X766">
        <f t="shared" si="106"/>
        <v>0</v>
      </c>
      <c r="Y766">
        <f t="shared" si="107"/>
        <v>0</v>
      </c>
    </row>
    <row r="767" spans="1:25" x14ac:dyDescent="0.3">
      <c r="A767" t="s">
        <v>2147</v>
      </c>
      <c r="B767" t="s">
        <v>2148</v>
      </c>
      <c r="C767" s="1">
        <v>45801</v>
      </c>
      <c r="D767" s="3">
        <v>0.90702546296296294</v>
      </c>
      <c r="E767">
        <f t="shared" si="99"/>
        <v>21</v>
      </c>
      <c r="F767">
        <v>32</v>
      </c>
      <c r="G767" t="s">
        <v>60</v>
      </c>
      <c r="H767" t="s">
        <v>142</v>
      </c>
      <c r="I767" t="s">
        <v>39</v>
      </c>
      <c r="J767" t="s">
        <v>21</v>
      </c>
      <c r="K767" t="s">
        <v>120</v>
      </c>
      <c r="L767">
        <v>210.89</v>
      </c>
      <c r="M767" t="s">
        <v>23</v>
      </c>
      <c r="N767">
        <f t="shared" si="100"/>
        <v>0</v>
      </c>
      <c r="O767" t="s">
        <v>51</v>
      </c>
      <c r="P767" t="s">
        <v>2149</v>
      </c>
      <c r="Q767">
        <v>0</v>
      </c>
      <c r="R767">
        <v>200</v>
      </c>
      <c r="S767">
        <f t="shared" si="101"/>
        <v>0.50221333125402701</v>
      </c>
      <c r="T767">
        <f t="shared" si="102"/>
        <v>0</v>
      </c>
      <c r="U767">
        <f t="shared" si="103"/>
        <v>0</v>
      </c>
      <c r="V767">
        <f t="shared" si="104"/>
        <v>1</v>
      </c>
      <c r="W767">
        <f t="shared" si="105"/>
        <v>1</v>
      </c>
      <c r="X767">
        <f t="shared" si="106"/>
        <v>0</v>
      </c>
      <c r="Y767">
        <f t="shared" si="107"/>
        <v>0</v>
      </c>
    </row>
    <row r="768" spans="1:25" x14ac:dyDescent="0.3">
      <c r="A768" t="s">
        <v>6155</v>
      </c>
      <c r="B768" t="s">
        <v>6156</v>
      </c>
      <c r="C768" s="1">
        <v>45797</v>
      </c>
      <c r="D768" s="3">
        <v>0.69120370370370365</v>
      </c>
      <c r="E768">
        <f t="shared" si="99"/>
        <v>16</v>
      </c>
      <c r="F768" s="4">
        <v>41</v>
      </c>
      <c r="G768" t="s">
        <v>99</v>
      </c>
      <c r="H768" t="s">
        <v>100</v>
      </c>
      <c r="I768" t="s">
        <v>20</v>
      </c>
      <c r="J768" t="s">
        <v>56</v>
      </c>
      <c r="K768" t="s">
        <v>168</v>
      </c>
      <c r="L768">
        <v>210.87</v>
      </c>
      <c r="M768" t="s">
        <v>115</v>
      </c>
      <c r="N768">
        <f t="shared" si="100"/>
        <v>0</v>
      </c>
      <c r="O768" t="s">
        <v>51</v>
      </c>
      <c r="P768" t="s">
        <v>6157</v>
      </c>
      <c r="Q768">
        <v>0</v>
      </c>
      <c r="R768">
        <v>265</v>
      </c>
      <c r="S768">
        <f t="shared" si="101"/>
        <v>0.50193644606450549</v>
      </c>
      <c r="T768">
        <f t="shared" si="102"/>
        <v>0</v>
      </c>
      <c r="U768">
        <f t="shared" si="103"/>
        <v>0</v>
      </c>
      <c r="V768">
        <f t="shared" si="104"/>
        <v>1</v>
      </c>
      <c r="W768">
        <f t="shared" si="105"/>
        <v>1</v>
      </c>
      <c r="X768">
        <f t="shared" si="106"/>
        <v>0</v>
      </c>
      <c r="Y768">
        <f t="shared" si="107"/>
        <v>0</v>
      </c>
    </row>
    <row r="769" spans="1:25" x14ac:dyDescent="0.3">
      <c r="A769" t="s">
        <v>1523</v>
      </c>
      <c r="B769" t="s">
        <v>1524</v>
      </c>
      <c r="C769" s="1">
        <v>45804</v>
      </c>
      <c r="D769" s="3">
        <v>0.39372685185185186</v>
      </c>
      <c r="E769">
        <f t="shared" si="99"/>
        <v>9</v>
      </c>
      <c r="F769">
        <v>65</v>
      </c>
      <c r="G769" t="s">
        <v>18</v>
      </c>
      <c r="H769" t="s">
        <v>70</v>
      </c>
      <c r="I769" t="s">
        <v>39</v>
      </c>
      <c r="J769" t="s">
        <v>56</v>
      </c>
      <c r="K769" t="s">
        <v>50</v>
      </c>
      <c r="L769">
        <v>210.75</v>
      </c>
      <c r="M769" t="s">
        <v>115</v>
      </c>
      <c r="N769">
        <f t="shared" si="100"/>
        <v>0</v>
      </c>
      <c r="O769" t="s">
        <v>34</v>
      </c>
      <c r="P769" t="s">
        <v>1525</v>
      </c>
      <c r="Q769">
        <v>0</v>
      </c>
      <c r="R769">
        <v>155</v>
      </c>
      <c r="S769">
        <f t="shared" si="101"/>
        <v>0.5002751349273743</v>
      </c>
      <c r="T769">
        <f t="shared" si="102"/>
        <v>0</v>
      </c>
      <c r="U769">
        <f t="shared" si="103"/>
        <v>0</v>
      </c>
      <c r="V769">
        <f t="shared" si="104"/>
        <v>1</v>
      </c>
      <c r="W769">
        <f t="shared" si="105"/>
        <v>1</v>
      </c>
      <c r="X769">
        <f t="shared" si="106"/>
        <v>0</v>
      </c>
      <c r="Y769">
        <f t="shared" si="107"/>
        <v>0</v>
      </c>
    </row>
    <row r="770" spans="1:25" x14ac:dyDescent="0.3">
      <c r="A770" t="s">
        <v>4889</v>
      </c>
      <c r="B770" t="s">
        <v>4890</v>
      </c>
      <c r="C770" s="1">
        <v>45738</v>
      </c>
      <c r="D770" s="3">
        <v>9.2476851851851852E-2</v>
      </c>
      <c r="E770">
        <f t="shared" ref="E770:E833" si="108">HOUR(D770)</f>
        <v>2</v>
      </c>
      <c r="F770">
        <v>58</v>
      </c>
      <c r="G770" t="s">
        <v>60</v>
      </c>
      <c r="H770" t="s">
        <v>189</v>
      </c>
      <c r="I770" t="s">
        <v>71</v>
      </c>
      <c r="J770" t="s">
        <v>40</v>
      </c>
      <c r="K770" t="s">
        <v>101</v>
      </c>
      <c r="L770">
        <v>210.64</v>
      </c>
      <c r="M770" t="s">
        <v>23</v>
      </c>
      <c r="N770">
        <f t="shared" ref="N770:N833" si="109">IF(M770="Unknown",1,0)</f>
        <v>0</v>
      </c>
      <c r="O770" t="s">
        <v>34</v>
      </c>
      <c r="P770" t="s">
        <v>4891</v>
      </c>
      <c r="Q770">
        <v>0</v>
      </c>
      <c r="R770">
        <v>409</v>
      </c>
      <c r="S770">
        <f t="shared" ref="S770:S833" si="110">(L770-$P$2137)/$P$2138</f>
        <v>0.49875226638500392</v>
      </c>
      <c r="T770">
        <f t="shared" ref="T770:T833" si="111">IF(ABS(Z770)&gt;3,1,0)</f>
        <v>0</v>
      </c>
      <c r="U770">
        <f t="shared" ref="U770:U833" si="112">IF(AND(E770&gt;=0,E770&lt;=5),1,0)</f>
        <v>1</v>
      </c>
      <c r="V770">
        <f t="shared" ref="V770:V833" si="113">IF(R770&lt;AVERAGE($R:$R),1,0)</f>
        <v>0</v>
      </c>
      <c r="W770">
        <f t="shared" ref="W770:W833" si="114">T770*3+U770*2+V770*1+N770*2</f>
        <v>2</v>
      </c>
      <c r="X770">
        <f t="shared" ref="X770:X833" si="115">IF(W770&gt;=5,1,0)</f>
        <v>0</v>
      </c>
      <c r="Y770">
        <f t="shared" ref="Y770:Y833" si="116">IF(M770="Unknown",1,0)</f>
        <v>0</v>
      </c>
    </row>
    <row r="771" spans="1:25" x14ac:dyDescent="0.3">
      <c r="A771" t="s">
        <v>2144</v>
      </c>
      <c r="B771" t="s">
        <v>2145</v>
      </c>
      <c r="C771" s="1">
        <v>45709</v>
      </c>
      <c r="D771" s="3">
        <v>0.16500000000000001</v>
      </c>
      <c r="E771">
        <f t="shared" si="108"/>
        <v>3</v>
      </c>
      <c r="F771">
        <v>31</v>
      </c>
      <c r="G771" t="s">
        <v>28</v>
      </c>
      <c r="H771" t="s">
        <v>175</v>
      </c>
      <c r="I771" t="s">
        <v>85</v>
      </c>
      <c r="J771" t="s">
        <v>56</v>
      </c>
      <c r="K771" t="s">
        <v>168</v>
      </c>
      <c r="L771">
        <v>210.4</v>
      </c>
      <c r="M771" t="s">
        <v>6479</v>
      </c>
      <c r="N771">
        <f t="shared" si="109"/>
        <v>1</v>
      </c>
      <c r="O771" t="s">
        <v>86</v>
      </c>
      <c r="P771" t="s">
        <v>2146</v>
      </c>
      <c r="Q771">
        <v>0</v>
      </c>
      <c r="R771">
        <v>263</v>
      </c>
      <c r="S771">
        <f t="shared" si="110"/>
        <v>0.49542964411074203</v>
      </c>
      <c r="T771">
        <f t="shared" si="111"/>
        <v>0</v>
      </c>
      <c r="U771">
        <f t="shared" si="112"/>
        <v>1</v>
      </c>
      <c r="V771">
        <f t="shared" si="113"/>
        <v>1</v>
      </c>
      <c r="W771">
        <f t="shared" si="114"/>
        <v>5</v>
      </c>
      <c r="X771">
        <f t="shared" si="115"/>
        <v>1</v>
      </c>
      <c r="Y771">
        <f t="shared" si="116"/>
        <v>1</v>
      </c>
    </row>
    <row r="772" spans="1:25" x14ac:dyDescent="0.3">
      <c r="A772" t="s">
        <v>5738</v>
      </c>
      <c r="B772" t="s">
        <v>5739</v>
      </c>
      <c r="C772" s="1">
        <v>45748</v>
      </c>
      <c r="D772" s="3">
        <v>0.73878472222222225</v>
      </c>
      <c r="E772">
        <f t="shared" si="108"/>
        <v>17</v>
      </c>
      <c r="F772">
        <v>33</v>
      </c>
      <c r="G772" t="s">
        <v>60</v>
      </c>
      <c r="H772" t="s">
        <v>90</v>
      </c>
      <c r="I772" t="s">
        <v>20</v>
      </c>
      <c r="J772" t="s">
        <v>56</v>
      </c>
      <c r="K772" t="s">
        <v>22</v>
      </c>
      <c r="L772">
        <v>210.37</v>
      </c>
      <c r="M772" t="s">
        <v>23</v>
      </c>
      <c r="N772">
        <f t="shared" si="109"/>
        <v>0</v>
      </c>
      <c r="O772" t="s">
        <v>51</v>
      </c>
      <c r="P772" t="s">
        <v>5740</v>
      </c>
      <c r="Q772">
        <v>0</v>
      </c>
      <c r="R772">
        <v>352</v>
      </c>
      <c r="S772">
        <f t="shared" si="110"/>
        <v>0.4950143163264592</v>
      </c>
      <c r="T772">
        <f t="shared" si="111"/>
        <v>0</v>
      </c>
      <c r="U772">
        <f t="shared" si="112"/>
        <v>0</v>
      </c>
      <c r="V772">
        <f t="shared" si="113"/>
        <v>0</v>
      </c>
      <c r="W772">
        <f t="shared" si="114"/>
        <v>0</v>
      </c>
      <c r="X772">
        <f t="shared" si="115"/>
        <v>0</v>
      </c>
      <c r="Y772">
        <f t="shared" si="116"/>
        <v>0</v>
      </c>
    </row>
    <row r="773" spans="1:25" x14ac:dyDescent="0.3">
      <c r="A773" t="s">
        <v>4919</v>
      </c>
      <c r="B773" t="s">
        <v>4920</v>
      </c>
      <c r="C773" s="1">
        <v>45742</v>
      </c>
      <c r="D773" s="3">
        <v>0.61120370370370369</v>
      </c>
      <c r="E773">
        <f t="shared" si="108"/>
        <v>14</v>
      </c>
      <c r="F773" s="4">
        <v>41</v>
      </c>
      <c r="G773" t="s">
        <v>18</v>
      </c>
      <c r="H773" t="s">
        <v>70</v>
      </c>
      <c r="I773" t="s">
        <v>20</v>
      </c>
      <c r="J773" t="s">
        <v>21</v>
      </c>
      <c r="K773" t="s">
        <v>114</v>
      </c>
      <c r="L773">
        <v>210.23</v>
      </c>
      <c r="M773" t="s">
        <v>115</v>
      </c>
      <c r="N773">
        <f t="shared" si="109"/>
        <v>0</v>
      </c>
      <c r="O773" t="s">
        <v>24</v>
      </c>
      <c r="P773" t="s">
        <v>4921</v>
      </c>
      <c r="Q773">
        <v>0</v>
      </c>
      <c r="R773">
        <v>86</v>
      </c>
      <c r="S773">
        <f t="shared" si="110"/>
        <v>0.49307611999980611</v>
      </c>
      <c r="T773">
        <f t="shared" si="111"/>
        <v>0</v>
      </c>
      <c r="U773">
        <f t="shared" si="112"/>
        <v>0</v>
      </c>
      <c r="V773">
        <f t="shared" si="113"/>
        <v>1</v>
      </c>
      <c r="W773">
        <f t="shared" si="114"/>
        <v>1</v>
      </c>
      <c r="X773">
        <f t="shared" si="115"/>
        <v>0</v>
      </c>
      <c r="Y773">
        <f t="shared" si="116"/>
        <v>0</v>
      </c>
    </row>
    <row r="774" spans="1:25" x14ac:dyDescent="0.3">
      <c r="A774" t="s">
        <v>2723</v>
      </c>
      <c r="B774" t="s">
        <v>2724</v>
      </c>
      <c r="C774" s="1">
        <v>45751</v>
      </c>
      <c r="D774" s="3">
        <v>0.66258101851851847</v>
      </c>
      <c r="E774">
        <f t="shared" si="108"/>
        <v>15</v>
      </c>
      <c r="F774">
        <v>39</v>
      </c>
      <c r="G774" t="s">
        <v>18</v>
      </c>
      <c r="H774" t="s">
        <v>70</v>
      </c>
      <c r="I774" t="s">
        <v>39</v>
      </c>
      <c r="J774" t="s">
        <v>31</v>
      </c>
      <c r="K774" t="s">
        <v>62</v>
      </c>
      <c r="L774">
        <v>209.98</v>
      </c>
      <c r="M774" t="s">
        <v>33</v>
      </c>
      <c r="N774">
        <f t="shared" si="109"/>
        <v>0</v>
      </c>
      <c r="O774" t="s">
        <v>86</v>
      </c>
      <c r="P774" t="s">
        <v>2725</v>
      </c>
      <c r="Q774">
        <v>1</v>
      </c>
      <c r="R774">
        <v>101</v>
      </c>
      <c r="S774">
        <f t="shared" si="110"/>
        <v>0.48961505513078296</v>
      </c>
      <c r="T774">
        <f t="shared" si="111"/>
        <v>0</v>
      </c>
      <c r="U774">
        <f t="shared" si="112"/>
        <v>0</v>
      </c>
      <c r="V774">
        <f t="shared" si="113"/>
        <v>1</v>
      </c>
      <c r="W774">
        <f t="shared" si="114"/>
        <v>1</v>
      </c>
      <c r="X774">
        <f t="shared" si="115"/>
        <v>0</v>
      </c>
      <c r="Y774">
        <f t="shared" si="116"/>
        <v>0</v>
      </c>
    </row>
    <row r="775" spans="1:25" x14ac:dyDescent="0.3">
      <c r="A775" t="s">
        <v>545</v>
      </c>
      <c r="B775" t="s">
        <v>546</v>
      </c>
      <c r="C775" s="1">
        <v>45789</v>
      </c>
      <c r="D775" s="3">
        <v>0.72565972222222219</v>
      </c>
      <c r="E775">
        <f t="shared" si="108"/>
        <v>17</v>
      </c>
      <c r="F775">
        <v>56</v>
      </c>
      <c r="G775" t="s">
        <v>46</v>
      </c>
      <c r="H775" t="s">
        <v>100</v>
      </c>
      <c r="I775" t="s">
        <v>20</v>
      </c>
      <c r="J775" t="s">
        <v>49</v>
      </c>
      <c r="K775" t="s">
        <v>95</v>
      </c>
      <c r="L775">
        <v>209.9</v>
      </c>
      <c r="M775" t="s">
        <v>42</v>
      </c>
      <c r="N775">
        <f t="shared" si="109"/>
        <v>0</v>
      </c>
      <c r="O775" t="s">
        <v>34</v>
      </c>
      <c r="P775" t="s">
        <v>547</v>
      </c>
      <c r="Q775">
        <v>0</v>
      </c>
      <c r="R775">
        <v>131</v>
      </c>
      <c r="S775">
        <f t="shared" si="110"/>
        <v>0.48850751437269579</v>
      </c>
      <c r="T775">
        <f t="shared" si="111"/>
        <v>0</v>
      </c>
      <c r="U775">
        <f t="shared" si="112"/>
        <v>0</v>
      </c>
      <c r="V775">
        <f t="shared" si="113"/>
        <v>1</v>
      </c>
      <c r="W775">
        <f t="shared" si="114"/>
        <v>1</v>
      </c>
      <c r="X775">
        <f t="shared" si="115"/>
        <v>0</v>
      </c>
      <c r="Y775">
        <f t="shared" si="116"/>
        <v>0</v>
      </c>
    </row>
    <row r="776" spans="1:25" x14ac:dyDescent="0.3">
      <c r="A776" t="s">
        <v>289</v>
      </c>
      <c r="B776" t="s">
        <v>290</v>
      </c>
      <c r="C776" s="1">
        <v>45773</v>
      </c>
      <c r="D776" s="3">
        <v>0.26502314814814815</v>
      </c>
      <c r="E776">
        <f t="shared" si="108"/>
        <v>6</v>
      </c>
      <c r="F776">
        <v>51</v>
      </c>
      <c r="G776" t="s">
        <v>28</v>
      </c>
      <c r="H776" t="s">
        <v>70</v>
      </c>
      <c r="I776" t="s">
        <v>48</v>
      </c>
      <c r="J776" t="s">
        <v>21</v>
      </c>
      <c r="K776" t="s">
        <v>50</v>
      </c>
      <c r="L776">
        <v>209.89</v>
      </c>
      <c r="M776" t="s">
        <v>23</v>
      </c>
      <c r="N776">
        <f t="shared" si="109"/>
        <v>0</v>
      </c>
      <c r="O776" t="s">
        <v>34</v>
      </c>
      <c r="P776" t="s">
        <v>291</v>
      </c>
      <c r="Q776">
        <v>0</v>
      </c>
      <c r="R776">
        <v>192</v>
      </c>
      <c r="S776">
        <f t="shared" si="110"/>
        <v>0.48836907177793459</v>
      </c>
      <c r="T776">
        <f t="shared" si="111"/>
        <v>0</v>
      </c>
      <c r="U776">
        <f t="shared" si="112"/>
        <v>0</v>
      </c>
      <c r="V776">
        <f t="shared" si="113"/>
        <v>1</v>
      </c>
      <c r="W776">
        <f t="shared" si="114"/>
        <v>1</v>
      </c>
      <c r="X776">
        <f t="shared" si="115"/>
        <v>0</v>
      </c>
      <c r="Y776">
        <f t="shared" si="116"/>
        <v>0</v>
      </c>
    </row>
    <row r="777" spans="1:25" x14ac:dyDescent="0.3">
      <c r="A777" t="s">
        <v>4058</v>
      </c>
      <c r="B777" t="s">
        <v>4059</v>
      </c>
      <c r="C777" s="1">
        <v>45777</v>
      </c>
      <c r="D777" s="3">
        <v>0.77177083333333329</v>
      </c>
      <c r="E777">
        <f t="shared" si="108"/>
        <v>18</v>
      </c>
      <c r="F777">
        <v>20</v>
      </c>
      <c r="G777" t="s">
        <v>46</v>
      </c>
      <c r="H777" t="s">
        <v>29</v>
      </c>
      <c r="I777" t="s">
        <v>66</v>
      </c>
      <c r="J777" t="s">
        <v>76</v>
      </c>
      <c r="K777" t="s">
        <v>41</v>
      </c>
      <c r="L777">
        <v>209.86</v>
      </c>
      <c r="M777" t="s">
        <v>23</v>
      </c>
      <c r="N777">
        <f t="shared" si="109"/>
        <v>0</v>
      </c>
      <c r="O777" t="s">
        <v>34</v>
      </c>
      <c r="P777" t="s">
        <v>4060</v>
      </c>
      <c r="Q777">
        <v>0</v>
      </c>
      <c r="R777">
        <v>110</v>
      </c>
      <c r="S777">
        <f t="shared" si="110"/>
        <v>0.48795374399365221</v>
      </c>
      <c r="T777">
        <f t="shared" si="111"/>
        <v>0</v>
      </c>
      <c r="U777">
        <f t="shared" si="112"/>
        <v>0</v>
      </c>
      <c r="V777">
        <f t="shared" si="113"/>
        <v>1</v>
      </c>
      <c r="W777">
        <f t="shared" si="114"/>
        <v>1</v>
      </c>
      <c r="X777">
        <f t="shared" si="115"/>
        <v>0</v>
      </c>
      <c r="Y777">
        <f t="shared" si="116"/>
        <v>0</v>
      </c>
    </row>
    <row r="778" spans="1:25" x14ac:dyDescent="0.3">
      <c r="A778" t="s">
        <v>5327</v>
      </c>
      <c r="B778" t="s">
        <v>5328</v>
      </c>
      <c r="C778" s="1">
        <v>45862</v>
      </c>
      <c r="D778" s="3">
        <v>0.9684490740740741</v>
      </c>
      <c r="E778">
        <f t="shared" si="108"/>
        <v>23</v>
      </c>
      <c r="F778">
        <v>29</v>
      </c>
      <c r="G778" t="s">
        <v>18</v>
      </c>
      <c r="H778" t="s">
        <v>80</v>
      </c>
      <c r="I778" t="s">
        <v>39</v>
      </c>
      <c r="J778" t="s">
        <v>40</v>
      </c>
      <c r="K778" t="s">
        <v>50</v>
      </c>
      <c r="L778">
        <v>209.79</v>
      </c>
      <c r="M778" t="s">
        <v>42</v>
      </c>
      <c r="N778">
        <f t="shared" si="109"/>
        <v>0</v>
      </c>
      <c r="O778" t="s">
        <v>24</v>
      </c>
      <c r="P778" t="s">
        <v>5329</v>
      </c>
      <c r="Q778">
        <v>0</v>
      </c>
      <c r="R778">
        <v>233</v>
      </c>
      <c r="S778">
        <f t="shared" si="110"/>
        <v>0.48698464583032541</v>
      </c>
      <c r="T778">
        <f t="shared" si="111"/>
        <v>0</v>
      </c>
      <c r="U778">
        <f t="shared" si="112"/>
        <v>0</v>
      </c>
      <c r="V778">
        <f t="shared" si="113"/>
        <v>1</v>
      </c>
      <c r="W778">
        <f t="shared" si="114"/>
        <v>1</v>
      </c>
      <c r="X778">
        <f t="shared" si="115"/>
        <v>0</v>
      </c>
      <c r="Y778">
        <f t="shared" si="116"/>
        <v>0</v>
      </c>
    </row>
    <row r="779" spans="1:25" x14ac:dyDescent="0.3">
      <c r="A779" s="2" t="s">
        <v>5972</v>
      </c>
      <c r="B779" t="s">
        <v>5973</v>
      </c>
      <c r="C779" s="1">
        <v>45822</v>
      </c>
      <c r="D779" s="3">
        <v>0.24288194444444444</v>
      </c>
      <c r="E779">
        <f t="shared" si="108"/>
        <v>5</v>
      </c>
      <c r="F779">
        <v>39</v>
      </c>
      <c r="G779" t="s">
        <v>18</v>
      </c>
      <c r="H779" t="s">
        <v>142</v>
      </c>
      <c r="I779" t="s">
        <v>20</v>
      </c>
      <c r="J779" t="s">
        <v>31</v>
      </c>
      <c r="K779" t="s">
        <v>101</v>
      </c>
      <c r="L779">
        <v>209.41</v>
      </c>
      <c r="M779" t="s">
        <v>33</v>
      </c>
      <c r="N779">
        <f t="shared" si="109"/>
        <v>0</v>
      </c>
      <c r="O779" t="s">
        <v>24</v>
      </c>
      <c r="P779" t="s">
        <v>5974</v>
      </c>
      <c r="Q779">
        <v>0</v>
      </c>
      <c r="R779">
        <v>130</v>
      </c>
      <c r="S779">
        <f t="shared" si="110"/>
        <v>0.48172382722941037</v>
      </c>
      <c r="T779">
        <f t="shared" si="111"/>
        <v>0</v>
      </c>
      <c r="U779">
        <f t="shared" si="112"/>
        <v>1</v>
      </c>
      <c r="V779">
        <f t="shared" si="113"/>
        <v>1</v>
      </c>
      <c r="W779">
        <f t="shared" si="114"/>
        <v>3</v>
      </c>
      <c r="X779">
        <f t="shared" si="115"/>
        <v>0</v>
      </c>
      <c r="Y779">
        <f t="shared" si="116"/>
        <v>0</v>
      </c>
    </row>
    <row r="780" spans="1:25" x14ac:dyDescent="0.3">
      <c r="A780" t="s">
        <v>4973</v>
      </c>
      <c r="B780" t="s">
        <v>4974</v>
      </c>
      <c r="C780" s="1">
        <v>45826</v>
      </c>
      <c r="D780" s="3">
        <v>0.70333333333333337</v>
      </c>
      <c r="E780">
        <f t="shared" si="108"/>
        <v>16</v>
      </c>
      <c r="F780">
        <v>58</v>
      </c>
      <c r="G780" t="s">
        <v>46</v>
      </c>
      <c r="H780" t="s">
        <v>189</v>
      </c>
      <c r="I780" t="s">
        <v>30</v>
      </c>
      <c r="J780" t="s">
        <v>76</v>
      </c>
      <c r="K780" t="s">
        <v>114</v>
      </c>
      <c r="L780">
        <v>209.24</v>
      </c>
      <c r="M780" t="s">
        <v>42</v>
      </c>
      <c r="N780">
        <f t="shared" si="109"/>
        <v>0</v>
      </c>
      <c r="O780" t="s">
        <v>34</v>
      </c>
      <c r="P780" t="s">
        <v>4975</v>
      </c>
      <c r="Q780">
        <v>0</v>
      </c>
      <c r="R780">
        <v>74</v>
      </c>
      <c r="S780">
        <f t="shared" si="110"/>
        <v>0.47937030311847484</v>
      </c>
      <c r="T780">
        <f t="shared" si="111"/>
        <v>0</v>
      </c>
      <c r="U780">
        <f t="shared" si="112"/>
        <v>0</v>
      </c>
      <c r="V780">
        <f t="shared" si="113"/>
        <v>1</v>
      </c>
      <c r="W780">
        <f t="shared" si="114"/>
        <v>1</v>
      </c>
      <c r="X780">
        <f t="shared" si="115"/>
        <v>0</v>
      </c>
      <c r="Y780">
        <f t="shared" si="116"/>
        <v>0</v>
      </c>
    </row>
    <row r="781" spans="1:25" x14ac:dyDescent="0.3">
      <c r="A781" t="s">
        <v>2570</v>
      </c>
      <c r="B781" t="s">
        <v>2571</v>
      </c>
      <c r="C781" s="1">
        <v>45773</v>
      </c>
      <c r="D781" s="3">
        <v>0.98909722222222218</v>
      </c>
      <c r="E781">
        <f t="shared" si="108"/>
        <v>23</v>
      </c>
      <c r="F781">
        <v>37</v>
      </c>
      <c r="G781" t="s">
        <v>46</v>
      </c>
      <c r="H781" t="s">
        <v>100</v>
      </c>
      <c r="I781" t="s">
        <v>66</v>
      </c>
      <c r="J781" t="s">
        <v>40</v>
      </c>
      <c r="K781" t="s">
        <v>168</v>
      </c>
      <c r="L781">
        <v>209.13</v>
      </c>
      <c r="M781" t="s">
        <v>23</v>
      </c>
      <c r="N781">
        <f t="shared" si="109"/>
        <v>0</v>
      </c>
      <c r="O781" t="s">
        <v>51</v>
      </c>
      <c r="P781" t="s">
        <v>2572</v>
      </c>
      <c r="Q781">
        <v>0</v>
      </c>
      <c r="R781">
        <v>184</v>
      </c>
      <c r="S781">
        <f t="shared" si="110"/>
        <v>0.47784743457610446</v>
      </c>
      <c r="T781">
        <f t="shared" si="111"/>
        <v>0</v>
      </c>
      <c r="U781">
        <f t="shared" si="112"/>
        <v>0</v>
      </c>
      <c r="V781">
        <f t="shared" si="113"/>
        <v>1</v>
      </c>
      <c r="W781">
        <f t="shared" si="114"/>
        <v>1</v>
      </c>
      <c r="X781">
        <f t="shared" si="115"/>
        <v>0</v>
      </c>
      <c r="Y781">
        <f t="shared" si="116"/>
        <v>0</v>
      </c>
    </row>
    <row r="782" spans="1:25" x14ac:dyDescent="0.3">
      <c r="A782" t="s">
        <v>2453</v>
      </c>
      <c r="B782" t="s">
        <v>2454</v>
      </c>
      <c r="C782" s="1">
        <v>45729</v>
      </c>
      <c r="D782" s="3">
        <v>0.29302083333333334</v>
      </c>
      <c r="E782">
        <f t="shared" si="108"/>
        <v>7</v>
      </c>
      <c r="F782">
        <v>18</v>
      </c>
      <c r="G782" t="s">
        <v>18</v>
      </c>
      <c r="H782" t="s">
        <v>55</v>
      </c>
      <c r="I782" t="s">
        <v>119</v>
      </c>
      <c r="J782" t="s">
        <v>49</v>
      </c>
      <c r="K782" t="s">
        <v>95</v>
      </c>
      <c r="L782">
        <v>209.12</v>
      </c>
      <c r="M782" t="s">
        <v>6479</v>
      </c>
      <c r="N782">
        <f t="shared" si="109"/>
        <v>1</v>
      </c>
      <c r="O782" t="s">
        <v>24</v>
      </c>
      <c r="P782" t="s">
        <v>2455</v>
      </c>
      <c r="Q782">
        <v>0</v>
      </c>
      <c r="R782">
        <v>208</v>
      </c>
      <c r="S782">
        <f t="shared" si="110"/>
        <v>0.47770899198134364</v>
      </c>
      <c r="T782">
        <f t="shared" si="111"/>
        <v>0</v>
      </c>
      <c r="U782">
        <f t="shared" si="112"/>
        <v>0</v>
      </c>
      <c r="V782">
        <f t="shared" si="113"/>
        <v>1</v>
      </c>
      <c r="W782">
        <f t="shared" si="114"/>
        <v>3</v>
      </c>
      <c r="X782">
        <f t="shared" si="115"/>
        <v>0</v>
      </c>
      <c r="Y782">
        <f t="shared" si="116"/>
        <v>1</v>
      </c>
    </row>
    <row r="783" spans="1:25" x14ac:dyDescent="0.3">
      <c r="A783" t="s">
        <v>3584</v>
      </c>
      <c r="B783" t="s">
        <v>3585</v>
      </c>
      <c r="C783" s="1">
        <v>45830</v>
      </c>
      <c r="D783" s="3">
        <v>0.63115740740740744</v>
      </c>
      <c r="E783">
        <f t="shared" si="108"/>
        <v>15</v>
      </c>
      <c r="F783">
        <v>21</v>
      </c>
      <c r="G783" t="s">
        <v>46</v>
      </c>
      <c r="H783" t="s">
        <v>84</v>
      </c>
      <c r="I783" t="s">
        <v>119</v>
      </c>
      <c r="J783" t="s">
        <v>127</v>
      </c>
      <c r="K783" t="s">
        <v>95</v>
      </c>
      <c r="L783">
        <v>208.97</v>
      </c>
      <c r="M783" t="s">
        <v>115</v>
      </c>
      <c r="N783">
        <f t="shared" si="109"/>
        <v>0</v>
      </c>
      <c r="O783" t="s">
        <v>86</v>
      </c>
      <c r="P783" t="s">
        <v>3586</v>
      </c>
      <c r="Q783">
        <v>0</v>
      </c>
      <c r="R783">
        <v>211</v>
      </c>
      <c r="S783">
        <f t="shared" si="110"/>
        <v>0.47563235305992974</v>
      </c>
      <c r="T783">
        <f t="shared" si="111"/>
        <v>0</v>
      </c>
      <c r="U783">
        <f t="shared" si="112"/>
        <v>0</v>
      </c>
      <c r="V783">
        <f t="shared" si="113"/>
        <v>1</v>
      </c>
      <c r="W783">
        <f t="shared" si="114"/>
        <v>1</v>
      </c>
      <c r="X783">
        <f t="shared" si="115"/>
        <v>0</v>
      </c>
      <c r="Y783">
        <f t="shared" si="116"/>
        <v>0</v>
      </c>
    </row>
    <row r="784" spans="1:25" x14ac:dyDescent="0.3">
      <c r="A784" t="s">
        <v>2744</v>
      </c>
      <c r="B784" t="s">
        <v>2745</v>
      </c>
      <c r="C784" s="1">
        <v>45774</v>
      </c>
      <c r="D784" s="3">
        <v>0.58490740740740743</v>
      </c>
      <c r="E784">
        <f t="shared" si="108"/>
        <v>14</v>
      </c>
      <c r="F784">
        <v>53</v>
      </c>
      <c r="G784" t="s">
        <v>18</v>
      </c>
      <c r="H784" t="s">
        <v>47</v>
      </c>
      <c r="I784" t="s">
        <v>30</v>
      </c>
      <c r="J784" t="s">
        <v>49</v>
      </c>
      <c r="K784" t="s">
        <v>62</v>
      </c>
      <c r="L784">
        <v>208.91</v>
      </c>
      <c r="M784" t="s">
        <v>33</v>
      </c>
      <c r="N784">
        <f t="shared" si="109"/>
        <v>0</v>
      </c>
      <c r="O784" t="s">
        <v>86</v>
      </c>
      <c r="P784" t="s">
        <v>2746</v>
      </c>
      <c r="Q784">
        <v>0</v>
      </c>
      <c r="R784">
        <v>351</v>
      </c>
      <c r="S784">
        <f t="shared" si="110"/>
        <v>0.47480169749136414</v>
      </c>
      <c r="T784">
        <f t="shared" si="111"/>
        <v>0</v>
      </c>
      <c r="U784">
        <f t="shared" si="112"/>
        <v>0</v>
      </c>
      <c r="V784">
        <f t="shared" si="113"/>
        <v>0</v>
      </c>
      <c r="W784">
        <f t="shared" si="114"/>
        <v>0</v>
      </c>
      <c r="X784">
        <f t="shared" si="115"/>
        <v>0</v>
      </c>
      <c r="Y784">
        <f t="shared" si="116"/>
        <v>0</v>
      </c>
    </row>
    <row r="785" spans="1:25" x14ac:dyDescent="0.3">
      <c r="A785" t="s">
        <v>1214</v>
      </c>
      <c r="B785" t="s">
        <v>1215</v>
      </c>
      <c r="C785" s="1">
        <v>45774</v>
      </c>
      <c r="D785" s="3">
        <v>0.30135416666666665</v>
      </c>
      <c r="E785">
        <f t="shared" si="108"/>
        <v>7</v>
      </c>
      <c r="F785">
        <v>19</v>
      </c>
      <c r="G785" t="s">
        <v>46</v>
      </c>
      <c r="H785" t="s">
        <v>84</v>
      </c>
      <c r="I785" t="s">
        <v>105</v>
      </c>
      <c r="J785" t="s">
        <v>127</v>
      </c>
      <c r="K785" t="s">
        <v>114</v>
      </c>
      <c r="L785">
        <v>208.86</v>
      </c>
      <c r="M785" t="s">
        <v>6479</v>
      </c>
      <c r="N785">
        <f t="shared" si="109"/>
        <v>1</v>
      </c>
      <c r="O785" t="s">
        <v>86</v>
      </c>
      <c r="P785" t="s">
        <v>1216</v>
      </c>
      <c r="Q785">
        <v>0</v>
      </c>
      <c r="R785">
        <v>366</v>
      </c>
      <c r="S785">
        <f t="shared" si="110"/>
        <v>0.47410948451755974</v>
      </c>
      <c r="T785">
        <f t="shared" si="111"/>
        <v>0</v>
      </c>
      <c r="U785">
        <f t="shared" si="112"/>
        <v>0</v>
      </c>
      <c r="V785">
        <f t="shared" si="113"/>
        <v>0</v>
      </c>
      <c r="W785">
        <f t="shared" si="114"/>
        <v>2</v>
      </c>
      <c r="X785">
        <f t="shared" si="115"/>
        <v>0</v>
      </c>
      <c r="Y785">
        <f t="shared" si="116"/>
        <v>1</v>
      </c>
    </row>
    <row r="786" spans="1:25" x14ac:dyDescent="0.3">
      <c r="A786" t="s">
        <v>6434</v>
      </c>
      <c r="B786" t="s">
        <v>6435</v>
      </c>
      <c r="C786" s="1">
        <v>45716</v>
      </c>
      <c r="D786" s="3">
        <v>0.8167592592592593</v>
      </c>
      <c r="E786">
        <f t="shared" si="108"/>
        <v>19</v>
      </c>
      <c r="F786">
        <v>25</v>
      </c>
      <c r="G786" t="s">
        <v>28</v>
      </c>
      <c r="H786" t="s">
        <v>312</v>
      </c>
      <c r="I786" t="s">
        <v>110</v>
      </c>
      <c r="J786" t="s">
        <v>31</v>
      </c>
      <c r="K786" t="s">
        <v>22</v>
      </c>
      <c r="L786">
        <v>208.75</v>
      </c>
      <c r="M786" t="s">
        <v>42</v>
      </c>
      <c r="N786">
        <f t="shared" si="109"/>
        <v>0</v>
      </c>
      <c r="O786" t="s">
        <v>51</v>
      </c>
      <c r="P786" t="s">
        <v>6436</v>
      </c>
      <c r="Q786">
        <v>0</v>
      </c>
      <c r="R786">
        <v>445</v>
      </c>
      <c r="S786">
        <f t="shared" si="110"/>
        <v>0.47258661597518942</v>
      </c>
      <c r="T786">
        <f t="shared" si="111"/>
        <v>0</v>
      </c>
      <c r="U786">
        <f t="shared" si="112"/>
        <v>0</v>
      </c>
      <c r="V786">
        <f t="shared" si="113"/>
        <v>0</v>
      </c>
      <c r="W786">
        <f t="shared" si="114"/>
        <v>0</v>
      </c>
      <c r="X786">
        <f t="shared" si="115"/>
        <v>0</v>
      </c>
      <c r="Y786">
        <f t="shared" si="116"/>
        <v>0</v>
      </c>
    </row>
    <row r="787" spans="1:25" x14ac:dyDescent="0.3">
      <c r="A787" t="s">
        <v>3071</v>
      </c>
      <c r="B787" t="s">
        <v>3072</v>
      </c>
      <c r="C787" s="1">
        <v>45717</v>
      </c>
      <c r="D787" s="3">
        <v>0.44662037037037039</v>
      </c>
      <c r="E787">
        <f t="shared" si="108"/>
        <v>10</v>
      </c>
      <c r="F787">
        <v>21</v>
      </c>
      <c r="G787" t="s">
        <v>46</v>
      </c>
      <c r="H787" t="s">
        <v>100</v>
      </c>
      <c r="I787" t="s">
        <v>71</v>
      </c>
      <c r="J787" t="s">
        <v>40</v>
      </c>
      <c r="K787" t="s">
        <v>101</v>
      </c>
      <c r="L787">
        <v>208.71</v>
      </c>
      <c r="M787" t="s">
        <v>33</v>
      </c>
      <c r="N787">
        <f t="shared" si="109"/>
        <v>0</v>
      </c>
      <c r="O787" t="s">
        <v>24</v>
      </c>
      <c r="P787" t="s">
        <v>3073</v>
      </c>
      <c r="Q787">
        <v>0</v>
      </c>
      <c r="R787">
        <v>196</v>
      </c>
      <c r="S787">
        <f t="shared" si="110"/>
        <v>0.47203284559614578</v>
      </c>
      <c r="T787">
        <f t="shared" si="111"/>
        <v>0</v>
      </c>
      <c r="U787">
        <f t="shared" si="112"/>
        <v>0</v>
      </c>
      <c r="V787">
        <f t="shared" si="113"/>
        <v>1</v>
      </c>
      <c r="W787">
        <f t="shared" si="114"/>
        <v>1</v>
      </c>
      <c r="X787">
        <f t="shared" si="115"/>
        <v>0</v>
      </c>
      <c r="Y787">
        <f t="shared" si="116"/>
        <v>0</v>
      </c>
    </row>
    <row r="788" spans="1:25" x14ac:dyDescent="0.3">
      <c r="A788" s="2" t="s">
        <v>5039</v>
      </c>
      <c r="B788" t="s">
        <v>5040</v>
      </c>
      <c r="C788" s="1">
        <v>45855</v>
      </c>
      <c r="D788" s="3">
        <v>0.36434027777777778</v>
      </c>
      <c r="E788">
        <f t="shared" si="108"/>
        <v>8</v>
      </c>
      <c r="F788">
        <v>65</v>
      </c>
      <c r="G788" t="s">
        <v>46</v>
      </c>
      <c r="H788" t="s">
        <v>167</v>
      </c>
      <c r="I788" t="s">
        <v>85</v>
      </c>
      <c r="J788" t="s">
        <v>21</v>
      </c>
      <c r="K788" t="s">
        <v>101</v>
      </c>
      <c r="L788">
        <v>208.55</v>
      </c>
      <c r="M788" t="s">
        <v>6479</v>
      </c>
      <c r="N788">
        <f t="shared" si="109"/>
        <v>1</v>
      </c>
      <c r="O788" t="s">
        <v>24</v>
      </c>
      <c r="P788" t="s">
        <v>5041</v>
      </c>
      <c r="Q788">
        <v>0</v>
      </c>
      <c r="R788">
        <v>312</v>
      </c>
      <c r="S788">
        <f t="shared" si="110"/>
        <v>0.46981776407997106</v>
      </c>
      <c r="T788">
        <f t="shared" si="111"/>
        <v>0</v>
      </c>
      <c r="U788">
        <f t="shared" si="112"/>
        <v>0</v>
      </c>
      <c r="V788">
        <f t="shared" si="113"/>
        <v>0</v>
      </c>
      <c r="W788">
        <f t="shared" si="114"/>
        <v>2</v>
      </c>
      <c r="X788">
        <f t="shared" si="115"/>
        <v>0</v>
      </c>
      <c r="Y788">
        <f t="shared" si="116"/>
        <v>1</v>
      </c>
    </row>
    <row r="789" spans="1:25" x14ac:dyDescent="0.3">
      <c r="A789" t="s">
        <v>2951</v>
      </c>
      <c r="B789" t="s">
        <v>2952</v>
      </c>
      <c r="C789" s="1">
        <v>45756</v>
      </c>
      <c r="D789" s="3">
        <v>8.2210648148148144E-2</v>
      </c>
      <c r="E789">
        <f t="shared" si="108"/>
        <v>1</v>
      </c>
      <c r="F789">
        <v>50</v>
      </c>
      <c r="G789" t="s">
        <v>99</v>
      </c>
      <c r="H789" t="s">
        <v>90</v>
      </c>
      <c r="I789" t="s">
        <v>48</v>
      </c>
      <c r="J789" t="s">
        <v>132</v>
      </c>
      <c r="K789" t="s">
        <v>62</v>
      </c>
      <c r="L789">
        <v>208.53</v>
      </c>
      <c r="M789" t="s">
        <v>115</v>
      </c>
      <c r="N789">
        <f t="shared" si="109"/>
        <v>0</v>
      </c>
      <c r="O789" t="s">
        <v>51</v>
      </c>
      <c r="P789" t="s">
        <v>2953</v>
      </c>
      <c r="Q789">
        <v>0</v>
      </c>
      <c r="R789">
        <v>76</v>
      </c>
      <c r="S789">
        <f t="shared" si="110"/>
        <v>0.46954087889044904</v>
      </c>
      <c r="T789">
        <f t="shared" si="111"/>
        <v>0</v>
      </c>
      <c r="U789">
        <f t="shared" si="112"/>
        <v>1</v>
      </c>
      <c r="V789">
        <f t="shared" si="113"/>
        <v>1</v>
      </c>
      <c r="W789">
        <f t="shared" si="114"/>
        <v>3</v>
      </c>
      <c r="X789">
        <f t="shared" si="115"/>
        <v>0</v>
      </c>
      <c r="Y789">
        <f t="shared" si="116"/>
        <v>0</v>
      </c>
    </row>
    <row r="790" spans="1:25" x14ac:dyDescent="0.3">
      <c r="A790" t="s">
        <v>2087</v>
      </c>
      <c r="B790" t="s">
        <v>2088</v>
      </c>
      <c r="C790" s="1">
        <v>45880</v>
      </c>
      <c r="D790" s="3">
        <v>0.79396990740740736</v>
      </c>
      <c r="E790">
        <f t="shared" si="108"/>
        <v>19</v>
      </c>
      <c r="F790">
        <v>55</v>
      </c>
      <c r="G790" t="s">
        <v>60</v>
      </c>
      <c r="H790" t="s">
        <v>47</v>
      </c>
      <c r="I790" t="s">
        <v>66</v>
      </c>
      <c r="J790" t="s">
        <v>127</v>
      </c>
      <c r="K790" t="s">
        <v>41</v>
      </c>
      <c r="L790">
        <v>208.52</v>
      </c>
      <c r="M790" t="s">
        <v>33</v>
      </c>
      <c r="N790">
        <f t="shared" si="109"/>
        <v>0</v>
      </c>
      <c r="O790" t="s">
        <v>24</v>
      </c>
      <c r="P790" t="s">
        <v>2089</v>
      </c>
      <c r="Q790">
        <v>0</v>
      </c>
      <c r="R790">
        <v>155</v>
      </c>
      <c r="S790">
        <f t="shared" si="110"/>
        <v>0.46940243629568829</v>
      </c>
      <c r="T790">
        <f t="shared" si="111"/>
        <v>0</v>
      </c>
      <c r="U790">
        <f t="shared" si="112"/>
        <v>0</v>
      </c>
      <c r="V790">
        <f t="shared" si="113"/>
        <v>1</v>
      </c>
      <c r="W790">
        <f t="shared" si="114"/>
        <v>1</v>
      </c>
      <c r="X790">
        <f t="shared" si="115"/>
        <v>0</v>
      </c>
      <c r="Y790">
        <f t="shared" si="116"/>
        <v>0</v>
      </c>
    </row>
    <row r="791" spans="1:25" x14ac:dyDescent="0.3">
      <c r="A791" t="s">
        <v>4277</v>
      </c>
      <c r="B791" t="s">
        <v>4278</v>
      </c>
      <c r="C791" s="1">
        <v>45878</v>
      </c>
      <c r="D791" s="3">
        <v>1.0439814814814815E-2</v>
      </c>
      <c r="E791">
        <f t="shared" si="108"/>
        <v>0</v>
      </c>
      <c r="F791">
        <v>45</v>
      </c>
      <c r="G791" t="s">
        <v>60</v>
      </c>
      <c r="H791" t="s">
        <v>142</v>
      </c>
      <c r="I791" t="s">
        <v>110</v>
      </c>
      <c r="J791" t="s">
        <v>56</v>
      </c>
      <c r="K791" t="s">
        <v>95</v>
      </c>
      <c r="L791">
        <v>208.51</v>
      </c>
      <c r="M791" t="s">
        <v>42</v>
      </c>
      <c r="N791">
        <f t="shared" si="109"/>
        <v>0</v>
      </c>
      <c r="O791" t="s">
        <v>24</v>
      </c>
      <c r="P791" t="s">
        <v>4279</v>
      </c>
      <c r="Q791">
        <v>0</v>
      </c>
      <c r="R791">
        <v>132</v>
      </c>
      <c r="S791">
        <f t="shared" si="110"/>
        <v>0.46926399370092708</v>
      </c>
      <c r="T791">
        <f t="shared" si="111"/>
        <v>0</v>
      </c>
      <c r="U791">
        <f t="shared" si="112"/>
        <v>1</v>
      </c>
      <c r="V791">
        <f t="shared" si="113"/>
        <v>1</v>
      </c>
      <c r="W791">
        <f t="shared" si="114"/>
        <v>3</v>
      </c>
      <c r="X791">
        <f t="shared" si="115"/>
        <v>0</v>
      </c>
      <c r="Y791">
        <f t="shared" si="116"/>
        <v>0</v>
      </c>
    </row>
    <row r="792" spans="1:25" x14ac:dyDescent="0.3">
      <c r="A792" t="s">
        <v>2312</v>
      </c>
      <c r="B792" t="s">
        <v>2313</v>
      </c>
      <c r="C792" s="1">
        <v>45731</v>
      </c>
      <c r="D792" s="3">
        <v>0.26966435185185184</v>
      </c>
      <c r="E792">
        <f t="shared" si="108"/>
        <v>6</v>
      </c>
      <c r="F792">
        <v>43</v>
      </c>
      <c r="G792" t="s">
        <v>18</v>
      </c>
      <c r="H792" t="s">
        <v>189</v>
      </c>
      <c r="I792" t="s">
        <v>20</v>
      </c>
      <c r="J792" t="s">
        <v>76</v>
      </c>
      <c r="K792" t="s">
        <v>62</v>
      </c>
      <c r="L792">
        <v>208.45</v>
      </c>
      <c r="M792" t="s">
        <v>33</v>
      </c>
      <c r="N792">
        <f t="shared" si="109"/>
        <v>0</v>
      </c>
      <c r="O792" t="s">
        <v>34</v>
      </c>
      <c r="P792" t="s">
        <v>2314</v>
      </c>
      <c r="Q792">
        <v>0</v>
      </c>
      <c r="R792">
        <v>396</v>
      </c>
      <c r="S792">
        <f t="shared" si="110"/>
        <v>0.46843333813236149</v>
      </c>
      <c r="T792">
        <f t="shared" si="111"/>
        <v>0</v>
      </c>
      <c r="U792">
        <f t="shared" si="112"/>
        <v>0</v>
      </c>
      <c r="V792">
        <f t="shared" si="113"/>
        <v>0</v>
      </c>
      <c r="W792">
        <f t="shared" si="114"/>
        <v>0</v>
      </c>
      <c r="X792">
        <f t="shared" si="115"/>
        <v>0</v>
      </c>
      <c r="Y792">
        <f t="shared" si="116"/>
        <v>0</v>
      </c>
    </row>
    <row r="793" spans="1:25" x14ac:dyDescent="0.3">
      <c r="A793" t="s">
        <v>2618</v>
      </c>
      <c r="B793" t="s">
        <v>2619</v>
      </c>
      <c r="C793" s="1">
        <v>45867</v>
      </c>
      <c r="D793" s="3">
        <v>9.8796296296296299E-2</v>
      </c>
      <c r="E793">
        <f t="shared" si="108"/>
        <v>2</v>
      </c>
      <c r="F793">
        <v>33</v>
      </c>
      <c r="G793" t="s">
        <v>46</v>
      </c>
      <c r="H793" t="s">
        <v>189</v>
      </c>
      <c r="I793" t="s">
        <v>71</v>
      </c>
      <c r="J793" t="s">
        <v>31</v>
      </c>
      <c r="K793" t="s">
        <v>32</v>
      </c>
      <c r="L793">
        <v>208.43</v>
      </c>
      <c r="M793" t="s">
        <v>33</v>
      </c>
      <c r="N793">
        <f t="shared" si="109"/>
        <v>0</v>
      </c>
      <c r="O793" t="s">
        <v>24</v>
      </c>
      <c r="P793" t="s">
        <v>2620</v>
      </c>
      <c r="Q793">
        <v>0</v>
      </c>
      <c r="R793">
        <v>434</v>
      </c>
      <c r="S793">
        <f t="shared" si="110"/>
        <v>0.46815645294283992</v>
      </c>
      <c r="T793">
        <f t="shared" si="111"/>
        <v>0</v>
      </c>
      <c r="U793">
        <f t="shared" si="112"/>
        <v>1</v>
      </c>
      <c r="V793">
        <f t="shared" si="113"/>
        <v>0</v>
      </c>
      <c r="W793">
        <f t="shared" si="114"/>
        <v>2</v>
      </c>
      <c r="X793">
        <f t="shared" si="115"/>
        <v>0</v>
      </c>
      <c r="Y793">
        <f t="shared" si="116"/>
        <v>0</v>
      </c>
    </row>
    <row r="794" spans="1:25" x14ac:dyDescent="0.3">
      <c r="A794" t="s">
        <v>6323</v>
      </c>
      <c r="B794" t="s">
        <v>6324</v>
      </c>
      <c r="C794" s="1">
        <v>45788</v>
      </c>
      <c r="D794" s="3">
        <v>0.33969907407407407</v>
      </c>
      <c r="E794">
        <f t="shared" si="108"/>
        <v>8</v>
      </c>
      <c r="F794">
        <v>31</v>
      </c>
      <c r="G794" t="s">
        <v>46</v>
      </c>
      <c r="H794" t="s">
        <v>175</v>
      </c>
      <c r="I794" t="s">
        <v>119</v>
      </c>
      <c r="J794" t="s">
        <v>56</v>
      </c>
      <c r="K794" t="s">
        <v>50</v>
      </c>
      <c r="L794">
        <v>208.33</v>
      </c>
      <c r="M794" t="s">
        <v>33</v>
      </c>
      <c r="N794">
        <f t="shared" si="109"/>
        <v>0</v>
      </c>
      <c r="O794" t="s">
        <v>86</v>
      </c>
      <c r="P794" t="s">
        <v>6325</v>
      </c>
      <c r="Q794">
        <v>0</v>
      </c>
      <c r="R794">
        <v>239</v>
      </c>
      <c r="S794">
        <f t="shared" si="110"/>
        <v>0.46677202699523074</v>
      </c>
      <c r="T794">
        <f t="shared" si="111"/>
        <v>0</v>
      </c>
      <c r="U794">
        <f t="shared" si="112"/>
        <v>0</v>
      </c>
      <c r="V794">
        <f t="shared" si="113"/>
        <v>1</v>
      </c>
      <c r="W794">
        <f t="shared" si="114"/>
        <v>1</v>
      </c>
      <c r="X794">
        <f t="shared" si="115"/>
        <v>0</v>
      </c>
      <c r="Y794">
        <f t="shared" si="116"/>
        <v>0</v>
      </c>
    </row>
    <row r="795" spans="1:25" x14ac:dyDescent="0.3">
      <c r="A795" t="s">
        <v>3098</v>
      </c>
      <c r="B795" t="s">
        <v>3099</v>
      </c>
      <c r="C795" s="1">
        <v>45878</v>
      </c>
      <c r="D795" s="3">
        <v>0.66576388888888893</v>
      </c>
      <c r="E795">
        <f t="shared" si="108"/>
        <v>15</v>
      </c>
      <c r="F795">
        <v>31</v>
      </c>
      <c r="G795" t="s">
        <v>18</v>
      </c>
      <c r="H795" t="s">
        <v>189</v>
      </c>
      <c r="I795" t="s">
        <v>71</v>
      </c>
      <c r="J795" t="s">
        <v>49</v>
      </c>
      <c r="K795" t="s">
        <v>101</v>
      </c>
      <c r="L795">
        <v>208.27</v>
      </c>
      <c r="M795" t="s">
        <v>115</v>
      </c>
      <c r="N795">
        <f t="shared" si="109"/>
        <v>0</v>
      </c>
      <c r="O795" t="s">
        <v>24</v>
      </c>
      <c r="P795" t="s">
        <v>3100</v>
      </c>
      <c r="Q795">
        <v>0</v>
      </c>
      <c r="R795">
        <v>469</v>
      </c>
      <c r="S795">
        <f t="shared" si="110"/>
        <v>0.46594137142666514</v>
      </c>
      <c r="T795">
        <f t="shared" si="111"/>
        <v>0</v>
      </c>
      <c r="U795">
        <f t="shared" si="112"/>
        <v>0</v>
      </c>
      <c r="V795">
        <f t="shared" si="113"/>
        <v>0</v>
      </c>
      <c r="W795">
        <f t="shared" si="114"/>
        <v>0</v>
      </c>
      <c r="X795">
        <f t="shared" si="115"/>
        <v>0</v>
      </c>
      <c r="Y795">
        <f t="shared" si="116"/>
        <v>0</v>
      </c>
    </row>
    <row r="796" spans="1:25" x14ac:dyDescent="0.3">
      <c r="A796" t="s">
        <v>5549</v>
      </c>
      <c r="B796" t="s">
        <v>5550</v>
      </c>
      <c r="C796" s="1">
        <v>45875</v>
      </c>
      <c r="D796" s="3">
        <v>0.36767361111111113</v>
      </c>
      <c r="E796">
        <f t="shared" si="108"/>
        <v>8</v>
      </c>
      <c r="F796">
        <v>44</v>
      </c>
      <c r="G796" t="s">
        <v>60</v>
      </c>
      <c r="H796" t="s">
        <v>232</v>
      </c>
      <c r="I796" t="s">
        <v>66</v>
      </c>
      <c r="J796" t="s">
        <v>40</v>
      </c>
      <c r="K796" t="s">
        <v>114</v>
      </c>
      <c r="L796">
        <v>208.18</v>
      </c>
      <c r="M796" t="s">
        <v>115</v>
      </c>
      <c r="N796">
        <f t="shared" si="109"/>
        <v>0</v>
      </c>
      <c r="O796" t="s">
        <v>86</v>
      </c>
      <c r="P796" t="s">
        <v>5551</v>
      </c>
      <c r="Q796">
        <v>0</v>
      </c>
      <c r="R796">
        <v>384</v>
      </c>
      <c r="S796">
        <f t="shared" si="110"/>
        <v>0.46469538807381677</v>
      </c>
      <c r="T796">
        <f t="shared" si="111"/>
        <v>0</v>
      </c>
      <c r="U796">
        <f t="shared" si="112"/>
        <v>0</v>
      </c>
      <c r="V796">
        <f t="shared" si="113"/>
        <v>0</v>
      </c>
      <c r="W796">
        <f t="shared" si="114"/>
        <v>0</v>
      </c>
      <c r="X796">
        <f t="shared" si="115"/>
        <v>0</v>
      </c>
      <c r="Y796">
        <f t="shared" si="116"/>
        <v>0</v>
      </c>
    </row>
    <row r="797" spans="1:25" x14ac:dyDescent="0.3">
      <c r="A797" t="s">
        <v>1124</v>
      </c>
      <c r="B797" t="s">
        <v>1125</v>
      </c>
      <c r="C797" s="1">
        <v>45782</v>
      </c>
      <c r="D797" s="3">
        <v>0.27255787037037038</v>
      </c>
      <c r="E797">
        <f t="shared" si="108"/>
        <v>6</v>
      </c>
      <c r="F797">
        <v>23</v>
      </c>
      <c r="G797" t="s">
        <v>46</v>
      </c>
      <c r="H797" t="s">
        <v>47</v>
      </c>
      <c r="I797" t="s">
        <v>20</v>
      </c>
      <c r="J797" t="s">
        <v>40</v>
      </c>
      <c r="K797" t="s">
        <v>120</v>
      </c>
      <c r="L797">
        <v>208.15</v>
      </c>
      <c r="M797" t="s">
        <v>115</v>
      </c>
      <c r="N797">
        <f t="shared" si="109"/>
        <v>0</v>
      </c>
      <c r="O797" t="s">
        <v>34</v>
      </c>
      <c r="P797" t="s">
        <v>1126</v>
      </c>
      <c r="Q797">
        <v>0</v>
      </c>
      <c r="R797">
        <v>439</v>
      </c>
      <c r="S797">
        <f t="shared" si="110"/>
        <v>0.464280060289534</v>
      </c>
      <c r="T797">
        <f t="shared" si="111"/>
        <v>0</v>
      </c>
      <c r="U797">
        <f t="shared" si="112"/>
        <v>0</v>
      </c>
      <c r="V797">
        <f t="shared" si="113"/>
        <v>0</v>
      </c>
      <c r="W797">
        <f t="shared" si="114"/>
        <v>0</v>
      </c>
      <c r="X797">
        <f t="shared" si="115"/>
        <v>0</v>
      </c>
      <c r="Y797">
        <f t="shared" si="116"/>
        <v>0</v>
      </c>
    </row>
    <row r="798" spans="1:25" x14ac:dyDescent="0.3">
      <c r="A798" t="s">
        <v>5159</v>
      </c>
      <c r="B798" t="s">
        <v>5160</v>
      </c>
      <c r="C798" s="1">
        <v>45707</v>
      </c>
      <c r="D798" s="3">
        <v>0.62896990740740744</v>
      </c>
      <c r="E798">
        <f t="shared" si="108"/>
        <v>15</v>
      </c>
      <c r="F798">
        <v>24</v>
      </c>
      <c r="G798" t="s">
        <v>46</v>
      </c>
      <c r="H798" t="s">
        <v>185</v>
      </c>
      <c r="I798" t="s">
        <v>30</v>
      </c>
      <c r="J798" t="s">
        <v>56</v>
      </c>
      <c r="K798" t="s">
        <v>32</v>
      </c>
      <c r="L798">
        <v>207.91</v>
      </c>
      <c r="M798" t="s">
        <v>23</v>
      </c>
      <c r="N798">
        <f t="shared" si="109"/>
        <v>0</v>
      </c>
      <c r="O798" t="s">
        <v>34</v>
      </c>
      <c r="P798" t="s">
        <v>5161</v>
      </c>
      <c r="Q798">
        <v>0</v>
      </c>
      <c r="R798">
        <v>416</v>
      </c>
      <c r="S798">
        <f t="shared" si="110"/>
        <v>0.46095743801527167</v>
      </c>
      <c r="T798">
        <f t="shared" si="111"/>
        <v>0</v>
      </c>
      <c r="U798">
        <f t="shared" si="112"/>
        <v>0</v>
      </c>
      <c r="V798">
        <f t="shared" si="113"/>
        <v>0</v>
      </c>
      <c r="W798">
        <f t="shared" si="114"/>
        <v>0</v>
      </c>
      <c r="X798">
        <f t="shared" si="115"/>
        <v>0</v>
      </c>
      <c r="Y798">
        <f t="shared" si="116"/>
        <v>0</v>
      </c>
    </row>
    <row r="799" spans="1:25" x14ac:dyDescent="0.3">
      <c r="A799" t="s">
        <v>1877</v>
      </c>
      <c r="B799" t="s">
        <v>1878</v>
      </c>
      <c r="C799" s="1">
        <v>45764</v>
      </c>
      <c r="D799" s="3">
        <v>0.33728009259259262</v>
      </c>
      <c r="E799">
        <f t="shared" si="108"/>
        <v>8</v>
      </c>
      <c r="F799">
        <v>33</v>
      </c>
      <c r="G799" t="s">
        <v>18</v>
      </c>
      <c r="H799" t="s">
        <v>70</v>
      </c>
      <c r="I799" t="s">
        <v>66</v>
      </c>
      <c r="J799" t="s">
        <v>49</v>
      </c>
      <c r="K799" t="s">
        <v>168</v>
      </c>
      <c r="L799">
        <v>207.61</v>
      </c>
      <c r="M799" t="s">
        <v>115</v>
      </c>
      <c r="N799">
        <f t="shared" si="109"/>
        <v>0</v>
      </c>
      <c r="O799" t="s">
        <v>86</v>
      </c>
      <c r="P799" t="s">
        <v>1879</v>
      </c>
      <c r="Q799">
        <v>1</v>
      </c>
      <c r="R799">
        <v>119</v>
      </c>
      <c r="S799">
        <f t="shared" si="110"/>
        <v>0.45680416017244418</v>
      </c>
      <c r="T799">
        <f t="shared" si="111"/>
        <v>0</v>
      </c>
      <c r="U799">
        <f t="shared" si="112"/>
        <v>0</v>
      </c>
      <c r="V799">
        <f t="shared" si="113"/>
        <v>1</v>
      </c>
      <c r="W799">
        <f t="shared" si="114"/>
        <v>1</v>
      </c>
      <c r="X799">
        <f t="shared" si="115"/>
        <v>0</v>
      </c>
      <c r="Y799">
        <f t="shared" si="116"/>
        <v>0</v>
      </c>
    </row>
    <row r="800" spans="1:25" x14ac:dyDescent="0.3">
      <c r="A800" t="s">
        <v>2984</v>
      </c>
      <c r="B800" t="s">
        <v>2985</v>
      </c>
      <c r="C800" s="1">
        <v>45806</v>
      </c>
      <c r="D800" s="3">
        <v>1.6701388888888891E-2</v>
      </c>
      <c r="E800">
        <f t="shared" si="108"/>
        <v>0</v>
      </c>
      <c r="F800">
        <v>41</v>
      </c>
      <c r="G800" t="s">
        <v>46</v>
      </c>
      <c r="H800" t="s">
        <v>55</v>
      </c>
      <c r="I800" t="s">
        <v>85</v>
      </c>
      <c r="J800" t="s">
        <v>31</v>
      </c>
      <c r="K800" t="s">
        <v>114</v>
      </c>
      <c r="L800">
        <v>207.38</v>
      </c>
      <c r="M800" t="s">
        <v>23</v>
      </c>
      <c r="N800">
        <f t="shared" si="109"/>
        <v>0</v>
      </c>
      <c r="O800" t="s">
        <v>86</v>
      </c>
      <c r="P800" t="s">
        <v>2986</v>
      </c>
      <c r="Q800">
        <v>0</v>
      </c>
      <c r="R800">
        <v>132</v>
      </c>
      <c r="S800">
        <f t="shared" si="110"/>
        <v>0.45361998049294266</v>
      </c>
      <c r="T800">
        <f t="shared" si="111"/>
        <v>0</v>
      </c>
      <c r="U800">
        <f t="shared" si="112"/>
        <v>1</v>
      </c>
      <c r="V800">
        <f t="shared" si="113"/>
        <v>1</v>
      </c>
      <c r="W800">
        <f t="shared" si="114"/>
        <v>3</v>
      </c>
      <c r="X800">
        <f t="shared" si="115"/>
        <v>0</v>
      </c>
      <c r="Y800">
        <f t="shared" si="116"/>
        <v>0</v>
      </c>
    </row>
    <row r="801" spans="1:25" x14ac:dyDescent="0.3">
      <c r="A801" t="s">
        <v>6257</v>
      </c>
      <c r="B801" t="s">
        <v>6258</v>
      </c>
      <c r="C801" s="1">
        <v>45782</v>
      </c>
      <c r="D801" s="3">
        <v>0.60556712962962966</v>
      </c>
      <c r="E801">
        <f t="shared" si="108"/>
        <v>14</v>
      </c>
      <c r="F801">
        <v>18</v>
      </c>
      <c r="G801" t="s">
        <v>46</v>
      </c>
      <c r="H801" t="s">
        <v>175</v>
      </c>
      <c r="I801" t="s">
        <v>119</v>
      </c>
      <c r="J801" t="s">
        <v>49</v>
      </c>
      <c r="K801" t="s">
        <v>168</v>
      </c>
      <c r="L801">
        <v>206.66</v>
      </c>
      <c r="M801" t="s">
        <v>115</v>
      </c>
      <c r="N801">
        <f t="shared" si="109"/>
        <v>0</v>
      </c>
      <c r="O801" t="s">
        <v>51</v>
      </c>
      <c r="P801" t="s">
        <v>6259</v>
      </c>
      <c r="Q801">
        <v>0</v>
      </c>
      <c r="R801">
        <v>281</v>
      </c>
      <c r="S801">
        <f t="shared" si="110"/>
        <v>0.44365211367015611</v>
      </c>
      <c r="T801">
        <f t="shared" si="111"/>
        <v>0</v>
      </c>
      <c r="U801">
        <f t="shared" si="112"/>
        <v>0</v>
      </c>
      <c r="V801">
        <f t="shared" si="113"/>
        <v>0</v>
      </c>
      <c r="W801">
        <f t="shared" si="114"/>
        <v>0</v>
      </c>
      <c r="X801">
        <f t="shared" si="115"/>
        <v>0</v>
      </c>
      <c r="Y801">
        <f t="shared" si="116"/>
        <v>0</v>
      </c>
    </row>
    <row r="802" spans="1:25" x14ac:dyDescent="0.3">
      <c r="A802" t="s">
        <v>4346</v>
      </c>
      <c r="B802" t="s">
        <v>4347</v>
      </c>
      <c r="C802" s="1">
        <v>45865</v>
      </c>
      <c r="D802" s="3">
        <v>0.19312499999999999</v>
      </c>
      <c r="E802">
        <f t="shared" si="108"/>
        <v>4</v>
      </c>
      <c r="F802">
        <v>64</v>
      </c>
      <c r="G802" t="s">
        <v>18</v>
      </c>
      <c r="H802" t="s">
        <v>142</v>
      </c>
      <c r="I802" t="s">
        <v>66</v>
      </c>
      <c r="J802" t="s">
        <v>132</v>
      </c>
      <c r="K802" t="s">
        <v>101</v>
      </c>
      <c r="L802">
        <v>206.61</v>
      </c>
      <c r="M802" t="s">
        <v>33</v>
      </c>
      <c r="N802">
        <f t="shared" si="109"/>
        <v>0</v>
      </c>
      <c r="O802" t="s">
        <v>34</v>
      </c>
      <c r="P802" t="s">
        <v>4348</v>
      </c>
      <c r="Q802">
        <v>0</v>
      </c>
      <c r="R802">
        <v>309</v>
      </c>
      <c r="S802">
        <f t="shared" si="110"/>
        <v>0.44295990069635172</v>
      </c>
      <c r="T802">
        <f t="shared" si="111"/>
        <v>0</v>
      </c>
      <c r="U802">
        <f t="shared" si="112"/>
        <v>1</v>
      </c>
      <c r="V802">
        <f t="shared" si="113"/>
        <v>0</v>
      </c>
      <c r="W802">
        <f t="shared" si="114"/>
        <v>2</v>
      </c>
      <c r="X802">
        <f t="shared" si="115"/>
        <v>0</v>
      </c>
      <c r="Y802">
        <f t="shared" si="116"/>
        <v>0</v>
      </c>
    </row>
    <row r="803" spans="1:25" x14ac:dyDescent="0.3">
      <c r="A803" t="s">
        <v>4304</v>
      </c>
      <c r="B803" t="s">
        <v>4305</v>
      </c>
      <c r="C803" s="1">
        <v>45796</v>
      </c>
      <c r="D803" s="3">
        <v>0.98810185185185184</v>
      </c>
      <c r="E803">
        <f t="shared" si="108"/>
        <v>23</v>
      </c>
      <c r="F803">
        <v>28</v>
      </c>
      <c r="G803" t="s">
        <v>46</v>
      </c>
      <c r="H803" t="s">
        <v>38</v>
      </c>
      <c r="I803" t="s">
        <v>85</v>
      </c>
      <c r="J803" t="s">
        <v>132</v>
      </c>
      <c r="K803" t="s">
        <v>62</v>
      </c>
      <c r="L803">
        <v>206.51</v>
      </c>
      <c r="M803" t="s">
        <v>23</v>
      </c>
      <c r="N803">
        <f t="shared" si="109"/>
        <v>0</v>
      </c>
      <c r="O803" t="s">
        <v>86</v>
      </c>
      <c r="P803" t="s">
        <v>4306</v>
      </c>
      <c r="Q803">
        <v>0</v>
      </c>
      <c r="R803">
        <v>248</v>
      </c>
      <c r="S803">
        <f t="shared" si="110"/>
        <v>0.44157547474874215</v>
      </c>
      <c r="T803">
        <f t="shared" si="111"/>
        <v>0</v>
      </c>
      <c r="U803">
        <f t="shared" si="112"/>
        <v>0</v>
      </c>
      <c r="V803">
        <f t="shared" si="113"/>
        <v>1</v>
      </c>
      <c r="W803">
        <f t="shared" si="114"/>
        <v>1</v>
      </c>
      <c r="X803">
        <f t="shared" si="115"/>
        <v>0</v>
      </c>
      <c r="Y803">
        <f t="shared" si="116"/>
        <v>0</v>
      </c>
    </row>
    <row r="804" spans="1:25" x14ac:dyDescent="0.3">
      <c r="A804" t="s">
        <v>2273</v>
      </c>
      <c r="B804" t="s">
        <v>2274</v>
      </c>
      <c r="C804" s="1">
        <v>45719</v>
      </c>
      <c r="D804" s="3">
        <v>0.50320601851851854</v>
      </c>
      <c r="E804">
        <f t="shared" si="108"/>
        <v>12</v>
      </c>
      <c r="F804">
        <v>42</v>
      </c>
      <c r="G804" t="s">
        <v>46</v>
      </c>
      <c r="H804" t="s">
        <v>84</v>
      </c>
      <c r="I804" t="s">
        <v>119</v>
      </c>
      <c r="J804" t="s">
        <v>72</v>
      </c>
      <c r="K804" t="s">
        <v>22</v>
      </c>
      <c r="L804">
        <v>206.48</v>
      </c>
      <c r="M804" t="s">
        <v>23</v>
      </c>
      <c r="N804">
        <f t="shared" si="109"/>
        <v>0</v>
      </c>
      <c r="O804" t="s">
        <v>24</v>
      </c>
      <c r="P804" t="s">
        <v>2275</v>
      </c>
      <c r="Q804">
        <v>0</v>
      </c>
      <c r="R804">
        <v>117</v>
      </c>
      <c r="S804">
        <f t="shared" si="110"/>
        <v>0.44116014696445938</v>
      </c>
      <c r="T804">
        <f t="shared" si="111"/>
        <v>0</v>
      </c>
      <c r="U804">
        <f t="shared" si="112"/>
        <v>0</v>
      </c>
      <c r="V804">
        <f t="shared" si="113"/>
        <v>1</v>
      </c>
      <c r="W804">
        <f t="shared" si="114"/>
        <v>1</v>
      </c>
      <c r="X804">
        <f t="shared" si="115"/>
        <v>0</v>
      </c>
      <c r="Y804">
        <f t="shared" si="116"/>
        <v>0</v>
      </c>
    </row>
    <row r="805" spans="1:25" x14ac:dyDescent="0.3">
      <c r="A805" t="s">
        <v>6395</v>
      </c>
      <c r="B805" t="s">
        <v>6396</v>
      </c>
      <c r="C805" s="1">
        <v>45856</v>
      </c>
      <c r="D805" s="3">
        <v>0.59702546296296299</v>
      </c>
      <c r="E805">
        <f t="shared" si="108"/>
        <v>14</v>
      </c>
      <c r="F805">
        <v>64</v>
      </c>
      <c r="G805" t="s">
        <v>6479</v>
      </c>
      <c r="H805" t="s">
        <v>70</v>
      </c>
      <c r="I805" t="s">
        <v>30</v>
      </c>
      <c r="J805" t="s">
        <v>132</v>
      </c>
      <c r="K805" t="s">
        <v>41</v>
      </c>
      <c r="L805">
        <v>206.48</v>
      </c>
      <c r="M805" t="s">
        <v>115</v>
      </c>
      <c r="N805">
        <f t="shared" si="109"/>
        <v>0</v>
      </c>
      <c r="O805" t="s">
        <v>34</v>
      </c>
      <c r="P805" t="s">
        <v>6397</v>
      </c>
      <c r="Q805">
        <v>0</v>
      </c>
      <c r="R805">
        <v>142</v>
      </c>
      <c r="S805">
        <f t="shared" si="110"/>
        <v>0.44116014696445938</v>
      </c>
      <c r="T805">
        <f t="shared" si="111"/>
        <v>0</v>
      </c>
      <c r="U805">
        <f t="shared" si="112"/>
        <v>0</v>
      </c>
      <c r="V805">
        <f t="shared" si="113"/>
        <v>1</v>
      </c>
      <c r="W805">
        <f t="shared" si="114"/>
        <v>1</v>
      </c>
      <c r="X805">
        <f t="shared" si="115"/>
        <v>0</v>
      </c>
      <c r="Y805">
        <f t="shared" si="116"/>
        <v>0</v>
      </c>
    </row>
    <row r="806" spans="1:25" x14ac:dyDescent="0.3">
      <c r="A806" t="s">
        <v>5903</v>
      </c>
      <c r="B806" t="s">
        <v>5904</v>
      </c>
      <c r="C806" s="1">
        <v>45708</v>
      </c>
      <c r="D806" s="3">
        <v>0.18741898148148148</v>
      </c>
      <c r="E806">
        <f t="shared" si="108"/>
        <v>4</v>
      </c>
      <c r="F806">
        <v>58</v>
      </c>
      <c r="G806" t="s">
        <v>28</v>
      </c>
      <c r="H806" t="s">
        <v>61</v>
      </c>
      <c r="I806" t="s">
        <v>71</v>
      </c>
      <c r="J806" t="s">
        <v>94</v>
      </c>
      <c r="K806" t="s">
        <v>114</v>
      </c>
      <c r="L806">
        <v>206.23</v>
      </c>
      <c r="M806" t="s">
        <v>115</v>
      </c>
      <c r="N806">
        <f t="shared" si="109"/>
        <v>0</v>
      </c>
      <c r="O806" t="s">
        <v>24</v>
      </c>
      <c r="P806" t="s">
        <v>5905</v>
      </c>
      <c r="Q806">
        <v>0</v>
      </c>
      <c r="R806">
        <v>500</v>
      </c>
      <c r="S806">
        <f t="shared" si="110"/>
        <v>0.43769908209543629</v>
      </c>
      <c r="T806">
        <f t="shared" si="111"/>
        <v>0</v>
      </c>
      <c r="U806">
        <f t="shared" si="112"/>
        <v>1</v>
      </c>
      <c r="V806">
        <f t="shared" si="113"/>
        <v>0</v>
      </c>
      <c r="W806">
        <f t="shared" si="114"/>
        <v>2</v>
      </c>
      <c r="X806">
        <f t="shared" si="115"/>
        <v>0</v>
      </c>
      <c r="Y806">
        <f t="shared" si="116"/>
        <v>0</v>
      </c>
    </row>
    <row r="807" spans="1:25" x14ac:dyDescent="0.3">
      <c r="A807" t="s">
        <v>5642</v>
      </c>
      <c r="B807" t="s">
        <v>5643</v>
      </c>
      <c r="C807" s="1">
        <v>45725</v>
      </c>
      <c r="D807" s="3">
        <v>6.2280092592592595E-2</v>
      </c>
      <c r="E807">
        <f t="shared" si="108"/>
        <v>1</v>
      </c>
      <c r="F807">
        <v>19</v>
      </c>
      <c r="G807" t="s">
        <v>6479</v>
      </c>
      <c r="H807" t="s">
        <v>38</v>
      </c>
      <c r="I807" t="s">
        <v>110</v>
      </c>
      <c r="J807" t="s">
        <v>76</v>
      </c>
      <c r="K807" t="s">
        <v>32</v>
      </c>
      <c r="L807">
        <v>206.18</v>
      </c>
      <c r="M807" t="s">
        <v>42</v>
      </c>
      <c r="N807">
        <f t="shared" si="109"/>
        <v>0</v>
      </c>
      <c r="O807" t="s">
        <v>24</v>
      </c>
      <c r="P807" t="s">
        <v>5644</v>
      </c>
      <c r="Q807">
        <v>0</v>
      </c>
      <c r="R807">
        <v>135</v>
      </c>
      <c r="S807">
        <f t="shared" si="110"/>
        <v>0.43700686912163189</v>
      </c>
      <c r="T807">
        <f t="shared" si="111"/>
        <v>0</v>
      </c>
      <c r="U807">
        <f t="shared" si="112"/>
        <v>1</v>
      </c>
      <c r="V807">
        <f t="shared" si="113"/>
        <v>1</v>
      </c>
      <c r="W807">
        <f t="shared" si="114"/>
        <v>3</v>
      </c>
      <c r="X807">
        <f t="shared" si="115"/>
        <v>0</v>
      </c>
      <c r="Y807">
        <f t="shared" si="116"/>
        <v>0</v>
      </c>
    </row>
    <row r="808" spans="1:25" x14ac:dyDescent="0.3">
      <c r="A808" t="s">
        <v>53</v>
      </c>
      <c r="B808" t="s">
        <v>54</v>
      </c>
      <c r="C808" s="1">
        <v>45764</v>
      </c>
      <c r="D808" s="3">
        <v>0.59957175925925921</v>
      </c>
      <c r="E808">
        <f t="shared" si="108"/>
        <v>14</v>
      </c>
      <c r="F808" s="4">
        <v>41</v>
      </c>
      <c r="G808" t="s">
        <v>28</v>
      </c>
      <c r="H808" t="s">
        <v>55</v>
      </c>
      <c r="I808" t="s">
        <v>48</v>
      </c>
      <c r="J808" t="s">
        <v>56</v>
      </c>
      <c r="K808" t="s">
        <v>50</v>
      </c>
      <c r="L808">
        <v>205.86</v>
      </c>
      <c r="M808" t="s">
        <v>42</v>
      </c>
      <c r="N808">
        <f t="shared" si="109"/>
        <v>0</v>
      </c>
      <c r="O808" t="s">
        <v>51</v>
      </c>
      <c r="P808" t="s">
        <v>57</v>
      </c>
      <c r="Q808">
        <v>0</v>
      </c>
      <c r="R808">
        <v>179</v>
      </c>
      <c r="S808">
        <f t="shared" si="110"/>
        <v>0.43257670608928239</v>
      </c>
      <c r="T808">
        <f t="shared" si="111"/>
        <v>0</v>
      </c>
      <c r="U808">
        <f t="shared" si="112"/>
        <v>0</v>
      </c>
      <c r="V808">
        <f t="shared" si="113"/>
        <v>1</v>
      </c>
      <c r="W808">
        <f t="shared" si="114"/>
        <v>1</v>
      </c>
      <c r="X808">
        <f t="shared" si="115"/>
        <v>0</v>
      </c>
      <c r="Y808">
        <f t="shared" si="116"/>
        <v>0</v>
      </c>
    </row>
    <row r="809" spans="1:25" x14ac:dyDescent="0.3">
      <c r="A809" t="s">
        <v>173</v>
      </c>
      <c r="B809" t="s">
        <v>174</v>
      </c>
      <c r="C809" s="1">
        <v>45880</v>
      </c>
      <c r="D809" s="3">
        <v>0.53178240740740745</v>
      </c>
      <c r="E809">
        <f t="shared" si="108"/>
        <v>12</v>
      </c>
      <c r="F809">
        <v>32</v>
      </c>
      <c r="G809" t="s">
        <v>46</v>
      </c>
      <c r="H809" t="s">
        <v>175</v>
      </c>
      <c r="I809" t="s">
        <v>105</v>
      </c>
      <c r="J809" t="s">
        <v>72</v>
      </c>
      <c r="K809" t="s">
        <v>168</v>
      </c>
      <c r="L809">
        <v>205.79</v>
      </c>
      <c r="M809" t="s">
        <v>42</v>
      </c>
      <c r="N809">
        <f t="shared" si="109"/>
        <v>0</v>
      </c>
      <c r="O809" t="s">
        <v>86</v>
      </c>
      <c r="P809" t="s">
        <v>176</v>
      </c>
      <c r="Q809">
        <v>0</v>
      </c>
      <c r="R809">
        <v>194</v>
      </c>
      <c r="S809">
        <f t="shared" si="110"/>
        <v>0.43160760792595559</v>
      </c>
      <c r="T809">
        <f t="shared" si="111"/>
        <v>0</v>
      </c>
      <c r="U809">
        <f t="shared" si="112"/>
        <v>0</v>
      </c>
      <c r="V809">
        <f t="shared" si="113"/>
        <v>1</v>
      </c>
      <c r="W809">
        <f t="shared" si="114"/>
        <v>1</v>
      </c>
      <c r="X809">
        <f t="shared" si="115"/>
        <v>0</v>
      </c>
      <c r="Y809">
        <f t="shared" si="116"/>
        <v>0</v>
      </c>
    </row>
    <row r="810" spans="1:25" x14ac:dyDescent="0.3">
      <c r="A810" t="s">
        <v>407</v>
      </c>
      <c r="B810" t="s">
        <v>408</v>
      </c>
      <c r="C810" s="1">
        <v>45756</v>
      </c>
      <c r="D810" s="3">
        <v>0.64825231481481482</v>
      </c>
      <c r="E810">
        <f t="shared" si="108"/>
        <v>15</v>
      </c>
      <c r="F810">
        <v>22</v>
      </c>
      <c r="G810" t="s">
        <v>46</v>
      </c>
      <c r="H810" t="s">
        <v>312</v>
      </c>
      <c r="I810" t="s">
        <v>105</v>
      </c>
      <c r="J810" t="s">
        <v>49</v>
      </c>
      <c r="K810" t="s">
        <v>114</v>
      </c>
      <c r="L810">
        <v>205.78</v>
      </c>
      <c r="M810" t="s">
        <v>115</v>
      </c>
      <c r="N810">
        <f t="shared" si="109"/>
        <v>0</v>
      </c>
      <c r="O810" t="s">
        <v>51</v>
      </c>
      <c r="P810" t="s">
        <v>409</v>
      </c>
      <c r="Q810">
        <v>0</v>
      </c>
      <c r="R810">
        <v>126</v>
      </c>
      <c r="S810">
        <f t="shared" si="110"/>
        <v>0.43146916533119484</v>
      </c>
      <c r="T810">
        <f t="shared" si="111"/>
        <v>0</v>
      </c>
      <c r="U810">
        <f t="shared" si="112"/>
        <v>0</v>
      </c>
      <c r="V810">
        <f t="shared" si="113"/>
        <v>1</v>
      </c>
      <c r="W810">
        <f t="shared" si="114"/>
        <v>1</v>
      </c>
      <c r="X810">
        <f t="shared" si="115"/>
        <v>0</v>
      </c>
      <c r="Y810">
        <f t="shared" si="116"/>
        <v>0</v>
      </c>
    </row>
    <row r="811" spans="1:25" x14ac:dyDescent="0.3">
      <c r="A811" t="s">
        <v>2348</v>
      </c>
      <c r="B811" t="s">
        <v>2349</v>
      </c>
      <c r="C811" s="1">
        <v>45781</v>
      </c>
      <c r="D811" s="3">
        <v>0.71881944444444446</v>
      </c>
      <c r="E811">
        <f t="shared" si="108"/>
        <v>17</v>
      </c>
      <c r="F811">
        <v>23</v>
      </c>
      <c r="G811" t="s">
        <v>28</v>
      </c>
      <c r="H811" t="s">
        <v>61</v>
      </c>
      <c r="I811" t="s">
        <v>71</v>
      </c>
      <c r="J811" t="s">
        <v>132</v>
      </c>
      <c r="K811" t="s">
        <v>114</v>
      </c>
      <c r="L811">
        <v>205.64</v>
      </c>
      <c r="M811" t="s">
        <v>42</v>
      </c>
      <c r="N811">
        <f t="shared" si="109"/>
        <v>0</v>
      </c>
      <c r="O811" t="s">
        <v>51</v>
      </c>
      <c r="P811" t="s">
        <v>2350</v>
      </c>
      <c r="Q811">
        <v>0</v>
      </c>
      <c r="R811">
        <v>76</v>
      </c>
      <c r="S811">
        <f t="shared" si="110"/>
        <v>0.42953096900454169</v>
      </c>
      <c r="T811">
        <f t="shared" si="111"/>
        <v>0</v>
      </c>
      <c r="U811">
        <f t="shared" si="112"/>
        <v>0</v>
      </c>
      <c r="V811">
        <f t="shared" si="113"/>
        <v>1</v>
      </c>
      <c r="W811">
        <f t="shared" si="114"/>
        <v>1</v>
      </c>
      <c r="X811">
        <f t="shared" si="115"/>
        <v>0</v>
      </c>
      <c r="Y811">
        <f t="shared" si="116"/>
        <v>0</v>
      </c>
    </row>
    <row r="812" spans="1:25" x14ac:dyDescent="0.3">
      <c r="A812" t="s">
        <v>2279</v>
      </c>
      <c r="B812" t="s">
        <v>2280</v>
      </c>
      <c r="C812" s="1">
        <v>45712</v>
      </c>
      <c r="D812" s="3">
        <v>0.88072916666666667</v>
      </c>
      <c r="E812">
        <f t="shared" si="108"/>
        <v>21</v>
      </c>
      <c r="F812">
        <v>27</v>
      </c>
      <c r="G812" t="s">
        <v>6479</v>
      </c>
      <c r="H812" t="s">
        <v>29</v>
      </c>
      <c r="I812" t="s">
        <v>66</v>
      </c>
      <c r="J812" t="s">
        <v>40</v>
      </c>
      <c r="K812" t="s">
        <v>114</v>
      </c>
      <c r="L812">
        <v>205.62</v>
      </c>
      <c r="M812" t="s">
        <v>115</v>
      </c>
      <c r="N812">
        <f t="shared" si="109"/>
        <v>0</v>
      </c>
      <c r="O812" t="s">
        <v>86</v>
      </c>
      <c r="P812" t="s">
        <v>2281</v>
      </c>
      <c r="Q812">
        <v>0</v>
      </c>
      <c r="R812">
        <v>315</v>
      </c>
      <c r="S812">
        <f t="shared" si="110"/>
        <v>0.42925408381502006</v>
      </c>
      <c r="T812">
        <f t="shared" si="111"/>
        <v>0</v>
      </c>
      <c r="U812">
        <f t="shared" si="112"/>
        <v>0</v>
      </c>
      <c r="V812">
        <f t="shared" si="113"/>
        <v>0</v>
      </c>
      <c r="W812">
        <f t="shared" si="114"/>
        <v>0</v>
      </c>
      <c r="X812">
        <f t="shared" si="115"/>
        <v>0</v>
      </c>
      <c r="Y812">
        <f t="shared" si="116"/>
        <v>0</v>
      </c>
    </row>
    <row r="813" spans="1:25" x14ac:dyDescent="0.3">
      <c r="A813" t="s">
        <v>2231</v>
      </c>
      <c r="B813" t="s">
        <v>2232</v>
      </c>
      <c r="C813" s="1">
        <v>45785</v>
      </c>
      <c r="D813" s="3">
        <v>0.72407407407407409</v>
      </c>
      <c r="E813">
        <f t="shared" si="108"/>
        <v>17</v>
      </c>
      <c r="F813">
        <v>26</v>
      </c>
      <c r="G813" t="s">
        <v>60</v>
      </c>
      <c r="H813" t="s">
        <v>38</v>
      </c>
      <c r="I813" t="s">
        <v>48</v>
      </c>
      <c r="J813" t="s">
        <v>127</v>
      </c>
      <c r="K813" t="s">
        <v>168</v>
      </c>
      <c r="L813">
        <v>205.35</v>
      </c>
      <c r="M813" t="s">
        <v>42</v>
      </c>
      <c r="N813">
        <f t="shared" si="109"/>
        <v>0</v>
      </c>
      <c r="O813" t="s">
        <v>86</v>
      </c>
      <c r="P813" t="s">
        <v>2233</v>
      </c>
      <c r="Q813">
        <v>0</v>
      </c>
      <c r="R813">
        <v>231</v>
      </c>
      <c r="S813">
        <f t="shared" si="110"/>
        <v>0.42551613375647496</v>
      </c>
      <c r="T813">
        <f t="shared" si="111"/>
        <v>0</v>
      </c>
      <c r="U813">
        <f t="shared" si="112"/>
        <v>0</v>
      </c>
      <c r="V813">
        <f t="shared" si="113"/>
        <v>1</v>
      </c>
      <c r="W813">
        <f t="shared" si="114"/>
        <v>1</v>
      </c>
      <c r="X813">
        <f t="shared" si="115"/>
        <v>0</v>
      </c>
      <c r="Y813">
        <f t="shared" si="116"/>
        <v>0</v>
      </c>
    </row>
    <row r="814" spans="1:25" x14ac:dyDescent="0.3">
      <c r="A814" t="s">
        <v>5402</v>
      </c>
      <c r="B814" t="s">
        <v>5403</v>
      </c>
      <c r="C814" s="1">
        <v>45859</v>
      </c>
      <c r="D814" s="3">
        <v>0.20577546296296295</v>
      </c>
      <c r="E814">
        <f t="shared" si="108"/>
        <v>4</v>
      </c>
      <c r="F814">
        <v>43</v>
      </c>
      <c r="G814" t="s">
        <v>28</v>
      </c>
      <c r="H814" t="s">
        <v>189</v>
      </c>
      <c r="I814" t="s">
        <v>71</v>
      </c>
      <c r="J814" t="s">
        <v>40</v>
      </c>
      <c r="K814" t="s">
        <v>95</v>
      </c>
      <c r="L814">
        <v>205.34</v>
      </c>
      <c r="M814" t="s">
        <v>42</v>
      </c>
      <c r="N814">
        <f t="shared" si="109"/>
        <v>0</v>
      </c>
      <c r="O814" t="s">
        <v>51</v>
      </c>
      <c r="P814" t="s">
        <v>5404</v>
      </c>
      <c r="Q814">
        <v>0</v>
      </c>
      <c r="R814">
        <v>211</v>
      </c>
      <c r="S814">
        <f t="shared" si="110"/>
        <v>0.42537769116171414</v>
      </c>
      <c r="T814">
        <f t="shared" si="111"/>
        <v>0</v>
      </c>
      <c r="U814">
        <f t="shared" si="112"/>
        <v>1</v>
      </c>
      <c r="V814">
        <f t="shared" si="113"/>
        <v>1</v>
      </c>
      <c r="W814">
        <f t="shared" si="114"/>
        <v>3</v>
      </c>
      <c r="X814">
        <f t="shared" si="115"/>
        <v>0</v>
      </c>
      <c r="Y814">
        <f t="shared" si="116"/>
        <v>0</v>
      </c>
    </row>
    <row r="815" spans="1:25" x14ac:dyDescent="0.3">
      <c r="A815" t="s">
        <v>3296</v>
      </c>
      <c r="B815" t="s">
        <v>3297</v>
      </c>
      <c r="C815" s="1">
        <v>45840</v>
      </c>
      <c r="D815" s="3">
        <v>0.28105324074074073</v>
      </c>
      <c r="E815">
        <f t="shared" si="108"/>
        <v>6</v>
      </c>
      <c r="F815">
        <v>56</v>
      </c>
      <c r="G815" t="s">
        <v>46</v>
      </c>
      <c r="H815" t="s">
        <v>142</v>
      </c>
      <c r="I815" t="s">
        <v>105</v>
      </c>
      <c r="J815" t="s">
        <v>94</v>
      </c>
      <c r="K815" t="s">
        <v>62</v>
      </c>
      <c r="L815">
        <v>205.3</v>
      </c>
      <c r="M815" t="s">
        <v>115</v>
      </c>
      <c r="N815">
        <f t="shared" si="109"/>
        <v>0</v>
      </c>
      <c r="O815" t="s">
        <v>34</v>
      </c>
      <c r="P815" t="s">
        <v>3298</v>
      </c>
      <c r="Q815">
        <v>0</v>
      </c>
      <c r="R815">
        <v>202</v>
      </c>
      <c r="S815">
        <f t="shared" si="110"/>
        <v>0.42482392078267056</v>
      </c>
      <c r="T815">
        <f t="shared" si="111"/>
        <v>0</v>
      </c>
      <c r="U815">
        <f t="shared" si="112"/>
        <v>0</v>
      </c>
      <c r="V815">
        <f t="shared" si="113"/>
        <v>1</v>
      </c>
      <c r="W815">
        <f t="shared" si="114"/>
        <v>1</v>
      </c>
      <c r="X815">
        <f t="shared" si="115"/>
        <v>0</v>
      </c>
      <c r="Y815">
        <f t="shared" si="116"/>
        <v>0</v>
      </c>
    </row>
    <row r="816" spans="1:25" x14ac:dyDescent="0.3">
      <c r="A816" t="s">
        <v>6248</v>
      </c>
      <c r="B816" t="s">
        <v>6249</v>
      </c>
      <c r="C816" s="1">
        <v>45713</v>
      </c>
      <c r="D816" s="3">
        <v>0.38271990740740741</v>
      </c>
      <c r="E816">
        <f t="shared" si="108"/>
        <v>9</v>
      </c>
      <c r="F816">
        <v>29</v>
      </c>
      <c r="G816" t="s">
        <v>6479</v>
      </c>
      <c r="H816" t="s">
        <v>19</v>
      </c>
      <c r="I816" t="s">
        <v>48</v>
      </c>
      <c r="J816" t="s">
        <v>31</v>
      </c>
      <c r="K816" t="s">
        <v>32</v>
      </c>
      <c r="L816">
        <v>205.27</v>
      </c>
      <c r="M816" t="s">
        <v>115</v>
      </c>
      <c r="N816">
        <f t="shared" si="109"/>
        <v>0</v>
      </c>
      <c r="O816" t="s">
        <v>24</v>
      </c>
      <c r="P816" t="s">
        <v>6250</v>
      </c>
      <c r="Q816">
        <v>0</v>
      </c>
      <c r="R816">
        <v>365</v>
      </c>
      <c r="S816">
        <f t="shared" si="110"/>
        <v>0.42440859299838779</v>
      </c>
      <c r="T816">
        <f t="shared" si="111"/>
        <v>0</v>
      </c>
      <c r="U816">
        <f t="shared" si="112"/>
        <v>0</v>
      </c>
      <c r="V816">
        <f t="shared" si="113"/>
        <v>0</v>
      </c>
      <c r="W816">
        <f t="shared" si="114"/>
        <v>0</v>
      </c>
      <c r="X816">
        <f t="shared" si="115"/>
        <v>0</v>
      </c>
      <c r="Y816">
        <f t="shared" si="116"/>
        <v>0</v>
      </c>
    </row>
    <row r="817" spans="1:25" x14ac:dyDescent="0.3">
      <c r="A817" t="s">
        <v>2369</v>
      </c>
      <c r="B817" t="s">
        <v>2370</v>
      </c>
      <c r="C817" s="1">
        <v>45798</v>
      </c>
      <c r="D817" s="3">
        <v>0.77587962962962964</v>
      </c>
      <c r="E817">
        <f t="shared" si="108"/>
        <v>18</v>
      </c>
      <c r="F817">
        <v>20</v>
      </c>
      <c r="G817" t="s">
        <v>60</v>
      </c>
      <c r="H817" t="s">
        <v>29</v>
      </c>
      <c r="I817" t="s">
        <v>119</v>
      </c>
      <c r="J817" t="s">
        <v>56</v>
      </c>
      <c r="K817" t="s">
        <v>62</v>
      </c>
      <c r="L817">
        <v>205.24</v>
      </c>
      <c r="M817" t="s">
        <v>33</v>
      </c>
      <c r="N817">
        <f t="shared" si="109"/>
        <v>0</v>
      </c>
      <c r="O817" t="s">
        <v>24</v>
      </c>
      <c r="P817" t="s">
        <v>2371</v>
      </c>
      <c r="Q817">
        <v>0</v>
      </c>
      <c r="R817">
        <v>410</v>
      </c>
      <c r="S817">
        <f t="shared" si="110"/>
        <v>0.42399326521410502</v>
      </c>
      <c r="T817">
        <f t="shared" si="111"/>
        <v>0</v>
      </c>
      <c r="U817">
        <f t="shared" si="112"/>
        <v>0</v>
      </c>
      <c r="V817">
        <f t="shared" si="113"/>
        <v>0</v>
      </c>
      <c r="W817">
        <f t="shared" si="114"/>
        <v>0</v>
      </c>
      <c r="X817">
        <f t="shared" si="115"/>
        <v>0</v>
      </c>
      <c r="Y817">
        <f t="shared" si="116"/>
        <v>0</v>
      </c>
    </row>
    <row r="818" spans="1:25" x14ac:dyDescent="0.3">
      <c r="A818" t="s">
        <v>2201</v>
      </c>
      <c r="B818" t="s">
        <v>2202</v>
      </c>
      <c r="C818" s="1">
        <v>45811</v>
      </c>
      <c r="D818" s="3">
        <v>0.72847222222222219</v>
      </c>
      <c r="E818">
        <f t="shared" si="108"/>
        <v>17</v>
      </c>
      <c r="F818">
        <v>53</v>
      </c>
      <c r="G818" t="s">
        <v>18</v>
      </c>
      <c r="H818" t="s">
        <v>189</v>
      </c>
      <c r="I818" t="s">
        <v>71</v>
      </c>
      <c r="J818" t="s">
        <v>132</v>
      </c>
      <c r="K818" t="s">
        <v>22</v>
      </c>
      <c r="L818">
        <v>205.01</v>
      </c>
      <c r="M818" t="s">
        <v>23</v>
      </c>
      <c r="N818">
        <f t="shared" si="109"/>
        <v>0</v>
      </c>
      <c r="O818" t="s">
        <v>51</v>
      </c>
      <c r="P818" t="s">
        <v>2203</v>
      </c>
      <c r="Q818">
        <v>0</v>
      </c>
      <c r="R818">
        <v>86</v>
      </c>
      <c r="S818">
        <f t="shared" si="110"/>
        <v>0.4208090855346035</v>
      </c>
      <c r="T818">
        <f t="shared" si="111"/>
        <v>0</v>
      </c>
      <c r="U818">
        <f t="shared" si="112"/>
        <v>0</v>
      </c>
      <c r="V818">
        <f t="shared" si="113"/>
        <v>1</v>
      </c>
      <c r="W818">
        <f t="shared" si="114"/>
        <v>1</v>
      </c>
      <c r="X818">
        <f t="shared" si="115"/>
        <v>0</v>
      </c>
      <c r="Y818">
        <f t="shared" si="116"/>
        <v>0</v>
      </c>
    </row>
    <row r="819" spans="1:25" x14ac:dyDescent="0.3">
      <c r="A819" t="s">
        <v>1511</v>
      </c>
      <c r="B819" t="s">
        <v>1512</v>
      </c>
      <c r="C819" s="1">
        <v>45759</v>
      </c>
      <c r="D819" s="3">
        <v>0.4760300925925926</v>
      </c>
      <c r="E819">
        <f t="shared" si="108"/>
        <v>11</v>
      </c>
      <c r="F819">
        <v>29</v>
      </c>
      <c r="G819" t="s">
        <v>18</v>
      </c>
      <c r="H819" t="s">
        <v>175</v>
      </c>
      <c r="I819" t="s">
        <v>66</v>
      </c>
      <c r="J819" t="s">
        <v>49</v>
      </c>
      <c r="K819" t="s">
        <v>32</v>
      </c>
      <c r="L819">
        <v>204.99</v>
      </c>
      <c r="M819" t="s">
        <v>115</v>
      </c>
      <c r="N819">
        <f t="shared" si="109"/>
        <v>0</v>
      </c>
      <c r="O819" t="s">
        <v>86</v>
      </c>
      <c r="P819" t="s">
        <v>1513</v>
      </c>
      <c r="Q819">
        <v>0</v>
      </c>
      <c r="R819">
        <v>122</v>
      </c>
      <c r="S819">
        <f t="shared" si="110"/>
        <v>0.42053220034508187</v>
      </c>
      <c r="T819">
        <f t="shared" si="111"/>
        <v>0</v>
      </c>
      <c r="U819">
        <f t="shared" si="112"/>
        <v>0</v>
      </c>
      <c r="V819">
        <f t="shared" si="113"/>
        <v>1</v>
      </c>
      <c r="W819">
        <f t="shared" si="114"/>
        <v>1</v>
      </c>
      <c r="X819">
        <f t="shared" si="115"/>
        <v>0</v>
      </c>
      <c r="Y819">
        <f t="shared" si="116"/>
        <v>0</v>
      </c>
    </row>
    <row r="820" spans="1:25" x14ac:dyDescent="0.3">
      <c r="A820" t="s">
        <v>5477</v>
      </c>
      <c r="B820" t="s">
        <v>5478</v>
      </c>
      <c r="C820" s="1">
        <v>45712</v>
      </c>
      <c r="D820" s="3">
        <v>0.32478009259259261</v>
      </c>
      <c r="E820">
        <f t="shared" si="108"/>
        <v>7</v>
      </c>
      <c r="F820">
        <v>61</v>
      </c>
      <c r="G820" t="s">
        <v>18</v>
      </c>
      <c r="H820" t="s">
        <v>90</v>
      </c>
      <c r="I820" t="s">
        <v>20</v>
      </c>
      <c r="J820" t="s">
        <v>76</v>
      </c>
      <c r="K820" t="s">
        <v>101</v>
      </c>
      <c r="L820">
        <v>204.79</v>
      </c>
      <c r="M820" t="s">
        <v>115</v>
      </c>
      <c r="N820">
        <f t="shared" si="109"/>
        <v>0</v>
      </c>
      <c r="O820" t="s">
        <v>51</v>
      </c>
      <c r="P820" t="s">
        <v>5479</v>
      </c>
      <c r="Q820">
        <v>0</v>
      </c>
      <c r="R820">
        <v>377</v>
      </c>
      <c r="S820">
        <f t="shared" si="110"/>
        <v>0.41776334844986318</v>
      </c>
      <c r="T820">
        <f t="shared" si="111"/>
        <v>0</v>
      </c>
      <c r="U820">
        <f t="shared" si="112"/>
        <v>0</v>
      </c>
      <c r="V820">
        <f t="shared" si="113"/>
        <v>0</v>
      </c>
      <c r="W820">
        <f t="shared" si="114"/>
        <v>0</v>
      </c>
      <c r="X820">
        <f t="shared" si="115"/>
        <v>0</v>
      </c>
      <c r="Y820">
        <f t="shared" si="116"/>
        <v>0</v>
      </c>
    </row>
    <row r="821" spans="1:25" x14ac:dyDescent="0.3">
      <c r="A821" t="s">
        <v>4670</v>
      </c>
      <c r="B821" t="s">
        <v>4671</v>
      </c>
      <c r="C821" s="1">
        <v>45872</v>
      </c>
      <c r="D821" s="3">
        <v>0.1305324074074074</v>
      </c>
      <c r="E821">
        <f t="shared" si="108"/>
        <v>3</v>
      </c>
      <c r="F821">
        <v>30</v>
      </c>
      <c r="G821" t="s">
        <v>46</v>
      </c>
      <c r="H821" t="s">
        <v>185</v>
      </c>
      <c r="I821" t="s">
        <v>71</v>
      </c>
      <c r="J821" t="s">
        <v>56</v>
      </c>
      <c r="K821" t="s">
        <v>101</v>
      </c>
      <c r="L821">
        <v>204.67</v>
      </c>
      <c r="M821" t="s">
        <v>33</v>
      </c>
      <c r="N821">
        <f t="shared" si="109"/>
        <v>0</v>
      </c>
      <c r="O821" t="s">
        <v>51</v>
      </c>
      <c r="P821" t="s">
        <v>4672</v>
      </c>
      <c r="Q821">
        <v>0</v>
      </c>
      <c r="R821">
        <v>205</v>
      </c>
      <c r="S821">
        <f t="shared" si="110"/>
        <v>0.41610203731273199</v>
      </c>
      <c r="T821">
        <f t="shared" si="111"/>
        <v>0</v>
      </c>
      <c r="U821">
        <f t="shared" si="112"/>
        <v>1</v>
      </c>
      <c r="V821">
        <f t="shared" si="113"/>
        <v>1</v>
      </c>
      <c r="W821">
        <f t="shared" si="114"/>
        <v>3</v>
      </c>
      <c r="X821">
        <f t="shared" si="115"/>
        <v>0</v>
      </c>
      <c r="Y821">
        <f t="shared" si="116"/>
        <v>0</v>
      </c>
    </row>
    <row r="822" spans="1:25" x14ac:dyDescent="0.3">
      <c r="A822" t="s">
        <v>5600</v>
      </c>
      <c r="B822" t="s">
        <v>5601</v>
      </c>
      <c r="C822" s="1">
        <v>45802</v>
      </c>
      <c r="D822" s="3">
        <v>0.37524305555555554</v>
      </c>
      <c r="E822">
        <f t="shared" si="108"/>
        <v>9</v>
      </c>
      <c r="F822">
        <v>63</v>
      </c>
      <c r="G822" t="s">
        <v>28</v>
      </c>
      <c r="H822" t="s">
        <v>19</v>
      </c>
      <c r="I822" t="s">
        <v>30</v>
      </c>
      <c r="J822" t="s">
        <v>40</v>
      </c>
      <c r="K822" t="s">
        <v>95</v>
      </c>
      <c r="L822">
        <v>204.48</v>
      </c>
      <c r="M822" t="s">
        <v>115</v>
      </c>
      <c r="N822">
        <f t="shared" si="109"/>
        <v>0</v>
      </c>
      <c r="O822" t="s">
        <v>86</v>
      </c>
      <c r="P822" t="s">
        <v>5602</v>
      </c>
      <c r="Q822">
        <v>1</v>
      </c>
      <c r="R822">
        <v>169</v>
      </c>
      <c r="S822">
        <f t="shared" si="110"/>
        <v>0.41347162801227449</v>
      </c>
      <c r="T822">
        <f t="shared" si="111"/>
        <v>0</v>
      </c>
      <c r="U822">
        <f t="shared" si="112"/>
        <v>0</v>
      </c>
      <c r="V822">
        <f t="shared" si="113"/>
        <v>1</v>
      </c>
      <c r="W822">
        <f t="shared" si="114"/>
        <v>1</v>
      </c>
      <c r="X822">
        <f t="shared" si="115"/>
        <v>0</v>
      </c>
      <c r="Y822">
        <f t="shared" si="116"/>
        <v>0</v>
      </c>
    </row>
    <row r="823" spans="1:25" x14ac:dyDescent="0.3">
      <c r="A823" t="s">
        <v>659</v>
      </c>
      <c r="B823" t="s">
        <v>660</v>
      </c>
      <c r="C823" s="1">
        <v>45719</v>
      </c>
      <c r="D823" s="3">
        <v>0.2854976851851852</v>
      </c>
      <c r="E823">
        <f t="shared" si="108"/>
        <v>6</v>
      </c>
      <c r="F823">
        <v>59</v>
      </c>
      <c r="G823" t="s">
        <v>46</v>
      </c>
      <c r="H823" t="s">
        <v>131</v>
      </c>
      <c r="I823" t="s">
        <v>20</v>
      </c>
      <c r="J823" t="s">
        <v>72</v>
      </c>
      <c r="K823" t="s">
        <v>101</v>
      </c>
      <c r="L823">
        <v>204.32</v>
      </c>
      <c r="M823" t="s">
        <v>33</v>
      </c>
      <c r="N823">
        <f t="shared" si="109"/>
        <v>0</v>
      </c>
      <c r="O823" t="s">
        <v>51</v>
      </c>
      <c r="P823" t="s">
        <v>661</v>
      </c>
      <c r="Q823">
        <v>0</v>
      </c>
      <c r="R823">
        <v>110</v>
      </c>
      <c r="S823">
        <f t="shared" si="110"/>
        <v>0.41125654649609972</v>
      </c>
      <c r="T823">
        <f t="shared" si="111"/>
        <v>0</v>
      </c>
      <c r="U823">
        <f t="shared" si="112"/>
        <v>0</v>
      </c>
      <c r="V823">
        <f t="shared" si="113"/>
        <v>1</v>
      </c>
      <c r="W823">
        <f t="shared" si="114"/>
        <v>1</v>
      </c>
      <c r="X823">
        <f t="shared" si="115"/>
        <v>0</v>
      </c>
      <c r="Y823">
        <f t="shared" si="116"/>
        <v>0</v>
      </c>
    </row>
    <row r="824" spans="1:25" x14ac:dyDescent="0.3">
      <c r="A824" t="s">
        <v>5510</v>
      </c>
      <c r="B824" t="s">
        <v>5511</v>
      </c>
      <c r="C824" s="1">
        <v>45801</v>
      </c>
      <c r="D824" s="3">
        <v>0.31062499999999998</v>
      </c>
      <c r="E824">
        <f t="shared" si="108"/>
        <v>7</v>
      </c>
      <c r="F824">
        <v>20</v>
      </c>
      <c r="G824" t="s">
        <v>18</v>
      </c>
      <c r="H824" t="s">
        <v>55</v>
      </c>
      <c r="I824" t="s">
        <v>71</v>
      </c>
      <c r="J824" t="s">
        <v>40</v>
      </c>
      <c r="K824" t="s">
        <v>120</v>
      </c>
      <c r="L824">
        <v>204.18</v>
      </c>
      <c r="M824" t="s">
        <v>33</v>
      </c>
      <c r="N824">
        <f t="shared" si="109"/>
        <v>0</v>
      </c>
      <c r="O824" t="s">
        <v>24</v>
      </c>
      <c r="P824" t="s">
        <v>5512</v>
      </c>
      <c r="Q824">
        <v>0</v>
      </c>
      <c r="R824">
        <v>247</v>
      </c>
      <c r="S824">
        <f t="shared" si="110"/>
        <v>0.40931835016944695</v>
      </c>
      <c r="T824">
        <f t="shared" si="111"/>
        <v>0</v>
      </c>
      <c r="U824">
        <f t="shared" si="112"/>
        <v>0</v>
      </c>
      <c r="V824">
        <f t="shared" si="113"/>
        <v>1</v>
      </c>
      <c r="W824">
        <f t="shared" si="114"/>
        <v>1</v>
      </c>
      <c r="X824">
        <f t="shared" si="115"/>
        <v>0</v>
      </c>
      <c r="Y824">
        <f t="shared" si="116"/>
        <v>0</v>
      </c>
    </row>
    <row r="825" spans="1:25" x14ac:dyDescent="0.3">
      <c r="A825" t="s">
        <v>6392</v>
      </c>
      <c r="B825" t="s">
        <v>6393</v>
      </c>
      <c r="C825" s="1">
        <v>45816</v>
      </c>
      <c r="D825" s="3">
        <v>0.93687500000000001</v>
      </c>
      <c r="E825">
        <f t="shared" si="108"/>
        <v>22</v>
      </c>
      <c r="F825">
        <v>48</v>
      </c>
      <c r="G825" t="s">
        <v>18</v>
      </c>
      <c r="H825" t="s">
        <v>189</v>
      </c>
      <c r="I825" t="s">
        <v>119</v>
      </c>
      <c r="J825" t="s">
        <v>76</v>
      </c>
      <c r="K825" t="s">
        <v>41</v>
      </c>
      <c r="L825">
        <v>204.18</v>
      </c>
      <c r="M825" t="s">
        <v>42</v>
      </c>
      <c r="N825">
        <f t="shared" si="109"/>
        <v>0</v>
      </c>
      <c r="O825" t="s">
        <v>24</v>
      </c>
      <c r="P825" t="s">
        <v>6394</v>
      </c>
      <c r="Q825">
        <v>0</v>
      </c>
      <c r="R825">
        <v>500</v>
      </c>
      <c r="S825">
        <f t="shared" si="110"/>
        <v>0.40931835016944695</v>
      </c>
      <c r="T825">
        <f t="shared" si="111"/>
        <v>0</v>
      </c>
      <c r="U825">
        <f t="shared" si="112"/>
        <v>0</v>
      </c>
      <c r="V825">
        <f t="shared" si="113"/>
        <v>0</v>
      </c>
      <c r="W825">
        <f t="shared" si="114"/>
        <v>0</v>
      </c>
      <c r="X825">
        <f t="shared" si="115"/>
        <v>0</v>
      </c>
      <c r="Y825">
        <f t="shared" si="116"/>
        <v>0</v>
      </c>
    </row>
    <row r="826" spans="1:25" x14ac:dyDescent="0.3">
      <c r="A826" t="s">
        <v>6098</v>
      </c>
      <c r="B826" t="s">
        <v>6099</v>
      </c>
      <c r="C826" s="1">
        <v>45808</v>
      </c>
      <c r="D826" s="3">
        <v>0.92947916666666663</v>
      </c>
      <c r="E826">
        <f t="shared" si="108"/>
        <v>22</v>
      </c>
      <c r="F826">
        <v>32</v>
      </c>
      <c r="G826" t="s">
        <v>60</v>
      </c>
      <c r="H826" t="s">
        <v>189</v>
      </c>
      <c r="I826" t="s">
        <v>119</v>
      </c>
      <c r="J826" t="s">
        <v>56</v>
      </c>
      <c r="K826" t="s">
        <v>22</v>
      </c>
      <c r="L826">
        <v>204.07</v>
      </c>
      <c r="M826" t="s">
        <v>42</v>
      </c>
      <c r="N826">
        <f t="shared" si="109"/>
        <v>0</v>
      </c>
      <c r="O826" t="s">
        <v>86</v>
      </c>
      <c r="P826" t="s">
        <v>6100</v>
      </c>
      <c r="Q826">
        <v>0</v>
      </c>
      <c r="R826">
        <v>160</v>
      </c>
      <c r="S826">
        <f t="shared" si="110"/>
        <v>0.40779548162707663</v>
      </c>
      <c r="T826">
        <f t="shared" si="111"/>
        <v>0</v>
      </c>
      <c r="U826">
        <f t="shared" si="112"/>
        <v>0</v>
      </c>
      <c r="V826">
        <f t="shared" si="113"/>
        <v>1</v>
      </c>
      <c r="W826">
        <f t="shared" si="114"/>
        <v>1</v>
      </c>
      <c r="X826">
        <f t="shared" si="115"/>
        <v>0</v>
      </c>
      <c r="Y826">
        <f t="shared" si="116"/>
        <v>0</v>
      </c>
    </row>
    <row r="827" spans="1:25" x14ac:dyDescent="0.3">
      <c r="A827" t="s">
        <v>4289</v>
      </c>
      <c r="B827" t="s">
        <v>4290</v>
      </c>
      <c r="C827" s="1">
        <v>45815</v>
      </c>
      <c r="D827" s="3">
        <v>0.75628472222222221</v>
      </c>
      <c r="E827">
        <f t="shared" si="108"/>
        <v>18</v>
      </c>
      <c r="F827">
        <v>18</v>
      </c>
      <c r="G827" t="s">
        <v>46</v>
      </c>
      <c r="H827" t="s">
        <v>142</v>
      </c>
      <c r="I827" t="s">
        <v>85</v>
      </c>
      <c r="J827" t="s">
        <v>56</v>
      </c>
      <c r="K827" t="s">
        <v>22</v>
      </c>
      <c r="L827">
        <v>203.98</v>
      </c>
      <c r="M827" t="s">
        <v>33</v>
      </c>
      <c r="N827">
        <f t="shared" si="109"/>
        <v>0</v>
      </c>
      <c r="O827" t="s">
        <v>86</v>
      </c>
      <c r="P827" t="s">
        <v>4291</v>
      </c>
      <c r="Q827">
        <v>0</v>
      </c>
      <c r="R827">
        <v>353</v>
      </c>
      <c r="S827">
        <f t="shared" si="110"/>
        <v>0.40654949827422826</v>
      </c>
      <c r="T827">
        <f t="shared" si="111"/>
        <v>0</v>
      </c>
      <c r="U827">
        <f t="shared" si="112"/>
        <v>0</v>
      </c>
      <c r="V827">
        <f t="shared" si="113"/>
        <v>0</v>
      </c>
      <c r="W827">
        <f t="shared" si="114"/>
        <v>0</v>
      </c>
      <c r="X827">
        <f t="shared" si="115"/>
        <v>0</v>
      </c>
      <c r="Y827">
        <f t="shared" si="116"/>
        <v>0</v>
      </c>
    </row>
    <row r="828" spans="1:25" x14ac:dyDescent="0.3">
      <c r="A828" t="s">
        <v>4508</v>
      </c>
      <c r="B828" t="s">
        <v>4509</v>
      </c>
      <c r="C828" s="1">
        <v>45870</v>
      </c>
      <c r="D828" s="3">
        <v>0.6796875</v>
      </c>
      <c r="E828">
        <f t="shared" si="108"/>
        <v>16</v>
      </c>
      <c r="F828">
        <v>29</v>
      </c>
      <c r="G828" t="s">
        <v>99</v>
      </c>
      <c r="H828" t="s">
        <v>167</v>
      </c>
      <c r="I828" t="s">
        <v>71</v>
      </c>
      <c r="J828" t="s">
        <v>127</v>
      </c>
      <c r="K828" t="s">
        <v>50</v>
      </c>
      <c r="L828">
        <v>203.94</v>
      </c>
      <c r="M828" t="s">
        <v>115</v>
      </c>
      <c r="N828">
        <f t="shared" si="109"/>
        <v>0</v>
      </c>
      <c r="O828" t="s">
        <v>86</v>
      </c>
      <c r="P828" t="s">
        <v>4510</v>
      </c>
      <c r="Q828">
        <v>0</v>
      </c>
      <c r="R828">
        <v>290</v>
      </c>
      <c r="S828">
        <f t="shared" si="110"/>
        <v>0.40599572789518468</v>
      </c>
      <c r="T828">
        <f t="shared" si="111"/>
        <v>0</v>
      </c>
      <c r="U828">
        <f t="shared" si="112"/>
        <v>0</v>
      </c>
      <c r="V828">
        <f t="shared" si="113"/>
        <v>0</v>
      </c>
      <c r="W828">
        <f t="shared" si="114"/>
        <v>0</v>
      </c>
      <c r="X828">
        <f t="shared" si="115"/>
        <v>0</v>
      </c>
      <c r="Y828">
        <f t="shared" si="116"/>
        <v>0</v>
      </c>
    </row>
    <row r="829" spans="1:25" x14ac:dyDescent="0.3">
      <c r="A829" t="s">
        <v>5183</v>
      </c>
      <c r="B829" t="s">
        <v>5184</v>
      </c>
      <c r="C829" s="1">
        <v>45813</v>
      </c>
      <c r="D829" s="3">
        <v>0.61541666666666661</v>
      </c>
      <c r="E829">
        <f t="shared" si="108"/>
        <v>14</v>
      </c>
      <c r="F829">
        <v>49</v>
      </c>
      <c r="G829" t="s">
        <v>60</v>
      </c>
      <c r="H829" t="s">
        <v>175</v>
      </c>
      <c r="I829" t="s">
        <v>85</v>
      </c>
      <c r="J829" t="s">
        <v>127</v>
      </c>
      <c r="K829" t="s">
        <v>168</v>
      </c>
      <c r="L829">
        <v>203.88</v>
      </c>
      <c r="M829" t="s">
        <v>42</v>
      </c>
      <c r="N829">
        <f t="shared" si="109"/>
        <v>0</v>
      </c>
      <c r="O829" t="s">
        <v>51</v>
      </c>
      <c r="P829" t="s">
        <v>5185</v>
      </c>
      <c r="Q829">
        <v>0</v>
      </c>
      <c r="R829">
        <v>318</v>
      </c>
      <c r="S829">
        <f t="shared" si="110"/>
        <v>0.40516507232661908</v>
      </c>
      <c r="T829">
        <f t="shared" si="111"/>
        <v>0</v>
      </c>
      <c r="U829">
        <f t="shared" si="112"/>
        <v>0</v>
      </c>
      <c r="V829">
        <f t="shared" si="113"/>
        <v>0</v>
      </c>
      <c r="W829">
        <f t="shared" si="114"/>
        <v>0</v>
      </c>
      <c r="X829">
        <f t="shared" si="115"/>
        <v>0</v>
      </c>
      <c r="Y829">
        <f t="shared" si="116"/>
        <v>0</v>
      </c>
    </row>
    <row r="830" spans="1:25" x14ac:dyDescent="0.3">
      <c r="A830" t="s">
        <v>2627</v>
      </c>
      <c r="B830" t="s">
        <v>2628</v>
      </c>
      <c r="C830" s="1">
        <v>45706</v>
      </c>
      <c r="D830" s="3">
        <v>0.97650462962962958</v>
      </c>
      <c r="E830">
        <f t="shared" si="108"/>
        <v>23</v>
      </c>
      <c r="F830">
        <v>57</v>
      </c>
      <c r="G830" t="s">
        <v>60</v>
      </c>
      <c r="H830" t="s">
        <v>38</v>
      </c>
      <c r="I830" t="s">
        <v>48</v>
      </c>
      <c r="J830" t="s">
        <v>31</v>
      </c>
      <c r="K830" t="s">
        <v>114</v>
      </c>
      <c r="L830">
        <v>203.78</v>
      </c>
      <c r="M830" t="s">
        <v>115</v>
      </c>
      <c r="N830">
        <f t="shared" si="109"/>
        <v>0</v>
      </c>
      <c r="O830" t="s">
        <v>86</v>
      </c>
      <c r="P830" t="s">
        <v>2629</v>
      </c>
      <c r="Q830">
        <v>0</v>
      </c>
      <c r="R830">
        <v>163</v>
      </c>
      <c r="S830">
        <f t="shared" si="110"/>
        <v>0.4037806463790099</v>
      </c>
      <c r="T830">
        <f t="shared" si="111"/>
        <v>0</v>
      </c>
      <c r="U830">
        <f t="shared" si="112"/>
        <v>0</v>
      </c>
      <c r="V830">
        <f t="shared" si="113"/>
        <v>1</v>
      </c>
      <c r="W830">
        <f t="shared" si="114"/>
        <v>1</v>
      </c>
      <c r="X830">
        <f t="shared" si="115"/>
        <v>0</v>
      </c>
      <c r="Y830">
        <f t="shared" si="116"/>
        <v>0</v>
      </c>
    </row>
    <row r="831" spans="1:25" x14ac:dyDescent="0.3">
      <c r="A831" t="s">
        <v>5285</v>
      </c>
      <c r="B831" t="s">
        <v>5286</v>
      </c>
      <c r="C831" s="1">
        <v>45721</v>
      </c>
      <c r="D831" s="3">
        <v>0.69425925925925924</v>
      </c>
      <c r="E831">
        <f t="shared" si="108"/>
        <v>16</v>
      </c>
      <c r="F831">
        <v>51</v>
      </c>
      <c r="G831" t="s">
        <v>46</v>
      </c>
      <c r="H831" t="s">
        <v>19</v>
      </c>
      <c r="I831" t="s">
        <v>20</v>
      </c>
      <c r="J831" t="s">
        <v>132</v>
      </c>
      <c r="K831" t="s">
        <v>22</v>
      </c>
      <c r="L831">
        <v>203.69</v>
      </c>
      <c r="M831" t="s">
        <v>115</v>
      </c>
      <c r="N831">
        <f t="shared" si="109"/>
        <v>0</v>
      </c>
      <c r="O831" t="s">
        <v>51</v>
      </c>
      <c r="P831" t="s">
        <v>5287</v>
      </c>
      <c r="Q831">
        <v>0</v>
      </c>
      <c r="R831">
        <v>334</v>
      </c>
      <c r="S831">
        <f t="shared" si="110"/>
        <v>0.40253466302616153</v>
      </c>
      <c r="T831">
        <f t="shared" si="111"/>
        <v>0</v>
      </c>
      <c r="U831">
        <f t="shared" si="112"/>
        <v>0</v>
      </c>
      <c r="V831">
        <f t="shared" si="113"/>
        <v>0</v>
      </c>
      <c r="W831">
        <f t="shared" si="114"/>
        <v>0</v>
      </c>
      <c r="X831">
        <f t="shared" si="115"/>
        <v>0</v>
      </c>
      <c r="Y831">
        <f t="shared" si="116"/>
        <v>0</v>
      </c>
    </row>
    <row r="832" spans="1:25" x14ac:dyDescent="0.3">
      <c r="A832" t="s">
        <v>2939</v>
      </c>
      <c r="B832" t="s">
        <v>2940</v>
      </c>
      <c r="C832" s="1">
        <v>45858</v>
      </c>
      <c r="D832" s="3">
        <v>0.70597222222222222</v>
      </c>
      <c r="E832">
        <f t="shared" si="108"/>
        <v>16</v>
      </c>
      <c r="F832">
        <v>51</v>
      </c>
      <c r="G832" t="s">
        <v>60</v>
      </c>
      <c r="H832" t="s">
        <v>239</v>
      </c>
      <c r="I832" t="s">
        <v>105</v>
      </c>
      <c r="J832" t="s">
        <v>49</v>
      </c>
      <c r="K832" t="s">
        <v>101</v>
      </c>
      <c r="L832">
        <v>203.47</v>
      </c>
      <c r="M832" t="s">
        <v>115</v>
      </c>
      <c r="N832">
        <f t="shared" si="109"/>
        <v>0</v>
      </c>
      <c r="O832" t="s">
        <v>24</v>
      </c>
      <c r="P832" t="s">
        <v>2941</v>
      </c>
      <c r="Q832">
        <v>1</v>
      </c>
      <c r="R832">
        <v>179</v>
      </c>
      <c r="S832">
        <f t="shared" si="110"/>
        <v>0.39948892594142121</v>
      </c>
      <c r="T832">
        <f t="shared" si="111"/>
        <v>0</v>
      </c>
      <c r="U832">
        <f t="shared" si="112"/>
        <v>0</v>
      </c>
      <c r="V832">
        <f t="shared" si="113"/>
        <v>1</v>
      </c>
      <c r="W832">
        <f t="shared" si="114"/>
        <v>1</v>
      </c>
      <c r="X832">
        <f t="shared" si="115"/>
        <v>0</v>
      </c>
      <c r="Y832">
        <f t="shared" si="116"/>
        <v>0</v>
      </c>
    </row>
    <row r="833" spans="1:25" x14ac:dyDescent="0.3">
      <c r="A833" t="s">
        <v>78</v>
      </c>
      <c r="B833" t="s">
        <v>79</v>
      </c>
      <c r="C833" s="1">
        <v>45841</v>
      </c>
      <c r="D833" s="3">
        <v>0.12623842592592593</v>
      </c>
      <c r="E833">
        <f t="shared" si="108"/>
        <v>3</v>
      </c>
      <c r="F833">
        <v>28</v>
      </c>
      <c r="G833" t="s">
        <v>46</v>
      </c>
      <c r="H833" t="s">
        <v>80</v>
      </c>
      <c r="I833" t="s">
        <v>30</v>
      </c>
      <c r="J833" t="s">
        <v>72</v>
      </c>
      <c r="K833" t="s">
        <v>41</v>
      </c>
      <c r="L833">
        <v>203.38</v>
      </c>
      <c r="M833" t="s">
        <v>33</v>
      </c>
      <c r="N833">
        <f t="shared" si="109"/>
        <v>0</v>
      </c>
      <c r="O833" t="s">
        <v>24</v>
      </c>
      <c r="P833" t="s">
        <v>81</v>
      </c>
      <c r="Q833">
        <v>0</v>
      </c>
      <c r="R833">
        <v>118</v>
      </c>
      <c r="S833">
        <f t="shared" si="110"/>
        <v>0.39824294258857285</v>
      </c>
      <c r="T833">
        <f t="shared" si="111"/>
        <v>0</v>
      </c>
      <c r="U833">
        <f t="shared" si="112"/>
        <v>1</v>
      </c>
      <c r="V833">
        <f t="shared" si="113"/>
        <v>1</v>
      </c>
      <c r="W833">
        <f t="shared" si="114"/>
        <v>3</v>
      </c>
      <c r="X833">
        <f t="shared" si="115"/>
        <v>0</v>
      </c>
      <c r="Y833">
        <f t="shared" si="116"/>
        <v>0</v>
      </c>
    </row>
    <row r="834" spans="1:25" x14ac:dyDescent="0.3">
      <c r="A834" t="s">
        <v>3404</v>
      </c>
      <c r="B834" t="s">
        <v>3405</v>
      </c>
      <c r="C834" s="1">
        <v>45867</v>
      </c>
      <c r="D834" s="3">
        <v>0.51769675925925929</v>
      </c>
      <c r="E834">
        <f t="shared" ref="E834:E897" si="117">HOUR(D834)</f>
        <v>12</v>
      </c>
      <c r="F834">
        <v>44</v>
      </c>
      <c r="G834" t="s">
        <v>18</v>
      </c>
      <c r="H834" t="s">
        <v>29</v>
      </c>
      <c r="I834" t="s">
        <v>48</v>
      </c>
      <c r="J834" t="s">
        <v>49</v>
      </c>
      <c r="K834" t="s">
        <v>120</v>
      </c>
      <c r="L834">
        <v>203.2</v>
      </c>
      <c r="M834" t="s">
        <v>115</v>
      </c>
      <c r="N834">
        <f t="shared" ref="N834:N897" si="118">IF(M834="Unknown",1,0)</f>
        <v>0</v>
      </c>
      <c r="O834" t="s">
        <v>51</v>
      </c>
      <c r="P834" t="s">
        <v>3406</v>
      </c>
      <c r="Q834">
        <v>0</v>
      </c>
      <c r="R834">
        <v>486</v>
      </c>
      <c r="S834">
        <f t="shared" ref="S834:S897" si="119">(L834-$P$2137)/$P$2138</f>
        <v>0.39575097588287611</v>
      </c>
      <c r="T834">
        <f t="shared" ref="T834:T897" si="120">IF(ABS(Z834)&gt;3,1,0)</f>
        <v>0</v>
      </c>
      <c r="U834">
        <f t="shared" ref="U834:U897" si="121">IF(AND(E834&gt;=0,E834&lt;=5),1,0)</f>
        <v>0</v>
      </c>
      <c r="V834">
        <f t="shared" ref="V834:V897" si="122">IF(R834&lt;AVERAGE($R:$R),1,0)</f>
        <v>0</v>
      </c>
      <c r="W834">
        <f t="shared" ref="W834:W897" si="123">T834*3+U834*2+V834*1+N834*2</f>
        <v>0</v>
      </c>
      <c r="X834">
        <f t="shared" ref="X834:X897" si="124">IF(W834&gt;=5,1,0)</f>
        <v>0</v>
      </c>
      <c r="Y834">
        <f t="shared" ref="Y834:Y897" si="125">IF(M834="Unknown",1,0)</f>
        <v>0</v>
      </c>
    </row>
    <row r="835" spans="1:25" x14ac:dyDescent="0.3">
      <c r="A835" t="s">
        <v>2633</v>
      </c>
      <c r="B835" s="2" t="s">
        <v>2634</v>
      </c>
      <c r="C835" s="1">
        <v>45777</v>
      </c>
      <c r="D835" s="3">
        <v>0.51567129629629627</v>
      </c>
      <c r="E835">
        <f t="shared" si="117"/>
        <v>12</v>
      </c>
      <c r="F835">
        <v>42</v>
      </c>
      <c r="G835" t="s">
        <v>18</v>
      </c>
      <c r="H835" t="s">
        <v>19</v>
      </c>
      <c r="I835" t="s">
        <v>85</v>
      </c>
      <c r="J835" t="s">
        <v>31</v>
      </c>
      <c r="K835" t="s">
        <v>41</v>
      </c>
      <c r="L835">
        <v>203.18</v>
      </c>
      <c r="M835" t="s">
        <v>42</v>
      </c>
      <c r="N835">
        <f t="shared" si="118"/>
        <v>0</v>
      </c>
      <c r="O835" t="s">
        <v>34</v>
      </c>
      <c r="P835" t="s">
        <v>2635</v>
      </c>
      <c r="Q835">
        <v>0</v>
      </c>
      <c r="R835">
        <v>187</v>
      </c>
      <c r="S835">
        <f t="shared" si="119"/>
        <v>0.39547409069335454</v>
      </c>
      <c r="T835">
        <f t="shared" si="120"/>
        <v>0</v>
      </c>
      <c r="U835">
        <f t="shared" si="121"/>
        <v>0</v>
      </c>
      <c r="V835">
        <f t="shared" si="122"/>
        <v>1</v>
      </c>
      <c r="W835">
        <f t="shared" si="123"/>
        <v>1</v>
      </c>
      <c r="X835">
        <f t="shared" si="124"/>
        <v>0</v>
      </c>
      <c r="Y835">
        <f t="shared" si="125"/>
        <v>0</v>
      </c>
    </row>
    <row r="836" spans="1:25" x14ac:dyDescent="0.3">
      <c r="A836" t="s">
        <v>5261</v>
      </c>
      <c r="B836" t="s">
        <v>5262</v>
      </c>
      <c r="C836" s="1">
        <v>45728</v>
      </c>
      <c r="D836" s="3">
        <v>0.42159722222222223</v>
      </c>
      <c r="E836">
        <f t="shared" si="117"/>
        <v>10</v>
      </c>
      <c r="F836">
        <v>65</v>
      </c>
      <c r="G836" t="s">
        <v>60</v>
      </c>
      <c r="H836" t="s">
        <v>29</v>
      </c>
      <c r="I836" t="s">
        <v>48</v>
      </c>
      <c r="J836" t="s">
        <v>132</v>
      </c>
      <c r="K836" t="s">
        <v>50</v>
      </c>
      <c r="L836">
        <v>203.01</v>
      </c>
      <c r="M836" t="s">
        <v>115</v>
      </c>
      <c r="N836">
        <f t="shared" si="118"/>
        <v>0</v>
      </c>
      <c r="O836" t="s">
        <v>24</v>
      </c>
      <c r="P836" t="s">
        <v>5263</v>
      </c>
      <c r="Q836">
        <v>0</v>
      </c>
      <c r="R836">
        <v>471</v>
      </c>
      <c r="S836">
        <f t="shared" si="119"/>
        <v>0.39312056658241856</v>
      </c>
      <c r="T836">
        <f t="shared" si="120"/>
        <v>0</v>
      </c>
      <c r="U836">
        <f t="shared" si="121"/>
        <v>0</v>
      </c>
      <c r="V836">
        <f t="shared" si="122"/>
        <v>0</v>
      </c>
      <c r="W836">
        <f t="shared" si="123"/>
        <v>0</v>
      </c>
      <c r="X836">
        <f t="shared" si="124"/>
        <v>0</v>
      </c>
      <c r="Y836">
        <f t="shared" si="125"/>
        <v>0</v>
      </c>
    </row>
    <row r="837" spans="1:25" x14ac:dyDescent="0.3">
      <c r="A837" t="s">
        <v>989</v>
      </c>
      <c r="B837" t="s">
        <v>990</v>
      </c>
      <c r="C837" s="1">
        <v>45775</v>
      </c>
      <c r="D837" s="3">
        <v>5.3749999999999999E-2</v>
      </c>
      <c r="E837">
        <f t="shared" si="117"/>
        <v>1</v>
      </c>
      <c r="F837">
        <v>33</v>
      </c>
      <c r="G837" t="s">
        <v>99</v>
      </c>
      <c r="H837" t="s">
        <v>185</v>
      </c>
      <c r="I837" t="s">
        <v>66</v>
      </c>
      <c r="J837" t="s">
        <v>94</v>
      </c>
      <c r="K837" t="s">
        <v>50</v>
      </c>
      <c r="L837">
        <v>202.83</v>
      </c>
      <c r="M837" t="s">
        <v>42</v>
      </c>
      <c r="N837">
        <f t="shared" si="118"/>
        <v>0</v>
      </c>
      <c r="O837" t="s">
        <v>51</v>
      </c>
      <c r="P837" t="s">
        <v>991</v>
      </c>
      <c r="Q837">
        <v>0</v>
      </c>
      <c r="R837">
        <v>52</v>
      </c>
      <c r="S837">
        <f t="shared" si="119"/>
        <v>0.39062859987672222</v>
      </c>
      <c r="T837">
        <f t="shared" si="120"/>
        <v>0</v>
      </c>
      <c r="U837">
        <f t="shared" si="121"/>
        <v>1</v>
      </c>
      <c r="V837">
        <f t="shared" si="122"/>
        <v>1</v>
      </c>
      <c r="W837">
        <f t="shared" si="123"/>
        <v>3</v>
      </c>
      <c r="X837">
        <f t="shared" si="124"/>
        <v>0</v>
      </c>
      <c r="Y837">
        <f t="shared" si="125"/>
        <v>0</v>
      </c>
    </row>
    <row r="838" spans="1:25" x14ac:dyDescent="0.3">
      <c r="A838" t="s">
        <v>4901</v>
      </c>
      <c r="B838" t="s">
        <v>4902</v>
      </c>
      <c r="C838" s="1">
        <v>45837</v>
      </c>
      <c r="D838" s="3">
        <v>3.4317129629629628E-2</v>
      </c>
      <c r="E838">
        <f t="shared" si="117"/>
        <v>0</v>
      </c>
      <c r="F838">
        <v>22</v>
      </c>
      <c r="G838" t="s">
        <v>46</v>
      </c>
      <c r="H838" t="s">
        <v>232</v>
      </c>
      <c r="I838" t="s">
        <v>85</v>
      </c>
      <c r="J838" t="s">
        <v>56</v>
      </c>
      <c r="K838" t="s">
        <v>22</v>
      </c>
      <c r="L838">
        <v>202.6</v>
      </c>
      <c r="M838" t="s">
        <v>42</v>
      </c>
      <c r="N838">
        <f t="shared" si="118"/>
        <v>0</v>
      </c>
      <c r="O838" t="s">
        <v>34</v>
      </c>
      <c r="P838" t="s">
        <v>4903</v>
      </c>
      <c r="Q838">
        <v>0</v>
      </c>
      <c r="R838">
        <v>152</v>
      </c>
      <c r="S838">
        <f t="shared" si="119"/>
        <v>0.3874444201972207</v>
      </c>
      <c r="T838">
        <f t="shared" si="120"/>
        <v>0</v>
      </c>
      <c r="U838">
        <f t="shared" si="121"/>
        <v>1</v>
      </c>
      <c r="V838">
        <f t="shared" si="122"/>
        <v>1</v>
      </c>
      <c r="W838">
        <f t="shared" si="123"/>
        <v>3</v>
      </c>
      <c r="X838">
        <f t="shared" si="124"/>
        <v>0</v>
      </c>
      <c r="Y838">
        <f t="shared" si="125"/>
        <v>0</v>
      </c>
    </row>
    <row r="839" spans="1:25" x14ac:dyDescent="0.3">
      <c r="A839" t="s">
        <v>218</v>
      </c>
      <c r="B839" t="s">
        <v>219</v>
      </c>
      <c r="C839" s="1">
        <v>45769</v>
      </c>
      <c r="D839" s="3">
        <v>0.7064583333333333</v>
      </c>
      <c r="E839">
        <f t="shared" si="117"/>
        <v>16</v>
      </c>
      <c r="F839">
        <v>43</v>
      </c>
      <c r="G839" t="s">
        <v>46</v>
      </c>
      <c r="H839" t="s">
        <v>185</v>
      </c>
      <c r="I839" t="s">
        <v>71</v>
      </c>
      <c r="J839" t="s">
        <v>31</v>
      </c>
      <c r="K839" t="s">
        <v>114</v>
      </c>
      <c r="L839">
        <v>201.63</v>
      </c>
      <c r="M839" t="s">
        <v>115</v>
      </c>
      <c r="N839">
        <f t="shared" si="118"/>
        <v>0</v>
      </c>
      <c r="O839" t="s">
        <v>34</v>
      </c>
      <c r="P839" t="s">
        <v>220</v>
      </c>
      <c r="Q839">
        <v>0</v>
      </c>
      <c r="R839">
        <v>368</v>
      </c>
      <c r="S839">
        <f t="shared" si="119"/>
        <v>0.37401548850541105</v>
      </c>
      <c r="T839">
        <f t="shared" si="120"/>
        <v>0</v>
      </c>
      <c r="U839">
        <f t="shared" si="121"/>
        <v>0</v>
      </c>
      <c r="V839">
        <f t="shared" si="122"/>
        <v>0</v>
      </c>
      <c r="W839">
        <f t="shared" si="123"/>
        <v>0</v>
      </c>
      <c r="X839">
        <f t="shared" si="124"/>
        <v>0</v>
      </c>
      <c r="Y839">
        <f t="shared" si="125"/>
        <v>0</v>
      </c>
    </row>
    <row r="840" spans="1:25" x14ac:dyDescent="0.3">
      <c r="A840" t="s">
        <v>5474</v>
      </c>
      <c r="B840" t="s">
        <v>5475</v>
      </c>
      <c r="C840" s="1">
        <v>45746</v>
      </c>
      <c r="D840" s="3">
        <v>0.16376157407407407</v>
      </c>
      <c r="E840">
        <f t="shared" si="117"/>
        <v>3</v>
      </c>
      <c r="F840">
        <v>34</v>
      </c>
      <c r="G840" t="s">
        <v>6479</v>
      </c>
      <c r="H840" t="s">
        <v>55</v>
      </c>
      <c r="I840" t="s">
        <v>66</v>
      </c>
      <c r="J840" t="s">
        <v>72</v>
      </c>
      <c r="K840" t="s">
        <v>50</v>
      </c>
      <c r="L840">
        <v>201.29</v>
      </c>
      <c r="M840" t="s">
        <v>42</v>
      </c>
      <c r="N840">
        <f t="shared" si="118"/>
        <v>0</v>
      </c>
      <c r="O840" t="s">
        <v>24</v>
      </c>
      <c r="P840" t="s">
        <v>5476</v>
      </c>
      <c r="Q840">
        <v>0</v>
      </c>
      <c r="R840">
        <v>281</v>
      </c>
      <c r="S840">
        <f t="shared" si="119"/>
        <v>0.3693084402835396</v>
      </c>
      <c r="T840">
        <f t="shared" si="120"/>
        <v>0</v>
      </c>
      <c r="U840">
        <f t="shared" si="121"/>
        <v>1</v>
      </c>
      <c r="V840">
        <f t="shared" si="122"/>
        <v>0</v>
      </c>
      <c r="W840">
        <f t="shared" si="123"/>
        <v>2</v>
      </c>
      <c r="X840">
        <f t="shared" si="124"/>
        <v>0</v>
      </c>
      <c r="Y840">
        <f t="shared" si="125"/>
        <v>0</v>
      </c>
    </row>
    <row r="841" spans="1:25" x14ac:dyDescent="0.3">
      <c r="A841" t="s">
        <v>962</v>
      </c>
      <c r="B841" t="s">
        <v>963</v>
      </c>
      <c r="C841" s="1">
        <v>45756</v>
      </c>
      <c r="D841" s="3">
        <v>0.92350694444444448</v>
      </c>
      <c r="E841">
        <f t="shared" si="117"/>
        <v>22</v>
      </c>
      <c r="F841">
        <v>42</v>
      </c>
      <c r="G841" t="s">
        <v>18</v>
      </c>
      <c r="H841" t="s">
        <v>61</v>
      </c>
      <c r="I841" t="s">
        <v>66</v>
      </c>
      <c r="J841" t="s">
        <v>40</v>
      </c>
      <c r="K841" t="s">
        <v>41</v>
      </c>
      <c r="L841">
        <v>200.97</v>
      </c>
      <c r="M841" t="s">
        <v>42</v>
      </c>
      <c r="N841">
        <f t="shared" si="118"/>
        <v>0</v>
      </c>
      <c r="O841" t="s">
        <v>86</v>
      </c>
      <c r="P841" t="s">
        <v>964</v>
      </c>
      <c r="Q841">
        <v>0</v>
      </c>
      <c r="R841">
        <v>80</v>
      </c>
      <c r="S841">
        <f t="shared" si="119"/>
        <v>0.3648782772511901</v>
      </c>
      <c r="T841">
        <f t="shared" si="120"/>
        <v>0</v>
      </c>
      <c r="U841">
        <f t="shared" si="121"/>
        <v>0</v>
      </c>
      <c r="V841">
        <f t="shared" si="122"/>
        <v>1</v>
      </c>
      <c r="W841">
        <f t="shared" si="123"/>
        <v>1</v>
      </c>
      <c r="X841">
        <f t="shared" si="124"/>
        <v>0</v>
      </c>
      <c r="Y841">
        <f t="shared" si="125"/>
        <v>0</v>
      </c>
    </row>
    <row r="842" spans="1:25" x14ac:dyDescent="0.3">
      <c r="A842" t="s">
        <v>5315</v>
      </c>
      <c r="B842" t="s">
        <v>5316</v>
      </c>
      <c r="C842" s="1">
        <v>45866</v>
      </c>
      <c r="D842" s="3">
        <v>0.80385416666666665</v>
      </c>
      <c r="E842">
        <f t="shared" si="117"/>
        <v>19</v>
      </c>
      <c r="F842">
        <v>53</v>
      </c>
      <c r="G842" t="s">
        <v>28</v>
      </c>
      <c r="H842" t="s">
        <v>312</v>
      </c>
      <c r="I842" t="s">
        <v>66</v>
      </c>
      <c r="J842" t="s">
        <v>56</v>
      </c>
      <c r="K842" t="s">
        <v>50</v>
      </c>
      <c r="L842">
        <v>200.96</v>
      </c>
      <c r="M842" t="s">
        <v>6479</v>
      </c>
      <c r="N842">
        <f t="shared" si="118"/>
        <v>1</v>
      </c>
      <c r="O842" t="s">
        <v>34</v>
      </c>
      <c r="P842" t="s">
        <v>5317</v>
      </c>
      <c r="Q842">
        <v>0</v>
      </c>
      <c r="R842">
        <v>309</v>
      </c>
      <c r="S842">
        <f t="shared" si="119"/>
        <v>0.36473983465642928</v>
      </c>
      <c r="T842">
        <f t="shared" si="120"/>
        <v>0</v>
      </c>
      <c r="U842">
        <f t="shared" si="121"/>
        <v>0</v>
      </c>
      <c r="V842">
        <f t="shared" si="122"/>
        <v>0</v>
      </c>
      <c r="W842">
        <f t="shared" si="123"/>
        <v>2</v>
      </c>
      <c r="X842">
        <f t="shared" si="124"/>
        <v>0</v>
      </c>
      <c r="Y842">
        <f t="shared" si="125"/>
        <v>1</v>
      </c>
    </row>
    <row r="843" spans="1:25" x14ac:dyDescent="0.3">
      <c r="A843" t="s">
        <v>4364</v>
      </c>
      <c r="B843" t="s">
        <v>4365</v>
      </c>
      <c r="C843" s="1">
        <v>45734</v>
      </c>
      <c r="D843" s="3">
        <v>0.81587962962962968</v>
      </c>
      <c r="E843">
        <f t="shared" si="117"/>
        <v>19</v>
      </c>
      <c r="F843">
        <v>62</v>
      </c>
      <c r="G843" t="s">
        <v>46</v>
      </c>
      <c r="H843" t="s">
        <v>61</v>
      </c>
      <c r="I843" t="s">
        <v>105</v>
      </c>
      <c r="J843" t="s">
        <v>72</v>
      </c>
      <c r="K843" t="s">
        <v>101</v>
      </c>
      <c r="L843">
        <v>200.5</v>
      </c>
      <c r="M843" t="s">
        <v>33</v>
      </c>
      <c r="N843">
        <f t="shared" si="118"/>
        <v>0</v>
      </c>
      <c r="O843" t="s">
        <v>34</v>
      </c>
      <c r="P843" t="s">
        <v>4366</v>
      </c>
      <c r="Q843">
        <v>0</v>
      </c>
      <c r="R843">
        <v>404</v>
      </c>
      <c r="S843">
        <f t="shared" si="119"/>
        <v>0.35837147529742663</v>
      </c>
      <c r="T843">
        <f t="shared" si="120"/>
        <v>0</v>
      </c>
      <c r="U843">
        <f t="shared" si="121"/>
        <v>0</v>
      </c>
      <c r="V843">
        <f t="shared" si="122"/>
        <v>0</v>
      </c>
      <c r="W843">
        <f t="shared" si="123"/>
        <v>0</v>
      </c>
      <c r="X843">
        <f t="shared" si="124"/>
        <v>0</v>
      </c>
      <c r="Y843">
        <f t="shared" si="125"/>
        <v>0</v>
      </c>
    </row>
    <row r="844" spans="1:25" x14ac:dyDescent="0.3">
      <c r="A844" t="s">
        <v>3638</v>
      </c>
      <c r="B844" t="s">
        <v>3639</v>
      </c>
      <c r="C844" s="1">
        <v>45879</v>
      </c>
      <c r="D844" s="3">
        <v>0.1711111111111111</v>
      </c>
      <c r="E844">
        <f t="shared" si="117"/>
        <v>4</v>
      </c>
      <c r="F844">
        <v>38</v>
      </c>
      <c r="G844" t="s">
        <v>60</v>
      </c>
      <c r="H844" t="s">
        <v>70</v>
      </c>
      <c r="I844" t="s">
        <v>39</v>
      </c>
      <c r="J844" t="s">
        <v>76</v>
      </c>
      <c r="K844" t="s">
        <v>120</v>
      </c>
      <c r="L844">
        <v>200.46</v>
      </c>
      <c r="M844" t="s">
        <v>33</v>
      </c>
      <c r="N844">
        <f t="shared" si="118"/>
        <v>0</v>
      </c>
      <c r="O844" t="s">
        <v>34</v>
      </c>
      <c r="P844" t="s">
        <v>3640</v>
      </c>
      <c r="Q844">
        <v>0</v>
      </c>
      <c r="R844">
        <v>319</v>
      </c>
      <c r="S844">
        <f t="shared" si="119"/>
        <v>0.35781770491838305</v>
      </c>
      <c r="T844">
        <f t="shared" si="120"/>
        <v>0</v>
      </c>
      <c r="U844">
        <f t="shared" si="121"/>
        <v>1</v>
      </c>
      <c r="V844">
        <f t="shared" si="122"/>
        <v>0</v>
      </c>
      <c r="W844">
        <f t="shared" si="123"/>
        <v>2</v>
      </c>
      <c r="X844">
        <f t="shared" si="124"/>
        <v>0</v>
      </c>
      <c r="Y844">
        <f t="shared" si="125"/>
        <v>0</v>
      </c>
    </row>
    <row r="845" spans="1:25" x14ac:dyDescent="0.3">
      <c r="A845" t="s">
        <v>262</v>
      </c>
      <c r="B845" t="s">
        <v>263</v>
      </c>
      <c r="C845" s="1">
        <v>45719</v>
      </c>
      <c r="D845" s="3">
        <v>0.76850694444444445</v>
      </c>
      <c r="E845">
        <f t="shared" si="117"/>
        <v>18</v>
      </c>
      <c r="F845">
        <v>21</v>
      </c>
      <c r="G845" t="s">
        <v>99</v>
      </c>
      <c r="H845" t="s">
        <v>55</v>
      </c>
      <c r="I845" t="s">
        <v>110</v>
      </c>
      <c r="J845" t="s">
        <v>132</v>
      </c>
      <c r="K845" t="s">
        <v>114</v>
      </c>
      <c r="L845">
        <v>200.35</v>
      </c>
      <c r="M845" t="s">
        <v>6479</v>
      </c>
      <c r="N845">
        <f t="shared" si="118"/>
        <v>1</v>
      </c>
      <c r="O845" t="s">
        <v>51</v>
      </c>
      <c r="P845" t="s">
        <v>264</v>
      </c>
      <c r="Q845">
        <v>1</v>
      </c>
      <c r="R845">
        <v>256</v>
      </c>
      <c r="S845">
        <f t="shared" si="119"/>
        <v>0.35629483637601267</v>
      </c>
      <c r="T845">
        <f t="shared" si="120"/>
        <v>0</v>
      </c>
      <c r="U845">
        <f t="shared" si="121"/>
        <v>0</v>
      </c>
      <c r="V845">
        <f t="shared" si="122"/>
        <v>1</v>
      </c>
      <c r="W845">
        <f t="shared" si="123"/>
        <v>3</v>
      </c>
      <c r="X845">
        <f t="shared" si="124"/>
        <v>0</v>
      </c>
      <c r="Y845">
        <f t="shared" si="125"/>
        <v>1</v>
      </c>
    </row>
    <row r="846" spans="1:25" x14ac:dyDescent="0.3">
      <c r="A846" t="s">
        <v>97</v>
      </c>
      <c r="B846" t="s">
        <v>98</v>
      </c>
      <c r="C846" s="1">
        <v>45710</v>
      </c>
      <c r="D846" s="3">
        <v>0.3649074074074074</v>
      </c>
      <c r="E846">
        <f t="shared" si="117"/>
        <v>8</v>
      </c>
      <c r="F846">
        <v>57</v>
      </c>
      <c r="G846" t="s">
        <v>99</v>
      </c>
      <c r="H846" t="s">
        <v>100</v>
      </c>
      <c r="I846" t="s">
        <v>20</v>
      </c>
      <c r="J846" t="s">
        <v>49</v>
      </c>
      <c r="K846" t="s">
        <v>101</v>
      </c>
      <c r="L846">
        <v>200.05</v>
      </c>
      <c r="M846" t="s">
        <v>23</v>
      </c>
      <c r="N846">
        <f t="shared" si="118"/>
        <v>0</v>
      </c>
      <c r="O846" t="s">
        <v>86</v>
      </c>
      <c r="P846" t="s">
        <v>102</v>
      </c>
      <c r="Q846">
        <v>0</v>
      </c>
      <c r="R846">
        <v>95</v>
      </c>
      <c r="S846">
        <f t="shared" si="119"/>
        <v>0.35214155853318518</v>
      </c>
      <c r="T846">
        <f t="shared" si="120"/>
        <v>0</v>
      </c>
      <c r="U846">
        <f t="shared" si="121"/>
        <v>0</v>
      </c>
      <c r="V846">
        <f t="shared" si="122"/>
        <v>1</v>
      </c>
      <c r="W846">
        <f t="shared" si="123"/>
        <v>1</v>
      </c>
      <c r="X846">
        <f t="shared" si="124"/>
        <v>0</v>
      </c>
      <c r="Y846">
        <f t="shared" si="125"/>
        <v>0</v>
      </c>
    </row>
    <row r="847" spans="1:25" x14ac:dyDescent="0.3">
      <c r="A847" t="s">
        <v>244</v>
      </c>
      <c r="B847" t="s">
        <v>245</v>
      </c>
      <c r="C847" s="1">
        <v>45777</v>
      </c>
      <c r="D847" s="3">
        <v>0.99835648148148148</v>
      </c>
      <c r="E847">
        <f t="shared" si="117"/>
        <v>23</v>
      </c>
      <c r="F847">
        <v>64</v>
      </c>
      <c r="G847" t="s">
        <v>18</v>
      </c>
      <c r="H847" t="s">
        <v>70</v>
      </c>
      <c r="I847" t="s">
        <v>20</v>
      </c>
      <c r="J847" t="s">
        <v>40</v>
      </c>
      <c r="K847" t="s">
        <v>168</v>
      </c>
      <c r="L847">
        <v>200.04</v>
      </c>
      <c r="M847" t="s">
        <v>6479</v>
      </c>
      <c r="N847">
        <f t="shared" si="118"/>
        <v>1</v>
      </c>
      <c r="O847" t="s">
        <v>24</v>
      </c>
      <c r="P847" t="s">
        <v>246</v>
      </c>
      <c r="Q847">
        <v>0</v>
      </c>
      <c r="R847">
        <v>68</v>
      </c>
      <c r="S847">
        <f t="shared" si="119"/>
        <v>0.35200311593842398</v>
      </c>
      <c r="T847">
        <f t="shared" si="120"/>
        <v>0</v>
      </c>
      <c r="U847">
        <f t="shared" si="121"/>
        <v>0</v>
      </c>
      <c r="V847">
        <f t="shared" si="122"/>
        <v>1</v>
      </c>
      <c r="W847">
        <f t="shared" si="123"/>
        <v>3</v>
      </c>
      <c r="X847">
        <f t="shared" si="124"/>
        <v>0</v>
      </c>
      <c r="Y847">
        <f t="shared" si="125"/>
        <v>1</v>
      </c>
    </row>
    <row r="848" spans="1:25" x14ac:dyDescent="0.3">
      <c r="A848" t="s">
        <v>731</v>
      </c>
      <c r="B848" t="s">
        <v>732</v>
      </c>
      <c r="C848" s="1">
        <v>45732</v>
      </c>
      <c r="D848" s="3">
        <v>0.30148148148148146</v>
      </c>
      <c r="E848">
        <f t="shared" si="117"/>
        <v>7</v>
      </c>
      <c r="F848">
        <v>61</v>
      </c>
      <c r="G848" t="s">
        <v>46</v>
      </c>
      <c r="H848" t="s">
        <v>239</v>
      </c>
      <c r="I848" t="s">
        <v>30</v>
      </c>
      <c r="J848" t="s">
        <v>72</v>
      </c>
      <c r="K848" t="s">
        <v>50</v>
      </c>
      <c r="L848">
        <v>200</v>
      </c>
      <c r="M848" t="s">
        <v>115</v>
      </c>
      <c r="N848">
        <f t="shared" si="118"/>
        <v>0</v>
      </c>
      <c r="O848" t="s">
        <v>24</v>
      </c>
      <c r="P848" t="s">
        <v>733</v>
      </c>
      <c r="Q848">
        <v>0</v>
      </c>
      <c r="R848">
        <v>152</v>
      </c>
      <c r="S848">
        <f t="shared" si="119"/>
        <v>0.3514493455593804</v>
      </c>
      <c r="T848">
        <f t="shared" si="120"/>
        <v>0</v>
      </c>
      <c r="U848">
        <f t="shared" si="121"/>
        <v>0</v>
      </c>
      <c r="V848">
        <f t="shared" si="122"/>
        <v>1</v>
      </c>
      <c r="W848">
        <f t="shared" si="123"/>
        <v>1</v>
      </c>
      <c r="X848">
        <f t="shared" si="124"/>
        <v>0</v>
      </c>
      <c r="Y848">
        <f t="shared" si="125"/>
        <v>0</v>
      </c>
    </row>
    <row r="849" spans="1:25" x14ac:dyDescent="0.3">
      <c r="A849" t="s">
        <v>4436</v>
      </c>
      <c r="B849" t="s">
        <v>4437</v>
      </c>
      <c r="C849" s="1">
        <v>45793</v>
      </c>
      <c r="D849" s="3">
        <v>0.80396990740740737</v>
      </c>
      <c r="E849">
        <f t="shared" si="117"/>
        <v>19</v>
      </c>
      <c r="F849">
        <v>51</v>
      </c>
      <c r="G849" t="s">
        <v>18</v>
      </c>
      <c r="H849" t="s">
        <v>19</v>
      </c>
      <c r="I849" t="s">
        <v>48</v>
      </c>
      <c r="J849" t="s">
        <v>31</v>
      </c>
      <c r="K849" t="s">
        <v>114</v>
      </c>
      <c r="L849">
        <v>199.93</v>
      </c>
      <c r="M849" t="s">
        <v>6479</v>
      </c>
      <c r="N849">
        <f t="shared" si="118"/>
        <v>1</v>
      </c>
      <c r="O849" t="s">
        <v>86</v>
      </c>
      <c r="P849" t="s">
        <v>4438</v>
      </c>
      <c r="Q849">
        <v>0</v>
      </c>
      <c r="R849">
        <v>129</v>
      </c>
      <c r="S849">
        <f t="shared" si="119"/>
        <v>0.35048024739605405</v>
      </c>
      <c r="T849">
        <f t="shared" si="120"/>
        <v>0</v>
      </c>
      <c r="U849">
        <f t="shared" si="121"/>
        <v>0</v>
      </c>
      <c r="V849">
        <f t="shared" si="122"/>
        <v>1</v>
      </c>
      <c r="W849">
        <f t="shared" si="123"/>
        <v>3</v>
      </c>
      <c r="X849">
        <f t="shared" si="124"/>
        <v>0</v>
      </c>
      <c r="Y849">
        <f t="shared" si="125"/>
        <v>1</v>
      </c>
    </row>
    <row r="850" spans="1:25" x14ac:dyDescent="0.3">
      <c r="A850" t="s">
        <v>329</v>
      </c>
      <c r="B850" t="s">
        <v>330</v>
      </c>
      <c r="C850" s="1">
        <v>45720</v>
      </c>
      <c r="D850" s="3">
        <v>0.28344907407407405</v>
      </c>
      <c r="E850">
        <f t="shared" si="117"/>
        <v>6</v>
      </c>
      <c r="F850">
        <v>62</v>
      </c>
      <c r="G850" t="s">
        <v>18</v>
      </c>
      <c r="H850" t="s">
        <v>239</v>
      </c>
      <c r="I850" t="s">
        <v>71</v>
      </c>
      <c r="J850" t="s">
        <v>40</v>
      </c>
      <c r="K850" t="s">
        <v>41</v>
      </c>
      <c r="L850">
        <v>199.78</v>
      </c>
      <c r="M850" t="s">
        <v>42</v>
      </c>
      <c r="N850">
        <f t="shared" si="118"/>
        <v>0</v>
      </c>
      <c r="O850" t="s">
        <v>34</v>
      </c>
      <c r="P850" t="s">
        <v>331</v>
      </c>
      <c r="Q850">
        <v>0</v>
      </c>
      <c r="R850">
        <v>161</v>
      </c>
      <c r="S850">
        <f t="shared" si="119"/>
        <v>0.34840360847464008</v>
      </c>
      <c r="T850">
        <f t="shared" si="120"/>
        <v>0</v>
      </c>
      <c r="U850">
        <f t="shared" si="121"/>
        <v>0</v>
      </c>
      <c r="V850">
        <f t="shared" si="122"/>
        <v>1</v>
      </c>
      <c r="W850">
        <f t="shared" si="123"/>
        <v>1</v>
      </c>
      <c r="X850">
        <f t="shared" si="124"/>
        <v>0</v>
      </c>
      <c r="Y850">
        <f t="shared" si="125"/>
        <v>0</v>
      </c>
    </row>
    <row r="851" spans="1:25" x14ac:dyDescent="0.3">
      <c r="A851" t="s">
        <v>2927</v>
      </c>
      <c r="B851" t="s">
        <v>2928</v>
      </c>
      <c r="C851" s="1">
        <v>45780</v>
      </c>
      <c r="D851" s="3">
        <v>6.446759259259259E-2</v>
      </c>
      <c r="E851">
        <f t="shared" si="117"/>
        <v>1</v>
      </c>
      <c r="F851">
        <v>58</v>
      </c>
      <c r="G851" t="s">
        <v>46</v>
      </c>
      <c r="H851" t="s">
        <v>80</v>
      </c>
      <c r="I851" t="s">
        <v>66</v>
      </c>
      <c r="J851" t="s">
        <v>49</v>
      </c>
      <c r="K851" t="s">
        <v>32</v>
      </c>
      <c r="L851">
        <v>199.54</v>
      </c>
      <c r="M851" t="s">
        <v>23</v>
      </c>
      <c r="N851">
        <f t="shared" si="118"/>
        <v>0</v>
      </c>
      <c r="O851" t="s">
        <v>51</v>
      </c>
      <c r="P851" t="s">
        <v>2929</v>
      </c>
      <c r="Q851">
        <v>0</v>
      </c>
      <c r="R851">
        <v>422</v>
      </c>
      <c r="S851">
        <f t="shared" si="119"/>
        <v>0.34508098620037775</v>
      </c>
      <c r="T851">
        <f t="shared" si="120"/>
        <v>0</v>
      </c>
      <c r="U851">
        <f t="shared" si="121"/>
        <v>1</v>
      </c>
      <c r="V851">
        <f t="shared" si="122"/>
        <v>0</v>
      </c>
      <c r="W851">
        <f t="shared" si="123"/>
        <v>2</v>
      </c>
      <c r="X851">
        <f t="shared" si="124"/>
        <v>0</v>
      </c>
      <c r="Y851">
        <f t="shared" si="125"/>
        <v>0</v>
      </c>
    </row>
    <row r="852" spans="1:25" x14ac:dyDescent="0.3">
      <c r="A852" t="s">
        <v>5624</v>
      </c>
      <c r="B852" t="s">
        <v>5625</v>
      </c>
      <c r="C852" s="1">
        <v>45786</v>
      </c>
      <c r="D852" s="3">
        <v>0.94770833333333337</v>
      </c>
      <c r="E852">
        <f t="shared" si="117"/>
        <v>22</v>
      </c>
      <c r="F852">
        <v>37</v>
      </c>
      <c r="G852" t="s">
        <v>60</v>
      </c>
      <c r="H852" t="s">
        <v>167</v>
      </c>
      <c r="I852" t="s">
        <v>20</v>
      </c>
      <c r="J852" t="s">
        <v>49</v>
      </c>
      <c r="K852" t="s">
        <v>95</v>
      </c>
      <c r="L852">
        <v>199.47</v>
      </c>
      <c r="M852" t="s">
        <v>42</v>
      </c>
      <c r="N852">
        <f t="shared" si="118"/>
        <v>0</v>
      </c>
      <c r="O852" t="s">
        <v>24</v>
      </c>
      <c r="P852" t="s">
        <v>5626</v>
      </c>
      <c r="Q852">
        <v>0</v>
      </c>
      <c r="R852">
        <v>427</v>
      </c>
      <c r="S852">
        <f t="shared" si="119"/>
        <v>0.34411188803705139</v>
      </c>
      <c r="T852">
        <f t="shared" si="120"/>
        <v>0</v>
      </c>
      <c r="U852">
        <f t="shared" si="121"/>
        <v>0</v>
      </c>
      <c r="V852">
        <f t="shared" si="122"/>
        <v>0</v>
      </c>
      <c r="W852">
        <f t="shared" si="123"/>
        <v>0</v>
      </c>
      <c r="X852">
        <f t="shared" si="124"/>
        <v>0</v>
      </c>
      <c r="Y852">
        <f t="shared" si="125"/>
        <v>0</v>
      </c>
    </row>
    <row r="853" spans="1:25" x14ac:dyDescent="0.3">
      <c r="A853" t="s">
        <v>806</v>
      </c>
      <c r="B853" t="s">
        <v>807</v>
      </c>
      <c r="C853" s="1">
        <v>45756</v>
      </c>
      <c r="D853" s="3">
        <v>3.2789351851851854E-2</v>
      </c>
      <c r="E853">
        <f t="shared" si="117"/>
        <v>0</v>
      </c>
      <c r="F853">
        <v>36</v>
      </c>
      <c r="G853" t="s">
        <v>46</v>
      </c>
      <c r="H853" t="s">
        <v>84</v>
      </c>
      <c r="I853" t="s">
        <v>20</v>
      </c>
      <c r="J853" t="s">
        <v>76</v>
      </c>
      <c r="K853" t="s">
        <v>101</v>
      </c>
      <c r="L853">
        <v>199.45</v>
      </c>
      <c r="M853" t="s">
        <v>115</v>
      </c>
      <c r="N853">
        <f t="shared" si="118"/>
        <v>0</v>
      </c>
      <c r="O853" t="s">
        <v>86</v>
      </c>
      <c r="P853" t="s">
        <v>808</v>
      </c>
      <c r="Q853">
        <v>0</v>
      </c>
      <c r="R853">
        <v>304</v>
      </c>
      <c r="S853">
        <f t="shared" si="119"/>
        <v>0.34383500284752938</v>
      </c>
      <c r="T853">
        <f t="shared" si="120"/>
        <v>0</v>
      </c>
      <c r="U853">
        <f t="shared" si="121"/>
        <v>1</v>
      </c>
      <c r="V853">
        <f t="shared" si="122"/>
        <v>0</v>
      </c>
      <c r="W853">
        <f t="shared" si="123"/>
        <v>2</v>
      </c>
      <c r="X853">
        <f t="shared" si="124"/>
        <v>0</v>
      </c>
      <c r="Y853">
        <f t="shared" si="125"/>
        <v>0</v>
      </c>
    </row>
    <row r="854" spans="1:25" x14ac:dyDescent="0.3">
      <c r="A854" t="s">
        <v>2813</v>
      </c>
      <c r="B854" t="s">
        <v>2814</v>
      </c>
      <c r="C854" s="1">
        <v>45774</v>
      </c>
      <c r="D854" s="3">
        <v>0.20391203703703703</v>
      </c>
      <c r="E854">
        <f t="shared" si="117"/>
        <v>4</v>
      </c>
      <c r="F854">
        <v>64</v>
      </c>
      <c r="G854" t="s">
        <v>46</v>
      </c>
      <c r="H854" t="s">
        <v>38</v>
      </c>
      <c r="I854" t="s">
        <v>66</v>
      </c>
      <c r="J854" t="s">
        <v>94</v>
      </c>
      <c r="K854" t="s">
        <v>32</v>
      </c>
      <c r="L854">
        <v>199.16</v>
      </c>
      <c r="M854" t="s">
        <v>6479</v>
      </c>
      <c r="N854">
        <f t="shared" si="118"/>
        <v>1</v>
      </c>
      <c r="O854" t="s">
        <v>34</v>
      </c>
      <c r="P854" t="s">
        <v>2815</v>
      </c>
      <c r="Q854">
        <v>1</v>
      </c>
      <c r="R854">
        <v>347</v>
      </c>
      <c r="S854">
        <f t="shared" si="119"/>
        <v>0.33982016759946271</v>
      </c>
      <c r="T854">
        <f t="shared" si="120"/>
        <v>0</v>
      </c>
      <c r="U854">
        <f t="shared" si="121"/>
        <v>1</v>
      </c>
      <c r="V854">
        <f t="shared" si="122"/>
        <v>0</v>
      </c>
      <c r="W854">
        <f t="shared" si="123"/>
        <v>4</v>
      </c>
      <c r="X854">
        <f t="shared" si="124"/>
        <v>0</v>
      </c>
      <c r="Y854">
        <f t="shared" si="125"/>
        <v>1</v>
      </c>
    </row>
    <row r="855" spans="1:25" x14ac:dyDescent="0.3">
      <c r="A855" t="s">
        <v>1748</v>
      </c>
      <c r="B855" t="s">
        <v>1749</v>
      </c>
      <c r="C855" s="1">
        <v>45812</v>
      </c>
      <c r="D855" s="3">
        <v>0.49704861111111109</v>
      </c>
      <c r="E855">
        <f t="shared" si="117"/>
        <v>11</v>
      </c>
      <c r="F855">
        <v>65</v>
      </c>
      <c r="G855" t="s">
        <v>60</v>
      </c>
      <c r="H855" t="s">
        <v>90</v>
      </c>
      <c r="I855" t="s">
        <v>110</v>
      </c>
      <c r="J855" t="s">
        <v>127</v>
      </c>
      <c r="K855" t="s">
        <v>32</v>
      </c>
      <c r="L855">
        <v>199.1</v>
      </c>
      <c r="M855" t="s">
        <v>42</v>
      </c>
      <c r="N855">
        <f t="shared" si="118"/>
        <v>0</v>
      </c>
      <c r="O855" t="s">
        <v>51</v>
      </c>
      <c r="P855" t="s">
        <v>1750</v>
      </c>
      <c r="Q855">
        <v>0</v>
      </c>
      <c r="R855">
        <v>127</v>
      </c>
      <c r="S855">
        <f t="shared" si="119"/>
        <v>0.33898951203089711</v>
      </c>
      <c r="T855">
        <f t="shared" si="120"/>
        <v>0</v>
      </c>
      <c r="U855">
        <f t="shared" si="121"/>
        <v>0</v>
      </c>
      <c r="V855">
        <f t="shared" si="122"/>
        <v>1</v>
      </c>
      <c r="W855">
        <f t="shared" si="123"/>
        <v>1</v>
      </c>
      <c r="X855">
        <f t="shared" si="124"/>
        <v>0</v>
      </c>
      <c r="Y855">
        <f t="shared" si="125"/>
        <v>0</v>
      </c>
    </row>
    <row r="856" spans="1:25" x14ac:dyDescent="0.3">
      <c r="A856" t="s">
        <v>2516</v>
      </c>
      <c r="B856" t="s">
        <v>2517</v>
      </c>
      <c r="C856" s="1">
        <v>45773</v>
      </c>
      <c r="D856" s="3">
        <v>0.45739583333333333</v>
      </c>
      <c r="E856">
        <f t="shared" si="117"/>
        <v>10</v>
      </c>
      <c r="F856">
        <v>47</v>
      </c>
      <c r="G856" t="s">
        <v>18</v>
      </c>
      <c r="H856" t="s">
        <v>70</v>
      </c>
      <c r="I856" t="s">
        <v>85</v>
      </c>
      <c r="J856" t="s">
        <v>40</v>
      </c>
      <c r="K856" t="s">
        <v>41</v>
      </c>
      <c r="L856">
        <v>198.92</v>
      </c>
      <c r="M856" t="s">
        <v>33</v>
      </c>
      <c r="N856">
        <f t="shared" si="118"/>
        <v>0</v>
      </c>
      <c r="O856" t="s">
        <v>34</v>
      </c>
      <c r="P856" t="s">
        <v>2518</v>
      </c>
      <c r="Q856">
        <v>0</v>
      </c>
      <c r="R856">
        <v>177</v>
      </c>
      <c r="S856">
        <f t="shared" si="119"/>
        <v>0.33649754532520038</v>
      </c>
      <c r="T856">
        <f t="shared" si="120"/>
        <v>0</v>
      </c>
      <c r="U856">
        <f t="shared" si="121"/>
        <v>0</v>
      </c>
      <c r="V856">
        <f t="shared" si="122"/>
        <v>1</v>
      </c>
      <c r="W856">
        <f t="shared" si="123"/>
        <v>1</v>
      </c>
      <c r="X856">
        <f t="shared" si="124"/>
        <v>0</v>
      </c>
      <c r="Y856">
        <f t="shared" si="125"/>
        <v>0</v>
      </c>
    </row>
    <row r="857" spans="1:25" x14ac:dyDescent="0.3">
      <c r="A857" t="s">
        <v>1931</v>
      </c>
      <c r="B857" t="s">
        <v>1932</v>
      </c>
      <c r="C857" s="1">
        <v>45820</v>
      </c>
      <c r="D857" s="3">
        <v>0.49744212962962964</v>
      </c>
      <c r="E857">
        <f t="shared" si="117"/>
        <v>11</v>
      </c>
      <c r="F857">
        <v>61</v>
      </c>
      <c r="G857" t="s">
        <v>46</v>
      </c>
      <c r="H857" t="s">
        <v>312</v>
      </c>
      <c r="I857" t="s">
        <v>30</v>
      </c>
      <c r="J857" t="s">
        <v>76</v>
      </c>
      <c r="K857" t="s">
        <v>95</v>
      </c>
      <c r="L857">
        <v>198.87</v>
      </c>
      <c r="M857" t="s">
        <v>115</v>
      </c>
      <c r="N857">
        <f t="shared" si="118"/>
        <v>0</v>
      </c>
      <c r="O857" t="s">
        <v>51</v>
      </c>
      <c r="P857" t="s">
        <v>1933</v>
      </c>
      <c r="Q857">
        <v>0</v>
      </c>
      <c r="R857">
        <v>118</v>
      </c>
      <c r="S857">
        <f t="shared" si="119"/>
        <v>0.33580533235139598</v>
      </c>
      <c r="T857">
        <f t="shared" si="120"/>
        <v>0</v>
      </c>
      <c r="U857">
        <f t="shared" si="121"/>
        <v>0</v>
      </c>
      <c r="V857">
        <f t="shared" si="122"/>
        <v>1</v>
      </c>
      <c r="W857">
        <f t="shared" si="123"/>
        <v>1</v>
      </c>
      <c r="X857">
        <f t="shared" si="124"/>
        <v>0</v>
      </c>
      <c r="Y857">
        <f t="shared" si="125"/>
        <v>0</v>
      </c>
    </row>
    <row r="858" spans="1:25" x14ac:dyDescent="0.3">
      <c r="A858" t="s">
        <v>1178</v>
      </c>
      <c r="B858" t="s">
        <v>1179</v>
      </c>
      <c r="C858" s="1">
        <v>45846</v>
      </c>
      <c r="D858" s="3">
        <v>0.32238425925925923</v>
      </c>
      <c r="E858">
        <f t="shared" si="117"/>
        <v>7</v>
      </c>
      <c r="F858">
        <v>48</v>
      </c>
      <c r="G858" t="s">
        <v>60</v>
      </c>
      <c r="H858" t="s">
        <v>29</v>
      </c>
      <c r="I858" t="s">
        <v>71</v>
      </c>
      <c r="J858" t="s">
        <v>127</v>
      </c>
      <c r="K858" t="s">
        <v>168</v>
      </c>
      <c r="L858">
        <v>198.8</v>
      </c>
      <c r="M858" t="s">
        <v>33</v>
      </c>
      <c r="N858">
        <f t="shared" si="118"/>
        <v>0</v>
      </c>
      <c r="O858" t="s">
        <v>24</v>
      </c>
      <c r="P858" t="s">
        <v>1180</v>
      </c>
      <c r="Q858">
        <v>0</v>
      </c>
      <c r="R858">
        <v>218</v>
      </c>
      <c r="S858">
        <f t="shared" si="119"/>
        <v>0.33483623418806963</v>
      </c>
      <c r="T858">
        <f t="shared" si="120"/>
        <v>0</v>
      </c>
      <c r="U858">
        <f t="shared" si="121"/>
        <v>0</v>
      </c>
      <c r="V858">
        <f t="shared" si="122"/>
        <v>1</v>
      </c>
      <c r="W858">
        <f t="shared" si="123"/>
        <v>1</v>
      </c>
      <c r="X858">
        <f t="shared" si="124"/>
        <v>0</v>
      </c>
      <c r="Y858">
        <f t="shared" si="125"/>
        <v>0</v>
      </c>
    </row>
    <row r="859" spans="1:25" x14ac:dyDescent="0.3">
      <c r="A859" t="s">
        <v>6164</v>
      </c>
      <c r="B859" t="s">
        <v>6165</v>
      </c>
      <c r="C859" s="1">
        <v>45793</v>
      </c>
      <c r="D859" s="3">
        <v>0.98378472222222224</v>
      </c>
      <c r="E859">
        <f t="shared" si="117"/>
        <v>23</v>
      </c>
      <c r="F859">
        <v>42</v>
      </c>
      <c r="G859" t="s">
        <v>18</v>
      </c>
      <c r="H859" t="s">
        <v>70</v>
      </c>
      <c r="I859" t="s">
        <v>48</v>
      </c>
      <c r="J859" t="s">
        <v>127</v>
      </c>
      <c r="K859" t="s">
        <v>50</v>
      </c>
      <c r="L859">
        <v>198.69</v>
      </c>
      <c r="M859" t="s">
        <v>115</v>
      </c>
      <c r="N859">
        <f t="shared" si="118"/>
        <v>0</v>
      </c>
      <c r="O859" t="s">
        <v>34</v>
      </c>
      <c r="P859" t="s">
        <v>6166</v>
      </c>
      <c r="Q859">
        <v>0</v>
      </c>
      <c r="R859">
        <v>223</v>
      </c>
      <c r="S859">
        <f t="shared" si="119"/>
        <v>0.33331336564569924</v>
      </c>
      <c r="T859">
        <f t="shared" si="120"/>
        <v>0</v>
      </c>
      <c r="U859">
        <f t="shared" si="121"/>
        <v>0</v>
      </c>
      <c r="V859">
        <f t="shared" si="122"/>
        <v>1</v>
      </c>
      <c r="W859">
        <f t="shared" si="123"/>
        <v>1</v>
      </c>
      <c r="X859">
        <f t="shared" si="124"/>
        <v>0</v>
      </c>
      <c r="Y859">
        <f t="shared" si="125"/>
        <v>0</v>
      </c>
    </row>
    <row r="860" spans="1:25" x14ac:dyDescent="0.3">
      <c r="A860" t="s">
        <v>3020</v>
      </c>
      <c r="B860" t="s">
        <v>3021</v>
      </c>
      <c r="C860" s="1">
        <v>45720</v>
      </c>
      <c r="D860" s="3">
        <v>0.53775462962962961</v>
      </c>
      <c r="E860">
        <f t="shared" si="117"/>
        <v>12</v>
      </c>
      <c r="F860">
        <v>45</v>
      </c>
      <c r="G860" t="s">
        <v>60</v>
      </c>
      <c r="H860" t="s">
        <v>29</v>
      </c>
      <c r="I860" t="s">
        <v>105</v>
      </c>
      <c r="J860" t="s">
        <v>40</v>
      </c>
      <c r="K860" t="s">
        <v>95</v>
      </c>
      <c r="L860">
        <v>198.64</v>
      </c>
      <c r="M860" t="s">
        <v>115</v>
      </c>
      <c r="N860">
        <f t="shared" si="118"/>
        <v>0</v>
      </c>
      <c r="O860" t="s">
        <v>51</v>
      </c>
      <c r="P860" t="s">
        <v>3022</v>
      </c>
      <c r="Q860">
        <v>1</v>
      </c>
      <c r="R860">
        <v>138</v>
      </c>
      <c r="S860">
        <f t="shared" si="119"/>
        <v>0.33262115267189446</v>
      </c>
      <c r="T860">
        <f t="shared" si="120"/>
        <v>0</v>
      </c>
      <c r="U860">
        <f t="shared" si="121"/>
        <v>0</v>
      </c>
      <c r="V860">
        <f t="shared" si="122"/>
        <v>1</v>
      </c>
      <c r="W860">
        <f t="shared" si="123"/>
        <v>1</v>
      </c>
      <c r="X860">
        <f t="shared" si="124"/>
        <v>0</v>
      </c>
      <c r="Y860">
        <f t="shared" si="125"/>
        <v>0</v>
      </c>
    </row>
    <row r="861" spans="1:25" x14ac:dyDescent="0.3">
      <c r="A861" t="s">
        <v>3044</v>
      </c>
      <c r="B861" t="s">
        <v>3045</v>
      </c>
      <c r="C861" s="1">
        <v>45810</v>
      </c>
      <c r="D861" s="3">
        <v>0.40493055555555557</v>
      </c>
      <c r="E861">
        <f t="shared" si="117"/>
        <v>9</v>
      </c>
      <c r="F861">
        <v>32</v>
      </c>
      <c r="G861" t="s">
        <v>46</v>
      </c>
      <c r="H861" t="s">
        <v>142</v>
      </c>
      <c r="I861" t="s">
        <v>110</v>
      </c>
      <c r="J861" t="s">
        <v>72</v>
      </c>
      <c r="K861" t="s">
        <v>95</v>
      </c>
      <c r="L861">
        <v>198.64</v>
      </c>
      <c r="M861" t="s">
        <v>33</v>
      </c>
      <c r="N861">
        <f t="shared" si="118"/>
        <v>0</v>
      </c>
      <c r="O861" t="s">
        <v>51</v>
      </c>
      <c r="P861" t="s">
        <v>3046</v>
      </c>
      <c r="Q861">
        <v>0</v>
      </c>
      <c r="R861">
        <v>225</v>
      </c>
      <c r="S861">
        <f t="shared" si="119"/>
        <v>0.33262115267189446</v>
      </c>
      <c r="T861">
        <f t="shared" si="120"/>
        <v>0</v>
      </c>
      <c r="U861">
        <f t="shared" si="121"/>
        <v>0</v>
      </c>
      <c r="V861">
        <f t="shared" si="122"/>
        <v>1</v>
      </c>
      <c r="W861">
        <f t="shared" si="123"/>
        <v>1</v>
      </c>
      <c r="X861">
        <f t="shared" si="124"/>
        <v>0</v>
      </c>
      <c r="Y861">
        <f t="shared" si="125"/>
        <v>0</v>
      </c>
    </row>
    <row r="862" spans="1:25" x14ac:dyDescent="0.3">
      <c r="A862" t="s">
        <v>3887</v>
      </c>
      <c r="B862" t="s">
        <v>3888</v>
      </c>
      <c r="C862" s="1">
        <v>45762</v>
      </c>
      <c r="D862" s="3">
        <v>4.0659722222222222E-2</v>
      </c>
      <c r="E862">
        <f t="shared" si="117"/>
        <v>0</v>
      </c>
      <c r="F862">
        <v>63</v>
      </c>
      <c r="G862" t="s">
        <v>28</v>
      </c>
      <c r="H862" t="s">
        <v>185</v>
      </c>
      <c r="I862" t="s">
        <v>110</v>
      </c>
      <c r="J862" t="s">
        <v>31</v>
      </c>
      <c r="K862" t="s">
        <v>114</v>
      </c>
      <c r="L862">
        <v>198.6</v>
      </c>
      <c r="M862" t="s">
        <v>23</v>
      </c>
      <c r="N862">
        <f t="shared" si="118"/>
        <v>0</v>
      </c>
      <c r="O862" t="s">
        <v>51</v>
      </c>
      <c r="P862" t="s">
        <v>3889</v>
      </c>
      <c r="Q862">
        <v>0</v>
      </c>
      <c r="R862">
        <v>424</v>
      </c>
      <c r="S862">
        <f t="shared" si="119"/>
        <v>0.33206738229285088</v>
      </c>
      <c r="T862">
        <f t="shared" si="120"/>
        <v>0</v>
      </c>
      <c r="U862">
        <f t="shared" si="121"/>
        <v>1</v>
      </c>
      <c r="V862">
        <f t="shared" si="122"/>
        <v>0</v>
      </c>
      <c r="W862">
        <f t="shared" si="123"/>
        <v>2</v>
      </c>
      <c r="X862">
        <f t="shared" si="124"/>
        <v>0</v>
      </c>
      <c r="Y862">
        <f t="shared" si="125"/>
        <v>0</v>
      </c>
    </row>
    <row r="863" spans="1:25" x14ac:dyDescent="0.3">
      <c r="A863" t="s">
        <v>608</v>
      </c>
      <c r="B863" t="s">
        <v>609</v>
      </c>
      <c r="C863" s="1">
        <v>45840</v>
      </c>
      <c r="D863" s="3">
        <v>8.2511574074074071E-2</v>
      </c>
      <c r="E863">
        <f t="shared" si="117"/>
        <v>1</v>
      </c>
      <c r="F863" s="4">
        <v>41</v>
      </c>
      <c r="G863" t="s">
        <v>18</v>
      </c>
      <c r="H863" t="s">
        <v>175</v>
      </c>
      <c r="I863" t="s">
        <v>71</v>
      </c>
      <c r="J863" t="s">
        <v>31</v>
      </c>
      <c r="K863" t="s">
        <v>114</v>
      </c>
      <c r="L863">
        <v>198.53</v>
      </c>
      <c r="M863" t="s">
        <v>23</v>
      </c>
      <c r="N863">
        <f t="shared" si="118"/>
        <v>0</v>
      </c>
      <c r="O863" t="s">
        <v>24</v>
      </c>
      <c r="P863" t="s">
        <v>610</v>
      </c>
      <c r="Q863">
        <v>0</v>
      </c>
      <c r="R863">
        <v>467</v>
      </c>
      <c r="S863">
        <f t="shared" si="119"/>
        <v>0.33109828412952452</v>
      </c>
      <c r="T863">
        <f t="shared" si="120"/>
        <v>0</v>
      </c>
      <c r="U863">
        <f t="shared" si="121"/>
        <v>1</v>
      </c>
      <c r="V863">
        <f t="shared" si="122"/>
        <v>0</v>
      </c>
      <c r="W863">
        <f t="shared" si="123"/>
        <v>2</v>
      </c>
      <c r="X863">
        <f t="shared" si="124"/>
        <v>0</v>
      </c>
      <c r="Y863">
        <f t="shared" si="125"/>
        <v>0</v>
      </c>
    </row>
    <row r="864" spans="1:25" x14ac:dyDescent="0.3">
      <c r="A864" t="s">
        <v>3467</v>
      </c>
      <c r="B864" t="s">
        <v>3468</v>
      </c>
      <c r="C864" s="1">
        <v>45789</v>
      </c>
      <c r="D864" s="3">
        <v>0.43996527777777777</v>
      </c>
      <c r="E864">
        <f t="shared" si="117"/>
        <v>10</v>
      </c>
      <c r="F864">
        <v>64</v>
      </c>
      <c r="G864" t="s">
        <v>46</v>
      </c>
      <c r="H864" t="s">
        <v>61</v>
      </c>
      <c r="I864" t="s">
        <v>85</v>
      </c>
      <c r="J864" t="s">
        <v>127</v>
      </c>
      <c r="K864" t="s">
        <v>95</v>
      </c>
      <c r="L864">
        <v>198.47</v>
      </c>
      <c r="M864" t="s">
        <v>115</v>
      </c>
      <c r="N864">
        <f t="shared" si="118"/>
        <v>0</v>
      </c>
      <c r="O864" t="s">
        <v>86</v>
      </c>
      <c r="P864" t="s">
        <v>3469</v>
      </c>
      <c r="Q864">
        <v>0</v>
      </c>
      <c r="R864">
        <v>82</v>
      </c>
      <c r="S864">
        <f t="shared" si="119"/>
        <v>0.33026762856095893</v>
      </c>
      <c r="T864">
        <f t="shared" si="120"/>
        <v>0</v>
      </c>
      <c r="U864">
        <f t="shared" si="121"/>
        <v>0</v>
      </c>
      <c r="V864">
        <f t="shared" si="122"/>
        <v>1</v>
      </c>
      <c r="W864">
        <f t="shared" si="123"/>
        <v>1</v>
      </c>
      <c r="X864">
        <f t="shared" si="124"/>
        <v>0</v>
      </c>
      <c r="Y864">
        <f t="shared" si="125"/>
        <v>0</v>
      </c>
    </row>
    <row r="865" spans="1:25" x14ac:dyDescent="0.3">
      <c r="A865" t="s">
        <v>2561</v>
      </c>
      <c r="B865" t="s">
        <v>2562</v>
      </c>
      <c r="C865" s="1">
        <v>45792</v>
      </c>
      <c r="D865" s="3">
        <v>0.82664351851851847</v>
      </c>
      <c r="E865">
        <f t="shared" si="117"/>
        <v>19</v>
      </c>
      <c r="F865">
        <v>34</v>
      </c>
      <c r="G865" t="s">
        <v>18</v>
      </c>
      <c r="H865" t="s">
        <v>70</v>
      </c>
      <c r="I865" t="s">
        <v>30</v>
      </c>
      <c r="J865" t="s">
        <v>132</v>
      </c>
      <c r="K865" t="s">
        <v>95</v>
      </c>
      <c r="L865">
        <v>198.45</v>
      </c>
      <c r="M865" t="s">
        <v>33</v>
      </c>
      <c r="N865">
        <f t="shared" si="118"/>
        <v>0</v>
      </c>
      <c r="O865" t="s">
        <v>51</v>
      </c>
      <c r="P865" t="s">
        <v>2563</v>
      </c>
      <c r="Q865">
        <v>0</v>
      </c>
      <c r="R865">
        <v>138</v>
      </c>
      <c r="S865">
        <f t="shared" si="119"/>
        <v>0.32999074337143697</v>
      </c>
      <c r="T865">
        <f t="shared" si="120"/>
        <v>0</v>
      </c>
      <c r="U865">
        <f t="shared" si="121"/>
        <v>0</v>
      </c>
      <c r="V865">
        <f t="shared" si="122"/>
        <v>1</v>
      </c>
      <c r="W865">
        <f t="shared" si="123"/>
        <v>1</v>
      </c>
      <c r="X865">
        <f t="shared" si="124"/>
        <v>0</v>
      </c>
      <c r="Y865">
        <f t="shared" si="125"/>
        <v>0</v>
      </c>
    </row>
    <row r="866" spans="1:25" x14ac:dyDescent="0.3">
      <c r="A866" t="s">
        <v>542</v>
      </c>
      <c r="B866" s="2" t="s">
        <v>543</v>
      </c>
      <c r="C866" s="1">
        <v>45866</v>
      </c>
      <c r="D866" s="3">
        <v>0.15049768518518519</v>
      </c>
      <c r="E866">
        <f t="shared" si="117"/>
        <v>3</v>
      </c>
      <c r="F866">
        <v>40</v>
      </c>
      <c r="G866" t="s">
        <v>6479</v>
      </c>
      <c r="H866" t="s">
        <v>47</v>
      </c>
      <c r="I866" t="s">
        <v>39</v>
      </c>
      <c r="J866" t="s">
        <v>49</v>
      </c>
      <c r="K866" t="s">
        <v>168</v>
      </c>
      <c r="L866">
        <v>198.42</v>
      </c>
      <c r="M866" t="s">
        <v>33</v>
      </c>
      <c r="N866">
        <f t="shared" si="118"/>
        <v>0</v>
      </c>
      <c r="O866" t="s">
        <v>51</v>
      </c>
      <c r="P866" t="s">
        <v>544</v>
      </c>
      <c r="Q866">
        <v>0</v>
      </c>
      <c r="R866">
        <v>187</v>
      </c>
      <c r="S866">
        <f t="shared" si="119"/>
        <v>0.32957541558715414</v>
      </c>
      <c r="T866">
        <f t="shared" si="120"/>
        <v>0</v>
      </c>
      <c r="U866">
        <f t="shared" si="121"/>
        <v>1</v>
      </c>
      <c r="V866">
        <f t="shared" si="122"/>
        <v>1</v>
      </c>
      <c r="W866">
        <f t="shared" si="123"/>
        <v>3</v>
      </c>
      <c r="X866">
        <f t="shared" si="124"/>
        <v>0</v>
      </c>
      <c r="Y866">
        <f t="shared" si="125"/>
        <v>0</v>
      </c>
    </row>
    <row r="867" spans="1:25" x14ac:dyDescent="0.3">
      <c r="A867" t="s">
        <v>4553</v>
      </c>
      <c r="B867" t="s">
        <v>4554</v>
      </c>
      <c r="C867" s="1">
        <v>45722</v>
      </c>
      <c r="D867" s="3">
        <v>0.98962962962962964</v>
      </c>
      <c r="E867">
        <f t="shared" si="117"/>
        <v>23</v>
      </c>
      <c r="F867">
        <v>39</v>
      </c>
      <c r="G867" t="s">
        <v>46</v>
      </c>
      <c r="H867" t="s">
        <v>19</v>
      </c>
      <c r="I867" t="s">
        <v>110</v>
      </c>
      <c r="J867" t="s">
        <v>21</v>
      </c>
      <c r="K867" t="s">
        <v>62</v>
      </c>
      <c r="L867">
        <v>198.4</v>
      </c>
      <c r="M867" t="s">
        <v>115</v>
      </c>
      <c r="N867">
        <f t="shared" si="118"/>
        <v>0</v>
      </c>
      <c r="O867" t="s">
        <v>51</v>
      </c>
      <c r="P867" t="s">
        <v>4555</v>
      </c>
      <c r="Q867">
        <v>0</v>
      </c>
      <c r="R867">
        <v>226</v>
      </c>
      <c r="S867">
        <f t="shared" si="119"/>
        <v>0.32929853039763257</v>
      </c>
      <c r="T867">
        <f t="shared" si="120"/>
        <v>0</v>
      </c>
      <c r="U867">
        <f t="shared" si="121"/>
        <v>0</v>
      </c>
      <c r="V867">
        <f t="shared" si="122"/>
        <v>1</v>
      </c>
      <c r="W867">
        <f t="shared" si="123"/>
        <v>1</v>
      </c>
      <c r="X867">
        <f t="shared" si="124"/>
        <v>0</v>
      </c>
      <c r="Y867">
        <f t="shared" si="125"/>
        <v>0</v>
      </c>
    </row>
    <row r="868" spans="1:25" x14ac:dyDescent="0.3">
      <c r="A868" t="s">
        <v>2291</v>
      </c>
      <c r="B868" t="s">
        <v>2292</v>
      </c>
      <c r="C868" s="1">
        <v>45707</v>
      </c>
      <c r="D868" s="3">
        <v>0.97245370370370365</v>
      </c>
      <c r="E868">
        <f t="shared" si="117"/>
        <v>23</v>
      </c>
      <c r="F868">
        <v>50</v>
      </c>
      <c r="G868" t="s">
        <v>60</v>
      </c>
      <c r="H868" t="s">
        <v>131</v>
      </c>
      <c r="I868" t="s">
        <v>85</v>
      </c>
      <c r="J868" t="s">
        <v>127</v>
      </c>
      <c r="K868" t="s">
        <v>168</v>
      </c>
      <c r="L868">
        <v>198.28</v>
      </c>
      <c r="M868" t="s">
        <v>33</v>
      </c>
      <c r="N868">
        <f t="shared" si="118"/>
        <v>0</v>
      </c>
      <c r="O868" t="s">
        <v>34</v>
      </c>
      <c r="P868" t="s">
        <v>2293</v>
      </c>
      <c r="Q868">
        <v>0</v>
      </c>
      <c r="R868">
        <v>366</v>
      </c>
      <c r="S868">
        <f t="shared" si="119"/>
        <v>0.32763721926050143</v>
      </c>
      <c r="T868">
        <f t="shared" si="120"/>
        <v>0</v>
      </c>
      <c r="U868">
        <f t="shared" si="121"/>
        <v>0</v>
      </c>
      <c r="V868">
        <f t="shared" si="122"/>
        <v>0</v>
      </c>
      <c r="W868">
        <f t="shared" si="123"/>
        <v>0</v>
      </c>
      <c r="X868">
        <f t="shared" si="124"/>
        <v>0</v>
      </c>
      <c r="Y868">
        <f t="shared" si="125"/>
        <v>0</v>
      </c>
    </row>
    <row r="869" spans="1:25" x14ac:dyDescent="0.3">
      <c r="A869" t="s">
        <v>1421</v>
      </c>
      <c r="B869" t="s">
        <v>1422</v>
      </c>
      <c r="C869" s="1">
        <v>45872</v>
      </c>
      <c r="D869" s="3">
        <v>0.43353009259259262</v>
      </c>
      <c r="E869">
        <f t="shared" si="117"/>
        <v>10</v>
      </c>
      <c r="F869">
        <v>29</v>
      </c>
      <c r="G869" t="s">
        <v>46</v>
      </c>
      <c r="H869" t="s">
        <v>70</v>
      </c>
      <c r="I869" t="s">
        <v>71</v>
      </c>
      <c r="J869" t="s">
        <v>72</v>
      </c>
      <c r="K869" t="s">
        <v>95</v>
      </c>
      <c r="L869">
        <v>198.25</v>
      </c>
      <c r="M869" t="s">
        <v>33</v>
      </c>
      <c r="N869">
        <f t="shared" si="118"/>
        <v>0</v>
      </c>
      <c r="O869" t="s">
        <v>51</v>
      </c>
      <c r="P869" t="s">
        <v>1423</v>
      </c>
      <c r="Q869">
        <v>0</v>
      </c>
      <c r="R869">
        <v>484</v>
      </c>
      <c r="S869">
        <f t="shared" si="119"/>
        <v>0.32722189147621861</v>
      </c>
      <c r="T869">
        <f t="shared" si="120"/>
        <v>0</v>
      </c>
      <c r="U869">
        <f t="shared" si="121"/>
        <v>0</v>
      </c>
      <c r="V869">
        <f t="shared" si="122"/>
        <v>0</v>
      </c>
      <c r="W869">
        <f t="shared" si="123"/>
        <v>0</v>
      </c>
      <c r="X869">
        <f t="shared" si="124"/>
        <v>0</v>
      </c>
      <c r="Y869">
        <f t="shared" si="125"/>
        <v>0</v>
      </c>
    </row>
    <row r="870" spans="1:25" x14ac:dyDescent="0.3">
      <c r="A870" t="s">
        <v>383</v>
      </c>
      <c r="B870" t="s">
        <v>384</v>
      </c>
      <c r="C870" s="1">
        <v>45710</v>
      </c>
      <c r="D870" s="3">
        <v>0.82197916666666671</v>
      </c>
      <c r="E870">
        <f t="shared" si="117"/>
        <v>19</v>
      </c>
      <c r="F870">
        <v>25</v>
      </c>
      <c r="G870" t="s">
        <v>60</v>
      </c>
      <c r="H870" t="s">
        <v>175</v>
      </c>
      <c r="I870" t="s">
        <v>30</v>
      </c>
      <c r="J870" t="s">
        <v>72</v>
      </c>
      <c r="K870" t="s">
        <v>22</v>
      </c>
      <c r="L870">
        <v>198.03</v>
      </c>
      <c r="M870" t="s">
        <v>6479</v>
      </c>
      <c r="N870">
        <f t="shared" si="118"/>
        <v>1</v>
      </c>
      <c r="O870" t="s">
        <v>86</v>
      </c>
      <c r="P870" t="s">
        <v>385</v>
      </c>
      <c r="Q870">
        <v>0</v>
      </c>
      <c r="R870">
        <v>284</v>
      </c>
      <c r="S870">
        <f t="shared" si="119"/>
        <v>0.32417615439147829</v>
      </c>
      <c r="T870">
        <f t="shared" si="120"/>
        <v>0</v>
      </c>
      <c r="U870">
        <f t="shared" si="121"/>
        <v>0</v>
      </c>
      <c r="V870">
        <f t="shared" si="122"/>
        <v>0</v>
      </c>
      <c r="W870">
        <f t="shared" si="123"/>
        <v>2</v>
      </c>
      <c r="X870">
        <f t="shared" si="124"/>
        <v>0</v>
      </c>
      <c r="Y870">
        <f t="shared" si="125"/>
        <v>1</v>
      </c>
    </row>
    <row r="871" spans="1:25" x14ac:dyDescent="0.3">
      <c r="A871" t="s">
        <v>3992</v>
      </c>
      <c r="B871" t="s">
        <v>3993</v>
      </c>
      <c r="C871" s="1">
        <v>45712</v>
      </c>
      <c r="D871" s="3">
        <v>0.23210648148148147</v>
      </c>
      <c r="E871">
        <f t="shared" si="117"/>
        <v>5</v>
      </c>
      <c r="F871">
        <v>65</v>
      </c>
      <c r="G871" t="s">
        <v>46</v>
      </c>
      <c r="H871" t="s">
        <v>131</v>
      </c>
      <c r="I871" t="s">
        <v>85</v>
      </c>
      <c r="J871" t="s">
        <v>127</v>
      </c>
      <c r="K871" t="s">
        <v>41</v>
      </c>
      <c r="L871">
        <v>197.91</v>
      </c>
      <c r="M871" t="s">
        <v>115</v>
      </c>
      <c r="N871">
        <f t="shared" si="118"/>
        <v>0</v>
      </c>
      <c r="O871" t="s">
        <v>86</v>
      </c>
      <c r="P871" t="s">
        <v>3994</v>
      </c>
      <c r="Q871">
        <v>0</v>
      </c>
      <c r="R871">
        <v>62</v>
      </c>
      <c r="S871">
        <f t="shared" si="119"/>
        <v>0.32251484325434715</v>
      </c>
      <c r="T871">
        <f t="shared" si="120"/>
        <v>0</v>
      </c>
      <c r="U871">
        <f t="shared" si="121"/>
        <v>1</v>
      </c>
      <c r="V871">
        <f t="shared" si="122"/>
        <v>1</v>
      </c>
      <c r="W871">
        <f t="shared" si="123"/>
        <v>3</v>
      </c>
      <c r="X871">
        <f t="shared" si="124"/>
        <v>0</v>
      </c>
      <c r="Y871">
        <f t="shared" si="125"/>
        <v>0</v>
      </c>
    </row>
    <row r="872" spans="1:25" x14ac:dyDescent="0.3">
      <c r="A872" t="s">
        <v>1577</v>
      </c>
      <c r="B872" t="s">
        <v>1578</v>
      </c>
      <c r="C872" s="1">
        <v>45711</v>
      </c>
      <c r="D872" s="3">
        <v>0.55903935185185183</v>
      </c>
      <c r="E872">
        <f t="shared" si="117"/>
        <v>13</v>
      </c>
      <c r="F872">
        <v>62</v>
      </c>
      <c r="G872" t="s">
        <v>46</v>
      </c>
      <c r="H872" t="s">
        <v>47</v>
      </c>
      <c r="I872" t="s">
        <v>30</v>
      </c>
      <c r="J872" t="s">
        <v>56</v>
      </c>
      <c r="K872" t="s">
        <v>62</v>
      </c>
      <c r="L872">
        <v>197.86</v>
      </c>
      <c r="M872" t="s">
        <v>115</v>
      </c>
      <c r="N872">
        <f t="shared" si="118"/>
        <v>0</v>
      </c>
      <c r="O872" t="s">
        <v>51</v>
      </c>
      <c r="P872" t="s">
        <v>1579</v>
      </c>
      <c r="Q872">
        <v>0</v>
      </c>
      <c r="R872">
        <v>467</v>
      </c>
      <c r="S872">
        <f t="shared" si="119"/>
        <v>0.32182263028054275</v>
      </c>
      <c r="T872">
        <f t="shared" si="120"/>
        <v>0</v>
      </c>
      <c r="U872">
        <f t="shared" si="121"/>
        <v>0</v>
      </c>
      <c r="V872">
        <f t="shared" si="122"/>
        <v>0</v>
      </c>
      <c r="W872">
        <f t="shared" si="123"/>
        <v>0</v>
      </c>
      <c r="X872">
        <f t="shared" si="124"/>
        <v>0</v>
      </c>
      <c r="Y872">
        <f t="shared" si="125"/>
        <v>0</v>
      </c>
    </row>
    <row r="873" spans="1:25" x14ac:dyDescent="0.3">
      <c r="A873" t="s">
        <v>2780</v>
      </c>
      <c r="B873" t="s">
        <v>2781</v>
      </c>
      <c r="C873" s="1">
        <v>45713</v>
      </c>
      <c r="D873" s="3">
        <v>0.3127199074074074</v>
      </c>
      <c r="E873">
        <f t="shared" si="117"/>
        <v>7</v>
      </c>
      <c r="F873">
        <v>41</v>
      </c>
      <c r="G873" t="s">
        <v>28</v>
      </c>
      <c r="H873" t="s">
        <v>175</v>
      </c>
      <c r="I873" t="s">
        <v>71</v>
      </c>
      <c r="J873" t="s">
        <v>132</v>
      </c>
      <c r="K873" t="s">
        <v>114</v>
      </c>
      <c r="L873">
        <v>197.58</v>
      </c>
      <c r="M873" t="s">
        <v>23</v>
      </c>
      <c r="N873">
        <f t="shared" si="118"/>
        <v>0</v>
      </c>
      <c r="O873" t="s">
        <v>86</v>
      </c>
      <c r="P873" t="s">
        <v>2782</v>
      </c>
      <c r="Q873">
        <v>0</v>
      </c>
      <c r="R873">
        <v>406</v>
      </c>
      <c r="S873">
        <f t="shared" si="119"/>
        <v>0.31794623762723684</v>
      </c>
      <c r="T873">
        <f t="shared" si="120"/>
        <v>0</v>
      </c>
      <c r="U873">
        <f t="shared" si="121"/>
        <v>0</v>
      </c>
      <c r="V873">
        <f t="shared" si="122"/>
        <v>0</v>
      </c>
      <c r="W873">
        <f t="shared" si="123"/>
        <v>0</v>
      </c>
      <c r="X873">
        <f t="shared" si="124"/>
        <v>0</v>
      </c>
      <c r="Y873">
        <f t="shared" si="125"/>
        <v>0</v>
      </c>
    </row>
    <row r="874" spans="1:25" x14ac:dyDescent="0.3">
      <c r="A874" t="s">
        <v>3047</v>
      </c>
      <c r="B874" t="s">
        <v>3048</v>
      </c>
      <c r="C874" s="1">
        <v>45731</v>
      </c>
      <c r="D874" s="3">
        <v>0.62802083333333336</v>
      </c>
      <c r="E874">
        <f t="shared" si="117"/>
        <v>15</v>
      </c>
      <c r="F874">
        <v>28</v>
      </c>
      <c r="G874" t="s">
        <v>18</v>
      </c>
      <c r="H874" t="s">
        <v>189</v>
      </c>
      <c r="I874" t="s">
        <v>48</v>
      </c>
      <c r="J874" t="s">
        <v>31</v>
      </c>
      <c r="K874" t="s">
        <v>95</v>
      </c>
      <c r="L874">
        <v>197.34</v>
      </c>
      <c r="M874" t="s">
        <v>115</v>
      </c>
      <c r="N874">
        <f t="shared" si="118"/>
        <v>0</v>
      </c>
      <c r="O874" t="s">
        <v>24</v>
      </c>
      <c r="P874" t="s">
        <v>3049</v>
      </c>
      <c r="Q874">
        <v>0</v>
      </c>
      <c r="R874">
        <v>413</v>
      </c>
      <c r="S874">
        <f t="shared" si="119"/>
        <v>0.31462361535297451</v>
      </c>
      <c r="T874">
        <f t="shared" si="120"/>
        <v>0</v>
      </c>
      <c r="U874">
        <f t="shared" si="121"/>
        <v>0</v>
      </c>
      <c r="V874">
        <f t="shared" si="122"/>
        <v>0</v>
      </c>
      <c r="W874">
        <f t="shared" si="123"/>
        <v>0</v>
      </c>
      <c r="X874">
        <f t="shared" si="124"/>
        <v>0</v>
      </c>
      <c r="Y874">
        <f t="shared" si="125"/>
        <v>0</v>
      </c>
    </row>
    <row r="875" spans="1:25" x14ac:dyDescent="0.3">
      <c r="A875" t="s">
        <v>4655</v>
      </c>
      <c r="B875" t="s">
        <v>4656</v>
      </c>
      <c r="C875" s="1">
        <v>45808</v>
      </c>
      <c r="D875" s="3">
        <v>0.26096064814814812</v>
      </c>
      <c r="E875">
        <f t="shared" si="117"/>
        <v>6</v>
      </c>
      <c r="F875">
        <v>32</v>
      </c>
      <c r="G875" t="s">
        <v>60</v>
      </c>
      <c r="H875" t="s">
        <v>70</v>
      </c>
      <c r="I875" t="s">
        <v>110</v>
      </c>
      <c r="J875" t="s">
        <v>31</v>
      </c>
      <c r="K875" t="s">
        <v>62</v>
      </c>
      <c r="L875">
        <v>197.28</v>
      </c>
      <c r="M875" t="s">
        <v>33</v>
      </c>
      <c r="N875">
        <f t="shared" si="118"/>
        <v>0</v>
      </c>
      <c r="O875" t="s">
        <v>51</v>
      </c>
      <c r="P875" t="s">
        <v>4657</v>
      </c>
      <c r="Q875">
        <v>0</v>
      </c>
      <c r="R875">
        <v>182</v>
      </c>
      <c r="S875">
        <f t="shared" si="119"/>
        <v>0.31379295978440896</v>
      </c>
      <c r="T875">
        <f t="shared" si="120"/>
        <v>0</v>
      </c>
      <c r="U875">
        <f t="shared" si="121"/>
        <v>0</v>
      </c>
      <c r="V875">
        <f t="shared" si="122"/>
        <v>1</v>
      </c>
      <c r="W875">
        <f t="shared" si="123"/>
        <v>1</v>
      </c>
      <c r="X875">
        <f t="shared" si="124"/>
        <v>0</v>
      </c>
      <c r="Y875">
        <f t="shared" si="125"/>
        <v>0</v>
      </c>
    </row>
    <row r="876" spans="1:25" x14ac:dyDescent="0.3">
      <c r="A876" t="s">
        <v>2057</v>
      </c>
      <c r="B876" t="s">
        <v>2058</v>
      </c>
      <c r="C876" s="1">
        <v>45806</v>
      </c>
      <c r="D876" s="3">
        <v>0.37884259259259262</v>
      </c>
      <c r="E876">
        <f t="shared" si="117"/>
        <v>9</v>
      </c>
      <c r="F876">
        <v>45</v>
      </c>
      <c r="G876" t="s">
        <v>46</v>
      </c>
      <c r="H876" t="s">
        <v>232</v>
      </c>
      <c r="I876" t="s">
        <v>71</v>
      </c>
      <c r="J876" t="s">
        <v>127</v>
      </c>
      <c r="K876" t="s">
        <v>95</v>
      </c>
      <c r="L876">
        <v>197.13</v>
      </c>
      <c r="M876" t="s">
        <v>33</v>
      </c>
      <c r="N876">
        <f t="shared" si="118"/>
        <v>0</v>
      </c>
      <c r="O876" t="s">
        <v>34</v>
      </c>
      <c r="P876" t="s">
        <v>2059</v>
      </c>
      <c r="Q876">
        <v>0</v>
      </c>
      <c r="R876">
        <v>104</v>
      </c>
      <c r="S876">
        <f t="shared" si="119"/>
        <v>0.311716320862995</v>
      </c>
      <c r="T876">
        <f t="shared" si="120"/>
        <v>0</v>
      </c>
      <c r="U876">
        <f t="shared" si="121"/>
        <v>0</v>
      </c>
      <c r="V876">
        <f t="shared" si="122"/>
        <v>1</v>
      </c>
      <c r="W876">
        <f t="shared" si="123"/>
        <v>1</v>
      </c>
      <c r="X876">
        <f t="shared" si="124"/>
        <v>0</v>
      </c>
      <c r="Y876">
        <f t="shared" si="125"/>
        <v>0</v>
      </c>
    </row>
    <row r="877" spans="1:25" x14ac:dyDescent="0.3">
      <c r="A877" t="s">
        <v>2492</v>
      </c>
      <c r="B877" t="s">
        <v>2493</v>
      </c>
      <c r="C877" s="1">
        <v>45825</v>
      </c>
      <c r="D877" s="3">
        <v>0.93236111111111108</v>
      </c>
      <c r="E877">
        <f t="shared" si="117"/>
        <v>22</v>
      </c>
      <c r="F877">
        <v>19</v>
      </c>
      <c r="G877" t="s">
        <v>18</v>
      </c>
      <c r="H877" t="s">
        <v>90</v>
      </c>
      <c r="I877" t="s">
        <v>48</v>
      </c>
      <c r="J877" t="s">
        <v>132</v>
      </c>
      <c r="K877" t="s">
        <v>95</v>
      </c>
      <c r="L877">
        <v>197.08</v>
      </c>
      <c r="M877" t="s">
        <v>42</v>
      </c>
      <c r="N877">
        <f t="shared" si="118"/>
        <v>0</v>
      </c>
      <c r="O877" t="s">
        <v>51</v>
      </c>
      <c r="P877" t="s">
        <v>2494</v>
      </c>
      <c r="Q877">
        <v>0</v>
      </c>
      <c r="R877">
        <v>395</v>
      </c>
      <c r="S877">
        <f t="shared" si="119"/>
        <v>0.3110241078891906</v>
      </c>
      <c r="T877">
        <f t="shared" si="120"/>
        <v>0</v>
      </c>
      <c r="U877">
        <f t="shared" si="121"/>
        <v>0</v>
      </c>
      <c r="V877">
        <f t="shared" si="122"/>
        <v>0</v>
      </c>
      <c r="W877">
        <f t="shared" si="123"/>
        <v>0</v>
      </c>
      <c r="X877">
        <f t="shared" si="124"/>
        <v>0</v>
      </c>
      <c r="Y877">
        <f t="shared" si="125"/>
        <v>0</v>
      </c>
    </row>
    <row r="878" spans="1:25" x14ac:dyDescent="0.3">
      <c r="A878" t="s">
        <v>1766</v>
      </c>
      <c r="B878" t="s">
        <v>1767</v>
      </c>
      <c r="C878" s="1">
        <v>45815</v>
      </c>
      <c r="D878" s="3">
        <v>0.71550925925925923</v>
      </c>
      <c r="E878">
        <f t="shared" si="117"/>
        <v>17</v>
      </c>
      <c r="F878">
        <v>40</v>
      </c>
      <c r="G878" t="s">
        <v>46</v>
      </c>
      <c r="H878" t="s">
        <v>70</v>
      </c>
      <c r="I878" t="s">
        <v>119</v>
      </c>
      <c r="J878" t="s">
        <v>127</v>
      </c>
      <c r="K878" t="s">
        <v>114</v>
      </c>
      <c r="L878">
        <v>197.03</v>
      </c>
      <c r="M878" t="s">
        <v>23</v>
      </c>
      <c r="N878">
        <f t="shared" si="118"/>
        <v>0</v>
      </c>
      <c r="O878" t="s">
        <v>51</v>
      </c>
      <c r="P878" t="s">
        <v>1768</v>
      </c>
      <c r="Q878">
        <v>0</v>
      </c>
      <c r="R878">
        <v>187</v>
      </c>
      <c r="S878">
        <f t="shared" si="119"/>
        <v>0.31033189491538582</v>
      </c>
      <c r="T878">
        <f t="shared" si="120"/>
        <v>0</v>
      </c>
      <c r="U878">
        <f t="shared" si="121"/>
        <v>0</v>
      </c>
      <c r="V878">
        <f t="shared" si="122"/>
        <v>1</v>
      </c>
      <c r="W878">
        <f t="shared" si="123"/>
        <v>1</v>
      </c>
      <c r="X878">
        <f t="shared" si="124"/>
        <v>0</v>
      </c>
      <c r="Y878">
        <f t="shared" si="125"/>
        <v>0</v>
      </c>
    </row>
    <row r="879" spans="1:25" x14ac:dyDescent="0.3">
      <c r="A879" t="s">
        <v>4148</v>
      </c>
      <c r="B879" t="s">
        <v>4149</v>
      </c>
      <c r="C879" s="1">
        <v>45822</v>
      </c>
      <c r="D879" s="3">
        <v>0.18292824074074074</v>
      </c>
      <c r="E879">
        <f t="shared" si="117"/>
        <v>4</v>
      </c>
      <c r="F879">
        <v>26</v>
      </c>
      <c r="G879" t="s">
        <v>46</v>
      </c>
      <c r="H879" t="s">
        <v>61</v>
      </c>
      <c r="I879" t="s">
        <v>39</v>
      </c>
      <c r="J879" t="s">
        <v>56</v>
      </c>
      <c r="K879" t="s">
        <v>120</v>
      </c>
      <c r="L879">
        <v>196.84</v>
      </c>
      <c r="M879" t="s">
        <v>115</v>
      </c>
      <c r="N879">
        <f t="shared" si="118"/>
        <v>0</v>
      </c>
      <c r="O879" t="s">
        <v>34</v>
      </c>
      <c r="P879" t="s">
        <v>4150</v>
      </c>
      <c r="Q879">
        <v>0</v>
      </c>
      <c r="R879">
        <v>323</v>
      </c>
      <c r="S879">
        <f t="shared" si="119"/>
        <v>0.30770148561492833</v>
      </c>
      <c r="T879">
        <f t="shared" si="120"/>
        <v>0</v>
      </c>
      <c r="U879">
        <f t="shared" si="121"/>
        <v>1</v>
      </c>
      <c r="V879">
        <f t="shared" si="122"/>
        <v>0</v>
      </c>
      <c r="W879">
        <f t="shared" si="123"/>
        <v>2</v>
      </c>
      <c r="X879">
        <f t="shared" si="124"/>
        <v>0</v>
      </c>
      <c r="Y879">
        <f t="shared" si="125"/>
        <v>0</v>
      </c>
    </row>
    <row r="880" spans="1:25" x14ac:dyDescent="0.3">
      <c r="A880" t="s">
        <v>5189</v>
      </c>
      <c r="B880" t="s">
        <v>5190</v>
      </c>
      <c r="C880" s="1">
        <v>45764</v>
      </c>
      <c r="D880" s="3">
        <v>0.49037037037037035</v>
      </c>
      <c r="E880">
        <f t="shared" si="117"/>
        <v>11</v>
      </c>
      <c r="F880">
        <v>47</v>
      </c>
      <c r="G880" t="s">
        <v>18</v>
      </c>
      <c r="H880" t="s">
        <v>61</v>
      </c>
      <c r="I880" t="s">
        <v>85</v>
      </c>
      <c r="J880" t="s">
        <v>132</v>
      </c>
      <c r="K880" t="s">
        <v>168</v>
      </c>
      <c r="L880">
        <v>196.84</v>
      </c>
      <c r="M880" t="s">
        <v>115</v>
      </c>
      <c r="N880">
        <f t="shared" si="118"/>
        <v>0</v>
      </c>
      <c r="O880" t="s">
        <v>51</v>
      </c>
      <c r="P880" t="s">
        <v>5191</v>
      </c>
      <c r="Q880">
        <v>0</v>
      </c>
      <c r="R880">
        <v>161</v>
      </c>
      <c r="S880">
        <f t="shared" si="119"/>
        <v>0.30770148561492833</v>
      </c>
      <c r="T880">
        <f t="shared" si="120"/>
        <v>0</v>
      </c>
      <c r="U880">
        <f t="shared" si="121"/>
        <v>0</v>
      </c>
      <c r="V880">
        <f t="shared" si="122"/>
        <v>1</v>
      </c>
      <c r="W880">
        <f t="shared" si="123"/>
        <v>1</v>
      </c>
      <c r="X880">
        <f t="shared" si="124"/>
        <v>0</v>
      </c>
      <c r="Y880">
        <f t="shared" si="125"/>
        <v>0</v>
      </c>
    </row>
    <row r="881" spans="1:25" x14ac:dyDescent="0.3">
      <c r="A881" t="s">
        <v>4232</v>
      </c>
      <c r="B881" t="s">
        <v>4233</v>
      </c>
      <c r="C881" s="1">
        <v>45796</v>
      </c>
      <c r="D881" s="3">
        <v>0.68428240740740742</v>
      </c>
      <c r="E881">
        <f t="shared" si="117"/>
        <v>16</v>
      </c>
      <c r="F881">
        <v>38</v>
      </c>
      <c r="G881" t="s">
        <v>28</v>
      </c>
      <c r="H881" t="s">
        <v>142</v>
      </c>
      <c r="I881" t="s">
        <v>20</v>
      </c>
      <c r="J881" t="s">
        <v>132</v>
      </c>
      <c r="K881" t="s">
        <v>22</v>
      </c>
      <c r="L881">
        <v>196.66</v>
      </c>
      <c r="M881" t="s">
        <v>115</v>
      </c>
      <c r="N881">
        <f t="shared" si="118"/>
        <v>0</v>
      </c>
      <c r="O881" t="s">
        <v>34</v>
      </c>
      <c r="P881" t="s">
        <v>4234</v>
      </c>
      <c r="Q881">
        <v>0</v>
      </c>
      <c r="R881">
        <v>491</v>
      </c>
      <c r="S881">
        <f t="shared" si="119"/>
        <v>0.30520951890923159</v>
      </c>
      <c r="T881">
        <f t="shared" si="120"/>
        <v>0</v>
      </c>
      <c r="U881">
        <f t="shared" si="121"/>
        <v>0</v>
      </c>
      <c r="V881">
        <f t="shared" si="122"/>
        <v>0</v>
      </c>
      <c r="W881">
        <f t="shared" si="123"/>
        <v>0</v>
      </c>
      <c r="X881">
        <f t="shared" si="124"/>
        <v>0</v>
      </c>
      <c r="Y881">
        <f t="shared" si="125"/>
        <v>0</v>
      </c>
    </row>
    <row r="882" spans="1:25" x14ac:dyDescent="0.3">
      <c r="A882" t="s">
        <v>5009</v>
      </c>
      <c r="B882" t="s">
        <v>5010</v>
      </c>
      <c r="C882" s="1">
        <v>45875</v>
      </c>
      <c r="D882" s="3">
        <v>0.50990740740740736</v>
      </c>
      <c r="E882">
        <f t="shared" si="117"/>
        <v>12</v>
      </c>
      <c r="F882">
        <v>57</v>
      </c>
      <c r="G882" t="s">
        <v>46</v>
      </c>
      <c r="H882" t="s">
        <v>239</v>
      </c>
      <c r="I882" t="s">
        <v>105</v>
      </c>
      <c r="J882" t="s">
        <v>56</v>
      </c>
      <c r="K882" t="s">
        <v>114</v>
      </c>
      <c r="L882">
        <v>196.56</v>
      </c>
      <c r="M882" t="s">
        <v>115</v>
      </c>
      <c r="N882">
        <f t="shared" si="118"/>
        <v>0</v>
      </c>
      <c r="O882" t="s">
        <v>24</v>
      </c>
      <c r="P882" t="s">
        <v>5011</v>
      </c>
      <c r="Q882">
        <v>0</v>
      </c>
      <c r="R882">
        <v>153</v>
      </c>
      <c r="S882">
        <f t="shared" si="119"/>
        <v>0.30382509296162241</v>
      </c>
      <c r="T882">
        <f t="shared" si="120"/>
        <v>0</v>
      </c>
      <c r="U882">
        <f t="shared" si="121"/>
        <v>0</v>
      </c>
      <c r="V882">
        <f t="shared" si="122"/>
        <v>1</v>
      </c>
      <c r="W882">
        <f t="shared" si="123"/>
        <v>1</v>
      </c>
      <c r="X882">
        <f t="shared" si="124"/>
        <v>0</v>
      </c>
      <c r="Y882">
        <f t="shared" si="125"/>
        <v>0</v>
      </c>
    </row>
    <row r="883" spans="1:25" x14ac:dyDescent="0.3">
      <c r="A883" t="s">
        <v>5954</v>
      </c>
      <c r="B883" t="s">
        <v>5955</v>
      </c>
      <c r="C883" s="1">
        <v>45737</v>
      </c>
      <c r="D883" s="3">
        <v>0.6938657407407407</v>
      </c>
      <c r="E883">
        <f t="shared" si="117"/>
        <v>16</v>
      </c>
      <c r="F883" s="4">
        <v>41</v>
      </c>
      <c r="G883" t="s">
        <v>46</v>
      </c>
      <c r="H883" t="s">
        <v>80</v>
      </c>
      <c r="I883" t="s">
        <v>66</v>
      </c>
      <c r="J883" t="s">
        <v>49</v>
      </c>
      <c r="K883" t="s">
        <v>50</v>
      </c>
      <c r="L883">
        <v>196.37</v>
      </c>
      <c r="M883" t="s">
        <v>115</v>
      </c>
      <c r="N883">
        <f t="shared" si="118"/>
        <v>0</v>
      </c>
      <c r="O883" t="s">
        <v>34</v>
      </c>
      <c r="P883" t="s">
        <v>5956</v>
      </c>
      <c r="Q883">
        <v>0</v>
      </c>
      <c r="R883">
        <v>304</v>
      </c>
      <c r="S883">
        <f t="shared" si="119"/>
        <v>0.30119468366116486</v>
      </c>
      <c r="T883">
        <f t="shared" si="120"/>
        <v>0</v>
      </c>
      <c r="U883">
        <f t="shared" si="121"/>
        <v>0</v>
      </c>
      <c r="V883">
        <f t="shared" si="122"/>
        <v>0</v>
      </c>
      <c r="W883">
        <f t="shared" si="123"/>
        <v>0</v>
      </c>
      <c r="X883">
        <f t="shared" si="124"/>
        <v>0</v>
      </c>
      <c r="Y883">
        <f t="shared" si="125"/>
        <v>0</v>
      </c>
    </row>
    <row r="884" spans="1:25" x14ac:dyDescent="0.3">
      <c r="A884" t="s">
        <v>1565</v>
      </c>
      <c r="B884" t="s">
        <v>1566</v>
      </c>
      <c r="C884" s="1">
        <v>45768</v>
      </c>
      <c r="D884" s="3">
        <v>0.4412847222222222</v>
      </c>
      <c r="E884">
        <f t="shared" si="117"/>
        <v>10</v>
      </c>
      <c r="F884">
        <v>36</v>
      </c>
      <c r="G884" t="s">
        <v>18</v>
      </c>
      <c r="H884" t="s">
        <v>185</v>
      </c>
      <c r="I884" t="s">
        <v>66</v>
      </c>
      <c r="J884" t="s">
        <v>31</v>
      </c>
      <c r="K884" t="s">
        <v>101</v>
      </c>
      <c r="L884">
        <v>196.16</v>
      </c>
      <c r="M884" t="s">
        <v>33</v>
      </c>
      <c r="N884">
        <f t="shared" si="118"/>
        <v>0</v>
      </c>
      <c r="O884" t="s">
        <v>24</v>
      </c>
      <c r="P884" t="s">
        <v>1567</v>
      </c>
      <c r="Q884">
        <v>0</v>
      </c>
      <c r="R884">
        <v>178</v>
      </c>
      <c r="S884">
        <f t="shared" si="119"/>
        <v>0.29828738917118536</v>
      </c>
      <c r="T884">
        <f t="shared" si="120"/>
        <v>0</v>
      </c>
      <c r="U884">
        <f t="shared" si="121"/>
        <v>0</v>
      </c>
      <c r="V884">
        <f t="shared" si="122"/>
        <v>1</v>
      </c>
      <c r="W884">
        <f t="shared" si="123"/>
        <v>1</v>
      </c>
      <c r="X884">
        <f t="shared" si="124"/>
        <v>0</v>
      </c>
      <c r="Y884">
        <f t="shared" si="125"/>
        <v>0</v>
      </c>
    </row>
    <row r="885" spans="1:25" x14ac:dyDescent="0.3">
      <c r="A885" t="s">
        <v>4358</v>
      </c>
      <c r="B885" t="s">
        <v>4359</v>
      </c>
      <c r="C885" s="1">
        <v>45787</v>
      </c>
      <c r="D885" s="3">
        <v>0.12881944444444443</v>
      </c>
      <c r="E885">
        <f t="shared" si="117"/>
        <v>3</v>
      </c>
      <c r="F885">
        <v>60</v>
      </c>
      <c r="G885" t="s">
        <v>46</v>
      </c>
      <c r="H885" t="s">
        <v>61</v>
      </c>
      <c r="I885" t="s">
        <v>110</v>
      </c>
      <c r="J885" t="s">
        <v>132</v>
      </c>
      <c r="K885" t="s">
        <v>32</v>
      </c>
      <c r="L885">
        <v>196.15</v>
      </c>
      <c r="M885" t="s">
        <v>42</v>
      </c>
      <c r="N885">
        <f t="shared" si="118"/>
        <v>0</v>
      </c>
      <c r="O885" t="s">
        <v>34</v>
      </c>
      <c r="P885" t="s">
        <v>4360</v>
      </c>
      <c r="Q885">
        <v>0</v>
      </c>
      <c r="R885">
        <v>315</v>
      </c>
      <c r="S885">
        <f t="shared" si="119"/>
        <v>0.29814894657642455</v>
      </c>
      <c r="T885">
        <f t="shared" si="120"/>
        <v>0</v>
      </c>
      <c r="U885">
        <f t="shared" si="121"/>
        <v>1</v>
      </c>
      <c r="V885">
        <f t="shared" si="122"/>
        <v>0</v>
      </c>
      <c r="W885">
        <f t="shared" si="123"/>
        <v>2</v>
      </c>
      <c r="X885">
        <f t="shared" si="124"/>
        <v>0</v>
      </c>
      <c r="Y885">
        <f t="shared" si="125"/>
        <v>0</v>
      </c>
    </row>
    <row r="886" spans="1:25" x14ac:dyDescent="0.3">
      <c r="A886" t="s">
        <v>3656</v>
      </c>
      <c r="B886" t="s">
        <v>3657</v>
      </c>
      <c r="C886" s="1">
        <v>45838</v>
      </c>
      <c r="D886" s="3">
        <v>0.39503472222222225</v>
      </c>
      <c r="E886">
        <f t="shared" si="117"/>
        <v>9</v>
      </c>
      <c r="F886">
        <v>57</v>
      </c>
      <c r="G886" t="s">
        <v>18</v>
      </c>
      <c r="H886" t="s">
        <v>80</v>
      </c>
      <c r="I886" t="s">
        <v>66</v>
      </c>
      <c r="J886" t="s">
        <v>56</v>
      </c>
      <c r="K886" t="s">
        <v>50</v>
      </c>
      <c r="L886">
        <v>195.94</v>
      </c>
      <c r="M886" t="s">
        <v>115</v>
      </c>
      <c r="N886">
        <f t="shared" si="118"/>
        <v>0</v>
      </c>
      <c r="O886" t="s">
        <v>24</v>
      </c>
      <c r="P886" t="s">
        <v>3658</v>
      </c>
      <c r="Q886">
        <v>0</v>
      </c>
      <c r="R886">
        <v>339</v>
      </c>
      <c r="S886">
        <f t="shared" si="119"/>
        <v>0.29524165208644504</v>
      </c>
      <c r="T886">
        <f t="shared" si="120"/>
        <v>0</v>
      </c>
      <c r="U886">
        <f t="shared" si="121"/>
        <v>0</v>
      </c>
      <c r="V886">
        <f t="shared" si="122"/>
        <v>0</v>
      </c>
      <c r="W886">
        <f t="shared" si="123"/>
        <v>0</v>
      </c>
      <c r="X886">
        <f t="shared" si="124"/>
        <v>0</v>
      </c>
      <c r="Y886">
        <f t="shared" si="125"/>
        <v>0</v>
      </c>
    </row>
    <row r="887" spans="1:25" x14ac:dyDescent="0.3">
      <c r="A887" t="s">
        <v>5246</v>
      </c>
      <c r="B887" t="s">
        <v>5247</v>
      </c>
      <c r="C887" s="1">
        <v>45791</v>
      </c>
      <c r="D887" s="3">
        <v>0.74472222222222217</v>
      </c>
      <c r="E887">
        <f t="shared" si="117"/>
        <v>17</v>
      </c>
      <c r="F887">
        <v>48</v>
      </c>
      <c r="G887" t="s">
        <v>46</v>
      </c>
      <c r="H887" t="s">
        <v>175</v>
      </c>
      <c r="I887" t="s">
        <v>110</v>
      </c>
      <c r="J887" t="s">
        <v>127</v>
      </c>
      <c r="K887" t="s">
        <v>101</v>
      </c>
      <c r="L887">
        <v>195.93</v>
      </c>
      <c r="M887" t="s">
        <v>23</v>
      </c>
      <c r="N887">
        <f t="shared" si="118"/>
        <v>0</v>
      </c>
      <c r="O887" t="s">
        <v>86</v>
      </c>
      <c r="P887" t="s">
        <v>5248</v>
      </c>
      <c r="Q887">
        <v>0</v>
      </c>
      <c r="R887">
        <v>190</v>
      </c>
      <c r="S887">
        <f t="shared" si="119"/>
        <v>0.29510320949168423</v>
      </c>
      <c r="T887">
        <f t="shared" si="120"/>
        <v>0</v>
      </c>
      <c r="U887">
        <f t="shared" si="121"/>
        <v>0</v>
      </c>
      <c r="V887">
        <f t="shared" si="122"/>
        <v>1</v>
      </c>
      <c r="W887">
        <f t="shared" si="123"/>
        <v>1</v>
      </c>
      <c r="X887">
        <f t="shared" si="124"/>
        <v>0</v>
      </c>
      <c r="Y887">
        <f t="shared" si="125"/>
        <v>0</v>
      </c>
    </row>
    <row r="888" spans="1:25" x14ac:dyDescent="0.3">
      <c r="A888" t="s">
        <v>4028</v>
      </c>
      <c r="B888" t="s">
        <v>4029</v>
      </c>
      <c r="C888" s="1">
        <v>45753</v>
      </c>
      <c r="D888" s="3">
        <v>0.58172453703703708</v>
      </c>
      <c r="E888">
        <f t="shared" si="117"/>
        <v>13</v>
      </c>
      <c r="F888">
        <v>46</v>
      </c>
      <c r="G888" t="s">
        <v>46</v>
      </c>
      <c r="H888" t="s">
        <v>167</v>
      </c>
      <c r="I888" t="s">
        <v>105</v>
      </c>
      <c r="J888" t="s">
        <v>56</v>
      </c>
      <c r="K888" t="s">
        <v>41</v>
      </c>
      <c r="L888">
        <v>195.78</v>
      </c>
      <c r="M888" t="s">
        <v>115</v>
      </c>
      <c r="N888">
        <f t="shared" si="118"/>
        <v>0</v>
      </c>
      <c r="O888" t="s">
        <v>34</v>
      </c>
      <c r="P888" t="s">
        <v>4030</v>
      </c>
      <c r="Q888">
        <v>0</v>
      </c>
      <c r="R888">
        <v>65</v>
      </c>
      <c r="S888">
        <f t="shared" si="119"/>
        <v>0.29302657057027026</v>
      </c>
      <c r="T888">
        <f t="shared" si="120"/>
        <v>0</v>
      </c>
      <c r="U888">
        <f t="shared" si="121"/>
        <v>0</v>
      </c>
      <c r="V888">
        <f t="shared" si="122"/>
        <v>1</v>
      </c>
      <c r="W888">
        <f t="shared" si="123"/>
        <v>1</v>
      </c>
      <c r="X888">
        <f t="shared" si="124"/>
        <v>0</v>
      </c>
      <c r="Y888">
        <f t="shared" si="125"/>
        <v>0</v>
      </c>
    </row>
    <row r="889" spans="1:25" x14ac:dyDescent="0.3">
      <c r="A889" t="s">
        <v>6233</v>
      </c>
      <c r="B889" t="s">
        <v>6234</v>
      </c>
      <c r="C889" s="1">
        <v>45718</v>
      </c>
      <c r="D889" s="3">
        <v>0.44793981481481482</v>
      </c>
      <c r="E889">
        <f t="shared" si="117"/>
        <v>10</v>
      </c>
      <c r="F889">
        <v>31</v>
      </c>
      <c r="G889" t="s">
        <v>99</v>
      </c>
      <c r="H889" t="s">
        <v>29</v>
      </c>
      <c r="I889" t="s">
        <v>105</v>
      </c>
      <c r="J889" t="s">
        <v>40</v>
      </c>
      <c r="K889" t="s">
        <v>101</v>
      </c>
      <c r="L889">
        <v>195.45</v>
      </c>
      <c r="M889" t="s">
        <v>23</v>
      </c>
      <c r="N889">
        <f t="shared" si="118"/>
        <v>0</v>
      </c>
      <c r="O889" t="s">
        <v>86</v>
      </c>
      <c r="P889" t="s">
        <v>6235</v>
      </c>
      <c r="Q889">
        <v>0</v>
      </c>
      <c r="R889">
        <v>397</v>
      </c>
      <c r="S889">
        <f t="shared" si="119"/>
        <v>0.28845796494315956</v>
      </c>
      <c r="T889">
        <f t="shared" si="120"/>
        <v>0</v>
      </c>
      <c r="U889">
        <f t="shared" si="121"/>
        <v>0</v>
      </c>
      <c r="V889">
        <f t="shared" si="122"/>
        <v>0</v>
      </c>
      <c r="W889">
        <f t="shared" si="123"/>
        <v>0</v>
      </c>
      <c r="X889">
        <f t="shared" si="124"/>
        <v>0</v>
      </c>
      <c r="Y889">
        <f t="shared" si="125"/>
        <v>0</v>
      </c>
    </row>
    <row r="890" spans="1:25" x14ac:dyDescent="0.3">
      <c r="A890" t="s">
        <v>129</v>
      </c>
      <c r="B890" t="s">
        <v>130</v>
      </c>
      <c r="C890" s="1">
        <v>45708</v>
      </c>
      <c r="D890" s="3">
        <v>0.89079861111111114</v>
      </c>
      <c r="E890">
        <f t="shared" si="117"/>
        <v>21</v>
      </c>
      <c r="F890">
        <v>47</v>
      </c>
      <c r="G890" t="s">
        <v>60</v>
      </c>
      <c r="H890" t="s">
        <v>131</v>
      </c>
      <c r="I890" t="s">
        <v>105</v>
      </c>
      <c r="J890" t="s">
        <v>132</v>
      </c>
      <c r="K890" t="s">
        <v>120</v>
      </c>
      <c r="L890">
        <v>195.38</v>
      </c>
      <c r="M890" t="s">
        <v>42</v>
      </c>
      <c r="N890">
        <f t="shared" si="118"/>
        <v>0</v>
      </c>
      <c r="O890" t="s">
        <v>86</v>
      </c>
      <c r="P890" t="s">
        <v>133</v>
      </c>
      <c r="Q890">
        <v>0</v>
      </c>
      <c r="R890">
        <v>276</v>
      </c>
      <c r="S890">
        <f t="shared" si="119"/>
        <v>0.28748886677983321</v>
      </c>
      <c r="T890">
        <f t="shared" si="120"/>
        <v>0</v>
      </c>
      <c r="U890">
        <f t="shared" si="121"/>
        <v>0</v>
      </c>
      <c r="V890">
        <f t="shared" si="122"/>
        <v>0</v>
      </c>
      <c r="W890">
        <f t="shared" si="123"/>
        <v>0</v>
      </c>
      <c r="X890">
        <f t="shared" si="124"/>
        <v>0</v>
      </c>
      <c r="Y890">
        <f t="shared" si="125"/>
        <v>0</v>
      </c>
    </row>
    <row r="891" spans="1:25" x14ac:dyDescent="0.3">
      <c r="A891" t="s">
        <v>6437</v>
      </c>
      <c r="B891" t="s">
        <v>6438</v>
      </c>
      <c r="C891" s="1">
        <v>45721</v>
      </c>
      <c r="D891" s="3">
        <v>0.67112268518518514</v>
      </c>
      <c r="E891">
        <f t="shared" si="117"/>
        <v>16</v>
      </c>
      <c r="F891">
        <v>46</v>
      </c>
      <c r="G891" t="s">
        <v>46</v>
      </c>
      <c r="H891" t="s">
        <v>70</v>
      </c>
      <c r="I891" t="s">
        <v>119</v>
      </c>
      <c r="J891" t="s">
        <v>76</v>
      </c>
      <c r="K891" t="s">
        <v>168</v>
      </c>
      <c r="L891">
        <v>195.31</v>
      </c>
      <c r="M891" t="s">
        <v>115</v>
      </c>
      <c r="N891">
        <f t="shared" si="118"/>
        <v>0</v>
      </c>
      <c r="O891" t="s">
        <v>86</v>
      </c>
      <c r="P891" t="s">
        <v>6439</v>
      </c>
      <c r="Q891">
        <v>0</v>
      </c>
      <c r="R891">
        <v>134</v>
      </c>
      <c r="S891">
        <f t="shared" si="119"/>
        <v>0.28651976861650685</v>
      </c>
      <c r="T891">
        <f t="shared" si="120"/>
        <v>0</v>
      </c>
      <c r="U891">
        <f t="shared" si="121"/>
        <v>0</v>
      </c>
      <c r="V891">
        <f t="shared" si="122"/>
        <v>1</v>
      </c>
      <c r="W891">
        <f t="shared" si="123"/>
        <v>1</v>
      </c>
      <c r="X891">
        <f t="shared" si="124"/>
        <v>0</v>
      </c>
      <c r="Y891">
        <f t="shared" si="125"/>
        <v>0</v>
      </c>
    </row>
    <row r="892" spans="1:25" x14ac:dyDescent="0.3">
      <c r="A892" t="s">
        <v>3017</v>
      </c>
      <c r="B892" t="s">
        <v>3018</v>
      </c>
      <c r="C892" s="1">
        <v>45818</v>
      </c>
      <c r="D892" s="3">
        <v>0.84545138888888893</v>
      </c>
      <c r="E892">
        <f t="shared" si="117"/>
        <v>20</v>
      </c>
      <c r="F892">
        <v>37</v>
      </c>
      <c r="G892" t="s">
        <v>18</v>
      </c>
      <c r="H892" t="s">
        <v>131</v>
      </c>
      <c r="I892" t="s">
        <v>48</v>
      </c>
      <c r="J892" t="s">
        <v>132</v>
      </c>
      <c r="K892" t="s">
        <v>22</v>
      </c>
      <c r="L892">
        <v>195.13</v>
      </c>
      <c r="M892" t="s">
        <v>42</v>
      </c>
      <c r="N892">
        <f t="shared" si="118"/>
        <v>0</v>
      </c>
      <c r="O892" t="s">
        <v>51</v>
      </c>
      <c r="P892" t="s">
        <v>3019</v>
      </c>
      <c r="Q892">
        <v>0</v>
      </c>
      <c r="R892">
        <v>112</v>
      </c>
      <c r="S892">
        <f t="shared" si="119"/>
        <v>0.28402780191081012</v>
      </c>
      <c r="T892">
        <f t="shared" si="120"/>
        <v>0</v>
      </c>
      <c r="U892">
        <f t="shared" si="121"/>
        <v>0</v>
      </c>
      <c r="V892">
        <f t="shared" si="122"/>
        <v>1</v>
      </c>
      <c r="W892">
        <f t="shared" si="123"/>
        <v>1</v>
      </c>
      <c r="X892">
        <f t="shared" si="124"/>
        <v>0</v>
      </c>
      <c r="Y892">
        <f t="shared" si="125"/>
        <v>0</v>
      </c>
    </row>
    <row r="893" spans="1:25" x14ac:dyDescent="0.3">
      <c r="A893" t="s">
        <v>2264</v>
      </c>
      <c r="B893" t="s">
        <v>2265</v>
      </c>
      <c r="C893" s="1">
        <v>45791</v>
      </c>
      <c r="D893" s="3">
        <v>0.47901620370370368</v>
      </c>
      <c r="E893">
        <f t="shared" si="117"/>
        <v>11</v>
      </c>
      <c r="F893">
        <v>35</v>
      </c>
      <c r="G893" t="s">
        <v>18</v>
      </c>
      <c r="H893" t="s">
        <v>70</v>
      </c>
      <c r="I893" t="s">
        <v>119</v>
      </c>
      <c r="J893" t="s">
        <v>127</v>
      </c>
      <c r="K893" t="s">
        <v>168</v>
      </c>
      <c r="L893">
        <v>195.08</v>
      </c>
      <c r="M893" t="s">
        <v>42</v>
      </c>
      <c r="N893">
        <f t="shared" si="118"/>
        <v>0</v>
      </c>
      <c r="O893" t="s">
        <v>34</v>
      </c>
      <c r="P893" t="s">
        <v>2266</v>
      </c>
      <c r="Q893">
        <v>0</v>
      </c>
      <c r="R893">
        <v>370</v>
      </c>
      <c r="S893">
        <f t="shared" si="119"/>
        <v>0.28333558893700572</v>
      </c>
      <c r="T893">
        <f t="shared" si="120"/>
        <v>0</v>
      </c>
      <c r="U893">
        <f t="shared" si="121"/>
        <v>0</v>
      </c>
      <c r="V893">
        <f t="shared" si="122"/>
        <v>0</v>
      </c>
      <c r="W893">
        <f t="shared" si="123"/>
        <v>0</v>
      </c>
      <c r="X893">
        <f t="shared" si="124"/>
        <v>0</v>
      </c>
      <c r="Y893">
        <f t="shared" si="125"/>
        <v>0</v>
      </c>
    </row>
    <row r="894" spans="1:25" x14ac:dyDescent="0.3">
      <c r="A894" t="s">
        <v>2525</v>
      </c>
      <c r="B894" t="s">
        <v>2526</v>
      </c>
      <c r="C894" s="1">
        <v>45820</v>
      </c>
      <c r="D894" s="3">
        <v>0.41876157407407405</v>
      </c>
      <c r="E894">
        <f t="shared" si="117"/>
        <v>10</v>
      </c>
      <c r="F894">
        <v>51</v>
      </c>
      <c r="G894" t="s">
        <v>18</v>
      </c>
      <c r="H894" t="s">
        <v>312</v>
      </c>
      <c r="I894" t="s">
        <v>66</v>
      </c>
      <c r="J894" t="s">
        <v>127</v>
      </c>
      <c r="K894" t="s">
        <v>120</v>
      </c>
      <c r="L894">
        <v>194.91</v>
      </c>
      <c r="M894" t="s">
        <v>23</v>
      </c>
      <c r="N894">
        <f t="shared" si="118"/>
        <v>0</v>
      </c>
      <c r="O894" t="s">
        <v>34</v>
      </c>
      <c r="P894" t="s">
        <v>2527</v>
      </c>
      <c r="Q894">
        <v>0</v>
      </c>
      <c r="R894">
        <v>247</v>
      </c>
      <c r="S894">
        <f t="shared" si="119"/>
        <v>0.2809820648260698</v>
      </c>
      <c r="T894">
        <f t="shared" si="120"/>
        <v>0</v>
      </c>
      <c r="U894">
        <f t="shared" si="121"/>
        <v>0</v>
      </c>
      <c r="V894">
        <f t="shared" si="122"/>
        <v>1</v>
      </c>
      <c r="W894">
        <f t="shared" si="123"/>
        <v>1</v>
      </c>
      <c r="X894">
        <f t="shared" si="124"/>
        <v>0</v>
      </c>
      <c r="Y894">
        <f t="shared" si="125"/>
        <v>0</v>
      </c>
    </row>
    <row r="895" spans="1:25" x14ac:dyDescent="0.3">
      <c r="A895" s="2" t="s">
        <v>2249</v>
      </c>
      <c r="B895" t="s">
        <v>2250</v>
      </c>
      <c r="C895" s="1">
        <v>45722</v>
      </c>
      <c r="D895" s="3">
        <v>0.31008101851851849</v>
      </c>
      <c r="E895">
        <f t="shared" si="117"/>
        <v>7</v>
      </c>
      <c r="F895">
        <v>46</v>
      </c>
      <c r="G895" t="s">
        <v>46</v>
      </c>
      <c r="H895" t="s">
        <v>100</v>
      </c>
      <c r="I895" t="s">
        <v>48</v>
      </c>
      <c r="J895" t="s">
        <v>72</v>
      </c>
      <c r="K895" t="s">
        <v>32</v>
      </c>
      <c r="L895">
        <v>194.86</v>
      </c>
      <c r="M895" t="s">
        <v>23</v>
      </c>
      <c r="N895">
        <f t="shared" si="118"/>
        <v>0</v>
      </c>
      <c r="O895" t="s">
        <v>86</v>
      </c>
      <c r="P895" t="s">
        <v>2251</v>
      </c>
      <c r="Q895">
        <v>0</v>
      </c>
      <c r="R895">
        <v>218</v>
      </c>
      <c r="S895">
        <f t="shared" si="119"/>
        <v>0.2802898518522654</v>
      </c>
      <c r="T895">
        <f t="shared" si="120"/>
        <v>0</v>
      </c>
      <c r="U895">
        <f t="shared" si="121"/>
        <v>0</v>
      </c>
      <c r="V895">
        <f t="shared" si="122"/>
        <v>1</v>
      </c>
      <c r="W895">
        <f t="shared" si="123"/>
        <v>1</v>
      </c>
      <c r="X895">
        <f t="shared" si="124"/>
        <v>0</v>
      </c>
      <c r="Y895">
        <f t="shared" si="125"/>
        <v>0</v>
      </c>
    </row>
    <row r="896" spans="1:25" x14ac:dyDescent="0.3">
      <c r="A896" t="s">
        <v>5147</v>
      </c>
      <c r="B896" t="s">
        <v>5148</v>
      </c>
      <c r="C896" s="1">
        <v>45808</v>
      </c>
      <c r="D896" s="3">
        <v>1.8171296296296297E-3</v>
      </c>
      <c r="E896">
        <f t="shared" si="117"/>
        <v>0</v>
      </c>
      <c r="F896">
        <v>59</v>
      </c>
      <c r="G896" t="s">
        <v>46</v>
      </c>
      <c r="H896" t="s">
        <v>232</v>
      </c>
      <c r="I896" t="s">
        <v>85</v>
      </c>
      <c r="J896" t="s">
        <v>72</v>
      </c>
      <c r="K896" t="s">
        <v>32</v>
      </c>
      <c r="L896">
        <v>194.82</v>
      </c>
      <c r="M896" t="s">
        <v>115</v>
      </c>
      <c r="N896">
        <f t="shared" si="118"/>
        <v>0</v>
      </c>
      <c r="O896" t="s">
        <v>86</v>
      </c>
      <c r="P896" t="s">
        <v>5149</v>
      </c>
      <c r="Q896">
        <v>0</v>
      </c>
      <c r="R896">
        <v>383</v>
      </c>
      <c r="S896">
        <f t="shared" si="119"/>
        <v>0.27973608147322143</v>
      </c>
      <c r="T896">
        <f t="shared" si="120"/>
        <v>0</v>
      </c>
      <c r="U896">
        <f t="shared" si="121"/>
        <v>1</v>
      </c>
      <c r="V896">
        <f t="shared" si="122"/>
        <v>0</v>
      </c>
      <c r="W896">
        <f t="shared" si="123"/>
        <v>2</v>
      </c>
      <c r="X896">
        <f t="shared" si="124"/>
        <v>0</v>
      </c>
      <c r="Y896">
        <f t="shared" si="125"/>
        <v>0</v>
      </c>
    </row>
    <row r="897" spans="1:25" x14ac:dyDescent="0.3">
      <c r="A897" t="s">
        <v>656</v>
      </c>
      <c r="B897" t="s">
        <v>657</v>
      </c>
      <c r="C897" s="1">
        <v>45826</v>
      </c>
      <c r="D897" s="3">
        <v>0.68700231481481477</v>
      </c>
      <c r="E897">
        <f t="shared" si="117"/>
        <v>16</v>
      </c>
      <c r="F897">
        <v>50</v>
      </c>
      <c r="G897" t="s">
        <v>18</v>
      </c>
      <c r="H897" t="s">
        <v>239</v>
      </c>
      <c r="I897" t="s">
        <v>110</v>
      </c>
      <c r="J897" t="s">
        <v>31</v>
      </c>
      <c r="K897" t="s">
        <v>41</v>
      </c>
      <c r="L897">
        <v>194.78</v>
      </c>
      <c r="M897" t="s">
        <v>23</v>
      </c>
      <c r="N897">
        <f t="shared" si="118"/>
        <v>0</v>
      </c>
      <c r="O897" t="s">
        <v>34</v>
      </c>
      <c r="P897" t="s">
        <v>658</v>
      </c>
      <c r="Q897">
        <v>0</v>
      </c>
      <c r="R897">
        <v>282</v>
      </c>
      <c r="S897">
        <f t="shared" si="119"/>
        <v>0.27918231109417779</v>
      </c>
      <c r="T897">
        <f t="shared" si="120"/>
        <v>0</v>
      </c>
      <c r="U897">
        <f t="shared" si="121"/>
        <v>0</v>
      </c>
      <c r="V897">
        <f t="shared" si="122"/>
        <v>0</v>
      </c>
      <c r="W897">
        <f t="shared" si="123"/>
        <v>0</v>
      </c>
      <c r="X897">
        <f t="shared" si="124"/>
        <v>0</v>
      </c>
      <c r="Y897">
        <f t="shared" si="125"/>
        <v>0</v>
      </c>
    </row>
    <row r="898" spans="1:25" x14ac:dyDescent="0.3">
      <c r="A898" t="s">
        <v>3800</v>
      </c>
      <c r="B898" t="s">
        <v>3801</v>
      </c>
      <c r="C898" s="1">
        <v>45738</v>
      </c>
      <c r="D898" s="3">
        <v>0.98063657407407412</v>
      </c>
      <c r="E898">
        <f t="shared" ref="E898:E961" si="126">HOUR(D898)</f>
        <v>23</v>
      </c>
      <c r="F898">
        <v>40</v>
      </c>
      <c r="G898" t="s">
        <v>18</v>
      </c>
      <c r="H898" t="s">
        <v>131</v>
      </c>
      <c r="I898" t="s">
        <v>119</v>
      </c>
      <c r="J898" t="s">
        <v>72</v>
      </c>
      <c r="K898" t="s">
        <v>101</v>
      </c>
      <c r="L898">
        <v>194.68</v>
      </c>
      <c r="M898" t="s">
        <v>23</v>
      </c>
      <c r="N898">
        <f t="shared" ref="N898:N961" si="127">IF(M898="Unknown",1,0)</f>
        <v>0</v>
      </c>
      <c r="O898" t="s">
        <v>86</v>
      </c>
      <c r="P898" t="s">
        <v>3802</v>
      </c>
      <c r="Q898">
        <v>0</v>
      </c>
      <c r="R898">
        <v>323</v>
      </c>
      <c r="S898">
        <f t="shared" ref="S898:S961" si="128">(L898-$P$2137)/$P$2138</f>
        <v>0.27779788514656867</v>
      </c>
      <c r="T898">
        <f t="shared" ref="T898:T961" si="129">IF(ABS(Z898)&gt;3,1,0)</f>
        <v>0</v>
      </c>
      <c r="U898">
        <f t="shared" ref="U898:U961" si="130">IF(AND(E898&gt;=0,E898&lt;=5),1,0)</f>
        <v>0</v>
      </c>
      <c r="V898">
        <f t="shared" ref="V898:V961" si="131">IF(R898&lt;AVERAGE($R:$R),1,0)</f>
        <v>0</v>
      </c>
      <c r="W898">
        <f t="shared" ref="W898:W961" si="132">T898*3+U898*2+V898*1+N898*2</f>
        <v>0</v>
      </c>
      <c r="X898">
        <f t="shared" ref="X898:X961" si="133">IF(W898&gt;=5,1,0)</f>
        <v>0</v>
      </c>
      <c r="Y898">
        <f t="shared" ref="Y898:Y961" si="134">IF(M898="Unknown",1,0)</f>
        <v>0</v>
      </c>
    </row>
    <row r="899" spans="1:25" x14ac:dyDescent="0.3">
      <c r="A899" t="s">
        <v>5150</v>
      </c>
      <c r="B899" t="s">
        <v>5151</v>
      </c>
      <c r="C899" s="1">
        <v>45776</v>
      </c>
      <c r="D899" s="3">
        <v>0.93800925925925926</v>
      </c>
      <c r="E899">
        <f t="shared" si="126"/>
        <v>22</v>
      </c>
      <c r="F899">
        <v>53</v>
      </c>
      <c r="G899" t="s">
        <v>28</v>
      </c>
      <c r="H899" t="s">
        <v>61</v>
      </c>
      <c r="I899" t="s">
        <v>110</v>
      </c>
      <c r="J899" t="s">
        <v>72</v>
      </c>
      <c r="K899" t="s">
        <v>32</v>
      </c>
      <c r="L899">
        <v>194.67</v>
      </c>
      <c r="M899" t="s">
        <v>33</v>
      </c>
      <c r="N899">
        <f t="shared" si="127"/>
        <v>0</v>
      </c>
      <c r="O899" t="s">
        <v>24</v>
      </c>
      <c r="P899" t="s">
        <v>5152</v>
      </c>
      <c r="Q899">
        <v>0</v>
      </c>
      <c r="R899">
        <v>310</v>
      </c>
      <c r="S899">
        <f t="shared" si="128"/>
        <v>0.27765944255180747</v>
      </c>
      <c r="T899">
        <f t="shared" si="129"/>
        <v>0</v>
      </c>
      <c r="U899">
        <f t="shared" si="130"/>
        <v>0</v>
      </c>
      <c r="V899">
        <f t="shared" si="131"/>
        <v>0</v>
      </c>
      <c r="W899">
        <f t="shared" si="132"/>
        <v>0</v>
      </c>
      <c r="X899">
        <f t="shared" si="133"/>
        <v>0</v>
      </c>
      <c r="Y899">
        <f t="shared" si="134"/>
        <v>0</v>
      </c>
    </row>
    <row r="900" spans="1:25" x14ac:dyDescent="0.3">
      <c r="A900" t="s">
        <v>920</v>
      </c>
      <c r="B900" t="s">
        <v>921</v>
      </c>
      <c r="C900" s="1">
        <v>45721</v>
      </c>
      <c r="D900" s="3">
        <v>0.30550925925925926</v>
      </c>
      <c r="E900">
        <f t="shared" si="126"/>
        <v>7</v>
      </c>
      <c r="F900">
        <v>33</v>
      </c>
      <c r="G900" t="s">
        <v>18</v>
      </c>
      <c r="H900" t="s">
        <v>61</v>
      </c>
      <c r="I900" t="s">
        <v>48</v>
      </c>
      <c r="J900" t="s">
        <v>76</v>
      </c>
      <c r="K900" t="s">
        <v>114</v>
      </c>
      <c r="L900">
        <v>194.62</v>
      </c>
      <c r="M900" t="s">
        <v>23</v>
      </c>
      <c r="N900">
        <f t="shared" si="127"/>
        <v>0</v>
      </c>
      <c r="O900" t="s">
        <v>86</v>
      </c>
      <c r="P900" t="s">
        <v>922</v>
      </c>
      <c r="Q900">
        <v>0</v>
      </c>
      <c r="R900">
        <v>481</v>
      </c>
      <c r="S900">
        <f t="shared" si="128"/>
        <v>0.27696722957800307</v>
      </c>
      <c r="T900">
        <f t="shared" si="129"/>
        <v>0</v>
      </c>
      <c r="U900">
        <f t="shared" si="130"/>
        <v>0</v>
      </c>
      <c r="V900">
        <f t="shared" si="131"/>
        <v>0</v>
      </c>
      <c r="W900">
        <f t="shared" si="132"/>
        <v>0</v>
      </c>
      <c r="X900">
        <f t="shared" si="133"/>
        <v>0</v>
      </c>
      <c r="Y900">
        <f t="shared" si="134"/>
        <v>0</v>
      </c>
    </row>
    <row r="901" spans="1:25" x14ac:dyDescent="0.3">
      <c r="A901" t="s">
        <v>5747</v>
      </c>
      <c r="B901" t="s">
        <v>5748</v>
      </c>
      <c r="C901" s="1">
        <v>45744</v>
      </c>
      <c r="D901" s="3">
        <v>0.70703703703703702</v>
      </c>
      <c r="E901">
        <f t="shared" si="126"/>
        <v>16</v>
      </c>
      <c r="F901">
        <v>37</v>
      </c>
      <c r="G901" t="s">
        <v>28</v>
      </c>
      <c r="H901" t="s">
        <v>175</v>
      </c>
      <c r="I901" t="s">
        <v>48</v>
      </c>
      <c r="J901" t="s">
        <v>21</v>
      </c>
      <c r="K901" t="s">
        <v>62</v>
      </c>
      <c r="L901">
        <v>194.58</v>
      </c>
      <c r="M901" t="s">
        <v>23</v>
      </c>
      <c r="N901">
        <f t="shared" si="127"/>
        <v>0</v>
      </c>
      <c r="O901" t="s">
        <v>24</v>
      </c>
      <c r="P901" t="s">
        <v>5749</v>
      </c>
      <c r="Q901">
        <v>0</v>
      </c>
      <c r="R901">
        <v>491</v>
      </c>
      <c r="S901">
        <f t="shared" si="128"/>
        <v>0.27641345919895949</v>
      </c>
      <c r="T901">
        <f t="shared" si="129"/>
        <v>0</v>
      </c>
      <c r="U901">
        <f t="shared" si="130"/>
        <v>0</v>
      </c>
      <c r="V901">
        <f t="shared" si="131"/>
        <v>0</v>
      </c>
      <c r="W901">
        <f t="shared" si="132"/>
        <v>0</v>
      </c>
      <c r="X901">
        <f t="shared" si="133"/>
        <v>0</v>
      </c>
      <c r="Y901">
        <f t="shared" si="134"/>
        <v>0</v>
      </c>
    </row>
    <row r="902" spans="1:25" x14ac:dyDescent="0.3">
      <c r="A902" t="s">
        <v>4181</v>
      </c>
      <c r="B902" t="s">
        <v>4182</v>
      </c>
      <c r="C902" s="1">
        <v>45881</v>
      </c>
      <c r="D902" s="3">
        <v>0.19983796296296297</v>
      </c>
      <c r="E902">
        <f t="shared" si="126"/>
        <v>4</v>
      </c>
      <c r="F902">
        <v>28</v>
      </c>
      <c r="G902" t="s">
        <v>46</v>
      </c>
      <c r="H902" t="s">
        <v>55</v>
      </c>
      <c r="I902" t="s">
        <v>48</v>
      </c>
      <c r="J902" t="s">
        <v>72</v>
      </c>
      <c r="K902" t="s">
        <v>114</v>
      </c>
      <c r="L902">
        <v>194.49</v>
      </c>
      <c r="M902" t="s">
        <v>115</v>
      </c>
      <c r="N902">
        <f t="shared" si="127"/>
        <v>0</v>
      </c>
      <c r="O902" t="s">
        <v>86</v>
      </c>
      <c r="P902" t="s">
        <v>4183</v>
      </c>
      <c r="Q902">
        <v>0</v>
      </c>
      <c r="R902">
        <v>157</v>
      </c>
      <c r="S902">
        <f t="shared" si="128"/>
        <v>0.27516747584611112</v>
      </c>
      <c r="T902">
        <f t="shared" si="129"/>
        <v>0</v>
      </c>
      <c r="U902">
        <f t="shared" si="130"/>
        <v>1</v>
      </c>
      <c r="V902">
        <f t="shared" si="131"/>
        <v>1</v>
      </c>
      <c r="W902">
        <f t="shared" si="132"/>
        <v>3</v>
      </c>
      <c r="X902">
        <f t="shared" si="133"/>
        <v>0</v>
      </c>
      <c r="Y902">
        <f t="shared" si="134"/>
        <v>0</v>
      </c>
    </row>
    <row r="903" spans="1:25" x14ac:dyDescent="0.3">
      <c r="A903" s="2" t="s">
        <v>2879</v>
      </c>
      <c r="B903" t="s">
        <v>2880</v>
      </c>
      <c r="C903" s="1">
        <v>45723</v>
      </c>
      <c r="D903" s="3">
        <v>0.53953703703703704</v>
      </c>
      <c r="E903">
        <f t="shared" si="126"/>
        <v>12</v>
      </c>
      <c r="F903">
        <v>27</v>
      </c>
      <c r="G903" t="s">
        <v>46</v>
      </c>
      <c r="H903" t="s">
        <v>19</v>
      </c>
      <c r="I903" t="s">
        <v>66</v>
      </c>
      <c r="J903" t="s">
        <v>72</v>
      </c>
      <c r="K903" t="s">
        <v>32</v>
      </c>
      <c r="L903">
        <v>194.44</v>
      </c>
      <c r="M903" t="s">
        <v>42</v>
      </c>
      <c r="N903">
        <f t="shared" si="127"/>
        <v>0</v>
      </c>
      <c r="O903" t="s">
        <v>24</v>
      </c>
      <c r="P903" t="s">
        <v>2881</v>
      </c>
      <c r="Q903">
        <v>0</v>
      </c>
      <c r="R903">
        <v>339</v>
      </c>
      <c r="S903">
        <f t="shared" si="128"/>
        <v>0.27447526287230634</v>
      </c>
      <c r="T903">
        <f t="shared" si="129"/>
        <v>0</v>
      </c>
      <c r="U903">
        <f t="shared" si="130"/>
        <v>0</v>
      </c>
      <c r="V903">
        <f t="shared" si="131"/>
        <v>0</v>
      </c>
      <c r="W903">
        <f t="shared" si="132"/>
        <v>0</v>
      </c>
      <c r="X903">
        <f t="shared" si="133"/>
        <v>0</v>
      </c>
      <c r="Y903">
        <f t="shared" si="134"/>
        <v>0</v>
      </c>
    </row>
    <row r="904" spans="1:25" x14ac:dyDescent="0.3">
      <c r="A904" t="s">
        <v>6104</v>
      </c>
      <c r="B904" t="s">
        <v>6105</v>
      </c>
      <c r="C904" s="1">
        <v>45872</v>
      </c>
      <c r="D904" s="3">
        <v>0.35666666666666669</v>
      </c>
      <c r="E904">
        <f t="shared" si="126"/>
        <v>8</v>
      </c>
      <c r="F904">
        <v>52</v>
      </c>
      <c r="G904" t="s">
        <v>18</v>
      </c>
      <c r="H904" t="s">
        <v>47</v>
      </c>
      <c r="I904" t="s">
        <v>39</v>
      </c>
      <c r="J904" t="s">
        <v>72</v>
      </c>
      <c r="K904" t="s">
        <v>62</v>
      </c>
      <c r="L904">
        <v>194.17</v>
      </c>
      <c r="M904" t="s">
        <v>42</v>
      </c>
      <c r="N904">
        <f t="shared" si="127"/>
        <v>0</v>
      </c>
      <c r="O904" t="s">
        <v>24</v>
      </c>
      <c r="P904" t="s">
        <v>6106</v>
      </c>
      <c r="Q904">
        <v>0</v>
      </c>
      <c r="R904">
        <v>467</v>
      </c>
      <c r="S904">
        <f t="shared" si="128"/>
        <v>0.27073731281376123</v>
      </c>
      <c r="T904">
        <f t="shared" si="129"/>
        <v>0</v>
      </c>
      <c r="U904">
        <f t="shared" si="130"/>
        <v>0</v>
      </c>
      <c r="V904">
        <f t="shared" si="131"/>
        <v>0</v>
      </c>
      <c r="W904">
        <f t="shared" si="132"/>
        <v>0</v>
      </c>
      <c r="X904">
        <f t="shared" si="133"/>
        <v>0</v>
      </c>
      <c r="Y904">
        <f t="shared" si="134"/>
        <v>0</v>
      </c>
    </row>
    <row r="905" spans="1:25" x14ac:dyDescent="0.3">
      <c r="A905" t="s">
        <v>5987</v>
      </c>
      <c r="B905" t="s">
        <v>5988</v>
      </c>
      <c r="C905" s="1">
        <v>45706</v>
      </c>
      <c r="D905" s="3">
        <v>0.17499999999999999</v>
      </c>
      <c r="E905">
        <f t="shared" si="126"/>
        <v>4</v>
      </c>
      <c r="F905">
        <v>45</v>
      </c>
      <c r="G905" t="s">
        <v>6479</v>
      </c>
      <c r="H905" t="s">
        <v>29</v>
      </c>
      <c r="I905" t="s">
        <v>85</v>
      </c>
      <c r="J905" t="s">
        <v>40</v>
      </c>
      <c r="K905" t="s">
        <v>32</v>
      </c>
      <c r="L905">
        <v>194.14</v>
      </c>
      <c r="M905" t="s">
        <v>23</v>
      </c>
      <c r="N905">
        <f t="shared" si="127"/>
        <v>0</v>
      </c>
      <c r="O905" t="s">
        <v>51</v>
      </c>
      <c r="P905" t="s">
        <v>5989</v>
      </c>
      <c r="Q905">
        <v>0</v>
      </c>
      <c r="R905">
        <v>289</v>
      </c>
      <c r="S905">
        <f t="shared" si="128"/>
        <v>0.27032198502947846</v>
      </c>
      <c r="T905">
        <f t="shared" si="129"/>
        <v>0</v>
      </c>
      <c r="U905">
        <f t="shared" si="130"/>
        <v>1</v>
      </c>
      <c r="V905">
        <f t="shared" si="131"/>
        <v>0</v>
      </c>
      <c r="W905">
        <f t="shared" si="132"/>
        <v>2</v>
      </c>
      <c r="X905">
        <f t="shared" si="133"/>
        <v>0</v>
      </c>
      <c r="Y905">
        <f t="shared" si="134"/>
        <v>0</v>
      </c>
    </row>
    <row r="906" spans="1:25" x14ac:dyDescent="0.3">
      <c r="A906" t="s">
        <v>3350</v>
      </c>
      <c r="B906" t="s">
        <v>3351</v>
      </c>
      <c r="C906" s="1">
        <v>45880</v>
      </c>
      <c r="D906" s="3">
        <v>0.16222222222222221</v>
      </c>
      <c r="E906">
        <f t="shared" si="126"/>
        <v>3</v>
      </c>
      <c r="F906">
        <v>23</v>
      </c>
      <c r="G906" t="s">
        <v>60</v>
      </c>
      <c r="H906" t="s">
        <v>312</v>
      </c>
      <c r="I906" t="s">
        <v>39</v>
      </c>
      <c r="J906" t="s">
        <v>132</v>
      </c>
      <c r="K906" t="s">
        <v>120</v>
      </c>
      <c r="L906">
        <v>194.13</v>
      </c>
      <c r="M906" t="s">
        <v>42</v>
      </c>
      <c r="N906">
        <f t="shared" si="127"/>
        <v>0</v>
      </c>
      <c r="O906" t="s">
        <v>24</v>
      </c>
      <c r="P906" t="s">
        <v>3352</v>
      </c>
      <c r="Q906">
        <v>0</v>
      </c>
      <c r="R906">
        <v>279</v>
      </c>
      <c r="S906">
        <f t="shared" si="128"/>
        <v>0.27018354243471765</v>
      </c>
      <c r="T906">
        <f t="shared" si="129"/>
        <v>0</v>
      </c>
      <c r="U906">
        <f t="shared" si="130"/>
        <v>1</v>
      </c>
      <c r="V906">
        <f t="shared" si="131"/>
        <v>0</v>
      </c>
      <c r="W906">
        <f t="shared" si="132"/>
        <v>2</v>
      </c>
      <c r="X906">
        <f t="shared" si="133"/>
        <v>0</v>
      </c>
      <c r="Y906">
        <f t="shared" si="134"/>
        <v>0</v>
      </c>
    </row>
    <row r="907" spans="1:25" x14ac:dyDescent="0.3">
      <c r="A907" t="s">
        <v>3203</v>
      </c>
      <c r="B907" t="s">
        <v>3204</v>
      </c>
      <c r="C907" s="1">
        <v>45813</v>
      </c>
      <c r="D907" s="3">
        <v>0.45899305555555553</v>
      </c>
      <c r="E907">
        <f t="shared" si="126"/>
        <v>11</v>
      </c>
      <c r="F907">
        <v>28</v>
      </c>
      <c r="G907" t="s">
        <v>60</v>
      </c>
      <c r="H907" t="s">
        <v>142</v>
      </c>
      <c r="I907" t="s">
        <v>110</v>
      </c>
      <c r="J907" t="s">
        <v>72</v>
      </c>
      <c r="K907" t="s">
        <v>50</v>
      </c>
      <c r="L907">
        <v>193.77</v>
      </c>
      <c r="M907" t="s">
        <v>115</v>
      </c>
      <c r="N907">
        <f t="shared" si="127"/>
        <v>0</v>
      </c>
      <c r="O907" t="s">
        <v>24</v>
      </c>
      <c r="P907" t="s">
        <v>3205</v>
      </c>
      <c r="Q907">
        <v>0</v>
      </c>
      <c r="R907">
        <v>196</v>
      </c>
      <c r="S907">
        <f t="shared" si="128"/>
        <v>0.26519960902332457</v>
      </c>
      <c r="T907">
        <f t="shared" si="129"/>
        <v>0</v>
      </c>
      <c r="U907">
        <f t="shared" si="130"/>
        <v>0</v>
      </c>
      <c r="V907">
        <f t="shared" si="131"/>
        <v>1</v>
      </c>
      <c r="W907">
        <f t="shared" si="132"/>
        <v>1</v>
      </c>
      <c r="X907">
        <f t="shared" si="133"/>
        <v>0</v>
      </c>
      <c r="Y907">
        <f t="shared" si="134"/>
        <v>0</v>
      </c>
    </row>
    <row r="908" spans="1:25" x14ac:dyDescent="0.3">
      <c r="A908" t="s">
        <v>4946</v>
      </c>
      <c r="B908" t="s">
        <v>4947</v>
      </c>
      <c r="C908" s="1">
        <v>45742</v>
      </c>
      <c r="D908" s="3">
        <v>0.61165509259259254</v>
      </c>
      <c r="E908">
        <f t="shared" si="126"/>
        <v>14</v>
      </c>
      <c r="F908">
        <v>30</v>
      </c>
      <c r="G908" t="s">
        <v>46</v>
      </c>
      <c r="H908" t="s">
        <v>70</v>
      </c>
      <c r="I908" t="s">
        <v>85</v>
      </c>
      <c r="J908" t="s">
        <v>40</v>
      </c>
      <c r="K908" t="s">
        <v>50</v>
      </c>
      <c r="L908">
        <v>193.73</v>
      </c>
      <c r="M908" t="s">
        <v>42</v>
      </c>
      <c r="N908">
        <f t="shared" si="127"/>
        <v>0</v>
      </c>
      <c r="O908" t="s">
        <v>34</v>
      </c>
      <c r="P908" t="s">
        <v>4948</v>
      </c>
      <c r="Q908">
        <v>0</v>
      </c>
      <c r="R908">
        <v>360</v>
      </c>
      <c r="S908">
        <f t="shared" si="128"/>
        <v>0.2646458386442806</v>
      </c>
      <c r="T908">
        <f t="shared" si="129"/>
        <v>0</v>
      </c>
      <c r="U908">
        <f t="shared" si="130"/>
        <v>0</v>
      </c>
      <c r="V908">
        <f t="shared" si="131"/>
        <v>0</v>
      </c>
      <c r="W908">
        <f t="shared" si="132"/>
        <v>0</v>
      </c>
      <c r="X908">
        <f t="shared" si="133"/>
        <v>0</v>
      </c>
      <c r="Y908">
        <f t="shared" si="134"/>
        <v>0</v>
      </c>
    </row>
    <row r="909" spans="1:25" x14ac:dyDescent="0.3">
      <c r="A909" t="s">
        <v>359</v>
      </c>
      <c r="B909" t="s">
        <v>360</v>
      </c>
      <c r="C909" s="1">
        <v>45865</v>
      </c>
      <c r="D909" s="3">
        <v>0.14384259259259261</v>
      </c>
      <c r="E909">
        <f t="shared" si="126"/>
        <v>3</v>
      </c>
      <c r="F909">
        <v>62</v>
      </c>
      <c r="G909" t="s">
        <v>99</v>
      </c>
      <c r="H909" t="s">
        <v>232</v>
      </c>
      <c r="I909" t="s">
        <v>119</v>
      </c>
      <c r="J909" t="s">
        <v>56</v>
      </c>
      <c r="K909" t="s">
        <v>95</v>
      </c>
      <c r="L909">
        <v>193.49</v>
      </c>
      <c r="M909" t="s">
        <v>42</v>
      </c>
      <c r="N909">
        <f t="shared" si="127"/>
        <v>0</v>
      </c>
      <c r="O909" t="s">
        <v>51</v>
      </c>
      <c r="P909" t="s">
        <v>361</v>
      </c>
      <c r="Q909">
        <v>1</v>
      </c>
      <c r="R909">
        <v>125</v>
      </c>
      <c r="S909">
        <f t="shared" si="128"/>
        <v>0.26132321637001865</v>
      </c>
      <c r="T909">
        <f t="shared" si="129"/>
        <v>0</v>
      </c>
      <c r="U909">
        <f t="shared" si="130"/>
        <v>1</v>
      </c>
      <c r="V909">
        <f t="shared" si="131"/>
        <v>1</v>
      </c>
      <c r="W909">
        <f t="shared" si="132"/>
        <v>3</v>
      </c>
      <c r="X909">
        <f t="shared" si="133"/>
        <v>0</v>
      </c>
      <c r="Y909">
        <f t="shared" si="134"/>
        <v>0</v>
      </c>
    </row>
    <row r="910" spans="1:25" x14ac:dyDescent="0.3">
      <c r="A910" t="s">
        <v>3230</v>
      </c>
      <c r="B910" t="s">
        <v>3231</v>
      </c>
      <c r="C910" s="1">
        <v>45873</v>
      </c>
      <c r="D910" s="3">
        <v>5.5069444444444442E-2</v>
      </c>
      <c r="E910">
        <f t="shared" si="126"/>
        <v>1</v>
      </c>
      <c r="F910">
        <v>46</v>
      </c>
      <c r="G910" t="s">
        <v>60</v>
      </c>
      <c r="H910" t="s">
        <v>239</v>
      </c>
      <c r="I910" t="s">
        <v>110</v>
      </c>
      <c r="J910" t="s">
        <v>49</v>
      </c>
      <c r="K910" t="s">
        <v>168</v>
      </c>
      <c r="L910">
        <v>193.4</v>
      </c>
      <c r="M910" t="s">
        <v>115</v>
      </c>
      <c r="N910">
        <f t="shared" si="127"/>
        <v>0</v>
      </c>
      <c r="O910" t="s">
        <v>24</v>
      </c>
      <c r="P910" t="s">
        <v>3232</v>
      </c>
      <c r="Q910">
        <v>0</v>
      </c>
      <c r="R910">
        <v>392</v>
      </c>
      <c r="S910">
        <f t="shared" si="128"/>
        <v>0.26007723301717028</v>
      </c>
      <c r="T910">
        <f t="shared" si="129"/>
        <v>0</v>
      </c>
      <c r="U910">
        <f t="shared" si="130"/>
        <v>1</v>
      </c>
      <c r="V910">
        <f t="shared" si="131"/>
        <v>0</v>
      </c>
      <c r="W910">
        <f t="shared" si="132"/>
        <v>2</v>
      </c>
      <c r="X910">
        <f t="shared" si="133"/>
        <v>0</v>
      </c>
      <c r="Y910">
        <f t="shared" si="134"/>
        <v>0</v>
      </c>
    </row>
    <row r="911" spans="1:25" x14ac:dyDescent="0.3">
      <c r="A911" t="s">
        <v>635</v>
      </c>
      <c r="B911" t="s">
        <v>636</v>
      </c>
      <c r="C911" s="1">
        <v>45780</v>
      </c>
      <c r="D911" s="3">
        <v>0.99721064814814819</v>
      </c>
      <c r="E911">
        <f t="shared" si="126"/>
        <v>23</v>
      </c>
      <c r="F911">
        <v>20</v>
      </c>
      <c r="G911" t="s">
        <v>46</v>
      </c>
      <c r="H911" t="s">
        <v>167</v>
      </c>
      <c r="I911" t="s">
        <v>71</v>
      </c>
      <c r="J911" t="s">
        <v>40</v>
      </c>
      <c r="K911" t="s">
        <v>62</v>
      </c>
      <c r="L911">
        <v>193.26</v>
      </c>
      <c r="M911" t="s">
        <v>42</v>
      </c>
      <c r="N911">
        <f t="shared" si="127"/>
        <v>0</v>
      </c>
      <c r="O911" t="s">
        <v>51</v>
      </c>
      <c r="P911" t="s">
        <v>637</v>
      </c>
      <c r="Q911">
        <v>0</v>
      </c>
      <c r="R911">
        <v>498</v>
      </c>
      <c r="S911">
        <f t="shared" si="128"/>
        <v>0.25813903669051713</v>
      </c>
      <c r="T911">
        <f t="shared" si="129"/>
        <v>0</v>
      </c>
      <c r="U911">
        <f t="shared" si="130"/>
        <v>0</v>
      </c>
      <c r="V911">
        <f t="shared" si="131"/>
        <v>0</v>
      </c>
      <c r="W911">
        <f t="shared" si="132"/>
        <v>0</v>
      </c>
      <c r="X911">
        <f t="shared" si="133"/>
        <v>0</v>
      </c>
      <c r="Y911">
        <f t="shared" si="134"/>
        <v>0</v>
      </c>
    </row>
    <row r="912" spans="1:25" x14ac:dyDescent="0.3">
      <c r="A912" t="s">
        <v>3641</v>
      </c>
      <c r="B912" t="s">
        <v>3642</v>
      </c>
      <c r="C912" s="1">
        <v>45803</v>
      </c>
      <c r="D912" s="3">
        <v>0.90182870370370372</v>
      </c>
      <c r="E912">
        <f t="shared" si="126"/>
        <v>21</v>
      </c>
      <c r="F912" s="4">
        <v>41</v>
      </c>
      <c r="G912" t="s">
        <v>99</v>
      </c>
      <c r="H912" t="s">
        <v>29</v>
      </c>
      <c r="I912" t="s">
        <v>66</v>
      </c>
      <c r="J912" t="s">
        <v>49</v>
      </c>
      <c r="K912" t="s">
        <v>101</v>
      </c>
      <c r="L912">
        <v>193.25</v>
      </c>
      <c r="M912" t="s">
        <v>33</v>
      </c>
      <c r="N912">
        <f t="shared" si="127"/>
        <v>0</v>
      </c>
      <c r="O912" t="s">
        <v>51</v>
      </c>
      <c r="P912" t="s">
        <v>3643</v>
      </c>
      <c r="Q912">
        <v>0</v>
      </c>
      <c r="R912">
        <v>157</v>
      </c>
      <c r="S912">
        <f t="shared" si="128"/>
        <v>0.25800059409575632</v>
      </c>
      <c r="T912">
        <f t="shared" si="129"/>
        <v>0</v>
      </c>
      <c r="U912">
        <f t="shared" si="130"/>
        <v>0</v>
      </c>
      <c r="V912">
        <f t="shared" si="131"/>
        <v>1</v>
      </c>
      <c r="W912">
        <f t="shared" si="132"/>
        <v>1</v>
      </c>
      <c r="X912">
        <f t="shared" si="133"/>
        <v>0</v>
      </c>
      <c r="Y912">
        <f t="shared" si="134"/>
        <v>0</v>
      </c>
    </row>
    <row r="913" spans="1:25" x14ac:dyDescent="0.3">
      <c r="A913" t="s">
        <v>4715</v>
      </c>
      <c r="B913" t="s">
        <v>4716</v>
      </c>
      <c r="C913" s="1">
        <v>45717</v>
      </c>
      <c r="D913" s="3">
        <v>0.93991898148148145</v>
      </c>
      <c r="E913">
        <f t="shared" si="126"/>
        <v>22</v>
      </c>
      <c r="F913">
        <v>49</v>
      </c>
      <c r="G913" t="s">
        <v>46</v>
      </c>
      <c r="H913" t="s">
        <v>47</v>
      </c>
      <c r="I913" t="s">
        <v>20</v>
      </c>
      <c r="J913" t="s">
        <v>21</v>
      </c>
      <c r="K913" t="s">
        <v>114</v>
      </c>
      <c r="L913">
        <v>193.21</v>
      </c>
      <c r="M913" t="s">
        <v>42</v>
      </c>
      <c r="N913">
        <f t="shared" si="127"/>
        <v>0</v>
      </c>
      <c r="O913" t="s">
        <v>34</v>
      </c>
      <c r="P913" t="s">
        <v>4717</v>
      </c>
      <c r="Q913">
        <v>0</v>
      </c>
      <c r="R913">
        <v>477</v>
      </c>
      <c r="S913">
        <f t="shared" si="128"/>
        <v>0.25744682371671274</v>
      </c>
      <c r="T913">
        <f t="shared" si="129"/>
        <v>0</v>
      </c>
      <c r="U913">
        <f t="shared" si="130"/>
        <v>0</v>
      </c>
      <c r="V913">
        <f t="shared" si="131"/>
        <v>0</v>
      </c>
      <c r="W913">
        <f t="shared" si="132"/>
        <v>0</v>
      </c>
      <c r="X913">
        <f t="shared" si="133"/>
        <v>0</v>
      </c>
      <c r="Y913">
        <f t="shared" si="134"/>
        <v>0</v>
      </c>
    </row>
    <row r="914" spans="1:25" x14ac:dyDescent="0.3">
      <c r="A914" t="s">
        <v>3500</v>
      </c>
      <c r="B914" t="s">
        <v>3501</v>
      </c>
      <c r="C914" s="1">
        <v>45816</v>
      </c>
      <c r="D914" s="3">
        <v>0.63906249999999998</v>
      </c>
      <c r="E914">
        <f t="shared" si="126"/>
        <v>15</v>
      </c>
      <c r="F914">
        <v>44</v>
      </c>
      <c r="G914" t="s">
        <v>60</v>
      </c>
      <c r="H914" t="s">
        <v>185</v>
      </c>
      <c r="I914" t="s">
        <v>119</v>
      </c>
      <c r="J914" t="s">
        <v>132</v>
      </c>
      <c r="K914" t="s">
        <v>114</v>
      </c>
      <c r="L914">
        <v>192.97</v>
      </c>
      <c r="M914" t="s">
        <v>33</v>
      </c>
      <c r="N914">
        <f t="shared" si="127"/>
        <v>0</v>
      </c>
      <c r="O914" t="s">
        <v>24</v>
      </c>
      <c r="P914" t="s">
        <v>3502</v>
      </c>
      <c r="Q914">
        <v>0</v>
      </c>
      <c r="R914">
        <v>52</v>
      </c>
      <c r="S914">
        <f t="shared" si="128"/>
        <v>0.25412420144245046</v>
      </c>
      <c r="T914">
        <f t="shared" si="129"/>
        <v>0</v>
      </c>
      <c r="U914">
        <f t="shared" si="130"/>
        <v>0</v>
      </c>
      <c r="V914">
        <f t="shared" si="131"/>
        <v>1</v>
      </c>
      <c r="W914">
        <f t="shared" si="132"/>
        <v>1</v>
      </c>
      <c r="X914">
        <f t="shared" si="133"/>
        <v>0</v>
      </c>
      <c r="Y914">
        <f t="shared" si="134"/>
        <v>0</v>
      </c>
    </row>
    <row r="915" spans="1:25" x14ac:dyDescent="0.3">
      <c r="A915" t="s">
        <v>5537</v>
      </c>
      <c r="B915" t="s">
        <v>5538</v>
      </c>
      <c r="C915" s="1">
        <v>45718</v>
      </c>
      <c r="D915" s="3">
        <v>0.6428356481481482</v>
      </c>
      <c r="E915">
        <f t="shared" si="126"/>
        <v>15</v>
      </c>
      <c r="F915">
        <v>35</v>
      </c>
      <c r="G915" t="s">
        <v>46</v>
      </c>
      <c r="H915" t="s">
        <v>38</v>
      </c>
      <c r="I915" t="s">
        <v>30</v>
      </c>
      <c r="J915" t="s">
        <v>76</v>
      </c>
      <c r="K915" t="s">
        <v>50</v>
      </c>
      <c r="L915">
        <v>192.9</v>
      </c>
      <c r="M915" t="s">
        <v>42</v>
      </c>
      <c r="N915">
        <f t="shared" si="127"/>
        <v>0</v>
      </c>
      <c r="O915" t="s">
        <v>86</v>
      </c>
      <c r="P915" t="s">
        <v>5539</v>
      </c>
      <c r="Q915">
        <v>0</v>
      </c>
      <c r="R915">
        <v>265</v>
      </c>
      <c r="S915">
        <f t="shared" si="128"/>
        <v>0.25315510327912405</v>
      </c>
      <c r="T915">
        <f t="shared" si="129"/>
        <v>0</v>
      </c>
      <c r="U915">
        <f t="shared" si="130"/>
        <v>0</v>
      </c>
      <c r="V915">
        <f t="shared" si="131"/>
        <v>1</v>
      </c>
      <c r="W915">
        <f t="shared" si="132"/>
        <v>1</v>
      </c>
      <c r="X915">
        <f t="shared" si="133"/>
        <v>0</v>
      </c>
      <c r="Y915">
        <f t="shared" si="134"/>
        <v>0</v>
      </c>
    </row>
    <row r="916" spans="1:25" x14ac:dyDescent="0.3">
      <c r="A916" t="s">
        <v>1730</v>
      </c>
      <c r="B916" t="s">
        <v>1731</v>
      </c>
      <c r="C916" s="1">
        <v>45805</v>
      </c>
      <c r="D916" s="3">
        <v>0.41321759259259261</v>
      </c>
      <c r="E916">
        <f t="shared" si="126"/>
        <v>9</v>
      </c>
      <c r="F916">
        <v>27</v>
      </c>
      <c r="G916" t="s">
        <v>46</v>
      </c>
      <c r="H916" t="s">
        <v>167</v>
      </c>
      <c r="I916" t="s">
        <v>48</v>
      </c>
      <c r="J916" t="s">
        <v>31</v>
      </c>
      <c r="K916" t="s">
        <v>120</v>
      </c>
      <c r="L916">
        <v>192.84</v>
      </c>
      <c r="M916" t="s">
        <v>33</v>
      </c>
      <c r="N916">
        <f t="shared" si="127"/>
        <v>0</v>
      </c>
      <c r="O916" t="s">
        <v>34</v>
      </c>
      <c r="P916" t="s">
        <v>1732</v>
      </c>
      <c r="Q916">
        <v>0</v>
      </c>
      <c r="R916">
        <v>414</v>
      </c>
      <c r="S916">
        <f t="shared" si="128"/>
        <v>0.25232444771055851</v>
      </c>
      <c r="T916">
        <f t="shared" si="129"/>
        <v>0</v>
      </c>
      <c r="U916">
        <f t="shared" si="130"/>
        <v>0</v>
      </c>
      <c r="V916">
        <f t="shared" si="131"/>
        <v>0</v>
      </c>
      <c r="W916">
        <f t="shared" si="132"/>
        <v>0</v>
      </c>
      <c r="X916">
        <f t="shared" si="133"/>
        <v>0</v>
      </c>
      <c r="Y916">
        <f t="shared" si="134"/>
        <v>0</v>
      </c>
    </row>
    <row r="917" spans="1:25" x14ac:dyDescent="0.3">
      <c r="A917" t="s">
        <v>6041</v>
      </c>
      <c r="B917" t="s">
        <v>6042</v>
      </c>
      <c r="C917" s="1">
        <v>45819</v>
      </c>
      <c r="D917" s="3">
        <v>0.54942129629629632</v>
      </c>
      <c r="E917">
        <f t="shared" si="126"/>
        <v>13</v>
      </c>
      <c r="F917">
        <v>41</v>
      </c>
      <c r="G917" t="s">
        <v>28</v>
      </c>
      <c r="H917" t="s">
        <v>90</v>
      </c>
      <c r="I917" t="s">
        <v>85</v>
      </c>
      <c r="J917" t="s">
        <v>76</v>
      </c>
      <c r="K917" t="s">
        <v>95</v>
      </c>
      <c r="L917">
        <v>192.64</v>
      </c>
      <c r="M917" t="s">
        <v>23</v>
      </c>
      <c r="N917">
        <f t="shared" si="127"/>
        <v>0</v>
      </c>
      <c r="O917" t="s">
        <v>24</v>
      </c>
      <c r="P917" t="s">
        <v>6043</v>
      </c>
      <c r="Q917">
        <v>0</v>
      </c>
      <c r="R917">
        <v>337</v>
      </c>
      <c r="S917">
        <f t="shared" si="128"/>
        <v>0.24955559581533976</v>
      </c>
      <c r="T917">
        <f t="shared" si="129"/>
        <v>0</v>
      </c>
      <c r="U917">
        <f t="shared" si="130"/>
        <v>0</v>
      </c>
      <c r="V917">
        <f t="shared" si="131"/>
        <v>0</v>
      </c>
      <c r="W917">
        <f t="shared" si="132"/>
        <v>0</v>
      </c>
      <c r="X917">
        <f t="shared" si="133"/>
        <v>0</v>
      </c>
      <c r="Y917">
        <f t="shared" si="134"/>
        <v>0</v>
      </c>
    </row>
    <row r="918" spans="1:25" x14ac:dyDescent="0.3">
      <c r="A918" t="s">
        <v>4223</v>
      </c>
      <c r="B918" t="s">
        <v>4224</v>
      </c>
      <c r="C918" s="1">
        <v>45736</v>
      </c>
      <c r="D918" s="3">
        <v>0.48450231481481482</v>
      </c>
      <c r="E918">
        <f t="shared" si="126"/>
        <v>11</v>
      </c>
      <c r="F918">
        <v>40</v>
      </c>
      <c r="G918" t="s">
        <v>46</v>
      </c>
      <c r="H918" t="s">
        <v>142</v>
      </c>
      <c r="I918" t="s">
        <v>85</v>
      </c>
      <c r="J918" t="s">
        <v>132</v>
      </c>
      <c r="K918" t="s">
        <v>32</v>
      </c>
      <c r="L918">
        <v>192.61</v>
      </c>
      <c r="M918" t="s">
        <v>23</v>
      </c>
      <c r="N918">
        <f t="shared" si="127"/>
        <v>0</v>
      </c>
      <c r="O918" t="s">
        <v>86</v>
      </c>
      <c r="P918" t="s">
        <v>4225</v>
      </c>
      <c r="Q918">
        <v>0</v>
      </c>
      <c r="R918">
        <v>452</v>
      </c>
      <c r="S918">
        <f t="shared" si="128"/>
        <v>0.24914026803105735</v>
      </c>
      <c r="T918">
        <f t="shared" si="129"/>
        <v>0</v>
      </c>
      <c r="U918">
        <f t="shared" si="130"/>
        <v>0</v>
      </c>
      <c r="V918">
        <f t="shared" si="131"/>
        <v>0</v>
      </c>
      <c r="W918">
        <f t="shared" si="132"/>
        <v>0</v>
      </c>
      <c r="X918">
        <f t="shared" si="133"/>
        <v>0</v>
      </c>
      <c r="Y918">
        <f t="shared" si="134"/>
        <v>0</v>
      </c>
    </row>
    <row r="919" spans="1:25" x14ac:dyDescent="0.3">
      <c r="A919" t="s">
        <v>6224</v>
      </c>
      <c r="B919" t="s">
        <v>6225</v>
      </c>
      <c r="C919" s="1">
        <v>45863</v>
      </c>
      <c r="D919" s="3">
        <v>0.77666666666666662</v>
      </c>
      <c r="E919">
        <f t="shared" si="126"/>
        <v>18</v>
      </c>
      <c r="F919">
        <v>28</v>
      </c>
      <c r="G919" t="s">
        <v>60</v>
      </c>
      <c r="H919" t="s">
        <v>61</v>
      </c>
      <c r="I919" t="s">
        <v>66</v>
      </c>
      <c r="J919" t="s">
        <v>31</v>
      </c>
      <c r="K919" t="s">
        <v>22</v>
      </c>
      <c r="L919">
        <v>192.59</v>
      </c>
      <c r="M919" t="s">
        <v>42</v>
      </c>
      <c r="N919">
        <f t="shared" si="127"/>
        <v>0</v>
      </c>
      <c r="O919" t="s">
        <v>51</v>
      </c>
      <c r="P919" t="s">
        <v>6226</v>
      </c>
      <c r="Q919">
        <v>0</v>
      </c>
      <c r="R919">
        <v>188</v>
      </c>
      <c r="S919">
        <f t="shared" si="128"/>
        <v>0.24886338284153536</v>
      </c>
      <c r="T919">
        <f t="shared" si="129"/>
        <v>0</v>
      </c>
      <c r="U919">
        <f t="shared" si="130"/>
        <v>0</v>
      </c>
      <c r="V919">
        <f t="shared" si="131"/>
        <v>1</v>
      </c>
      <c r="W919">
        <f t="shared" si="132"/>
        <v>1</v>
      </c>
      <c r="X919">
        <f t="shared" si="133"/>
        <v>0</v>
      </c>
      <c r="Y919">
        <f t="shared" si="134"/>
        <v>0</v>
      </c>
    </row>
    <row r="920" spans="1:25" x14ac:dyDescent="0.3">
      <c r="A920" t="s">
        <v>2534</v>
      </c>
      <c r="B920" t="s">
        <v>2535</v>
      </c>
      <c r="C920" s="1">
        <v>45873</v>
      </c>
      <c r="D920" s="3">
        <v>0.70512731481481483</v>
      </c>
      <c r="E920">
        <f t="shared" si="126"/>
        <v>16</v>
      </c>
      <c r="F920">
        <v>41</v>
      </c>
      <c r="G920" t="s">
        <v>18</v>
      </c>
      <c r="H920" t="s">
        <v>19</v>
      </c>
      <c r="I920" t="s">
        <v>71</v>
      </c>
      <c r="J920" t="s">
        <v>40</v>
      </c>
      <c r="K920" t="s">
        <v>120</v>
      </c>
      <c r="L920">
        <v>192.56</v>
      </c>
      <c r="M920" t="s">
        <v>23</v>
      </c>
      <c r="N920">
        <f t="shared" si="127"/>
        <v>0</v>
      </c>
      <c r="O920" t="s">
        <v>51</v>
      </c>
      <c r="P920" t="s">
        <v>2536</v>
      </c>
      <c r="Q920">
        <v>0</v>
      </c>
      <c r="R920">
        <v>56</v>
      </c>
      <c r="S920">
        <f t="shared" si="128"/>
        <v>0.24844805505725259</v>
      </c>
      <c r="T920">
        <f t="shared" si="129"/>
        <v>0</v>
      </c>
      <c r="U920">
        <f t="shared" si="130"/>
        <v>0</v>
      </c>
      <c r="V920">
        <f t="shared" si="131"/>
        <v>1</v>
      </c>
      <c r="W920">
        <f t="shared" si="132"/>
        <v>1</v>
      </c>
      <c r="X920">
        <f t="shared" si="133"/>
        <v>0</v>
      </c>
      <c r="Y920">
        <f t="shared" si="134"/>
        <v>0</v>
      </c>
    </row>
    <row r="921" spans="1:25" x14ac:dyDescent="0.3">
      <c r="A921" t="s">
        <v>443</v>
      </c>
      <c r="B921" t="s">
        <v>444</v>
      </c>
      <c r="C921" s="1">
        <v>45769</v>
      </c>
      <c r="D921" s="3">
        <v>0.99703703703703705</v>
      </c>
      <c r="E921">
        <f t="shared" si="126"/>
        <v>23</v>
      </c>
      <c r="F921">
        <v>40</v>
      </c>
      <c r="G921" t="s">
        <v>60</v>
      </c>
      <c r="H921" t="s">
        <v>84</v>
      </c>
      <c r="I921" t="s">
        <v>48</v>
      </c>
      <c r="J921" t="s">
        <v>76</v>
      </c>
      <c r="K921" t="s">
        <v>168</v>
      </c>
      <c r="L921">
        <v>192.5</v>
      </c>
      <c r="M921" t="s">
        <v>23</v>
      </c>
      <c r="N921">
        <f t="shared" si="127"/>
        <v>0</v>
      </c>
      <c r="O921" t="s">
        <v>51</v>
      </c>
      <c r="P921" t="s">
        <v>445</v>
      </c>
      <c r="Q921">
        <v>0</v>
      </c>
      <c r="R921">
        <v>494</v>
      </c>
      <c r="S921">
        <f t="shared" si="128"/>
        <v>0.247617399488687</v>
      </c>
      <c r="T921">
        <f t="shared" si="129"/>
        <v>0</v>
      </c>
      <c r="U921">
        <f t="shared" si="130"/>
        <v>0</v>
      </c>
      <c r="V921">
        <f t="shared" si="131"/>
        <v>0</v>
      </c>
      <c r="W921">
        <f t="shared" si="132"/>
        <v>0</v>
      </c>
      <c r="X921">
        <f t="shared" si="133"/>
        <v>0</v>
      </c>
      <c r="Y921">
        <f t="shared" si="134"/>
        <v>0</v>
      </c>
    </row>
    <row r="922" spans="1:25" x14ac:dyDescent="0.3">
      <c r="A922" t="s">
        <v>5576</v>
      </c>
      <c r="B922" t="s">
        <v>5577</v>
      </c>
      <c r="C922" s="1">
        <v>45851</v>
      </c>
      <c r="D922" s="3">
        <v>0.61052083333333329</v>
      </c>
      <c r="E922">
        <f t="shared" si="126"/>
        <v>14</v>
      </c>
      <c r="F922">
        <v>63</v>
      </c>
      <c r="G922" t="s">
        <v>28</v>
      </c>
      <c r="H922" t="s">
        <v>19</v>
      </c>
      <c r="I922" t="s">
        <v>66</v>
      </c>
      <c r="J922" t="s">
        <v>40</v>
      </c>
      <c r="K922" t="s">
        <v>50</v>
      </c>
      <c r="L922">
        <v>192.46</v>
      </c>
      <c r="M922" t="s">
        <v>23</v>
      </c>
      <c r="N922">
        <f t="shared" si="127"/>
        <v>0</v>
      </c>
      <c r="O922" t="s">
        <v>34</v>
      </c>
      <c r="P922" t="s">
        <v>5578</v>
      </c>
      <c r="Q922">
        <v>0</v>
      </c>
      <c r="R922">
        <v>91</v>
      </c>
      <c r="S922">
        <f t="shared" si="128"/>
        <v>0.24706362910964341</v>
      </c>
      <c r="T922">
        <f t="shared" si="129"/>
        <v>0</v>
      </c>
      <c r="U922">
        <f t="shared" si="130"/>
        <v>0</v>
      </c>
      <c r="V922">
        <f t="shared" si="131"/>
        <v>1</v>
      </c>
      <c r="W922">
        <f t="shared" si="132"/>
        <v>1</v>
      </c>
      <c r="X922">
        <f t="shared" si="133"/>
        <v>0</v>
      </c>
      <c r="Y922">
        <f t="shared" si="134"/>
        <v>0</v>
      </c>
    </row>
    <row r="923" spans="1:25" x14ac:dyDescent="0.3">
      <c r="A923" t="s">
        <v>2315</v>
      </c>
      <c r="B923" t="s">
        <v>2316</v>
      </c>
      <c r="C923" s="1">
        <v>45846</v>
      </c>
      <c r="D923" s="3">
        <v>0.59506944444444443</v>
      </c>
      <c r="E923">
        <f t="shared" si="126"/>
        <v>14</v>
      </c>
      <c r="F923">
        <v>42</v>
      </c>
      <c r="G923" t="s">
        <v>18</v>
      </c>
      <c r="H923" t="s">
        <v>38</v>
      </c>
      <c r="I923" t="s">
        <v>20</v>
      </c>
      <c r="J923" t="s">
        <v>40</v>
      </c>
      <c r="K923" t="s">
        <v>41</v>
      </c>
      <c r="L923">
        <v>192.27</v>
      </c>
      <c r="M923" t="s">
        <v>115</v>
      </c>
      <c r="N923">
        <f t="shared" si="127"/>
        <v>0</v>
      </c>
      <c r="O923" t="s">
        <v>24</v>
      </c>
      <c r="P923" t="s">
        <v>2317</v>
      </c>
      <c r="Q923">
        <v>0</v>
      </c>
      <c r="R923">
        <v>449</v>
      </c>
      <c r="S923">
        <f t="shared" si="128"/>
        <v>0.24443321980918589</v>
      </c>
      <c r="T923">
        <f t="shared" si="129"/>
        <v>0</v>
      </c>
      <c r="U923">
        <f t="shared" si="130"/>
        <v>0</v>
      </c>
      <c r="V923">
        <f t="shared" si="131"/>
        <v>0</v>
      </c>
      <c r="W923">
        <f t="shared" si="132"/>
        <v>0</v>
      </c>
      <c r="X923">
        <f t="shared" si="133"/>
        <v>0</v>
      </c>
      <c r="Y923">
        <f t="shared" si="134"/>
        <v>0</v>
      </c>
    </row>
    <row r="924" spans="1:25" x14ac:dyDescent="0.3">
      <c r="A924" t="s">
        <v>2354</v>
      </c>
      <c r="B924" t="s">
        <v>2355</v>
      </c>
      <c r="C924" s="1">
        <v>45850</v>
      </c>
      <c r="D924" s="3">
        <v>0.17152777777777778</v>
      </c>
      <c r="E924">
        <f t="shared" si="126"/>
        <v>4</v>
      </c>
      <c r="F924">
        <v>34</v>
      </c>
      <c r="G924" t="s">
        <v>6479</v>
      </c>
      <c r="H924" t="s">
        <v>90</v>
      </c>
      <c r="I924" t="s">
        <v>66</v>
      </c>
      <c r="J924" t="s">
        <v>49</v>
      </c>
      <c r="K924" t="s">
        <v>22</v>
      </c>
      <c r="L924">
        <v>192.26</v>
      </c>
      <c r="M924" t="s">
        <v>33</v>
      </c>
      <c r="N924">
        <f t="shared" si="127"/>
        <v>0</v>
      </c>
      <c r="O924" t="s">
        <v>24</v>
      </c>
      <c r="P924" t="s">
        <v>2356</v>
      </c>
      <c r="Q924">
        <v>0</v>
      </c>
      <c r="R924">
        <v>312</v>
      </c>
      <c r="S924">
        <f t="shared" si="128"/>
        <v>0.24429477721442469</v>
      </c>
      <c r="T924">
        <f t="shared" si="129"/>
        <v>0</v>
      </c>
      <c r="U924">
        <f t="shared" si="130"/>
        <v>1</v>
      </c>
      <c r="V924">
        <f t="shared" si="131"/>
        <v>0</v>
      </c>
      <c r="W924">
        <f t="shared" si="132"/>
        <v>2</v>
      </c>
      <c r="X924">
        <f t="shared" si="133"/>
        <v>0</v>
      </c>
      <c r="Y924">
        <f t="shared" si="134"/>
        <v>0</v>
      </c>
    </row>
    <row r="925" spans="1:25" x14ac:dyDescent="0.3">
      <c r="A925" t="s">
        <v>5885</v>
      </c>
      <c r="B925" t="s">
        <v>5886</v>
      </c>
      <c r="C925" s="1">
        <v>45739</v>
      </c>
      <c r="D925" s="3">
        <v>0.83555555555555561</v>
      </c>
      <c r="E925">
        <f t="shared" si="126"/>
        <v>20</v>
      </c>
      <c r="F925" s="4">
        <v>41</v>
      </c>
      <c r="G925" t="s">
        <v>46</v>
      </c>
      <c r="H925" t="s">
        <v>47</v>
      </c>
      <c r="I925" t="s">
        <v>85</v>
      </c>
      <c r="J925" t="s">
        <v>72</v>
      </c>
      <c r="K925" t="s">
        <v>62</v>
      </c>
      <c r="L925">
        <v>191.98</v>
      </c>
      <c r="M925" t="s">
        <v>115</v>
      </c>
      <c r="N925">
        <f t="shared" si="127"/>
        <v>0</v>
      </c>
      <c r="O925" t="s">
        <v>34</v>
      </c>
      <c r="P925" t="s">
        <v>5887</v>
      </c>
      <c r="Q925">
        <v>0</v>
      </c>
      <c r="R925">
        <v>262</v>
      </c>
      <c r="S925">
        <f t="shared" si="128"/>
        <v>0.24041838456111878</v>
      </c>
      <c r="T925">
        <f t="shared" si="129"/>
        <v>0</v>
      </c>
      <c r="U925">
        <f t="shared" si="130"/>
        <v>0</v>
      </c>
      <c r="V925">
        <f t="shared" si="131"/>
        <v>1</v>
      </c>
      <c r="W925">
        <f t="shared" si="132"/>
        <v>1</v>
      </c>
      <c r="X925">
        <f t="shared" si="133"/>
        <v>0</v>
      </c>
      <c r="Y925">
        <f t="shared" si="134"/>
        <v>0</v>
      </c>
    </row>
    <row r="926" spans="1:25" x14ac:dyDescent="0.3">
      <c r="A926" t="s">
        <v>6125</v>
      </c>
      <c r="B926" t="s">
        <v>6126</v>
      </c>
      <c r="C926" s="1">
        <v>45841</v>
      </c>
      <c r="D926" s="3">
        <v>0.25008101851851849</v>
      </c>
      <c r="E926">
        <f t="shared" si="126"/>
        <v>6</v>
      </c>
      <c r="F926">
        <v>59</v>
      </c>
      <c r="G926" t="s">
        <v>18</v>
      </c>
      <c r="H926" t="s">
        <v>175</v>
      </c>
      <c r="I926" t="s">
        <v>85</v>
      </c>
      <c r="J926" t="s">
        <v>132</v>
      </c>
      <c r="K926" t="s">
        <v>101</v>
      </c>
      <c r="L926">
        <v>191.88</v>
      </c>
      <c r="M926" t="s">
        <v>42</v>
      </c>
      <c r="N926">
        <f t="shared" si="127"/>
        <v>0</v>
      </c>
      <c r="O926" t="s">
        <v>24</v>
      </c>
      <c r="P926" t="s">
        <v>6127</v>
      </c>
      <c r="Q926">
        <v>0</v>
      </c>
      <c r="R926">
        <v>173</v>
      </c>
      <c r="S926">
        <f t="shared" si="128"/>
        <v>0.23903395861350962</v>
      </c>
      <c r="T926">
        <f t="shared" si="129"/>
        <v>0</v>
      </c>
      <c r="U926">
        <f t="shared" si="130"/>
        <v>0</v>
      </c>
      <c r="V926">
        <f t="shared" si="131"/>
        <v>1</v>
      </c>
      <c r="W926">
        <f t="shared" si="132"/>
        <v>1</v>
      </c>
      <c r="X926">
        <f t="shared" si="133"/>
        <v>0</v>
      </c>
      <c r="Y926">
        <f t="shared" si="134"/>
        <v>0</v>
      </c>
    </row>
    <row r="927" spans="1:25" x14ac:dyDescent="0.3">
      <c r="A927" t="s">
        <v>800</v>
      </c>
      <c r="B927" t="s">
        <v>801</v>
      </c>
      <c r="C927" s="1">
        <v>45873</v>
      </c>
      <c r="D927" s="3">
        <v>0.40695601851851854</v>
      </c>
      <c r="E927">
        <f t="shared" si="126"/>
        <v>9</v>
      </c>
      <c r="F927">
        <v>37</v>
      </c>
      <c r="G927" t="s">
        <v>18</v>
      </c>
      <c r="H927" t="s">
        <v>80</v>
      </c>
      <c r="I927" t="s">
        <v>105</v>
      </c>
      <c r="J927" t="s">
        <v>76</v>
      </c>
      <c r="K927" t="s">
        <v>168</v>
      </c>
      <c r="L927">
        <v>191.87</v>
      </c>
      <c r="M927" t="s">
        <v>115</v>
      </c>
      <c r="N927">
        <f t="shared" si="127"/>
        <v>0</v>
      </c>
      <c r="O927" t="s">
        <v>51</v>
      </c>
      <c r="P927" t="s">
        <v>802</v>
      </c>
      <c r="Q927">
        <v>0</v>
      </c>
      <c r="R927">
        <v>250</v>
      </c>
      <c r="S927">
        <f t="shared" si="128"/>
        <v>0.23889551601874881</v>
      </c>
      <c r="T927">
        <f t="shared" si="129"/>
        <v>0</v>
      </c>
      <c r="U927">
        <f t="shared" si="130"/>
        <v>0</v>
      </c>
      <c r="V927">
        <f t="shared" si="131"/>
        <v>1</v>
      </c>
      <c r="W927">
        <f t="shared" si="132"/>
        <v>1</v>
      </c>
      <c r="X927">
        <f t="shared" si="133"/>
        <v>0</v>
      </c>
      <c r="Y927">
        <f t="shared" si="134"/>
        <v>0</v>
      </c>
    </row>
    <row r="928" spans="1:25" x14ac:dyDescent="0.3">
      <c r="A928" t="s">
        <v>4520</v>
      </c>
      <c r="B928" t="s">
        <v>4521</v>
      </c>
      <c r="C928" s="1">
        <v>45866</v>
      </c>
      <c r="D928" s="3">
        <v>0.91656249999999995</v>
      </c>
      <c r="E928">
        <f t="shared" si="126"/>
        <v>21</v>
      </c>
      <c r="F928">
        <v>62</v>
      </c>
      <c r="G928" t="s">
        <v>60</v>
      </c>
      <c r="H928" t="s">
        <v>19</v>
      </c>
      <c r="I928" t="s">
        <v>85</v>
      </c>
      <c r="J928" t="s">
        <v>76</v>
      </c>
      <c r="K928" t="s">
        <v>120</v>
      </c>
      <c r="L928">
        <v>191.77</v>
      </c>
      <c r="M928" t="s">
        <v>42</v>
      </c>
      <c r="N928">
        <f t="shared" si="127"/>
        <v>0</v>
      </c>
      <c r="O928" t="s">
        <v>34</v>
      </c>
      <c r="P928" t="s">
        <v>4522</v>
      </c>
      <c r="Q928">
        <v>0</v>
      </c>
      <c r="R928">
        <v>446</v>
      </c>
      <c r="S928">
        <f t="shared" si="128"/>
        <v>0.23751109007113966</v>
      </c>
      <c r="T928">
        <f t="shared" si="129"/>
        <v>0</v>
      </c>
      <c r="U928">
        <f t="shared" si="130"/>
        <v>0</v>
      </c>
      <c r="V928">
        <f t="shared" si="131"/>
        <v>0</v>
      </c>
      <c r="W928">
        <f t="shared" si="132"/>
        <v>0</v>
      </c>
      <c r="X928">
        <f t="shared" si="133"/>
        <v>0</v>
      </c>
      <c r="Y928">
        <f t="shared" si="134"/>
        <v>0</v>
      </c>
    </row>
    <row r="929" spans="1:25" x14ac:dyDescent="0.3">
      <c r="A929" t="s">
        <v>1277</v>
      </c>
      <c r="B929" t="s">
        <v>1278</v>
      </c>
      <c r="C929" s="1">
        <v>45774</v>
      </c>
      <c r="D929" s="3">
        <v>0.41782407407407407</v>
      </c>
      <c r="E929">
        <f t="shared" si="126"/>
        <v>10</v>
      </c>
      <c r="F929">
        <v>25</v>
      </c>
      <c r="G929" t="s">
        <v>46</v>
      </c>
      <c r="H929" t="s">
        <v>47</v>
      </c>
      <c r="I929" t="s">
        <v>20</v>
      </c>
      <c r="J929" t="s">
        <v>40</v>
      </c>
      <c r="K929" t="s">
        <v>101</v>
      </c>
      <c r="L929">
        <v>191.74</v>
      </c>
      <c r="M929" t="s">
        <v>23</v>
      </c>
      <c r="N929">
        <f t="shared" si="127"/>
        <v>0</v>
      </c>
      <c r="O929" t="s">
        <v>34</v>
      </c>
      <c r="P929" t="s">
        <v>1279</v>
      </c>
      <c r="Q929">
        <v>0</v>
      </c>
      <c r="R929">
        <v>238</v>
      </c>
      <c r="S929">
        <f t="shared" si="128"/>
        <v>0.23709576228685686</v>
      </c>
      <c r="T929">
        <f t="shared" si="129"/>
        <v>0</v>
      </c>
      <c r="U929">
        <f t="shared" si="130"/>
        <v>0</v>
      </c>
      <c r="V929">
        <f t="shared" si="131"/>
        <v>1</v>
      </c>
      <c r="W929">
        <f t="shared" si="132"/>
        <v>1</v>
      </c>
      <c r="X929">
        <f t="shared" si="133"/>
        <v>0</v>
      </c>
      <c r="Y929">
        <f t="shared" si="134"/>
        <v>0</v>
      </c>
    </row>
    <row r="930" spans="1:25" x14ac:dyDescent="0.3">
      <c r="A930" t="s">
        <v>3416</v>
      </c>
      <c r="B930" t="s">
        <v>3417</v>
      </c>
      <c r="C930" s="1">
        <v>45832</v>
      </c>
      <c r="D930" s="3">
        <v>0.21328703703703702</v>
      </c>
      <c r="E930">
        <f t="shared" si="126"/>
        <v>5</v>
      </c>
      <c r="F930">
        <v>19</v>
      </c>
      <c r="G930" t="s">
        <v>46</v>
      </c>
      <c r="H930" t="s">
        <v>61</v>
      </c>
      <c r="I930" t="s">
        <v>39</v>
      </c>
      <c r="J930" t="s">
        <v>56</v>
      </c>
      <c r="K930" t="s">
        <v>50</v>
      </c>
      <c r="L930">
        <v>191.58</v>
      </c>
      <c r="M930" t="s">
        <v>6479</v>
      </c>
      <c r="N930">
        <f t="shared" si="127"/>
        <v>1</v>
      </c>
      <c r="O930" t="s">
        <v>34</v>
      </c>
      <c r="P930" t="s">
        <v>3418</v>
      </c>
      <c r="Q930">
        <v>0</v>
      </c>
      <c r="R930">
        <v>230</v>
      </c>
      <c r="S930">
        <f t="shared" si="128"/>
        <v>0.23488068077068211</v>
      </c>
      <c r="T930">
        <f t="shared" si="129"/>
        <v>0</v>
      </c>
      <c r="U930">
        <f t="shared" si="130"/>
        <v>1</v>
      </c>
      <c r="V930">
        <f t="shared" si="131"/>
        <v>1</v>
      </c>
      <c r="W930">
        <f t="shared" si="132"/>
        <v>5</v>
      </c>
      <c r="X930">
        <f t="shared" si="133"/>
        <v>1</v>
      </c>
      <c r="Y930">
        <f t="shared" si="134"/>
        <v>1</v>
      </c>
    </row>
    <row r="931" spans="1:25" x14ac:dyDescent="0.3">
      <c r="A931" t="s">
        <v>5999</v>
      </c>
      <c r="B931" t="s">
        <v>6000</v>
      </c>
      <c r="C931" s="1">
        <v>45842</v>
      </c>
      <c r="D931" s="3">
        <v>2.7037037037037037E-2</v>
      </c>
      <c r="E931">
        <f t="shared" si="126"/>
        <v>0</v>
      </c>
      <c r="F931">
        <v>32</v>
      </c>
      <c r="G931" t="s">
        <v>60</v>
      </c>
      <c r="H931" t="s">
        <v>84</v>
      </c>
      <c r="I931" t="s">
        <v>66</v>
      </c>
      <c r="J931" t="s">
        <v>132</v>
      </c>
      <c r="K931" t="s">
        <v>50</v>
      </c>
      <c r="L931">
        <v>191.33</v>
      </c>
      <c r="M931" t="s">
        <v>33</v>
      </c>
      <c r="N931">
        <f t="shared" si="127"/>
        <v>0</v>
      </c>
      <c r="O931" t="s">
        <v>34</v>
      </c>
      <c r="P931" t="s">
        <v>6001</v>
      </c>
      <c r="Q931">
        <v>0</v>
      </c>
      <c r="R931">
        <v>298</v>
      </c>
      <c r="S931">
        <f t="shared" si="128"/>
        <v>0.23141961590165899</v>
      </c>
      <c r="T931">
        <f t="shared" si="129"/>
        <v>0</v>
      </c>
      <c r="U931">
        <f t="shared" si="130"/>
        <v>1</v>
      </c>
      <c r="V931">
        <f t="shared" si="131"/>
        <v>0</v>
      </c>
      <c r="W931">
        <f t="shared" si="132"/>
        <v>2</v>
      </c>
      <c r="X931">
        <f t="shared" si="133"/>
        <v>0</v>
      </c>
      <c r="Y931">
        <f t="shared" si="134"/>
        <v>0</v>
      </c>
    </row>
    <row r="932" spans="1:25" x14ac:dyDescent="0.3">
      <c r="A932" t="s">
        <v>6365</v>
      </c>
      <c r="B932" t="s">
        <v>6366</v>
      </c>
      <c r="C932" s="1">
        <v>45841</v>
      </c>
      <c r="D932" s="3">
        <v>0.94371527777777775</v>
      </c>
      <c r="E932">
        <f t="shared" si="126"/>
        <v>22</v>
      </c>
      <c r="F932">
        <v>29</v>
      </c>
      <c r="G932" t="s">
        <v>46</v>
      </c>
      <c r="H932" t="s">
        <v>167</v>
      </c>
      <c r="I932" t="s">
        <v>30</v>
      </c>
      <c r="J932" t="s">
        <v>127</v>
      </c>
      <c r="K932" t="s">
        <v>101</v>
      </c>
      <c r="L932">
        <v>191.3</v>
      </c>
      <c r="M932" t="s">
        <v>42</v>
      </c>
      <c r="N932">
        <f t="shared" si="127"/>
        <v>0</v>
      </c>
      <c r="O932" t="s">
        <v>24</v>
      </c>
      <c r="P932" t="s">
        <v>6367</v>
      </c>
      <c r="Q932">
        <v>0</v>
      </c>
      <c r="R932">
        <v>329</v>
      </c>
      <c r="S932">
        <f t="shared" si="128"/>
        <v>0.23100428811737622</v>
      </c>
      <c r="T932">
        <f t="shared" si="129"/>
        <v>0</v>
      </c>
      <c r="U932">
        <f t="shared" si="130"/>
        <v>0</v>
      </c>
      <c r="V932">
        <f t="shared" si="131"/>
        <v>0</v>
      </c>
      <c r="W932">
        <f t="shared" si="132"/>
        <v>0</v>
      </c>
      <c r="X932">
        <f t="shared" si="133"/>
        <v>0</v>
      </c>
      <c r="Y932">
        <f t="shared" si="134"/>
        <v>0</v>
      </c>
    </row>
    <row r="933" spans="1:25" x14ac:dyDescent="0.3">
      <c r="A933" t="s">
        <v>4337</v>
      </c>
      <c r="B933" t="s">
        <v>4338</v>
      </c>
      <c r="C933" s="1">
        <v>45871</v>
      </c>
      <c r="D933" s="3">
        <v>0.50562499999999999</v>
      </c>
      <c r="E933">
        <f t="shared" si="126"/>
        <v>12</v>
      </c>
      <c r="F933">
        <v>22</v>
      </c>
      <c r="G933" t="s">
        <v>28</v>
      </c>
      <c r="H933" t="s">
        <v>47</v>
      </c>
      <c r="I933" t="s">
        <v>71</v>
      </c>
      <c r="J933" t="s">
        <v>76</v>
      </c>
      <c r="K933" t="s">
        <v>120</v>
      </c>
      <c r="L933">
        <v>191.08</v>
      </c>
      <c r="M933" t="s">
        <v>23</v>
      </c>
      <c r="N933">
        <f t="shared" si="127"/>
        <v>0</v>
      </c>
      <c r="O933" t="s">
        <v>24</v>
      </c>
      <c r="P933" t="s">
        <v>4339</v>
      </c>
      <c r="Q933">
        <v>0</v>
      </c>
      <c r="R933">
        <v>447</v>
      </c>
      <c r="S933">
        <f t="shared" si="128"/>
        <v>0.2279585510326359</v>
      </c>
      <c r="T933">
        <f t="shared" si="129"/>
        <v>0</v>
      </c>
      <c r="U933">
        <f t="shared" si="130"/>
        <v>0</v>
      </c>
      <c r="V933">
        <f t="shared" si="131"/>
        <v>0</v>
      </c>
      <c r="W933">
        <f t="shared" si="132"/>
        <v>0</v>
      </c>
      <c r="X933">
        <f t="shared" si="133"/>
        <v>0</v>
      </c>
      <c r="Y933">
        <f t="shared" si="134"/>
        <v>0</v>
      </c>
    </row>
    <row r="934" spans="1:25" x14ac:dyDescent="0.3">
      <c r="A934" t="s">
        <v>566</v>
      </c>
      <c r="B934" t="s">
        <v>567</v>
      </c>
      <c r="C934" s="1">
        <v>45769</v>
      </c>
      <c r="D934" s="3">
        <v>0.72082175925925929</v>
      </c>
      <c r="E934">
        <f t="shared" si="126"/>
        <v>17</v>
      </c>
      <c r="F934">
        <v>49</v>
      </c>
      <c r="G934" t="s">
        <v>46</v>
      </c>
      <c r="H934" t="s">
        <v>19</v>
      </c>
      <c r="I934" t="s">
        <v>85</v>
      </c>
      <c r="J934" t="s">
        <v>76</v>
      </c>
      <c r="K934" t="s">
        <v>120</v>
      </c>
      <c r="L934">
        <v>190.95</v>
      </c>
      <c r="M934" t="s">
        <v>23</v>
      </c>
      <c r="N934">
        <f t="shared" si="127"/>
        <v>0</v>
      </c>
      <c r="O934" t="s">
        <v>24</v>
      </c>
      <c r="P934" t="s">
        <v>568</v>
      </c>
      <c r="Q934">
        <v>0</v>
      </c>
      <c r="R934">
        <v>180</v>
      </c>
      <c r="S934">
        <f t="shared" si="128"/>
        <v>0.22615879730074354</v>
      </c>
      <c r="T934">
        <f t="shared" si="129"/>
        <v>0</v>
      </c>
      <c r="U934">
        <f t="shared" si="130"/>
        <v>0</v>
      </c>
      <c r="V934">
        <f t="shared" si="131"/>
        <v>1</v>
      </c>
      <c r="W934">
        <f t="shared" si="132"/>
        <v>1</v>
      </c>
      <c r="X934">
        <f t="shared" si="133"/>
        <v>0</v>
      </c>
      <c r="Y934">
        <f t="shared" si="134"/>
        <v>0</v>
      </c>
    </row>
    <row r="935" spans="1:25" x14ac:dyDescent="0.3">
      <c r="A935" t="s">
        <v>539</v>
      </c>
      <c r="B935" t="s">
        <v>540</v>
      </c>
      <c r="C935" s="1">
        <v>45770</v>
      </c>
      <c r="D935" s="3">
        <v>0.97034722222222225</v>
      </c>
      <c r="E935">
        <f t="shared" si="126"/>
        <v>23</v>
      </c>
      <c r="F935">
        <v>54</v>
      </c>
      <c r="G935" t="s">
        <v>46</v>
      </c>
      <c r="H935" t="s">
        <v>189</v>
      </c>
      <c r="I935" t="s">
        <v>39</v>
      </c>
      <c r="J935" t="s">
        <v>132</v>
      </c>
      <c r="K935" t="s">
        <v>32</v>
      </c>
      <c r="L935">
        <v>190.77</v>
      </c>
      <c r="M935" t="s">
        <v>115</v>
      </c>
      <c r="N935">
        <f t="shared" si="127"/>
        <v>0</v>
      </c>
      <c r="O935" t="s">
        <v>51</v>
      </c>
      <c r="P935" t="s">
        <v>541</v>
      </c>
      <c r="Q935">
        <v>0</v>
      </c>
      <c r="R935">
        <v>386</v>
      </c>
      <c r="S935">
        <f t="shared" si="128"/>
        <v>0.22366683059504719</v>
      </c>
      <c r="T935">
        <f t="shared" si="129"/>
        <v>0</v>
      </c>
      <c r="U935">
        <f t="shared" si="130"/>
        <v>0</v>
      </c>
      <c r="V935">
        <f t="shared" si="131"/>
        <v>0</v>
      </c>
      <c r="W935">
        <f t="shared" si="132"/>
        <v>0</v>
      </c>
      <c r="X935">
        <f t="shared" si="133"/>
        <v>0</v>
      </c>
      <c r="Y935">
        <f t="shared" si="134"/>
        <v>0</v>
      </c>
    </row>
    <row r="936" spans="1:25" x14ac:dyDescent="0.3">
      <c r="A936" t="s">
        <v>3950</v>
      </c>
      <c r="B936" t="s">
        <v>3951</v>
      </c>
      <c r="C936" s="1">
        <v>45792</v>
      </c>
      <c r="D936" s="3">
        <v>0.55865740740740744</v>
      </c>
      <c r="E936">
        <f t="shared" si="126"/>
        <v>13</v>
      </c>
      <c r="F936">
        <v>51</v>
      </c>
      <c r="G936" t="s">
        <v>46</v>
      </c>
      <c r="H936" t="s">
        <v>100</v>
      </c>
      <c r="I936" t="s">
        <v>30</v>
      </c>
      <c r="J936" t="s">
        <v>76</v>
      </c>
      <c r="K936" t="s">
        <v>120</v>
      </c>
      <c r="L936">
        <v>190.46</v>
      </c>
      <c r="M936" t="s">
        <v>23</v>
      </c>
      <c r="N936">
        <f t="shared" si="127"/>
        <v>0</v>
      </c>
      <c r="O936" t="s">
        <v>51</v>
      </c>
      <c r="P936" t="s">
        <v>3952</v>
      </c>
      <c r="Q936">
        <v>0</v>
      </c>
      <c r="R936">
        <v>299</v>
      </c>
      <c r="S936">
        <f t="shared" si="128"/>
        <v>0.2193751101574585</v>
      </c>
      <c r="T936">
        <f t="shared" si="129"/>
        <v>0</v>
      </c>
      <c r="U936">
        <f t="shared" si="130"/>
        <v>0</v>
      </c>
      <c r="V936">
        <f t="shared" si="131"/>
        <v>0</v>
      </c>
      <c r="W936">
        <f t="shared" si="132"/>
        <v>0</v>
      </c>
      <c r="X936">
        <f t="shared" si="133"/>
        <v>0</v>
      </c>
      <c r="Y936">
        <f t="shared" si="134"/>
        <v>0</v>
      </c>
    </row>
    <row r="937" spans="1:25" x14ac:dyDescent="0.3">
      <c r="A937" t="s">
        <v>2288</v>
      </c>
      <c r="B937" t="s">
        <v>2289</v>
      </c>
      <c r="C937" s="1">
        <v>45753</v>
      </c>
      <c r="D937" s="3">
        <v>0.53116898148148151</v>
      </c>
      <c r="E937">
        <f t="shared" si="126"/>
        <v>12</v>
      </c>
      <c r="F937">
        <v>22</v>
      </c>
      <c r="G937" t="s">
        <v>60</v>
      </c>
      <c r="H937" t="s">
        <v>131</v>
      </c>
      <c r="I937" t="s">
        <v>30</v>
      </c>
      <c r="J937" t="s">
        <v>94</v>
      </c>
      <c r="K937" t="s">
        <v>101</v>
      </c>
      <c r="L937">
        <v>190.42</v>
      </c>
      <c r="M937" t="s">
        <v>42</v>
      </c>
      <c r="N937">
        <f t="shared" si="127"/>
        <v>0</v>
      </c>
      <c r="O937" t="s">
        <v>24</v>
      </c>
      <c r="P937" t="s">
        <v>2290</v>
      </c>
      <c r="Q937">
        <v>0</v>
      </c>
      <c r="R937">
        <v>200</v>
      </c>
      <c r="S937">
        <f t="shared" si="128"/>
        <v>0.21882133977841453</v>
      </c>
      <c r="T937">
        <f t="shared" si="129"/>
        <v>0</v>
      </c>
      <c r="U937">
        <f t="shared" si="130"/>
        <v>0</v>
      </c>
      <c r="V937">
        <f t="shared" si="131"/>
        <v>1</v>
      </c>
      <c r="W937">
        <f t="shared" si="132"/>
        <v>1</v>
      </c>
      <c r="X937">
        <f t="shared" si="133"/>
        <v>0</v>
      </c>
      <c r="Y937">
        <f t="shared" si="134"/>
        <v>0</v>
      </c>
    </row>
    <row r="938" spans="1:25" x14ac:dyDescent="0.3">
      <c r="A938" t="s">
        <v>4970</v>
      </c>
      <c r="B938" t="s">
        <v>4971</v>
      </c>
      <c r="C938" s="1">
        <v>45810</v>
      </c>
      <c r="D938" s="3">
        <v>0.375</v>
      </c>
      <c r="E938">
        <f t="shared" si="126"/>
        <v>9</v>
      </c>
      <c r="F938">
        <v>28</v>
      </c>
      <c r="G938" t="s">
        <v>28</v>
      </c>
      <c r="H938" t="s">
        <v>70</v>
      </c>
      <c r="I938" t="s">
        <v>71</v>
      </c>
      <c r="J938" t="s">
        <v>49</v>
      </c>
      <c r="K938" t="s">
        <v>120</v>
      </c>
      <c r="L938">
        <v>190.38</v>
      </c>
      <c r="M938" t="s">
        <v>6479</v>
      </c>
      <c r="N938">
        <f t="shared" si="127"/>
        <v>1</v>
      </c>
      <c r="O938" t="s">
        <v>24</v>
      </c>
      <c r="P938" t="s">
        <v>4972</v>
      </c>
      <c r="Q938">
        <v>0</v>
      </c>
      <c r="R938">
        <v>62</v>
      </c>
      <c r="S938">
        <f t="shared" si="128"/>
        <v>0.21826756939937095</v>
      </c>
      <c r="T938">
        <f t="shared" si="129"/>
        <v>0</v>
      </c>
      <c r="U938">
        <f t="shared" si="130"/>
        <v>0</v>
      </c>
      <c r="V938">
        <f t="shared" si="131"/>
        <v>1</v>
      </c>
      <c r="W938">
        <f t="shared" si="132"/>
        <v>3</v>
      </c>
      <c r="X938">
        <f t="shared" si="133"/>
        <v>0</v>
      </c>
      <c r="Y938">
        <f t="shared" si="134"/>
        <v>1</v>
      </c>
    </row>
    <row r="939" spans="1:25" x14ac:dyDescent="0.3">
      <c r="A939" t="s">
        <v>1712</v>
      </c>
      <c r="B939" t="s">
        <v>1713</v>
      </c>
      <c r="C939" s="1">
        <v>45799</v>
      </c>
      <c r="D939" s="3">
        <v>0.36775462962962963</v>
      </c>
      <c r="E939">
        <f t="shared" si="126"/>
        <v>8</v>
      </c>
      <c r="F939">
        <v>28</v>
      </c>
      <c r="G939" t="s">
        <v>60</v>
      </c>
      <c r="H939" t="s">
        <v>47</v>
      </c>
      <c r="I939" t="s">
        <v>39</v>
      </c>
      <c r="J939" t="s">
        <v>40</v>
      </c>
      <c r="K939" t="s">
        <v>41</v>
      </c>
      <c r="L939">
        <v>190.28</v>
      </c>
      <c r="M939" t="s">
        <v>42</v>
      </c>
      <c r="N939">
        <f t="shared" si="127"/>
        <v>0</v>
      </c>
      <c r="O939" t="s">
        <v>34</v>
      </c>
      <c r="P939" t="s">
        <v>1714</v>
      </c>
      <c r="Q939">
        <v>0</v>
      </c>
      <c r="R939">
        <v>196</v>
      </c>
      <c r="S939">
        <f t="shared" si="128"/>
        <v>0.21688314345176177</v>
      </c>
      <c r="T939">
        <f t="shared" si="129"/>
        <v>0</v>
      </c>
      <c r="U939">
        <f t="shared" si="130"/>
        <v>0</v>
      </c>
      <c r="V939">
        <f t="shared" si="131"/>
        <v>1</v>
      </c>
      <c r="W939">
        <f t="shared" si="132"/>
        <v>1</v>
      </c>
      <c r="X939">
        <f t="shared" si="133"/>
        <v>0</v>
      </c>
      <c r="Y939">
        <f t="shared" si="134"/>
        <v>0</v>
      </c>
    </row>
    <row r="940" spans="1:25" x14ac:dyDescent="0.3">
      <c r="A940" t="s">
        <v>3905</v>
      </c>
      <c r="B940" t="s">
        <v>3906</v>
      </c>
      <c r="C940" s="1">
        <v>45881</v>
      </c>
      <c r="D940" s="3">
        <v>0.24275462962962963</v>
      </c>
      <c r="E940">
        <f t="shared" si="126"/>
        <v>5</v>
      </c>
      <c r="F940">
        <v>24</v>
      </c>
      <c r="G940" t="s">
        <v>46</v>
      </c>
      <c r="H940" t="s">
        <v>38</v>
      </c>
      <c r="I940" t="s">
        <v>66</v>
      </c>
      <c r="J940" t="s">
        <v>132</v>
      </c>
      <c r="K940" t="s">
        <v>101</v>
      </c>
      <c r="L940">
        <v>190.26</v>
      </c>
      <c r="M940" t="s">
        <v>23</v>
      </c>
      <c r="N940">
        <f t="shared" si="127"/>
        <v>0</v>
      </c>
      <c r="O940" t="s">
        <v>86</v>
      </c>
      <c r="P940" t="s">
        <v>3907</v>
      </c>
      <c r="Q940">
        <v>0</v>
      </c>
      <c r="R940">
        <v>442</v>
      </c>
      <c r="S940">
        <f t="shared" si="128"/>
        <v>0.21660625826223978</v>
      </c>
      <c r="T940">
        <f t="shared" si="129"/>
        <v>0</v>
      </c>
      <c r="U940">
        <f t="shared" si="130"/>
        <v>1</v>
      </c>
      <c r="V940">
        <f t="shared" si="131"/>
        <v>0</v>
      </c>
      <c r="W940">
        <f t="shared" si="132"/>
        <v>2</v>
      </c>
      <c r="X940">
        <f t="shared" si="133"/>
        <v>0</v>
      </c>
      <c r="Y940">
        <f t="shared" si="134"/>
        <v>0</v>
      </c>
    </row>
    <row r="941" spans="1:25" x14ac:dyDescent="0.3">
      <c r="A941" t="s">
        <v>3143</v>
      </c>
      <c r="B941" t="s">
        <v>3144</v>
      </c>
      <c r="C941" s="1">
        <v>45766</v>
      </c>
      <c r="D941" s="3">
        <v>0.85945601851851849</v>
      </c>
      <c r="E941">
        <f t="shared" si="126"/>
        <v>20</v>
      </c>
      <c r="F941">
        <v>19</v>
      </c>
      <c r="G941" t="s">
        <v>28</v>
      </c>
      <c r="H941" t="s">
        <v>55</v>
      </c>
      <c r="I941" t="s">
        <v>85</v>
      </c>
      <c r="J941" t="s">
        <v>49</v>
      </c>
      <c r="K941" t="s">
        <v>32</v>
      </c>
      <c r="L941">
        <v>190.24</v>
      </c>
      <c r="M941" t="s">
        <v>23</v>
      </c>
      <c r="N941">
        <f t="shared" si="127"/>
        <v>0</v>
      </c>
      <c r="O941" t="s">
        <v>34</v>
      </c>
      <c r="P941" t="s">
        <v>3145</v>
      </c>
      <c r="Q941">
        <v>0</v>
      </c>
      <c r="R941">
        <v>302</v>
      </c>
      <c r="S941">
        <f t="shared" si="128"/>
        <v>0.21632937307271818</v>
      </c>
      <c r="T941">
        <f t="shared" si="129"/>
        <v>0</v>
      </c>
      <c r="U941">
        <f t="shared" si="130"/>
        <v>0</v>
      </c>
      <c r="V941">
        <f t="shared" si="131"/>
        <v>0</v>
      </c>
      <c r="W941">
        <f t="shared" si="132"/>
        <v>0</v>
      </c>
      <c r="X941">
        <f t="shared" si="133"/>
        <v>0</v>
      </c>
      <c r="Y941">
        <f t="shared" si="134"/>
        <v>0</v>
      </c>
    </row>
    <row r="942" spans="1:25" x14ac:dyDescent="0.3">
      <c r="A942" t="s">
        <v>4460</v>
      </c>
      <c r="B942" s="2" t="s">
        <v>4461</v>
      </c>
      <c r="C942" s="1">
        <v>45734</v>
      </c>
      <c r="D942" s="3">
        <v>0.20480324074074074</v>
      </c>
      <c r="E942">
        <f t="shared" si="126"/>
        <v>4</v>
      </c>
      <c r="F942">
        <v>29</v>
      </c>
      <c r="G942" t="s">
        <v>46</v>
      </c>
      <c r="H942" t="s">
        <v>90</v>
      </c>
      <c r="I942" t="s">
        <v>66</v>
      </c>
      <c r="J942" t="s">
        <v>49</v>
      </c>
      <c r="K942" t="s">
        <v>41</v>
      </c>
      <c r="L942">
        <v>190.18</v>
      </c>
      <c r="M942" t="s">
        <v>33</v>
      </c>
      <c r="N942">
        <f t="shared" si="127"/>
        <v>0</v>
      </c>
      <c r="O942" t="s">
        <v>34</v>
      </c>
      <c r="P942" t="s">
        <v>4462</v>
      </c>
      <c r="Q942">
        <v>0</v>
      </c>
      <c r="R942">
        <v>78</v>
      </c>
      <c r="S942">
        <f t="shared" si="128"/>
        <v>0.21549871750415261</v>
      </c>
      <c r="T942">
        <f t="shared" si="129"/>
        <v>0</v>
      </c>
      <c r="U942">
        <f t="shared" si="130"/>
        <v>1</v>
      </c>
      <c r="V942">
        <f t="shared" si="131"/>
        <v>1</v>
      </c>
      <c r="W942">
        <f t="shared" si="132"/>
        <v>3</v>
      </c>
      <c r="X942">
        <f t="shared" si="133"/>
        <v>0</v>
      </c>
      <c r="Y942">
        <f t="shared" si="134"/>
        <v>0</v>
      </c>
    </row>
    <row r="943" spans="1:25" x14ac:dyDescent="0.3">
      <c r="A943" t="s">
        <v>6131</v>
      </c>
      <c r="B943" t="s">
        <v>6132</v>
      </c>
      <c r="C943" s="1">
        <v>45831</v>
      </c>
      <c r="D943" s="3">
        <v>0.1582638888888889</v>
      </c>
      <c r="E943">
        <f t="shared" si="126"/>
        <v>3</v>
      </c>
      <c r="F943">
        <v>31</v>
      </c>
      <c r="G943" t="s">
        <v>60</v>
      </c>
      <c r="H943" t="s">
        <v>80</v>
      </c>
      <c r="I943" t="s">
        <v>66</v>
      </c>
      <c r="J943" t="s">
        <v>132</v>
      </c>
      <c r="K943" t="s">
        <v>32</v>
      </c>
      <c r="L943">
        <v>189.94</v>
      </c>
      <c r="M943" t="s">
        <v>42</v>
      </c>
      <c r="N943">
        <f t="shared" si="127"/>
        <v>0</v>
      </c>
      <c r="O943" t="s">
        <v>51</v>
      </c>
      <c r="P943" t="s">
        <v>6133</v>
      </c>
      <c r="Q943">
        <v>0</v>
      </c>
      <c r="R943">
        <v>82</v>
      </c>
      <c r="S943">
        <f t="shared" si="128"/>
        <v>0.21217609522989028</v>
      </c>
      <c r="T943">
        <f t="shared" si="129"/>
        <v>0</v>
      </c>
      <c r="U943">
        <f t="shared" si="130"/>
        <v>1</v>
      </c>
      <c r="V943">
        <f t="shared" si="131"/>
        <v>1</v>
      </c>
      <c r="W943">
        <f t="shared" si="132"/>
        <v>3</v>
      </c>
      <c r="X943">
        <f t="shared" si="133"/>
        <v>0</v>
      </c>
      <c r="Y943">
        <f t="shared" si="134"/>
        <v>0</v>
      </c>
    </row>
    <row r="944" spans="1:25" x14ac:dyDescent="0.3">
      <c r="A944" t="s">
        <v>4208</v>
      </c>
      <c r="B944" t="s">
        <v>4209</v>
      </c>
      <c r="C944" s="1">
        <v>45828</v>
      </c>
      <c r="D944" s="3">
        <v>0.15663194444444445</v>
      </c>
      <c r="E944">
        <f t="shared" si="126"/>
        <v>3</v>
      </c>
      <c r="F944">
        <v>34</v>
      </c>
      <c r="G944" t="s">
        <v>46</v>
      </c>
      <c r="H944" t="s">
        <v>19</v>
      </c>
      <c r="I944" t="s">
        <v>119</v>
      </c>
      <c r="J944" t="s">
        <v>94</v>
      </c>
      <c r="K944" t="s">
        <v>120</v>
      </c>
      <c r="L944">
        <v>189.62</v>
      </c>
      <c r="M944" t="s">
        <v>6479</v>
      </c>
      <c r="N944">
        <f t="shared" si="127"/>
        <v>1</v>
      </c>
      <c r="O944" t="s">
        <v>24</v>
      </c>
      <c r="P944" t="s">
        <v>4210</v>
      </c>
      <c r="Q944">
        <v>0</v>
      </c>
      <c r="R944">
        <v>214</v>
      </c>
      <c r="S944">
        <f t="shared" si="128"/>
        <v>0.20774593219754081</v>
      </c>
      <c r="T944">
        <f t="shared" si="129"/>
        <v>0</v>
      </c>
      <c r="U944">
        <f t="shared" si="130"/>
        <v>1</v>
      </c>
      <c r="V944">
        <f t="shared" si="131"/>
        <v>1</v>
      </c>
      <c r="W944">
        <f t="shared" si="132"/>
        <v>5</v>
      </c>
      <c r="X944">
        <f t="shared" si="133"/>
        <v>1</v>
      </c>
      <c r="Y944">
        <f t="shared" si="134"/>
        <v>1</v>
      </c>
    </row>
    <row r="945" spans="1:25" x14ac:dyDescent="0.3">
      <c r="A945" t="s">
        <v>2468</v>
      </c>
      <c r="B945" t="s">
        <v>2469</v>
      </c>
      <c r="C945" s="1">
        <v>45741</v>
      </c>
      <c r="D945" s="3">
        <v>0.30386574074074074</v>
      </c>
      <c r="E945">
        <f t="shared" si="126"/>
        <v>7</v>
      </c>
      <c r="F945">
        <v>34</v>
      </c>
      <c r="G945" t="s">
        <v>60</v>
      </c>
      <c r="H945" t="s">
        <v>312</v>
      </c>
      <c r="I945" t="s">
        <v>110</v>
      </c>
      <c r="J945" t="s">
        <v>72</v>
      </c>
      <c r="K945" t="s">
        <v>50</v>
      </c>
      <c r="L945">
        <v>189.6</v>
      </c>
      <c r="M945" t="s">
        <v>23</v>
      </c>
      <c r="N945">
        <f t="shared" si="127"/>
        <v>0</v>
      </c>
      <c r="O945" t="s">
        <v>24</v>
      </c>
      <c r="P945" t="s">
        <v>2470</v>
      </c>
      <c r="Q945">
        <v>0</v>
      </c>
      <c r="R945">
        <v>258</v>
      </c>
      <c r="S945">
        <f t="shared" si="128"/>
        <v>0.2074690470080188</v>
      </c>
      <c r="T945">
        <f t="shared" si="129"/>
        <v>0</v>
      </c>
      <c r="U945">
        <f t="shared" si="130"/>
        <v>0</v>
      </c>
      <c r="V945">
        <f t="shared" si="131"/>
        <v>1</v>
      </c>
      <c r="W945">
        <f t="shared" si="132"/>
        <v>1</v>
      </c>
      <c r="X945">
        <f t="shared" si="133"/>
        <v>0</v>
      </c>
      <c r="Y945">
        <f t="shared" si="134"/>
        <v>0</v>
      </c>
    </row>
    <row r="946" spans="1:25" x14ac:dyDescent="0.3">
      <c r="A946" t="s">
        <v>2867</v>
      </c>
      <c r="B946" t="s">
        <v>2868</v>
      </c>
      <c r="C946" s="1">
        <v>45740</v>
      </c>
      <c r="D946" s="3">
        <v>0.62651620370370376</v>
      </c>
      <c r="E946">
        <f t="shared" si="126"/>
        <v>15</v>
      </c>
      <c r="F946">
        <v>30</v>
      </c>
      <c r="G946" t="s">
        <v>60</v>
      </c>
      <c r="H946" t="s">
        <v>232</v>
      </c>
      <c r="I946" t="s">
        <v>48</v>
      </c>
      <c r="J946" t="s">
        <v>94</v>
      </c>
      <c r="K946" t="s">
        <v>50</v>
      </c>
      <c r="L946">
        <v>189.48</v>
      </c>
      <c r="M946" t="s">
        <v>33</v>
      </c>
      <c r="N946">
        <f t="shared" si="127"/>
        <v>0</v>
      </c>
      <c r="O946" t="s">
        <v>24</v>
      </c>
      <c r="P946" t="s">
        <v>2869</v>
      </c>
      <c r="Q946">
        <v>0</v>
      </c>
      <c r="R946">
        <v>152</v>
      </c>
      <c r="S946">
        <f t="shared" si="128"/>
        <v>0.20580773587088766</v>
      </c>
      <c r="T946">
        <f t="shared" si="129"/>
        <v>0</v>
      </c>
      <c r="U946">
        <f t="shared" si="130"/>
        <v>0</v>
      </c>
      <c r="V946">
        <f t="shared" si="131"/>
        <v>1</v>
      </c>
      <c r="W946">
        <f t="shared" si="132"/>
        <v>1</v>
      </c>
      <c r="X946">
        <f t="shared" si="133"/>
        <v>0</v>
      </c>
      <c r="Y946">
        <f t="shared" si="134"/>
        <v>0</v>
      </c>
    </row>
    <row r="947" spans="1:25" x14ac:dyDescent="0.3">
      <c r="A947" t="s">
        <v>317</v>
      </c>
      <c r="B947" t="s">
        <v>318</v>
      </c>
      <c r="C947" s="1">
        <v>45770</v>
      </c>
      <c r="D947" s="3">
        <v>0.53864583333333338</v>
      </c>
      <c r="E947">
        <f t="shared" si="126"/>
        <v>12</v>
      </c>
      <c r="F947">
        <v>40</v>
      </c>
      <c r="G947" t="s">
        <v>46</v>
      </c>
      <c r="H947" t="s">
        <v>70</v>
      </c>
      <c r="I947" t="s">
        <v>20</v>
      </c>
      <c r="J947" t="s">
        <v>127</v>
      </c>
      <c r="K947" t="s">
        <v>32</v>
      </c>
      <c r="L947">
        <v>189.45</v>
      </c>
      <c r="M947" t="s">
        <v>23</v>
      </c>
      <c r="N947">
        <f t="shared" si="127"/>
        <v>0</v>
      </c>
      <c r="O947" t="s">
        <v>86</v>
      </c>
      <c r="P947" t="s">
        <v>319</v>
      </c>
      <c r="Q947">
        <v>0</v>
      </c>
      <c r="R947">
        <v>389</v>
      </c>
      <c r="S947">
        <f t="shared" si="128"/>
        <v>0.20539240808660486</v>
      </c>
      <c r="T947">
        <f t="shared" si="129"/>
        <v>0</v>
      </c>
      <c r="U947">
        <f t="shared" si="130"/>
        <v>0</v>
      </c>
      <c r="V947">
        <f t="shared" si="131"/>
        <v>0</v>
      </c>
      <c r="W947">
        <f t="shared" si="132"/>
        <v>0</v>
      </c>
      <c r="X947">
        <f t="shared" si="133"/>
        <v>0</v>
      </c>
      <c r="Y947">
        <f t="shared" si="134"/>
        <v>0</v>
      </c>
    </row>
    <row r="948" spans="1:25" x14ac:dyDescent="0.3">
      <c r="A948" t="s">
        <v>3875</v>
      </c>
      <c r="B948" t="s">
        <v>3876</v>
      </c>
      <c r="C948" s="1">
        <v>45752</v>
      </c>
      <c r="D948" s="3">
        <v>0.29355324074074074</v>
      </c>
      <c r="E948">
        <f t="shared" si="126"/>
        <v>7</v>
      </c>
      <c r="F948">
        <v>49</v>
      </c>
      <c r="G948" t="s">
        <v>18</v>
      </c>
      <c r="H948" t="s">
        <v>90</v>
      </c>
      <c r="I948" t="s">
        <v>85</v>
      </c>
      <c r="J948" t="s">
        <v>56</v>
      </c>
      <c r="K948" t="s">
        <v>32</v>
      </c>
      <c r="L948">
        <v>189.24</v>
      </c>
      <c r="M948" t="s">
        <v>33</v>
      </c>
      <c r="N948">
        <f t="shared" si="127"/>
        <v>0</v>
      </c>
      <c r="O948" t="s">
        <v>24</v>
      </c>
      <c r="P948" t="s">
        <v>3877</v>
      </c>
      <c r="Q948">
        <v>0</v>
      </c>
      <c r="R948">
        <v>265</v>
      </c>
      <c r="S948">
        <f t="shared" si="128"/>
        <v>0.20248511359662572</v>
      </c>
      <c r="T948">
        <f t="shared" si="129"/>
        <v>0</v>
      </c>
      <c r="U948">
        <f t="shared" si="130"/>
        <v>0</v>
      </c>
      <c r="V948">
        <f t="shared" si="131"/>
        <v>1</v>
      </c>
      <c r="W948">
        <f t="shared" si="132"/>
        <v>1</v>
      </c>
      <c r="X948">
        <f t="shared" si="133"/>
        <v>0</v>
      </c>
      <c r="Y948">
        <f t="shared" si="134"/>
        <v>0</v>
      </c>
    </row>
    <row r="949" spans="1:25" x14ac:dyDescent="0.3">
      <c r="A949" t="s">
        <v>1343</v>
      </c>
      <c r="B949" t="s">
        <v>1344</v>
      </c>
      <c r="C949" s="1">
        <v>45743</v>
      </c>
      <c r="D949" s="3">
        <v>0.55890046296296292</v>
      </c>
      <c r="E949">
        <f t="shared" si="126"/>
        <v>13</v>
      </c>
      <c r="F949">
        <v>25</v>
      </c>
      <c r="G949" t="s">
        <v>18</v>
      </c>
      <c r="H949" t="s">
        <v>167</v>
      </c>
      <c r="I949" t="s">
        <v>110</v>
      </c>
      <c r="J949" t="s">
        <v>56</v>
      </c>
      <c r="K949" t="s">
        <v>95</v>
      </c>
      <c r="L949">
        <v>189.19</v>
      </c>
      <c r="M949" t="s">
        <v>23</v>
      </c>
      <c r="N949">
        <f t="shared" si="127"/>
        <v>0</v>
      </c>
      <c r="O949" t="s">
        <v>86</v>
      </c>
      <c r="P949" t="s">
        <v>1345</v>
      </c>
      <c r="Q949">
        <v>0</v>
      </c>
      <c r="R949">
        <v>110</v>
      </c>
      <c r="S949">
        <f t="shared" si="128"/>
        <v>0.20179290062282096</v>
      </c>
      <c r="T949">
        <f t="shared" si="129"/>
        <v>0</v>
      </c>
      <c r="U949">
        <f t="shared" si="130"/>
        <v>0</v>
      </c>
      <c r="V949">
        <f t="shared" si="131"/>
        <v>1</v>
      </c>
      <c r="W949">
        <f t="shared" si="132"/>
        <v>1</v>
      </c>
      <c r="X949">
        <f t="shared" si="133"/>
        <v>0</v>
      </c>
      <c r="Y949">
        <f t="shared" si="134"/>
        <v>0</v>
      </c>
    </row>
    <row r="950" spans="1:25" x14ac:dyDescent="0.3">
      <c r="A950" t="s">
        <v>3149</v>
      </c>
      <c r="B950" t="s">
        <v>3150</v>
      </c>
      <c r="C950" s="1">
        <v>45725</v>
      </c>
      <c r="D950" s="3">
        <v>0.27230324074074075</v>
      </c>
      <c r="E950">
        <f t="shared" si="126"/>
        <v>6</v>
      </c>
      <c r="F950">
        <v>57</v>
      </c>
      <c r="G950" t="s">
        <v>18</v>
      </c>
      <c r="H950" t="s">
        <v>232</v>
      </c>
      <c r="I950" t="s">
        <v>30</v>
      </c>
      <c r="J950" t="s">
        <v>132</v>
      </c>
      <c r="K950" t="s">
        <v>101</v>
      </c>
      <c r="L950">
        <v>189.18</v>
      </c>
      <c r="M950" t="s">
        <v>42</v>
      </c>
      <c r="N950">
        <f t="shared" si="127"/>
        <v>0</v>
      </c>
      <c r="O950" t="s">
        <v>86</v>
      </c>
      <c r="P950" t="s">
        <v>3151</v>
      </c>
      <c r="Q950">
        <v>0</v>
      </c>
      <c r="R950">
        <v>438</v>
      </c>
      <c r="S950">
        <f t="shared" si="128"/>
        <v>0.20165445802806015</v>
      </c>
      <c r="T950">
        <f t="shared" si="129"/>
        <v>0</v>
      </c>
      <c r="U950">
        <f t="shared" si="130"/>
        <v>0</v>
      </c>
      <c r="V950">
        <f t="shared" si="131"/>
        <v>0</v>
      </c>
      <c r="W950">
        <f t="shared" si="132"/>
        <v>0</v>
      </c>
      <c r="X950">
        <f t="shared" si="133"/>
        <v>0</v>
      </c>
      <c r="Y950">
        <f t="shared" si="134"/>
        <v>0</v>
      </c>
    </row>
    <row r="951" spans="1:25" x14ac:dyDescent="0.3">
      <c r="A951" t="s">
        <v>6047</v>
      </c>
      <c r="B951" t="s">
        <v>6048</v>
      </c>
      <c r="C951" s="1">
        <v>45730</v>
      </c>
      <c r="D951" s="3">
        <v>0.90606481481481482</v>
      </c>
      <c r="E951">
        <f t="shared" si="126"/>
        <v>21</v>
      </c>
      <c r="F951">
        <v>58</v>
      </c>
      <c r="G951" t="s">
        <v>46</v>
      </c>
      <c r="H951" t="s">
        <v>167</v>
      </c>
      <c r="I951" t="s">
        <v>119</v>
      </c>
      <c r="J951" t="s">
        <v>72</v>
      </c>
      <c r="K951" t="s">
        <v>62</v>
      </c>
      <c r="L951">
        <v>189.1</v>
      </c>
      <c r="M951" t="s">
        <v>23</v>
      </c>
      <c r="N951">
        <f t="shared" si="127"/>
        <v>0</v>
      </c>
      <c r="O951" t="s">
        <v>34</v>
      </c>
      <c r="P951" t="s">
        <v>6049</v>
      </c>
      <c r="Q951">
        <v>0</v>
      </c>
      <c r="R951">
        <v>157</v>
      </c>
      <c r="S951">
        <f t="shared" si="128"/>
        <v>0.20054691726997259</v>
      </c>
      <c r="T951">
        <f t="shared" si="129"/>
        <v>0</v>
      </c>
      <c r="U951">
        <f t="shared" si="130"/>
        <v>0</v>
      </c>
      <c r="V951">
        <f t="shared" si="131"/>
        <v>1</v>
      </c>
      <c r="W951">
        <f t="shared" si="132"/>
        <v>1</v>
      </c>
      <c r="X951">
        <f t="shared" si="133"/>
        <v>0</v>
      </c>
      <c r="Y951">
        <f t="shared" si="134"/>
        <v>0</v>
      </c>
    </row>
    <row r="952" spans="1:25" x14ac:dyDescent="0.3">
      <c r="A952" t="s">
        <v>1412</v>
      </c>
      <c r="B952" t="s">
        <v>1413</v>
      </c>
      <c r="C952" s="1">
        <v>45755</v>
      </c>
      <c r="D952" s="3">
        <v>0.42971064814814813</v>
      </c>
      <c r="E952">
        <f t="shared" si="126"/>
        <v>10</v>
      </c>
      <c r="F952" s="4">
        <v>41</v>
      </c>
      <c r="G952" t="s">
        <v>60</v>
      </c>
      <c r="H952" t="s">
        <v>312</v>
      </c>
      <c r="I952" t="s">
        <v>105</v>
      </c>
      <c r="J952" t="s">
        <v>76</v>
      </c>
      <c r="K952" t="s">
        <v>22</v>
      </c>
      <c r="L952">
        <v>188.96</v>
      </c>
      <c r="M952" t="s">
        <v>115</v>
      </c>
      <c r="N952">
        <f t="shared" si="127"/>
        <v>0</v>
      </c>
      <c r="O952" t="s">
        <v>34</v>
      </c>
      <c r="P952" t="s">
        <v>1414</v>
      </c>
      <c r="Q952">
        <v>0</v>
      </c>
      <c r="R952">
        <v>227</v>
      </c>
      <c r="S952">
        <f t="shared" si="128"/>
        <v>0.19860872094331983</v>
      </c>
      <c r="T952">
        <f t="shared" si="129"/>
        <v>0</v>
      </c>
      <c r="U952">
        <f t="shared" si="130"/>
        <v>0</v>
      </c>
      <c r="V952">
        <f t="shared" si="131"/>
        <v>1</v>
      </c>
      <c r="W952">
        <f t="shared" si="132"/>
        <v>1</v>
      </c>
      <c r="X952">
        <f t="shared" si="133"/>
        <v>0</v>
      </c>
      <c r="Y952">
        <f t="shared" si="134"/>
        <v>0</v>
      </c>
    </row>
    <row r="953" spans="1:25" x14ac:dyDescent="0.3">
      <c r="A953" t="s">
        <v>3101</v>
      </c>
      <c r="B953" t="s">
        <v>3102</v>
      </c>
      <c r="C953" s="1">
        <v>45779</v>
      </c>
      <c r="D953" s="3">
        <v>0.48077546296296297</v>
      </c>
      <c r="E953">
        <f t="shared" si="126"/>
        <v>11</v>
      </c>
      <c r="F953">
        <v>55</v>
      </c>
      <c r="G953" t="s">
        <v>18</v>
      </c>
      <c r="H953" t="s">
        <v>47</v>
      </c>
      <c r="I953" t="s">
        <v>20</v>
      </c>
      <c r="J953" t="s">
        <v>127</v>
      </c>
      <c r="K953" t="s">
        <v>114</v>
      </c>
      <c r="L953">
        <v>188.55</v>
      </c>
      <c r="M953" t="s">
        <v>42</v>
      </c>
      <c r="N953">
        <f t="shared" si="127"/>
        <v>0</v>
      </c>
      <c r="O953" t="s">
        <v>86</v>
      </c>
      <c r="P953" t="s">
        <v>3103</v>
      </c>
      <c r="Q953">
        <v>0</v>
      </c>
      <c r="R953">
        <v>451</v>
      </c>
      <c r="S953">
        <f t="shared" si="128"/>
        <v>0.19293257455812196</v>
      </c>
      <c r="T953">
        <f t="shared" si="129"/>
        <v>0</v>
      </c>
      <c r="U953">
        <f t="shared" si="130"/>
        <v>0</v>
      </c>
      <c r="V953">
        <f t="shared" si="131"/>
        <v>0</v>
      </c>
      <c r="W953">
        <f t="shared" si="132"/>
        <v>0</v>
      </c>
      <c r="X953">
        <f t="shared" si="133"/>
        <v>0</v>
      </c>
      <c r="Y953">
        <f t="shared" si="134"/>
        <v>0</v>
      </c>
    </row>
    <row r="954" spans="1:25" x14ac:dyDescent="0.3">
      <c r="A954" t="s">
        <v>5012</v>
      </c>
      <c r="B954" t="s">
        <v>5013</v>
      </c>
      <c r="C954" s="1">
        <v>45875</v>
      </c>
      <c r="D954" s="3">
        <v>0.1025462962962963</v>
      </c>
      <c r="E954">
        <f t="shared" si="126"/>
        <v>2</v>
      </c>
      <c r="F954">
        <v>42</v>
      </c>
      <c r="G954" t="s">
        <v>60</v>
      </c>
      <c r="H954" t="s">
        <v>80</v>
      </c>
      <c r="I954" t="s">
        <v>66</v>
      </c>
      <c r="J954" t="s">
        <v>49</v>
      </c>
      <c r="K954" t="s">
        <v>22</v>
      </c>
      <c r="L954">
        <v>188.44</v>
      </c>
      <c r="M954" t="s">
        <v>42</v>
      </c>
      <c r="N954">
        <f t="shared" si="127"/>
        <v>0</v>
      </c>
      <c r="O954" t="s">
        <v>51</v>
      </c>
      <c r="P954" t="s">
        <v>5014</v>
      </c>
      <c r="Q954">
        <v>0</v>
      </c>
      <c r="R954">
        <v>281</v>
      </c>
      <c r="S954">
        <f t="shared" si="128"/>
        <v>0.19140970601575161</v>
      </c>
      <c r="T954">
        <f t="shared" si="129"/>
        <v>0</v>
      </c>
      <c r="U954">
        <f t="shared" si="130"/>
        <v>1</v>
      </c>
      <c r="V954">
        <f t="shared" si="131"/>
        <v>0</v>
      </c>
      <c r="W954">
        <f t="shared" si="132"/>
        <v>2</v>
      </c>
      <c r="X954">
        <f t="shared" si="133"/>
        <v>0</v>
      </c>
      <c r="Y954">
        <f t="shared" si="134"/>
        <v>0</v>
      </c>
    </row>
    <row r="955" spans="1:25" x14ac:dyDescent="0.3">
      <c r="A955" t="s">
        <v>5306</v>
      </c>
      <c r="B955" t="s">
        <v>5307</v>
      </c>
      <c r="C955" s="1">
        <v>45816</v>
      </c>
      <c r="D955" s="3">
        <v>0.74162037037037032</v>
      </c>
      <c r="E955">
        <f t="shared" si="126"/>
        <v>17</v>
      </c>
      <c r="F955">
        <v>21</v>
      </c>
      <c r="G955" t="s">
        <v>46</v>
      </c>
      <c r="H955" t="s">
        <v>90</v>
      </c>
      <c r="I955" t="s">
        <v>39</v>
      </c>
      <c r="J955" t="s">
        <v>49</v>
      </c>
      <c r="K955" t="s">
        <v>50</v>
      </c>
      <c r="L955">
        <v>188.41</v>
      </c>
      <c r="M955" t="s">
        <v>33</v>
      </c>
      <c r="N955">
        <f t="shared" si="127"/>
        <v>0</v>
      </c>
      <c r="O955" t="s">
        <v>34</v>
      </c>
      <c r="P955" t="s">
        <v>5308</v>
      </c>
      <c r="Q955">
        <v>0</v>
      </c>
      <c r="R955">
        <v>377</v>
      </c>
      <c r="S955">
        <f t="shared" si="128"/>
        <v>0.19099437823146881</v>
      </c>
      <c r="T955">
        <f t="shared" si="129"/>
        <v>0</v>
      </c>
      <c r="U955">
        <f t="shared" si="130"/>
        <v>0</v>
      </c>
      <c r="V955">
        <f t="shared" si="131"/>
        <v>0</v>
      </c>
      <c r="W955">
        <f t="shared" si="132"/>
        <v>0</v>
      </c>
      <c r="X955">
        <f t="shared" si="133"/>
        <v>0</v>
      </c>
      <c r="Y955">
        <f t="shared" si="134"/>
        <v>0</v>
      </c>
    </row>
    <row r="956" spans="1:25" x14ac:dyDescent="0.3">
      <c r="A956" t="s">
        <v>956</v>
      </c>
      <c r="B956" t="s">
        <v>957</v>
      </c>
      <c r="C956" s="1">
        <v>45826</v>
      </c>
      <c r="D956" s="3">
        <v>0.72934027777777777</v>
      </c>
      <c r="E956">
        <f t="shared" si="126"/>
        <v>17</v>
      </c>
      <c r="F956">
        <v>52</v>
      </c>
      <c r="G956" t="s">
        <v>46</v>
      </c>
      <c r="H956" t="s">
        <v>55</v>
      </c>
      <c r="I956" t="s">
        <v>85</v>
      </c>
      <c r="J956" t="s">
        <v>94</v>
      </c>
      <c r="K956" t="s">
        <v>32</v>
      </c>
      <c r="L956">
        <v>188.21</v>
      </c>
      <c r="M956" t="s">
        <v>33</v>
      </c>
      <c r="N956">
        <f t="shared" si="127"/>
        <v>0</v>
      </c>
      <c r="O956" t="s">
        <v>24</v>
      </c>
      <c r="P956" t="s">
        <v>958</v>
      </c>
      <c r="Q956">
        <v>0</v>
      </c>
      <c r="R956">
        <v>445</v>
      </c>
      <c r="S956">
        <f t="shared" si="128"/>
        <v>0.18822552633625048</v>
      </c>
      <c r="T956">
        <f t="shared" si="129"/>
        <v>0</v>
      </c>
      <c r="U956">
        <f t="shared" si="130"/>
        <v>0</v>
      </c>
      <c r="V956">
        <f t="shared" si="131"/>
        <v>0</v>
      </c>
      <c r="W956">
        <f t="shared" si="132"/>
        <v>0</v>
      </c>
      <c r="X956">
        <f t="shared" si="133"/>
        <v>0</v>
      </c>
      <c r="Y956">
        <f t="shared" si="134"/>
        <v>0</v>
      </c>
    </row>
    <row r="957" spans="1:25" x14ac:dyDescent="0.3">
      <c r="A957" t="s">
        <v>1976</v>
      </c>
      <c r="B957" t="s">
        <v>1977</v>
      </c>
      <c r="C957" s="1">
        <v>45768</v>
      </c>
      <c r="D957" s="3">
        <v>0.83697916666666672</v>
      </c>
      <c r="E957">
        <f t="shared" si="126"/>
        <v>20</v>
      </c>
      <c r="F957">
        <v>36</v>
      </c>
      <c r="G957" t="s">
        <v>28</v>
      </c>
      <c r="H957" t="s">
        <v>142</v>
      </c>
      <c r="I957" t="s">
        <v>105</v>
      </c>
      <c r="J957" t="s">
        <v>49</v>
      </c>
      <c r="K957" t="s">
        <v>114</v>
      </c>
      <c r="L957">
        <v>188.01</v>
      </c>
      <c r="M957" t="s">
        <v>33</v>
      </c>
      <c r="N957">
        <f t="shared" si="127"/>
        <v>0</v>
      </c>
      <c r="O957" t="s">
        <v>51</v>
      </c>
      <c r="P957" t="s">
        <v>1978</v>
      </c>
      <c r="Q957">
        <v>0</v>
      </c>
      <c r="R957">
        <v>286</v>
      </c>
      <c r="S957">
        <f t="shared" si="128"/>
        <v>0.18545667444103175</v>
      </c>
      <c r="T957">
        <f t="shared" si="129"/>
        <v>0</v>
      </c>
      <c r="U957">
        <f t="shared" si="130"/>
        <v>0</v>
      </c>
      <c r="V957">
        <f t="shared" si="131"/>
        <v>0</v>
      </c>
      <c r="W957">
        <f t="shared" si="132"/>
        <v>0</v>
      </c>
      <c r="X957">
        <f t="shared" si="133"/>
        <v>0</v>
      </c>
      <c r="Y957">
        <f t="shared" si="134"/>
        <v>0</v>
      </c>
    </row>
    <row r="958" spans="1:25" x14ac:dyDescent="0.3">
      <c r="A958" t="s">
        <v>3866</v>
      </c>
      <c r="B958" s="2" t="s">
        <v>3867</v>
      </c>
      <c r="C958" s="1">
        <v>45766</v>
      </c>
      <c r="D958" s="3">
        <v>0.89060185185185181</v>
      </c>
      <c r="E958">
        <f t="shared" si="126"/>
        <v>21</v>
      </c>
      <c r="F958">
        <v>46</v>
      </c>
      <c r="G958" t="s">
        <v>46</v>
      </c>
      <c r="H958" t="s">
        <v>29</v>
      </c>
      <c r="I958" t="s">
        <v>85</v>
      </c>
      <c r="J958" t="s">
        <v>76</v>
      </c>
      <c r="K958" t="s">
        <v>168</v>
      </c>
      <c r="L958">
        <v>187.91</v>
      </c>
      <c r="M958" t="s">
        <v>42</v>
      </c>
      <c r="N958">
        <f t="shared" si="127"/>
        <v>0</v>
      </c>
      <c r="O958" t="s">
        <v>34</v>
      </c>
      <c r="P958" t="s">
        <v>3868</v>
      </c>
      <c r="Q958">
        <v>0</v>
      </c>
      <c r="R958">
        <v>373</v>
      </c>
      <c r="S958">
        <f t="shared" si="128"/>
        <v>0.1840722484934226</v>
      </c>
      <c r="T958">
        <f t="shared" si="129"/>
        <v>0</v>
      </c>
      <c r="U958">
        <f t="shared" si="130"/>
        <v>0</v>
      </c>
      <c r="V958">
        <f t="shared" si="131"/>
        <v>0</v>
      </c>
      <c r="W958">
        <f t="shared" si="132"/>
        <v>0</v>
      </c>
      <c r="X958">
        <f t="shared" si="133"/>
        <v>0</v>
      </c>
      <c r="Y958">
        <f t="shared" si="134"/>
        <v>0</v>
      </c>
    </row>
    <row r="959" spans="1:25" x14ac:dyDescent="0.3">
      <c r="A959" t="s">
        <v>5918</v>
      </c>
      <c r="B959" s="2" t="s">
        <v>5919</v>
      </c>
      <c r="C959" s="1">
        <v>45797</v>
      </c>
      <c r="D959" s="3">
        <v>0.51828703703703705</v>
      </c>
      <c r="E959">
        <f t="shared" si="126"/>
        <v>12</v>
      </c>
      <c r="F959" s="4">
        <v>41</v>
      </c>
      <c r="G959" t="s">
        <v>106</v>
      </c>
      <c r="H959" t="s">
        <v>29</v>
      </c>
      <c r="I959" t="s">
        <v>30</v>
      </c>
      <c r="J959" t="s">
        <v>40</v>
      </c>
      <c r="K959" t="s">
        <v>95</v>
      </c>
      <c r="L959">
        <v>187.87</v>
      </c>
      <c r="M959" t="s">
        <v>33</v>
      </c>
      <c r="N959">
        <f t="shared" si="127"/>
        <v>0</v>
      </c>
      <c r="O959" t="s">
        <v>86</v>
      </c>
      <c r="P959" t="s">
        <v>5920</v>
      </c>
      <c r="Q959">
        <v>0</v>
      </c>
      <c r="R959">
        <v>312</v>
      </c>
      <c r="S959">
        <f t="shared" si="128"/>
        <v>0.18351847811437899</v>
      </c>
      <c r="T959">
        <f t="shared" si="129"/>
        <v>0</v>
      </c>
      <c r="U959">
        <f t="shared" si="130"/>
        <v>0</v>
      </c>
      <c r="V959">
        <f t="shared" si="131"/>
        <v>0</v>
      </c>
      <c r="W959">
        <f t="shared" si="132"/>
        <v>0</v>
      </c>
      <c r="X959">
        <f t="shared" si="133"/>
        <v>0</v>
      </c>
      <c r="Y959">
        <f t="shared" si="134"/>
        <v>0</v>
      </c>
    </row>
    <row r="960" spans="1:25" x14ac:dyDescent="0.3">
      <c r="A960" t="s">
        <v>1298</v>
      </c>
      <c r="B960" t="s">
        <v>1299</v>
      </c>
      <c r="C960" s="1">
        <v>45769</v>
      </c>
      <c r="D960" s="3">
        <v>0.32296296296296295</v>
      </c>
      <c r="E960">
        <f t="shared" si="126"/>
        <v>7</v>
      </c>
      <c r="F960">
        <v>45</v>
      </c>
      <c r="G960" t="s">
        <v>18</v>
      </c>
      <c r="H960" t="s">
        <v>232</v>
      </c>
      <c r="I960" t="s">
        <v>71</v>
      </c>
      <c r="J960" t="s">
        <v>56</v>
      </c>
      <c r="K960" t="s">
        <v>50</v>
      </c>
      <c r="L960">
        <v>187.51</v>
      </c>
      <c r="M960" t="s">
        <v>115</v>
      </c>
      <c r="N960">
        <f t="shared" si="127"/>
        <v>0</v>
      </c>
      <c r="O960" t="s">
        <v>86</v>
      </c>
      <c r="P960" t="s">
        <v>1300</v>
      </c>
      <c r="Q960">
        <v>0</v>
      </c>
      <c r="R960">
        <v>111</v>
      </c>
      <c r="S960">
        <f t="shared" si="128"/>
        <v>0.17853454470298552</v>
      </c>
      <c r="T960">
        <f t="shared" si="129"/>
        <v>0</v>
      </c>
      <c r="U960">
        <f t="shared" si="130"/>
        <v>0</v>
      </c>
      <c r="V960">
        <f t="shared" si="131"/>
        <v>1</v>
      </c>
      <c r="W960">
        <f t="shared" si="132"/>
        <v>1</v>
      </c>
      <c r="X960">
        <f t="shared" si="133"/>
        <v>0</v>
      </c>
      <c r="Y960">
        <f t="shared" si="134"/>
        <v>0</v>
      </c>
    </row>
    <row r="961" spans="1:25" x14ac:dyDescent="0.3">
      <c r="A961" t="s">
        <v>5423</v>
      </c>
      <c r="B961" t="s">
        <v>5424</v>
      </c>
      <c r="C961" s="1">
        <v>45712</v>
      </c>
      <c r="D961" s="3">
        <v>0.17085648148148147</v>
      </c>
      <c r="E961">
        <f t="shared" si="126"/>
        <v>4</v>
      </c>
      <c r="F961">
        <v>52</v>
      </c>
      <c r="G961" t="s">
        <v>46</v>
      </c>
      <c r="H961" t="s">
        <v>175</v>
      </c>
      <c r="I961" t="s">
        <v>20</v>
      </c>
      <c r="J961" t="s">
        <v>56</v>
      </c>
      <c r="K961" t="s">
        <v>32</v>
      </c>
      <c r="L961">
        <v>187.48</v>
      </c>
      <c r="M961" t="s">
        <v>33</v>
      </c>
      <c r="N961">
        <f t="shared" si="127"/>
        <v>0</v>
      </c>
      <c r="O961" t="s">
        <v>86</v>
      </c>
      <c r="P961" t="s">
        <v>5425</v>
      </c>
      <c r="Q961">
        <v>0</v>
      </c>
      <c r="R961">
        <v>302</v>
      </c>
      <c r="S961">
        <f t="shared" si="128"/>
        <v>0.17811921691870275</v>
      </c>
      <c r="T961">
        <f t="shared" si="129"/>
        <v>0</v>
      </c>
      <c r="U961">
        <f t="shared" si="130"/>
        <v>1</v>
      </c>
      <c r="V961">
        <f t="shared" si="131"/>
        <v>0</v>
      </c>
      <c r="W961">
        <f t="shared" si="132"/>
        <v>2</v>
      </c>
      <c r="X961">
        <f t="shared" si="133"/>
        <v>0</v>
      </c>
      <c r="Y961">
        <f t="shared" si="134"/>
        <v>0</v>
      </c>
    </row>
    <row r="962" spans="1:25" x14ac:dyDescent="0.3">
      <c r="A962" t="s">
        <v>4760</v>
      </c>
      <c r="B962" t="s">
        <v>4761</v>
      </c>
      <c r="C962" s="1">
        <v>45792</v>
      </c>
      <c r="D962" s="3">
        <v>0.15714120370370371</v>
      </c>
      <c r="E962">
        <f t="shared" ref="E962:E1025" si="135">HOUR(D962)</f>
        <v>3</v>
      </c>
      <c r="F962">
        <v>37</v>
      </c>
      <c r="G962" t="s">
        <v>46</v>
      </c>
      <c r="H962" t="s">
        <v>189</v>
      </c>
      <c r="I962" t="s">
        <v>39</v>
      </c>
      <c r="J962" t="s">
        <v>56</v>
      </c>
      <c r="K962" t="s">
        <v>22</v>
      </c>
      <c r="L962">
        <v>187.34</v>
      </c>
      <c r="M962" t="s">
        <v>115</v>
      </c>
      <c r="N962">
        <f t="shared" ref="N962:N1025" si="136">IF(M962="Unknown",1,0)</f>
        <v>0</v>
      </c>
      <c r="O962" t="s">
        <v>24</v>
      </c>
      <c r="P962" t="s">
        <v>4762</v>
      </c>
      <c r="Q962">
        <v>0</v>
      </c>
      <c r="R962">
        <v>85</v>
      </c>
      <c r="S962">
        <f t="shared" ref="S962:S1025" si="137">(L962-$P$2137)/$P$2138</f>
        <v>0.17618102059204999</v>
      </c>
      <c r="T962">
        <f t="shared" ref="T962:T1025" si="138">IF(ABS(Z962)&gt;3,1,0)</f>
        <v>0</v>
      </c>
      <c r="U962">
        <f t="shared" ref="U962:U1025" si="139">IF(AND(E962&gt;=0,E962&lt;=5),1,0)</f>
        <v>1</v>
      </c>
      <c r="V962">
        <f t="shared" ref="V962:V1025" si="140">IF(R962&lt;AVERAGE($R:$R),1,0)</f>
        <v>1</v>
      </c>
      <c r="W962">
        <f t="shared" ref="W962:W1025" si="141">T962*3+U962*2+V962*1+N962*2</f>
        <v>3</v>
      </c>
      <c r="X962">
        <f t="shared" ref="X962:X1025" si="142">IF(W962&gt;=5,1,0)</f>
        <v>0</v>
      </c>
      <c r="Y962">
        <f t="shared" ref="Y962:Y1025" si="143">IF(M962="Unknown",1,0)</f>
        <v>0</v>
      </c>
    </row>
    <row r="963" spans="1:25" x14ac:dyDescent="0.3">
      <c r="A963" t="s">
        <v>1268</v>
      </c>
      <c r="B963" t="s">
        <v>1269</v>
      </c>
      <c r="C963" s="1">
        <v>45843</v>
      </c>
      <c r="D963" s="3">
        <v>0.32851851851851854</v>
      </c>
      <c r="E963">
        <f t="shared" si="135"/>
        <v>7</v>
      </c>
      <c r="F963">
        <v>62</v>
      </c>
      <c r="G963" t="s">
        <v>46</v>
      </c>
      <c r="H963" t="s">
        <v>312</v>
      </c>
      <c r="I963" t="s">
        <v>110</v>
      </c>
      <c r="J963" t="s">
        <v>72</v>
      </c>
      <c r="K963" t="s">
        <v>95</v>
      </c>
      <c r="L963">
        <v>187.24</v>
      </c>
      <c r="M963" t="s">
        <v>23</v>
      </c>
      <c r="N963">
        <f t="shared" si="136"/>
        <v>0</v>
      </c>
      <c r="O963" t="s">
        <v>24</v>
      </c>
      <c r="P963" t="s">
        <v>1270</v>
      </c>
      <c r="Q963">
        <v>0</v>
      </c>
      <c r="R963">
        <v>272</v>
      </c>
      <c r="S963">
        <f t="shared" si="137"/>
        <v>0.17479659464444081</v>
      </c>
      <c r="T963">
        <f t="shared" si="138"/>
        <v>0</v>
      </c>
      <c r="U963">
        <f t="shared" si="139"/>
        <v>0</v>
      </c>
      <c r="V963">
        <f t="shared" si="140"/>
        <v>1</v>
      </c>
      <c r="W963">
        <f t="shared" si="141"/>
        <v>1</v>
      </c>
      <c r="X963">
        <f t="shared" si="142"/>
        <v>0</v>
      </c>
      <c r="Y963">
        <f t="shared" si="143"/>
        <v>0</v>
      </c>
    </row>
    <row r="964" spans="1:25" x14ac:dyDescent="0.3">
      <c r="A964" t="s">
        <v>1997</v>
      </c>
      <c r="B964" t="s">
        <v>1998</v>
      </c>
      <c r="C964" s="1">
        <v>45763</v>
      </c>
      <c r="D964" s="3">
        <v>0.51297453703703699</v>
      </c>
      <c r="E964">
        <f t="shared" si="135"/>
        <v>12</v>
      </c>
      <c r="F964">
        <v>24</v>
      </c>
      <c r="G964" t="s">
        <v>60</v>
      </c>
      <c r="H964" t="s">
        <v>239</v>
      </c>
      <c r="I964" t="s">
        <v>30</v>
      </c>
      <c r="J964" t="s">
        <v>31</v>
      </c>
      <c r="K964" t="s">
        <v>168</v>
      </c>
      <c r="L964">
        <v>186.95</v>
      </c>
      <c r="M964" t="s">
        <v>23</v>
      </c>
      <c r="N964">
        <f t="shared" si="136"/>
        <v>0</v>
      </c>
      <c r="O964" t="s">
        <v>34</v>
      </c>
      <c r="P964" t="s">
        <v>1999</v>
      </c>
      <c r="Q964">
        <v>0</v>
      </c>
      <c r="R964">
        <v>306</v>
      </c>
      <c r="S964">
        <f t="shared" si="137"/>
        <v>0.17078175939637372</v>
      </c>
      <c r="T964">
        <f t="shared" si="138"/>
        <v>0</v>
      </c>
      <c r="U964">
        <f t="shared" si="139"/>
        <v>0</v>
      </c>
      <c r="V964">
        <f t="shared" si="140"/>
        <v>0</v>
      </c>
      <c r="W964">
        <f t="shared" si="141"/>
        <v>0</v>
      </c>
      <c r="X964">
        <f t="shared" si="142"/>
        <v>0</v>
      </c>
      <c r="Y964">
        <f t="shared" si="143"/>
        <v>0</v>
      </c>
    </row>
    <row r="965" spans="1:25" x14ac:dyDescent="0.3">
      <c r="A965" t="s">
        <v>5825</v>
      </c>
      <c r="B965" t="s">
        <v>5826</v>
      </c>
      <c r="C965" s="1">
        <v>45809</v>
      </c>
      <c r="D965" s="3">
        <v>4.116898148148148E-2</v>
      </c>
      <c r="E965">
        <f t="shared" si="135"/>
        <v>0</v>
      </c>
      <c r="F965">
        <v>57</v>
      </c>
      <c r="G965" t="s">
        <v>46</v>
      </c>
      <c r="H965" t="s">
        <v>80</v>
      </c>
      <c r="I965" t="s">
        <v>66</v>
      </c>
      <c r="J965" t="s">
        <v>127</v>
      </c>
      <c r="K965" t="s">
        <v>22</v>
      </c>
      <c r="L965">
        <v>186.77</v>
      </c>
      <c r="M965" t="s">
        <v>42</v>
      </c>
      <c r="N965">
        <f t="shared" si="136"/>
        <v>0</v>
      </c>
      <c r="O965" t="s">
        <v>34</v>
      </c>
      <c r="P965" t="s">
        <v>5827</v>
      </c>
      <c r="Q965">
        <v>0</v>
      </c>
      <c r="R965">
        <v>215</v>
      </c>
      <c r="S965">
        <f t="shared" si="137"/>
        <v>0.16828979269067737</v>
      </c>
      <c r="T965">
        <f t="shared" si="138"/>
        <v>0</v>
      </c>
      <c r="U965">
        <f t="shared" si="139"/>
        <v>1</v>
      </c>
      <c r="V965">
        <f t="shared" si="140"/>
        <v>1</v>
      </c>
      <c r="W965">
        <f t="shared" si="141"/>
        <v>3</v>
      </c>
      <c r="X965">
        <f t="shared" si="142"/>
        <v>0</v>
      </c>
      <c r="Y965">
        <f t="shared" si="143"/>
        <v>0</v>
      </c>
    </row>
    <row r="966" spans="1:25" x14ac:dyDescent="0.3">
      <c r="A966" t="s">
        <v>1622</v>
      </c>
      <c r="B966" t="s">
        <v>1623</v>
      </c>
      <c r="C966" s="1">
        <v>45813</v>
      </c>
      <c r="D966" s="3">
        <v>0.90684027777777776</v>
      </c>
      <c r="E966">
        <f t="shared" si="135"/>
        <v>21</v>
      </c>
      <c r="F966">
        <v>60</v>
      </c>
      <c r="G966" t="s">
        <v>18</v>
      </c>
      <c r="H966" t="s">
        <v>80</v>
      </c>
      <c r="I966" t="s">
        <v>66</v>
      </c>
      <c r="J966" t="s">
        <v>76</v>
      </c>
      <c r="K966" t="s">
        <v>62</v>
      </c>
      <c r="L966">
        <v>186.73</v>
      </c>
      <c r="M966" t="s">
        <v>42</v>
      </c>
      <c r="N966">
        <f t="shared" si="136"/>
        <v>0</v>
      </c>
      <c r="O966" t="s">
        <v>24</v>
      </c>
      <c r="P966" t="s">
        <v>1624</v>
      </c>
      <c r="Q966">
        <v>0</v>
      </c>
      <c r="R966">
        <v>417</v>
      </c>
      <c r="S966">
        <f t="shared" si="137"/>
        <v>0.1677360223116334</v>
      </c>
      <c r="T966">
        <f t="shared" si="138"/>
        <v>0</v>
      </c>
      <c r="U966">
        <f t="shared" si="139"/>
        <v>0</v>
      </c>
      <c r="V966">
        <f t="shared" si="140"/>
        <v>0</v>
      </c>
      <c r="W966">
        <f t="shared" si="141"/>
        <v>0</v>
      </c>
      <c r="X966">
        <f t="shared" si="142"/>
        <v>0</v>
      </c>
      <c r="Y966">
        <f t="shared" si="143"/>
        <v>0</v>
      </c>
    </row>
    <row r="967" spans="1:25" x14ac:dyDescent="0.3">
      <c r="A967" t="s">
        <v>3380</v>
      </c>
      <c r="B967" t="s">
        <v>3381</v>
      </c>
      <c r="C967" s="1">
        <v>45705</v>
      </c>
      <c r="D967" s="3">
        <v>0.88920138888888889</v>
      </c>
      <c r="E967">
        <f t="shared" si="135"/>
        <v>21</v>
      </c>
      <c r="F967">
        <v>47</v>
      </c>
      <c r="G967" t="s">
        <v>46</v>
      </c>
      <c r="H967" t="s">
        <v>19</v>
      </c>
      <c r="I967" t="s">
        <v>119</v>
      </c>
      <c r="J967" t="s">
        <v>40</v>
      </c>
      <c r="K967" t="s">
        <v>120</v>
      </c>
      <c r="L967">
        <v>186.7</v>
      </c>
      <c r="M967" t="s">
        <v>23</v>
      </c>
      <c r="N967">
        <f t="shared" si="136"/>
        <v>0</v>
      </c>
      <c r="O967" t="s">
        <v>34</v>
      </c>
      <c r="P967" t="s">
        <v>3382</v>
      </c>
      <c r="Q967">
        <v>0</v>
      </c>
      <c r="R967">
        <v>158</v>
      </c>
      <c r="S967">
        <f t="shared" si="137"/>
        <v>0.1673206945273506</v>
      </c>
      <c r="T967">
        <f t="shared" si="138"/>
        <v>0</v>
      </c>
      <c r="U967">
        <f t="shared" si="139"/>
        <v>0</v>
      </c>
      <c r="V967">
        <f t="shared" si="140"/>
        <v>1</v>
      </c>
      <c r="W967">
        <f t="shared" si="141"/>
        <v>1</v>
      </c>
      <c r="X967">
        <f t="shared" si="142"/>
        <v>0</v>
      </c>
      <c r="Y967">
        <f t="shared" si="143"/>
        <v>0</v>
      </c>
    </row>
    <row r="968" spans="1:25" x14ac:dyDescent="0.3">
      <c r="A968" t="s">
        <v>1772</v>
      </c>
      <c r="B968" t="s">
        <v>1773</v>
      </c>
      <c r="C968" s="1">
        <v>45874</v>
      </c>
      <c r="D968" s="3">
        <v>0.7624305555555555</v>
      </c>
      <c r="E968">
        <f t="shared" si="135"/>
        <v>18</v>
      </c>
      <c r="F968">
        <v>54</v>
      </c>
      <c r="G968" t="s">
        <v>18</v>
      </c>
      <c r="H968" t="s">
        <v>29</v>
      </c>
      <c r="I968" t="s">
        <v>105</v>
      </c>
      <c r="J968" t="s">
        <v>127</v>
      </c>
      <c r="K968" t="s">
        <v>32</v>
      </c>
      <c r="L968">
        <v>186.63</v>
      </c>
      <c r="M968" t="s">
        <v>33</v>
      </c>
      <c r="N968">
        <f t="shared" si="136"/>
        <v>0</v>
      </c>
      <c r="O968" t="s">
        <v>86</v>
      </c>
      <c r="P968" t="s">
        <v>1774</v>
      </c>
      <c r="Q968">
        <v>0</v>
      </c>
      <c r="R968">
        <v>259</v>
      </c>
      <c r="S968">
        <f t="shared" si="137"/>
        <v>0.16635159636402425</v>
      </c>
      <c r="T968">
        <f t="shared" si="138"/>
        <v>0</v>
      </c>
      <c r="U968">
        <f t="shared" si="139"/>
        <v>0</v>
      </c>
      <c r="V968">
        <f t="shared" si="140"/>
        <v>1</v>
      </c>
      <c r="W968">
        <f t="shared" si="141"/>
        <v>1</v>
      </c>
      <c r="X968">
        <f t="shared" si="142"/>
        <v>0</v>
      </c>
      <c r="Y968">
        <f t="shared" si="143"/>
        <v>0</v>
      </c>
    </row>
    <row r="969" spans="1:25" x14ac:dyDescent="0.3">
      <c r="A969" t="s">
        <v>4664</v>
      </c>
      <c r="B969" t="s">
        <v>4665</v>
      </c>
      <c r="C969" s="1">
        <v>45811</v>
      </c>
      <c r="D969" s="3">
        <v>0.32892361111111112</v>
      </c>
      <c r="E969">
        <f t="shared" si="135"/>
        <v>7</v>
      </c>
      <c r="F969">
        <v>39</v>
      </c>
      <c r="G969" t="s">
        <v>99</v>
      </c>
      <c r="H969" t="s">
        <v>84</v>
      </c>
      <c r="I969" t="s">
        <v>71</v>
      </c>
      <c r="J969" t="s">
        <v>132</v>
      </c>
      <c r="K969" t="s">
        <v>168</v>
      </c>
      <c r="L969">
        <v>186.63</v>
      </c>
      <c r="M969" t="s">
        <v>33</v>
      </c>
      <c r="N969">
        <f t="shared" si="136"/>
        <v>0</v>
      </c>
      <c r="O969" t="s">
        <v>51</v>
      </c>
      <c r="P969" t="s">
        <v>4666</v>
      </c>
      <c r="Q969">
        <v>0</v>
      </c>
      <c r="R969">
        <v>267</v>
      </c>
      <c r="S969">
        <f t="shared" si="137"/>
        <v>0.16635159636402425</v>
      </c>
      <c r="T969">
        <f t="shared" si="138"/>
        <v>0</v>
      </c>
      <c r="U969">
        <f t="shared" si="139"/>
        <v>0</v>
      </c>
      <c r="V969">
        <f t="shared" si="140"/>
        <v>1</v>
      </c>
      <c r="W969">
        <f t="shared" si="141"/>
        <v>1</v>
      </c>
      <c r="X969">
        <f t="shared" si="142"/>
        <v>0</v>
      </c>
      <c r="Y969">
        <f t="shared" si="143"/>
        <v>0</v>
      </c>
    </row>
    <row r="970" spans="1:25" x14ac:dyDescent="0.3">
      <c r="A970" t="s">
        <v>6026</v>
      </c>
      <c r="B970" t="s">
        <v>6027</v>
      </c>
      <c r="C970" s="1">
        <v>45714</v>
      </c>
      <c r="D970" s="3">
        <v>0.16922453703703705</v>
      </c>
      <c r="E970">
        <f t="shared" si="135"/>
        <v>4</v>
      </c>
      <c r="F970">
        <v>54</v>
      </c>
      <c r="G970" t="s">
        <v>18</v>
      </c>
      <c r="H970" t="s">
        <v>312</v>
      </c>
      <c r="I970" t="s">
        <v>39</v>
      </c>
      <c r="J970" t="s">
        <v>72</v>
      </c>
      <c r="K970" t="s">
        <v>114</v>
      </c>
      <c r="L970">
        <v>186.63</v>
      </c>
      <c r="M970" t="s">
        <v>6479</v>
      </c>
      <c r="N970">
        <f t="shared" si="136"/>
        <v>1</v>
      </c>
      <c r="O970" t="s">
        <v>86</v>
      </c>
      <c r="P970" t="s">
        <v>6028</v>
      </c>
      <c r="Q970">
        <v>0</v>
      </c>
      <c r="R970">
        <v>293</v>
      </c>
      <c r="S970">
        <f t="shared" si="137"/>
        <v>0.16635159636402425</v>
      </c>
      <c r="T970">
        <f t="shared" si="138"/>
        <v>0</v>
      </c>
      <c r="U970">
        <f t="shared" si="139"/>
        <v>1</v>
      </c>
      <c r="V970">
        <f t="shared" si="140"/>
        <v>0</v>
      </c>
      <c r="W970">
        <f t="shared" si="141"/>
        <v>4</v>
      </c>
      <c r="X970">
        <f t="shared" si="142"/>
        <v>0</v>
      </c>
      <c r="Y970">
        <f t="shared" si="143"/>
        <v>1</v>
      </c>
    </row>
    <row r="971" spans="1:25" x14ac:dyDescent="0.3">
      <c r="A971" t="s">
        <v>6191</v>
      </c>
      <c r="B971" t="s">
        <v>6192</v>
      </c>
      <c r="C971" s="1">
        <v>45736</v>
      </c>
      <c r="D971" s="3">
        <v>0.61865740740740738</v>
      </c>
      <c r="E971">
        <f t="shared" si="135"/>
        <v>14</v>
      </c>
      <c r="F971">
        <v>52</v>
      </c>
      <c r="G971" t="s">
        <v>46</v>
      </c>
      <c r="H971" t="s">
        <v>55</v>
      </c>
      <c r="I971" t="s">
        <v>85</v>
      </c>
      <c r="J971" t="s">
        <v>76</v>
      </c>
      <c r="K971" t="s">
        <v>50</v>
      </c>
      <c r="L971">
        <v>186.51</v>
      </c>
      <c r="M971" t="s">
        <v>23</v>
      </c>
      <c r="N971">
        <f t="shared" si="136"/>
        <v>0</v>
      </c>
      <c r="O971" t="s">
        <v>24</v>
      </c>
      <c r="P971" t="s">
        <v>6193</v>
      </c>
      <c r="Q971">
        <v>1</v>
      </c>
      <c r="R971">
        <v>440</v>
      </c>
      <c r="S971">
        <f t="shared" si="137"/>
        <v>0.16469028522689308</v>
      </c>
      <c r="T971">
        <f t="shared" si="138"/>
        <v>0</v>
      </c>
      <c r="U971">
        <f t="shared" si="139"/>
        <v>0</v>
      </c>
      <c r="V971">
        <f t="shared" si="140"/>
        <v>0</v>
      </c>
      <c r="W971">
        <f t="shared" si="141"/>
        <v>0</v>
      </c>
      <c r="X971">
        <f t="shared" si="142"/>
        <v>0</v>
      </c>
      <c r="Y971">
        <f t="shared" si="143"/>
        <v>0</v>
      </c>
    </row>
    <row r="972" spans="1:25" x14ac:dyDescent="0.3">
      <c r="A972" t="s">
        <v>2552</v>
      </c>
      <c r="B972" t="s">
        <v>2553</v>
      </c>
      <c r="C972" s="1">
        <v>45748</v>
      </c>
      <c r="D972" s="3">
        <v>0.85533564814814811</v>
      </c>
      <c r="E972">
        <f t="shared" si="135"/>
        <v>20</v>
      </c>
      <c r="F972">
        <v>46</v>
      </c>
      <c r="G972" t="s">
        <v>6479</v>
      </c>
      <c r="H972" t="s">
        <v>100</v>
      </c>
      <c r="I972" t="s">
        <v>20</v>
      </c>
      <c r="J972" t="s">
        <v>40</v>
      </c>
      <c r="K972" t="s">
        <v>114</v>
      </c>
      <c r="L972">
        <v>186.46</v>
      </c>
      <c r="M972" t="s">
        <v>6479</v>
      </c>
      <c r="N972">
        <f t="shared" si="136"/>
        <v>1</v>
      </c>
      <c r="O972" t="s">
        <v>24</v>
      </c>
      <c r="P972" t="s">
        <v>2554</v>
      </c>
      <c r="Q972">
        <v>0</v>
      </c>
      <c r="R972">
        <v>50</v>
      </c>
      <c r="S972">
        <f t="shared" si="137"/>
        <v>0.16399807225308868</v>
      </c>
      <c r="T972">
        <f t="shared" si="138"/>
        <v>0</v>
      </c>
      <c r="U972">
        <f t="shared" si="139"/>
        <v>0</v>
      </c>
      <c r="V972">
        <f t="shared" si="140"/>
        <v>1</v>
      </c>
      <c r="W972">
        <f t="shared" si="141"/>
        <v>3</v>
      </c>
      <c r="X972">
        <f t="shared" si="142"/>
        <v>0</v>
      </c>
      <c r="Y972">
        <f t="shared" si="143"/>
        <v>1</v>
      </c>
    </row>
    <row r="973" spans="1:25" x14ac:dyDescent="0.3">
      <c r="A973" t="s">
        <v>1781</v>
      </c>
      <c r="B973" t="s">
        <v>1782</v>
      </c>
      <c r="C973" s="1">
        <v>45823</v>
      </c>
      <c r="D973" s="3">
        <v>0.58197916666666671</v>
      </c>
      <c r="E973">
        <f t="shared" si="135"/>
        <v>13</v>
      </c>
      <c r="F973">
        <v>40</v>
      </c>
      <c r="G973" t="s">
        <v>46</v>
      </c>
      <c r="H973" t="s">
        <v>312</v>
      </c>
      <c r="I973" t="s">
        <v>71</v>
      </c>
      <c r="J973" t="s">
        <v>49</v>
      </c>
      <c r="K973" t="s">
        <v>41</v>
      </c>
      <c r="L973">
        <v>186.2</v>
      </c>
      <c r="M973" t="s">
        <v>23</v>
      </c>
      <c r="N973">
        <f t="shared" si="136"/>
        <v>0</v>
      </c>
      <c r="O973" t="s">
        <v>24</v>
      </c>
      <c r="P973" t="s">
        <v>1783</v>
      </c>
      <c r="Q973">
        <v>0</v>
      </c>
      <c r="R973">
        <v>202</v>
      </c>
      <c r="S973">
        <f t="shared" si="137"/>
        <v>0.16039856478930439</v>
      </c>
      <c r="T973">
        <f t="shared" si="138"/>
        <v>0</v>
      </c>
      <c r="U973">
        <f t="shared" si="139"/>
        <v>0</v>
      </c>
      <c r="V973">
        <f t="shared" si="140"/>
        <v>1</v>
      </c>
      <c r="W973">
        <f t="shared" si="141"/>
        <v>1</v>
      </c>
      <c r="X973">
        <f t="shared" si="142"/>
        <v>0</v>
      </c>
      <c r="Y973">
        <f t="shared" si="143"/>
        <v>0</v>
      </c>
    </row>
    <row r="974" spans="1:25" x14ac:dyDescent="0.3">
      <c r="A974" t="s">
        <v>467</v>
      </c>
      <c r="B974" t="s">
        <v>468</v>
      </c>
      <c r="C974" s="1">
        <v>45832</v>
      </c>
      <c r="D974" s="3">
        <v>0.88543981481481482</v>
      </c>
      <c r="E974">
        <f t="shared" si="135"/>
        <v>21</v>
      </c>
      <c r="F974">
        <v>52</v>
      </c>
      <c r="G974" t="s">
        <v>46</v>
      </c>
      <c r="H974" t="s">
        <v>90</v>
      </c>
      <c r="I974" t="s">
        <v>105</v>
      </c>
      <c r="J974" t="s">
        <v>56</v>
      </c>
      <c r="K974" t="s">
        <v>168</v>
      </c>
      <c r="L974">
        <v>185.98</v>
      </c>
      <c r="M974" t="s">
        <v>115</v>
      </c>
      <c r="N974">
        <f t="shared" si="136"/>
        <v>0</v>
      </c>
      <c r="O974" t="s">
        <v>86</v>
      </c>
      <c r="P974" t="s">
        <v>469</v>
      </c>
      <c r="Q974">
        <v>0</v>
      </c>
      <c r="R974">
        <v>469</v>
      </c>
      <c r="S974">
        <f t="shared" si="137"/>
        <v>0.15735282770456405</v>
      </c>
      <c r="T974">
        <f t="shared" si="138"/>
        <v>0</v>
      </c>
      <c r="U974">
        <f t="shared" si="139"/>
        <v>0</v>
      </c>
      <c r="V974">
        <f t="shared" si="140"/>
        <v>0</v>
      </c>
      <c r="W974">
        <f t="shared" si="141"/>
        <v>0</v>
      </c>
      <c r="X974">
        <f t="shared" si="142"/>
        <v>0</v>
      </c>
      <c r="Y974">
        <f t="shared" si="143"/>
        <v>0</v>
      </c>
    </row>
    <row r="975" spans="1:25" x14ac:dyDescent="0.3">
      <c r="A975" t="s">
        <v>2480</v>
      </c>
      <c r="B975" t="s">
        <v>2481</v>
      </c>
      <c r="C975" s="1">
        <v>45868</v>
      </c>
      <c r="D975" s="3">
        <v>0.21614583333333334</v>
      </c>
      <c r="E975">
        <f t="shared" si="135"/>
        <v>5</v>
      </c>
      <c r="F975">
        <v>32</v>
      </c>
      <c r="G975" t="s">
        <v>28</v>
      </c>
      <c r="H975" t="s">
        <v>84</v>
      </c>
      <c r="I975" t="s">
        <v>20</v>
      </c>
      <c r="J975" t="s">
        <v>40</v>
      </c>
      <c r="K975" t="s">
        <v>95</v>
      </c>
      <c r="L975">
        <v>185.95</v>
      </c>
      <c r="M975" t="s">
        <v>33</v>
      </c>
      <c r="N975">
        <f t="shared" si="136"/>
        <v>0</v>
      </c>
      <c r="O975" t="s">
        <v>34</v>
      </c>
      <c r="P975" t="s">
        <v>2482</v>
      </c>
      <c r="Q975">
        <v>0</v>
      </c>
      <c r="R975">
        <v>227</v>
      </c>
      <c r="S975">
        <f t="shared" si="137"/>
        <v>0.15693749992028128</v>
      </c>
      <c r="T975">
        <f t="shared" si="138"/>
        <v>0</v>
      </c>
      <c r="U975">
        <f t="shared" si="139"/>
        <v>1</v>
      </c>
      <c r="V975">
        <f t="shared" si="140"/>
        <v>1</v>
      </c>
      <c r="W975">
        <f t="shared" si="141"/>
        <v>3</v>
      </c>
      <c r="X975">
        <f t="shared" si="142"/>
        <v>0</v>
      </c>
      <c r="Y975">
        <f t="shared" si="143"/>
        <v>0</v>
      </c>
    </row>
    <row r="976" spans="1:25" x14ac:dyDescent="0.3">
      <c r="A976" t="s">
        <v>419</v>
      </c>
      <c r="B976" t="s">
        <v>420</v>
      </c>
      <c r="C976" s="1">
        <v>45866</v>
      </c>
      <c r="D976" s="3">
        <v>0.52762731481481484</v>
      </c>
      <c r="E976">
        <f t="shared" si="135"/>
        <v>12</v>
      </c>
      <c r="F976">
        <v>45</v>
      </c>
      <c r="G976" t="s">
        <v>60</v>
      </c>
      <c r="H976" t="s">
        <v>312</v>
      </c>
      <c r="I976" t="s">
        <v>20</v>
      </c>
      <c r="J976" t="s">
        <v>40</v>
      </c>
      <c r="K976" t="s">
        <v>95</v>
      </c>
      <c r="L976">
        <v>185.9</v>
      </c>
      <c r="M976" t="s">
        <v>33</v>
      </c>
      <c r="N976">
        <f t="shared" si="136"/>
        <v>0</v>
      </c>
      <c r="O976" t="s">
        <v>24</v>
      </c>
      <c r="P976" t="s">
        <v>421</v>
      </c>
      <c r="Q976">
        <v>0</v>
      </c>
      <c r="R976">
        <v>480</v>
      </c>
      <c r="S976">
        <f t="shared" si="137"/>
        <v>0.15624528694647688</v>
      </c>
      <c r="T976">
        <f t="shared" si="138"/>
        <v>0</v>
      </c>
      <c r="U976">
        <f t="shared" si="139"/>
        <v>0</v>
      </c>
      <c r="V976">
        <f t="shared" si="140"/>
        <v>0</v>
      </c>
      <c r="W976">
        <f t="shared" si="141"/>
        <v>0</v>
      </c>
      <c r="X976">
        <f t="shared" si="142"/>
        <v>0</v>
      </c>
      <c r="Y976">
        <f t="shared" si="143"/>
        <v>0</v>
      </c>
    </row>
    <row r="977" spans="1:25" x14ac:dyDescent="0.3">
      <c r="A977" t="s">
        <v>3218</v>
      </c>
      <c r="B977" t="s">
        <v>3219</v>
      </c>
      <c r="C977" s="1">
        <v>45791</v>
      </c>
      <c r="D977" s="3">
        <v>0.95581018518518523</v>
      </c>
      <c r="E977">
        <f t="shared" si="135"/>
        <v>22</v>
      </c>
      <c r="F977">
        <v>52</v>
      </c>
      <c r="G977" t="s">
        <v>28</v>
      </c>
      <c r="H977" t="s">
        <v>175</v>
      </c>
      <c r="I977" t="s">
        <v>119</v>
      </c>
      <c r="J977" t="s">
        <v>21</v>
      </c>
      <c r="K977" t="s">
        <v>50</v>
      </c>
      <c r="L977">
        <v>185.55</v>
      </c>
      <c r="M977" t="s">
        <v>23</v>
      </c>
      <c r="N977">
        <f t="shared" si="136"/>
        <v>0</v>
      </c>
      <c r="O977" t="s">
        <v>34</v>
      </c>
      <c r="P977" t="s">
        <v>3220</v>
      </c>
      <c r="Q977">
        <v>0</v>
      </c>
      <c r="R977">
        <v>169</v>
      </c>
      <c r="S977">
        <f t="shared" si="137"/>
        <v>0.15139979612984461</v>
      </c>
      <c r="T977">
        <f t="shared" si="138"/>
        <v>0</v>
      </c>
      <c r="U977">
        <f t="shared" si="139"/>
        <v>0</v>
      </c>
      <c r="V977">
        <f t="shared" si="140"/>
        <v>1</v>
      </c>
      <c r="W977">
        <f t="shared" si="141"/>
        <v>1</v>
      </c>
      <c r="X977">
        <f t="shared" si="142"/>
        <v>0</v>
      </c>
      <c r="Y977">
        <f t="shared" si="143"/>
        <v>0</v>
      </c>
    </row>
    <row r="978" spans="1:25" x14ac:dyDescent="0.3">
      <c r="A978" t="s">
        <v>5936</v>
      </c>
      <c r="B978" s="2" t="s">
        <v>5937</v>
      </c>
      <c r="C978" s="1">
        <v>45709</v>
      </c>
      <c r="D978" s="3">
        <v>0.95150462962962967</v>
      </c>
      <c r="E978">
        <f t="shared" si="135"/>
        <v>22</v>
      </c>
      <c r="F978">
        <v>36</v>
      </c>
      <c r="G978" t="s">
        <v>46</v>
      </c>
      <c r="H978" t="s">
        <v>175</v>
      </c>
      <c r="I978" t="s">
        <v>39</v>
      </c>
      <c r="J978" t="s">
        <v>31</v>
      </c>
      <c r="K978" t="s">
        <v>95</v>
      </c>
      <c r="L978">
        <v>185.27</v>
      </c>
      <c r="M978" t="s">
        <v>42</v>
      </c>
      <c r="N978">
        <f t="shared" si="136"/>
        <v>0</v>
      </c>
      <c r="O978" t="s">
        <v>86</v>
      </c>
      <c r="P978" t="s">
        <v>5938</v>
      </c>
      <c r="Q978">
        <v>0</v>
      </c>
      <c r="R978">
        <v>53</v>
      </c>
      <c r="S978">
        <f t="shared" si="137"/>
        <v>0.14752340347653869</v>
      </c>
      <c r="T978">
        <f t="shared" si="138"/>
        <v>0</v>
      </c>
      <c r="U978">
        <f t="shared" si="139"/>
        <v>0</v>
      </c>
      <c r="V978">
        <f t="shared" si="140"/>
        <v>1</v>
      </c>
      <c r="W978">
        <f t="shared" si="141"/>
        <v>1</v>
      </c>
      <c r="X978">
        <f t="shared" si="142"/>
        <v>0</v>
      </c>
      <c r="Y978">
        <f t="shared" si="143"/>
        <v>0</v>
      </c>
    </row>
    <row r="979" spans="1:25" x14ac:dyDescent="0.3">
      <c r="A979" t="s">
        <v>737</v>
      </c>
      <c r="B979" t="s">
        <v>738</v>
      </c>
      <c r="C979" s="1">
        <v>45759</v>
      </c>
      <c r="D979" s="3">
        <v>0.98498842592592595</v>
      </c>
      <c r="E979">
        <f t="shared" si="135"/>
        <v>23</v>
      </c>
      <c r="F979">
        <v>49</v>
      </c>
      <c r="G979" t="s">
        <v>46</v>
      </c>
      <c r="H979" t="s">
        <v>80</v>
      </c>
      <c r="I979" t="s">
        <v>71</v>
      </c>
      <c r="J979" t="s">
        <v>127</v>
      </c>
      <c r="K979" t="s">
        <v>168</v>
      </c>
      <c r="L979">
        <v>185.24</v>
      </c>
      <c r="M979" t="s">
        <v>33</v>
      </c>
      <c r="N979">
        <f t="shared" si="136"/>
        <v>0</v>
      </c>
      <c r="O979" t="s">
        <v>86</v>
      </c>
      <c r="P979" t="s">
        <v>739</v>
      </c>
      <c r="Q979">
        <v>0</v>
      </c>
      <c r="R979">
        <v>123</v>
      </c>
      <c r="S979">
        <f t="shared" si="137"/>
        <v>0.1471080756922559</v>
      </c>
      <c r="T979">
        <f t="shared" si="138"/>
        <v>0</v>
      </c>
      <c r="U979">
        <f t="shared" si="139"/>
        <v>0</v>
      </c>
      <c r="V979">
        <f t="shared" si="140"/>
        <v>1</v>
      </c>
      <c r="W979">
        <f t="shared" si="141"/>
        <v>1</v>
      </c>
      <c r="X979">
        <f t="shared" si="142"/>
        <v>0</v>
      </c>
      <c r="Y979">
        <f t="shared" si="143"/>
        <v>0</v>
      </c>
    </row>
    <row r="980" spans="1:25" x14ac:dyDescent="0.3">
      <c r="A980" t="s">
        <v>4766</v>
      </c>
      <c r="B980" t="s">
        <v>4767</v>
      </c>
      <c r="C980" s="1">
        <v>45849</v>
      </c>
      <c r="D980" s="3">
        <v>0.50843749999999999</v>
      </c>
      <c r="E980">
        <f t="shared" si="135"/>
        <v>12</v>
      </c>
      <c r="F980">
        <v>18</v>
      </c>
      <c r="G980" t="s">
        <v>6479</v>
      </c>
      <c r="H980" t="s">
        <v>131</v>
      </c>
      <c r="I980" t="s">
        <v>119</v>
      </c>
      <c r="J980" t="s">
        <v>76</v>
      </c>
      <c r="K980" t="s">
        <v>32</v>
      </c>
      <c r="L980">
        <v>185.24</v>
      </c>
      <c r="M980" t="s">
        <v>23</v>
      </c>
      <c r="N980">
        <f t="shared" si="136"/>
        <v>0</v>
      </c>
      <c r="O980" t="s">
        <v>24</v>
      </c>
      <c r="P980" t="s">
        <v>4768</v>
      </c>
      <c r="Q980">
        <v>0</v>
      </c>
      <c r="R980">
        <v>433</v>
      </c>
      <c r="S980">
        <f t="shared" si="137"/>
        <v>0.1471080756922559</v>
      </c>
      <c r="T980">
        <f t="shared" si="138"/>
        <v>0</v>
      </c>
      <c r="U980">
        <f t="shared" si="139"/>
        <v>0</v>
      </c>
      <c r="V980">
        <f t="shared" si="140"/>
        <v>0</v>
      </c>
      <c r="W980">
        <f t="shared" si="141"/>
        <v>0</v>
      </c>
      <c r="X980">
        <f t="shared" si="142"/>
        <v>0</v>
      </c>
      <c r="Y980">
        <f t="shared" si="143"/>
        <v>0</v>
      </c>
    </row>
    <row r="981" spans="1:25" x14ac:dyDescent="0.3">
      <c r="A981" t="s">
        <v>5978</v>
      </c>
      <c r="B981" t="s">
        <v>5979</v>
      </c>
      <c r="C981" s="1">
        <v>45859</v>
      </c>
      <c r="D981" s="3">
        <v>0.40751157407407407</v>
      </c>
      <c r="E981">
        <f t="shared" si="135"/>
        <v>9</v>
      </c>
      <c r="F981">
        <v>49</v>
      </c>
      <c r="G981" t="s">
        <v>60</v>
      </c>
      <c r="H981" t="s">
        <v>38</v>
      </c>
      <c r="I981" t="s">
        <v>85</v>
      </c>
      <c r="J981" t="s">
        <v>132</v>
      </c>
      <c r="K981" t="s">
        <v>62</v>
      </c>
      <c r="L981">
        <v>185.13</v>
      </c>
      <c r="M981" t="s">
        <v>115</v>
      </c>
      <c r="N981">
        <f t="shared" si="136"/>
        <v>0</v>
      </c>
      <c r="O981" t="s">
        <v>51</v>
      </c>
      <c r="P981" t="s">
        <v>5980</v>
      </c>
      <c r="Q981">
        <v>0</v>
      </c>
      <c r="R981">
        <v>129</v>
      </c>
      <c r="S981">
        <f t="shared" si="137"/>
        <v>0.14558520714988554</v>
      </c>
      <c r="T981">
        <f t="shared" si="138"/>
        <v>0</v>
      </c>
      <c r="U981">
        <f t="shared" si="139"/>
        <v>0</v>
      </c>
      <c r="V981">
        <f t="shared" si="140"/>
        <v>1</v>
      </c>
      <c r="W981">
        <f t="shared" si="141"/>
        <v>1</v>
      </c>
      <c r="X981">
        <f t="shared" si="142"/>
        <v>0</v>
      </c>
      <c r="Y981">
        <f t="shared" si="143"/>
        <v>0</v>
      </c>
    </row>
    <row r="982" spans="1:25" x14ac:dyDescent="0.3">
      <c r="A982" t="s">
        <v>3188</v>
      </c>
      <c r="B982" s="2" t="s">
        <v>3189</v>
      </c>
      <c r="C982" s="1">
        <v>45868</v>
      </c>
      <c r="D982" s="3">
        <v>8.9340277777777782E-2</v>
      </c>
      <c r="E982">
        <f t="shared" si="135"/>
        <v>2</v>
      </c>
      <c r="F982">
        <v>47</v>
      </c>
      <c r="G982" t="s">
        <v>28</v>
      </c>
      <c r="H982" t="s">
        <v>80</v>
      </c>
      <c r="I982" t="s">
        <v>39</v>
      </c>
      <c r="J982" t="s">
        <v>127</v>
      </c>
      <c r="K982" t="s">
        <v>22</v>
      </c>
      <c r="L982">
        <v>185.07</v>
      </c>
      <c r="M982" t="s">
        <v>115</v>
      </c>
      <c r="N982">
        <f t="shared" si="136"/>
        <v>0</v>
      </c>
      <c r="O982" t="s">
        <v>34</v>
      </c>
      <c r="P982" t="s">
        <v>3190</v>
      </c>
      <c r="Q982">
        <v>0</v>
      </c>
      <c r="R982">
        <v>441</v>
      </c>
      <c r="S982">
        <f t="shared" si="137"/>
        <v>0.14475455158131997</v>
      </c>
      <c r="T982">
        <f t="shared" si="138"/>
        <v>0</v>
      </c>
      <c r="U982">
        <f t="shared" si="139"/>
        <v>1</v>
      </c>
      <c r="V982">
        <f t="shared" si="140"/>
        <v>0</v>
      </c>
      <c r="W982">
        <f t="shared" si="141"/>
        <v>2</v>
      </c>
      <c r="X982">
        <f t="shared" si="142"/>
        <v>0</v>
      </c>
      <c r="Y982">
        <f t="shared" si="143"/>
        <v>0</v>
      </c>
    </row>
    <row r="983" spans="1:25" x14ac:dyDescent="0.3">
      <c r="A983" t="s">
        <v>1193</v>
      </c>
      <c r="B983" t="s">
        <v>1194</v>
      </c>
      <c r="C983" s="1">
        <v>45831</v>
      </c>
      <c r="D983" s="3">
        <v>0.52465277777777775</v>
      </c>
      <c r="E983">
        <f t="shared" si="135"/>
        <v>12</v>
      </c>
      <c r="F983">
        <v>49</v>
      </c>
      <c r="G983" t="s">
        <v>18</v>
      </c>
      <c r="H983" t="s">
        <v>19</v>
      </c>
      <c r="I983" t="s">
        <v>66</v>
      </c>
      <c r="J983" t="s">
        <v>72</v>
      </c>
      <c r="K983" t="s">
        <v>101</v>
      </c>
      <c r="L983">
        <v>184.84</v>
      </c>
      <c r="M983" t="s">
        <v>42</v>
      </c>
      <c r="N983">
        <f t="shared" si="136"/>
        <v>0</v>
      </c>
      <c r="O983" t="s">
        <v>86</v>
      </c>
      <c r="P983" t="s">
        <v>1195</v>
      </c>
      <c r="Q983">
        <v>0</v>
      </c>
      <c r="R983">
        <v>313</v>
      </c>
      <c r="S983">
        <f t="shared" si="137"/>
        <v>0.14157037190181884</v>
      </c>
      <c r="T983">
        <f t="shared" si="138"/>
        <v>0</v>
      </c>
      <c r="U983">
        <f t="shared" si="139"/>
        <v>0</v>
      </c>
      <c r="V983">
        <f t="shared" si="140"/>
        <v>0</v>
      </c>
      <c r="W983">
        <f t="shared" si="141"/>
        <v>0</v>
      </c>
      <c r="X983">
        <f t="shared" si="142"/>
        <v>0</v>
      </c>
      <c r="Y983">
        <f t="shared" si="143"/>
        <v>0</v>
      </c>
    </row>
    <row r="984" spans="1:25" x14ac:dyDescent="0.3">
      <c r="A984" t="s">
        <v>1922</v>
      </c>
      <c r="B984" t="s">
        <v>1923</v>
      </c>
      <c r="C984" s="1">
        <v>45733</v>
      </c>
      <c r="D984" s="3">
        <v>9.3333333333333338E-2</v>
      </c>
      <c r="E984">
        <f t="shared" si="135"/>
        <v>2</v>
      </c>
      <c r="F984">
        <v>29</v>
      </c>
      <c r="G984" t="s">
        <v>60</v>
      </c>
      <c r="H984" t="s">
        <v>61</v>
      </c>
      <c r="I984" t="s">
        <v>71</v>
      </c>
      <c r="J984" t="s">
        <v>40</v>
      </c>
      <c r="K984" t="s">
        <v>120</v>
      </c>
      <c r="L984">
        <v>184.84</v>
      </c>
      <c r="M984" t="s">
        <v>33</v>
      </c>
      <c r="N984">
        <f t="shared" si="136"/>
        <v>0</v>
      </c>
      <c r="O984" t="s">
        <v>51</v>
      </c>
      <c r="P984" t="s">
        <v>1924</v>
      </c>
      <c r="Q984">
        <v>0</v>
      </c>
      <c r="R984">
        <v>172</v>
      </c>
      <c r="S984">
        <f t="shared" si="137"/>
        <v>0.14157037190181884</v>
      </c>
      <c r="T984">
        <f t="shared" si="138"/>
        <v>0</v>
      </c>
      <c r="U984">
        <f t="shared" si="139"/>
        <v>1</v>
      </c>
      <c r="V984">
        <f t="shared" si="140"/>
        <v>1</v>
      </c>
      <c r="W984">
        <f t="shared" si="141"/>
        <v>3</v>
      </c>
      <c r="X984">
        <f t="shared" si="142"/>
        <v>0</v>
      </c>
      <c r="Y984">
        <f t="shared" si="143"/>
        <v>0</v>
      </c>
    </row>
    <row r="985" spans="1:25" x14ac:dyDescent="0.3">
      <c r="A985" t="s">
        <v>3749</v>
      </c>
      <c r="B985" t="s">
        <v>3750</v>
      </c>
      <c r="C985" s="1">
        <v>45739</v>
      </c>
      <c r="D985" s="3">
        <v>0.32478009259259261</v>
      </c>
      <c r="E985">
        <f t="shared" si="135"/>
        <v>7</v>
      </c>
      <c r="F985">
        <v>39</v>
      </c>
      <c r="G985" t="s">
        <v>28</v>
      </c>
      <c r="H985" t="s">
        <v>38</v>
      </c>
      <c r="I985" t="s">
        <v>105</v>
      </c>
      <c r="J985" t="s">
        <v>94</v>
      </c>
      <c r="K985" t="s">
        <v>22</v>
      </c>
      <c r="L985">
        <v>184.62</v>
      </c>
      <c r="M985" t="s">
        <v>33</v>
      </c>
      <c r="N985">
        <f t="shared" si="136"/>
        <v>0</v>
      </c>
      <c r="O985" t="s">
        <v>24</v>
      </c>
      <c r="P985" t="s">
        <v>3751</v>
      </c>
      <c r="Q985">
        <v>1</v>
      </c>
      <c r="R985">
        <v>289</v>
      </c>
      <c r="S985">
        <f t="shared" si="137"/>
        <v>0.13852463481707852</v>
      </c>
      <c r="T985">
        <f t="shared" si="138"/>
        <v>0</v>
      </c>
      <c r="U985">
        <f t="shared" si="139"/>
        <v>0</v>
      </c>
      <c r="V985">
        <f t="shared" si="140"/>
        <v>0</v>
      </c>
      <c r="W985">
        <f t="shared" si="141"/>
        <v>0</v>
      </c>
      <c r="X985">
        <f t="shared" si="142"/>
        <v>0</v>
      </c>
      <c r="Y985">
        <f t="shared" si="143"/>
        <v>0</v>
      </c>
    </row>
    <row r="986" spans="1:25" x14ac:dyDescent="0.3">
      <c r="A986" t="s">
        <v>1472</v>
      </c>
      <c r="B986" t="s">
        <v>1473</v>
      </c>
      <c r="C986" s="1">
        <v>45770</v>
      </c>
      <c r="D986" s="3">
        <v>0.9568402777777778</v>
      </c>
      <c r="E986">
        <f t="shared" si="135"/>
        <v>22</v>
      </c>
      <c r="F986">
        <v>29</v>
      </c>
      <c r="G986" t="s">
        <v>60</v>
      </c>
      <c r="H986" t="s">
        <v>29</v>
      </c>
      <c r="I986" t="s">
        <v>48</v>
      </c>
      <c r="J986" t="s">
        <v>94</v>
      </c>
      <c r="K986" t="s">
        <v>22</v>
      </c>
      <c r="L986">
        <v>184.55</v>
      </c>
      <c r="M986" t="s">
        <v>115</v>
      </c>
      <c r="N986">
        <f t="shared" si="136"/>
        <v>0</v>
      </c>
      <c r="O986" t="s">
        <v>34</v>
      </c>
      <c r="P986" t="s">
        <v>1474</v>
      </c>
      <c r="Q986">
        <v>0</v>
      </c>
      <c r="R986">
        <v>484</v>
      </c>
      <c r="S986">
        <f t="shared" si="137"/>
        <v>0.13755553665375214</v>
      </c>
      <c r="T986">
        <f t="shared" si="138"/>
        <v>0</v>
      </c>
      <c r="U986">
        <f t="shared" si="139"/>
        <v>0</v>
      </c>
      <c r="V986">
        <f t="shared" si="140"/>
        <v>0</v>
      </c>
      <c r="W986">
        <f t="shared" si="141"/>
        <v>0</v>
      </c>
      <c r="X986">
        <f t="shared" si="142"/>
        <v>0</v>
      </c>
      <c r="Y986">
        <f t="shared" si="143"/>
        <v>0</v>
      </c>
    </row>
    <row r="987" spans="1:25" x14ac:dyDescent="0.3">
      <c r="A987" t="s">
        <v>5966</v>
      </c>
      <c r="B987" t="s">
        <v>5967</v>
      </c>
      <c r="C987" s="1">
        <v>45880</v>
      </c>
      <c r="D987" s="3">
        <v>0.9132986111111111</v>
      </c>
      <c r="E987">
        <f t="shared" si="135"/>
        <v>21</v>
      </c>
      <c r="F987">
        <v>35</v>
      </c>
      <c r="G987" t="s">
        <v>46</v>
      </c>
      <c r="H987" t="s">
        <v>142</v>
      </c>
      <c r="I987" t="s">
        <v>39</v>
      </c>
      <c r="J987" t="s">
        <v>40</v>
      </c>
      <c r="K987" t="s">
        <v>101</v>
      </c>
      <c r="L987">
        <v>184.55</v>
      </c>
      <c r="M987" t="s">
        <v>42</v>
      </c>
      <c r="N987">
        <f t="shared" si="136"/>
        <v>0</v>
      </c>
      <c r="O987" t="s">
        <v>86</v>
      </c>
      <c r="P987" t="s">
        <v>5968</v>
      </c>
      <c r="Q987">
        <v>0</v>
      </c>
      <c r="R987">
        <v>164</v>
      </c>
      <c r="S987">
        <f t="shared" si="137"/>
        <v>0.13755553665375214</v>
      </c>
      <c r="T987">
        <f t="shared" si="138"/>
        <v>0</v>
      </c>
      <c r="U987">
        <f t="shared" si="139"/>
        <v>0</v>
      </c>
      <c r="V987">
        <f t="shared" si="140"/>
        <v>1</v>
      </c>
      <c r="W987">
        <f t="shared" si="141"/>
        <v>1</v>
      </c>
      <c r="X987">
        <f t="shared" si="142"/>
        <v>0</v>
      </c>
      <c r="Y987">
        <f t="shared" si="143"/>
        <v>0</v>
      </c>
    </row>
    <row r="988" spans="1:25" x14ac:dyDescent="0.3">
      <c r="A988" t="s">
        <v>6377</v>
      </c>
      <c r="B988" t="s">
        <v>6378</v>
      </c>
      <c r="C988" s="1">
        <v>45722</v>
      </c>
      <c r="D988" s="3">
        <v>0.45291666666666669</v>
      </c>
      <c r="E988">
        <f t="shared" si="135"/>
        <v>10</v>
      </c>
      <c r="F988">
        <v>60</v>
      </c>
      <c r="G988" t="s">
        <v>60</v>
      </c>
      <c r="H988" t="s">
        <v>232</v>
      </c>
      <c r="I988" t="s">
        <v>110</v>
      </c>
      <c r="J988" t="s">
        <v>21</v>
      </c>
      <c r="K988" t="s">
        <v>41</v>
      </c>
      <c r="L988">
        <v>184.27</v>
      </c>
      <c r="M988" t="s">
        <v>33</v>
      </c>
      <c r="N988">
        <f t="shared" si="136"/>
        <v>0</v>
      </c>
      <c r="O988" t="s">
        <v>24</v>
      </c>
      <c r="P988" t="s">
        <v>6379</v>
      </c>
      <c r="Q988">
        <v>0</v>
      </c>
      <c r="R988">
        <v>176</v>
      </c>
      <c r="S988">
        <f t="shared" si="137"/>
        <v>0.13367914400044625</v>
      </c>
      <c r="T988">
        <f t="shared" si="138"/>
        <v>0</v>
      </c>
      <c r="U988">
        <f t="shared" si="139"/>
        <v>0</v>
      </c>
      <c r="V988">
        <f t="shared" si="140"/>
        <v>1</v>
      </c>
      <c r="W988">
        <f t="shared" si="141"/>
        <v>1</v>
      </c>
      <c r="X988">
        <f t="shared" si="142"/>
        <v>0</v>
      </c>
      <c r="Y988">
        <f t="shared" si="143"/>
        <v>0</v>
      </c>
    </row>
    <row r="989" spans="1:25" x14ac:dyDescent="0.3">
      <c r="A989" t="s">
        <v>3902</v>
      </c>
      <c r="B989" t="s">
        <v>3903</v>
      </c>
      <c r="C989" s="1">
        <v>45777</v>
      </c>
      <c r="D989" s="3">
        <v>0.67020833333333329</v>
      </c>
      <c r="E989">
        <f t="shared" si="135"/>
        <v>16</v>
      </c>
      <c r="F989">
        <v>49</v>
      </c>
      <c r="G989" t="s">
        <v>46</v>
      </c>
      <c r="H989" t="s">
        <v>61</v>
      </c>
      <c r="I989" t="s">
        <v>71</v>
      </c>
      <c r="J989" t="s">
        <v>49</v>
      </c>
      <c r="K989" t="s">
        <v>22</v>
      </c>
      <c r="L989">
        <v>184.23</v>
      </c>
      <c r="M989" t="s">
        <v>23</v>
      </c>
      <c r="N989">
        <f t="shared" si="136"/>
        <v>0</v>
      </c>
      <c r="O989" t="s">
        <v>51</v>
      </c>
      <c r="P989" t="s">
        <v>3904</v>
      </c>
      <c r="Q989">
        <v>0</v>
      </c>
      <c r="R989">
        <v>181</v>
      </c>
      <c r="S989">
        <f t="shared" si="137"/>
        <v>0.13312537362140225</v>
      </c>
      <c r="T989">
        <f t="shared" si="138"/>
        <v>0</v>
      </c>
      <c r="U989">
        <f t="shared" si="139"/>
        <v>0</v>
      </c>
      <c r="V989">
        <f t="shared" si="140"/>
        <v>1</v>
      </c>
      <c r="W989">
        <f t="shared" si="141"/>
        <v>1</v>
      </c>
      <c r="X989">
        <f t="shared" si="142"/>
        <v>0</v>
      </c>
      <c r="Y989">
        <f t="shared" si="143"/>
        <v>0</v>
      </c>
    </row>
    <row r="990" spans="1:25" x14ac:dyDescent="0.3">
      <c r="A990" t="s">
        <v>2051</v>
      </c>
      <c r="B990" t="s">
        <v>2052</v>
      </c>
      <c r="C990" s="1">
        <v>45718</v>
      </c>
      <c r="D990" s="3">
        <v>0.73239583333333336</v>
      </c>
      <c r="E990">
        <f t="shared" si="135"/>
        <v>17</v>
      </c>
      <c r="F990">
        <v>45</v>
      </c>
      <c r="G990" t="s">
        <v>46</v>
      </c>
      <c r="H990" t="s">
        <v>29</v>
      </c>
      <c r="I990" t="s">
        <v>30</v>
      </c>
      <c r="J990" t="s">
        <v>72</v>
      </c>
      <c r="K990" t="s">
        <v>114</v>
      </c>
      <c r="L990">
        <v>184.16</v>
      </c>
      <c r="M990" t="s">
        <v>115</v>
      </c>
      <c r="N990">
        <f t="shared" si="136"/>
        <v>0</v>
      </c>
      <c r="O990" t="s">
        <v>24</v>
      </c>
      <c r="P990" t="s">
        <v>2053</v>
      </c>
      <c r="Q990">
        <v>0</v>
      </c>
      <c r="R990">
        <v>500</v>
      </c>
      <c r="S990">
        <f t="shared" si="137"/>
        <v>0.13215627545807587</v>
      </c>
      <c r="T990">
        <f t="shared" si="138"/>
        <v>0</v>
      </c>
      <c r="U990">
        <f t="shared" si="139"/>
        <v>0</v>
      </c>
      <c r="V990">
        <f t="shared" si="140"/>
        <v>0</v>
      </c>
      <c r="W990">
        <f t="shared" si="141"/>
        <v>0</v>
      </c>
      <c r="X990">
        <f t="shared" si="142"/>
        <v>0</v>
      </c>
      <c r="Y990">
        <f t="shared" si="143"/>
        <v>0</v>
      </c>
    </row>
    <row r="991" spans="1:25" x14ac:dyDescent="0.3">
      <c r="A991" t="s">
        <v>1514</v>
      </c>
      <c r="B991" t="s">
        <v>1515</v>
      </c>
      <c r="C991" s="1">
        <v>45708</v>
      </c>
      <c r="D991" s="3">
        <v>0.90120370370370373</v>
      </c>
      <c r="E991">
        <f t="shared" si="135"/>
        <v>21</v>
      </c>
      <c r="F991">
        <v>33</v>
      </c>
      <c r="G991" t="s">
        <v>46</v>
      </c>
      <c r="H991" t="s">
        <v>61</v>
      </c>
      <c r="I991" t="s">
        <v>39</v>
      </c>
      <c r="J991" t="s">
        <v>132</v>
      </c>
      <c r="K991" t="s">
        <v>168</v>
      </c>
      <c r="L991">
        <v>183.9</v>
      </c>
      <c r="M991" t="s">
        <v>33</v>
      </c>
      <c r="N991">
        <f t="shared" si="136"/>
        <v>0</v>
      </c>
      <c r="O991" t="s">
        <v>51</v>
      </c>
      <c r="P991" t="s">
        <v>1516</v>
      </c>
      <c r="Q991">
        <v>0</v>
      </c>
      <c r="R991">
        <v>196</v>
      </c>
      <c r="S991">
        <f t="shared" si="137"/>
        <v>0.12855676799429197</v>
      </c>
      <c r="T991">
        <f t="shared" si="138"/>
        <v>0</v>
      </c>
      <c r="U991">
        <f t="shared" si="139"/>
        <v>0</v>
      </c>
      <c r="V991">
        <f t="shared" si="140"/>
        <v>1</v>
      </c>
      <c r="W991">
        <f t="shared" si="141"/>
        <v>1</v>
      </c>
      <c r="X991">
        <f t="shared" si="142"/>
        <v>0</v>
      </c>
      <c r="Y991">
        <f t="shared" si="143"/>
        <v>0</v>
      </c>
    </row>
    <row r="992" spans="1:25" x14ac:dyDescent="0.3">
      <c r="A992" t="s">
        <v>2327</v>
      </c>
      <c r="B992" t="s">
        <v>2328</v>
      </c>
      <c r="C992" s="1">
        <v>45767</v>
      </c>
      <c r="D992" s="3">
        <v>5.1307870370370372E-2</v>
      </c>
      <c r="E992">
        <f t="shared" si="135"/>
        <v>1</v>
      </c>
      <c r="F992">
        <v>50</v>
      </c>
      <c r="G992" t="s">
        <v>99</v>
      </c>
      <c r="H992" t="s">
        <v>84</v>
      </c>
      <c r="I992" t="s">
        <v>20</v>
      </c>
      <c r="J992" t="s">
        <v>94</v>
      </c>
      <c r="K992" t="s">
        <v>168</v>
      </c>
      <c r="L992">
        <v>183.86</v>
      </c>
      <c r="M992" t="s">
        <v>33</v>
      </c>
      <c r="N992">
        <f t="shared" si="136"/>
        <v>0</v>
      </c>
      <c r="O992" t="s">
        <v>24</v>
      </c>
      <c r="P992" t="s">
        <v>2329</v>
      </c>
      <c r="Q992">
        <v>0</v>
      </c>
      <c r="R992">
        <v>416</v>
      </c>
      <c r="S992">
        <f t="shared" si="137"/>
        <v>0.12800299761524839</v>
      </c>
      <c r="T992">
        <f t="shared" si="138"/>
        <v>0</v>
      </c>
      <c r="U992">
        <f t="shared" si="139"/>
        <v>1</v>
      </c>
      <c r="V992">
        <f t="shared" si="140"/>
        <v>0</v>
      </c>
      <c r="W992">
        <f t="shared" si="141"/>
        <v>2</v>
      </c>
      <c r="X992">
        <f t="shared" si="142"/>
        <v>0</v>
      </c>
      <c r="Y992">
        <f t="shared" si="143"/>
        <v>0</v>
      </c>
    </row>
    <row r="993" spans="1:25" x14ac:dyDescent="0.3">
      <c r="A993" t="s">
        <v>230</v>
      </c>
      <c r="B993" t="s">
        <v>231</v>
      </c>
      <c r="C993" s="1">
        <v>45733</v>
      </c>
      <c r="D993" s="3">
        <v>0.81533564814814818</v>
      </c>
      <c r="E993">
        <f t="shared" si="135"/>
        <v>19</v>
      </c>
      <c r="F993">
        <v>64</v>
      </c>
      <c r="G993" t="s">
        <v>46</v>
      </c>
      <c r="H993" t="s">
        <v>232</v>
      </c>
      <c r="I993" t="s">
        <v>105</v>
      </c>
      <c r="J993" t="s">
        <v>127</v>
      </c>
      <c r="K993" t="s">
        <v>22</v>
      </c>
      <c r="L993">
        <v>183.4</v>
      </c>
      <c r="M993" t="s">
        <v>42</v>
      </c>
      <c r="N993">
        <f t="shared" si="136"/>
        <v>0</v>
      </c>
      <c r="O993" t="s">
        <v>86</v>
      </c>
      <c r="P993" t="s">
        <v>233</v>
      </c>
      <c r="Q993">
        <v>0</v>
      </c>
      <c r="R993">
        <v>107</v>
      </c>
      <c r="S993">
        <f t="shared" si="137"/>
        <v>0.12163463825624575</v>
      </c>
      <c r="T993">
        <f t="shared" si="138"/>
        <v>0</v>
      </c>
      <c r="U993">
        <f t="shared" si="139"/>
        <v>0</v>
      </c>
      <c r="V993">
        <f t="shared" si="140"/>
        <v>1</v>
      </c>
      <c r="W993">
        <f t="shared" si="141"/>
        <v>1</v>
      </c>
      <c r="X993">
        <f t="shared" si="142"/>
        <v>0</v>
      </c>
      <c r="Y993">
        <f t="shared" si="143"/>
        <v>0</v>
      </c>
    </row>
    <row r="994" spans="1:25" x14ac:dyDescent="0.3">
      <c r="A994" t="s">
        <v>2576</v>
      </c>
      <c r="B994" t="s">
        <v>2577</v>
      </c>
      <c r="C994" s="1">
        <v>45881</v>
      </c>
      <c r="D994" s="3">
        <v>3.0972222222222224E-2</v>
      </c>
      <c r="E994">
        <f t="shared" si="135"/>
        <v>0</v>
      </c>
      <c r="F994">
        <v>22</v>
      </c>
      <c r="G994" t="s">
        <v>46</v>
      </c>
      <c r="H994" t="s">
        <v>61</v>
      </c>
      <c r="I994" t="s">
        <v>105</v>
      </c>
      <c r="J994" t="s">
        <v>76</v>
      </c>
      <c r="K994" t="s">
        <v>41</v>
      </c>
      <c r="L994">
        <v>183.22</v>
      </c>
      <c r="M994" t="s">
        <v>115</v>
      </c>
      <c r="N994">
        <f t="shared" si="136"/>
        <v>0</v>
      </c>
      <c r="O994" t="s">
        <v>51</v>
      </c>
      <c r="P994" t="s">
        <v>2578</v>
      </c>
      <c r="Q994">
        <v>0</v>
      </c>
      <c r="R994">
        <v>359</v>
      </c>
      <c r="S994">
        <f t="shared" si="137"/>
        <v>0.11914267155054901</v>
      </c>
      <c r="T994">
        <f t="shared" si="138"/>
        <v>0</v>
      </c>
      <c r="U994">
        <f t="shared" si="139"/>
        <v>1</v>
      </c>
      <c r="V994">
        <f t="shared" si="140"/>
        <v>0</v>
      </c>
      <c r="W994">
        <f t="shared" si="141"/>
        <v>2</v>
      </c>
      <c r="X994">
        <f t="shared" si="142"/>
        <v>0</v>
      </c>
      <c r="Y994">
        <f t="shared" si="143"/>
        <v>0</v>
      </c>
    </row>
    <row r="995" spans="1:25" x14ac:dyDescent="0.3">
      <c r="A995" t="s">
        <v>5969</v>
      </c>
      <c r="B995" t="s">
        <v>5970</v>
      </c>
      <c r="C995" s="1">
        <v>45737</v>
      </c>
      <c r="D995" s="3">
        <v>0.24663194444444445</v>
      </c>
      <c r="E995">
        <f t="shared" si="135"/>
        <v>5</v>
      </c>
      <c r="F995">
        <v>36</v>
      </c>
      <c r="G995" t="s">
        <v>60</v>
      </c>
      <c r="H995" t="s">
        <v>100</v>
      </c>
      <c r="I995" t="s">
        <v>48</v>
      </c>
      <c r="J995" t="s">
        <v>31</v>
      </c>
      <c r="K995" t="s">
        <v>22</v>
      </c>
      <c r="L995">
        <v>183.22</v>
      </c>
      <c r="M995" t="s">
        <v>115</v>
      </c>
      <c r="N995">
        <f t="shared" si="136"/>
        <v>0</v>
      </c>
      <c r="O995" t="s">
        <v>86</v>
      </c>
      <c r="P995" t="s">
        <v>5971</v>
      </c>
      <c r="Q995">
        <v>0</v>
      </c>
      <c r="R995">
        <v>256</v>
      </c>
      <c r="S995">
        <f t="shared" si="137"/>
        <v>0.11914267155054901</v>
      </c>
      <c r="T995">
        <f t="shared" si="138"/>
        <v>0</v>
      </c>
      <c r="U995">
        <f t="shared" si="139"/>
        <v>1</v>
      </c>
      <c r="V995">
        <f t="shared" si="140"/>
        <v>1</v>
      </c>
      <c r="W995">
        <f t="shared" si="141"/>
        <v>3</v>
      </c>
      <c r="X995">
        <f t="shared" si="142"/>
        <v>0</v>
      </c>
      <c r="Y995">
        <f t="shared" si="143"/>
        <v>0</v>
      </c>
    </row>
    <row r="996" spans="1:25" x14ac:dyDescent="0.3">
      <c r="A996" t="s">
        <v>4322</v>
      </c>
      <c r="B996" t="s">
        <v>4323</v>
      </c>
      <c r="C996" s="1">
        <v>45772</v>
      </c>
      <c r="D996" s="3">
        <v>0.23590277777777777</v>
      </c>
      <c r="E996">
        <f t="shared" si="135"/>
        <v>5</v>
      </c>
      <c r="F996">
        <v>52</v>
      </c>
      <c r="G996" t="s">
        <v>18</v>
      </c>
      <c r="H996" t="s">
        <v>19</v>
      </c>
      <c r="I996" t="s">
        <v>85</v>
      </c>
      <c r="J996" t="s">
        <v>56</v>
      </c>
      <c r="K996" t="s">
        <v>95</v>
      </c>
      <c r="L996">
        <v>182.97</v>
      </c>
      <c r="M996" t="s">
        <v>42</v>
      </c>
      <c r="N996">
        <f t="shared" si="136"/>
        <v>0</v>
      </c>
      <c r="O996" t="s">
        <v>51</v>
      </c>
      <c r="P996" t="s">
        <v>4324</v>
      </c>
      <c r="Q996">
        <v>0</v>
      </c>
      <c r="R996">
        <v>338</v>
      </c>
      <c r="S996">
        <f t="shared" si="137"/>
        <v>0.1156816066815259</v>
      </c>
      <c r="T996">
        <f t="shared" si="138"/>
        <v>0</v>
      </c>
      <c r="U996">
        <f t="shared" si="139"/>
        <v>1</v>
      </c>
      <c r="V996">
        <f t="shared" si="140"/>
        <v>0</v>
      </c>
      <c r="W996">
        <f t="shared" si="141"/>
        <v>2</v>
      </c>
      <c r="X996">
        <f t="shared" si="142"/>
        <v>0</v>
      </c>
      <c r="Y996">
        <f t="shared" si="143"/>
        <v>0</v>
      </c>
    </row>
    <row r="997" spans="1:25" x14ac:dyDescent="0.3">
      <c r="A997" t="s">
        <v>274</v>
      </c>
      <c r="B997" t="s">
        <v>275</v>
      </c>
      <c r="C997" s="1">
        <v>45776</v>
      </c>
      <c r="D997" s="3">
        <v>0.3276736111111111</v>
      </c>
      <c r="E997">
        <f t="shared" si="135"/>
        <v>7</v>
      </c>
      <c r="F997">
        <v>21</v>
      </c>
      <c r="G997" t="s">
        <v>18</v>
      </c>
      <c r="H997" t="s">
        <v>80</v>
      </c>
      <c r="I997" t="s">
        <v>119</v>
      </c>
      <c r="J997" t="s">
        <v>127</v>
      </c>
      <c r="K997" t="s">
        <v>41</v>
      </c>
      <c r="L997">
        <v>182.96</v>
      </c>
      <c r="M997" t="s">
        <v>42</v>
      </c>
      <c r="N997">
        <f t="shared" si="136"/>
        <v>0</v>
      </c>
      <c r="O997" t="s">
        <v>51</v>
      </c>
      <c r="P997" t="s">
        <v>276</v>
      </c>
      <c r="Q997">
        <v>0</v>
      </c>
      <c r="R997">
        <v>389</v>
      </c>
      <c r="S997">
        <f t="shared" si="137"/>
        <v>0.1155431640867651</v>
      </c>
      <c r="T997">
        <f t="shared" si="138"/>
        <v>0</v>
      </c>
      <c r="U997">
        <f t="shared" si="139"/>
        <v>0</v>
      </c>
      <c r="V997">
        <f t="shared" si="140"/>
        <v>0</v>
      </c>
      <c r="W997">
        <f t="shared" si="141"/>
        <v>0</v>
      </c>
      <c r="X997">
        <f t="shared" si="142"/>
        <v>0</v>
      </c>
      <c r="Y997">
        <f t="shared" si="143"/>
        <v>0</v>
      </c>
    </row>
    <row r="998" spans="1:25" x14ac:dyDescent="0.3">
      <c r="A998" t="s">
        <v>1451</v>
      </c>
      <c r="B998" t="s">
        <v>1452</v>
      </c>
      <c r="C998" s="1">
        <v>45807</v>
      </c>
      <c r="D998" s="3">
        <v>0.30326388888888889</v>
      </c>
      <c r="E998">
        <f t="shared" si="135"/>
        <v>7</v>
      </c>
      <c r="F998">
        <v>18</v>
      </c>
      <c r="G998" t="s">
        <v>46</v>
      </c>
      <c r="H998" t="s">
        <v>131</v>
      </c>
      <c r="I998" t="s">
        <v>110</v>
      </c>
      <c r="J998" t="s">
        <v>132</v>
      </c>
      <c r="K998" t="s">
        <v>168</v>
      </c>
      <c r="L998">
        <v>182.85</v>
      </c>
      <c r="M998" t="s">
        <v>23</v>
      </c>
      <c r="N998">
        <f t="shared" si="136"/>
        <v>0</v>
      </c>
      <c r="O998" t="s">
        <v>51</v>
      </c>
      <c r="P998" t="s">
        <v>1453</v>
      </c>
      <c r="Q998">
        <v>0</v>
      </c>
      <c r="R998">
        <v>417</v>
      </c>
      <c r="S998">
        <f t="shared" si="137"/>
        <v>0.11402029554439475</v>
      </c>
      <c r="T998">
        <f t="shared" si="138"/>
        <v>0</v>
      </c>
      <c r="U998">
        <f t="shared" si="139"/>
        <v>0</v>
      </c>
      <c r="V998">
        <f t="shared" si="140"/>
        <v>0</v>
      </c>
      <c r="W998">
        <f t="shared" si="141"/>
        <v>0</v>
      </c>
      <c r="X998">
        <f t="shared" si="142"/>
        <v>0</v>
      </c>
      <c r="Y998">
        <f t="shared" si="143"/>
        <v>0</v>
      </c>
    </row>
    <row r="999" spans="1:25" x14ac:dyDescent="0.3">
      <c r="A999" t="s">
        <v>1880</v>
      </c>
      <c r="B999" t="s">
        <v>1881</v>
      </c>
      <c r="C999" s="1">
        <v>45739</v>
      </c>
      <c r="D999" s="3">
        <v>0.4695023148148148</v>
      </c>
      <c r="E999">
        <f t="shared" si="135"/>
        <v>11</v>
      </c>
      <c r="F999">
        <v>56</v>
      </c>
      <c r="G999" t="s">
        <v>18</v>
      </c>
      <c r="H999" t="s">
        <v>29</v>
      </c>
      <c r="I999" t="s">
        <v>119</v>
      </c>
      <c r="J999" t="s">
        <v>94</v>
      </c>
      <c r="K999" t="s">
        <v>50</v>
      </c>
      <c r="L999">
        <v>182.48</v>
      </c>
      <c r="M999" t="s">
        <v>23</v>
      </c>
      <c r="N999">
        <f t="shared" si="136"/>
        <v>0</v>
      </c>
      <c r="O999" t="s">
        <v>51</v>
      </c>
      <c r="P999" t="s">
        <v>1882</v>
      </c>
      <c r="Q999">
        <v>0</v>
      </c>
      <c r="R999">
        <v>325</v>
      </c>
      <c r="S999">
        <f t="shared" si="137"/>
        <v>0.10889791953824046</v>
      </c>
      <c r="T999">
        <f t="shared" si="138"/>
        <v>0</v>
      </c>
      <c r="U999">
        <f t="shared" si="139"/>
        <v>0</v>
      </c>
      <c r="V999">
        <f t="shared" si="140"/>
        <v>0</v>
      </c>
      <c r="W999">
        <f t="shared" si="141"/>
        <v>0</v>
      </c>
      <c r="X999">
        <f t="shared" si="142"/>
        <v>0</v>
      </c>
      <c r="Y999">
        <f t="shared" si="143"/>
        <v>0</v>
      </c>
    </row>
    <row r="1000" spans="1:25" x14ac:dyDescent="0.3">
      <c r="A1000" t="s">
        <v>5480</v>
      </c>
      <c r="B1000" t="s">
        <v>5481</v>
      </c>
      <c r="C1000" s="1">
        <v>45765</v>
      </c>
      <c r="D1000" s="3">
        <v>0.83263888888888893</v>
      </c>
      <c r="E1000">
        <f t="shared" si="135"/>
        <v>19</v>
      </c>
      <c r="F1000">
        <v>45</v>
      </c>
      <c r="G1000" t="s">
        <v>46</v>
      </c>
      <c r="H1000" t="s">
        <v>312</v>
      </c>
      <c r="I1000" t="s">
        <v>85</v>
      </c>
      <c r="J1000" t="s">
        <v>31</v>
      </c>
      <c r="K1000" t="s">
        <v>120</v>
      </c>
      <c r="L1000">
        <v>182.4</v>
      </c>
      <c r="M1000" t="s">
        <v>23</v>
      </c>
      <c r="N1000">
        <f t="shared" si="136"/>
        <v>0</v>
      </c>
      <c r="O1000" t="s">
        <v>51</v>
      </c>
      <c r="P1000" t="s">
        <v>5482</v>
      </c>
      <c r="Q1000">
        <v>0</v>
      </c>
      <c r="R1000">
        <v>287</v>
      </c>
      <c r="S1000">
        <f t="shared" si="137"/>
        <v>0.1077903787801533</v>
      </c>
      <c r="T1000">
        <f t="shared" si="138"/>
        <v>0</v>
      </c>
      <c r="U1000">
        <f t="shared" si="139"/>
        <v>0</v>
      </c>
      <c r="V1000">
        <f t="shared" si="140"/>
        <v>0</v>
      </c>
      <c r="W1000">
        <f t="shared" si="141"/>
        <v>0</v>
      </c>
      <c r="X1000">
        <f t="shared" si="142"/>
        <v>0</v>
      </c>
      <c r="Y1000">
        <f t="shared" si="143"/>
        <v>0</v>
      </c>
    </row>
    <row r="1001" spans="1:25" x14ac:dyDescent="0.3">
      <c r="A1001" t="s">
        <v>698</v>
      </c>
      <c r="B1001" t="s">
        <v>699</v>
      </c>
      <c r="C1001" s="1">
        <v>45840</v>
      </c>
      <c r="D1001" s="3">
        <v>0.51074074074074072</v>
      </c>
      <c r="E1001">
        <f t="shared" si="135"/>
        <v>12</v>
      </c>
      <c r="F1001">
        <v>34</v>
      </c>
      <c r="G1001" t="s">
        <v>46</v>
      </c>
      <c r="H1001" t="s">
        <v>142</v>
      </c>
      <c r="I1001" t="s">
        <v>66</v>
      </c>
      <c r="J1001" t="s">
        <v>21</v>
      </c>
      <c r="K1001" t="s">
        <v>41</v>
      </c>
      <c r="L1001">
        <v>182.13</v>
      </c>
      <c r="M1001" t="s">
        <v>42</v>
      </c>
      <c r="N1001">
        <f t="shared" si="136"/>
        <v>0</v>
      </c>
      <c r="O1001" t="s">
        <v>24</v>
      </c>
      <c r="P1001" t="s">
        <v>700</v>
      </c>
      <c r="Q1001">
        <v>0</v>
      </c>
      <c r="R1001">
        <v>285</v>
      </c>
      <c r="S1001">
        <f t="shared" si="137"/>
        <v>0.10405242872160819</v>
      </c>
      <c r="T1001">
        <f t="shared" si="138"/>
        <v>0</v>
      </c>
      <c r="U1001">
        <f t="shared" si="139"/>
        <v>0</v>
      </c>
      <c r="V1001">
        <f t="shared" si="140"/>
        <v>0</v>
      </c>
      <c r="W1001">
        <f t="shared" si="141"/>
        <v>0</v>
      </c>
      <c r="X1001">
        <f t="shared" si="142"/>
        <v>0</v>
      </c>
      <c r="Y1001">
        <f t="shared" si="143"/>
        <v>0</v>
      </c>
    </row>
    <row r="1002" spans="1:25" x14ac:dyDescent="0.3">
      <c r="A1002" t="s">
        <v>3536</v>
      </c>
      <c r="B1002" t="s">
        <v>3537</v>
      </c>
      <c r="C1002" s="1">
        <v>45763</v>
      </c>
      <c r="D1002" s="3">
        <v>0.11849537037037038</v>
      </c>
      <c r="E1002">
        <f t="shared" si="135"/>
        <v>2</v>
      </c>
      <c r="F1002">
        <v>63</v>
      </c>
      <c r="G1002" t="s">
        <v>46</v>
      </c>
      <c r="H1002" t="s">
        <v>90</v>
      </c>
      <c r="I1002" t="s">
        <v>119</v>
      </c>
      <c r="J1002" t="s">
        <v>56</v>
      </c>
      <c r="K1002" t="s">
        <v>50</v>
      </c>
      <c r="L1002">
        <v>182.09</v>
      </c>
      <c r="M1002" t="s">
        <v>115</v>
      </c>
      <c r="N1002">
        <f t="shared" si="136"/>
        <v>0</v>
      </c>
      <c r="O1002" t="s">
        <v>86</v>
      </c>
      <c r="P1002" t="s">
        <v>3538</v>
      </c>
      <c r="Q1002">
        <v>0</v>
      </c>
      <c r="R1002">
        <v>419</v>
      </c>
      <c r="S1002">
        <f t="shared" si="137"/>
        <v>0.1034986583425646</v>
      </c>
      <c r="T1002">
        <f t="shared" si="138"/>
        <v>0</v>
      </c>
      <c r="U1002">
        <f t="shared" si="139"/>
        <v>1</v>
      </c>
      <c r="V1002">
        <f t="shared" si="140"/>
        <v>0</v>
      </c>
      <c r="W1002">
        <f t="shared" si="141"/>
        <v>2</v>
      </c>
      <c r="X1002">
        <f t="shared" si="142"/>
        <v>0</v>
      </c>
      <c r="Y1002">
        <f t="shared" si="143"/>
        <v>0</v>
      </c>
    </row>
    <row r="1003" spans="1:25" x14ac:dyDescent="0.3">
      <c r="A1003" t="s">
        <v>4184</v>
      </c>
      <c r="B1003" t="s">
        <v>4185</v>
      </c>
      <c r="C1003" s="1">
        <v>45779</v>
      </c>
      <c r="D1003" s="3">
        <v>0.64030092592592591</v>
      </c>
      <c r="E1003">
        <f t="shared" si="135"/>
        <v>15</v>
      </c>
      <c r="F1003">
        <v>23</v>
      </c>
      <c r="G1003" t="s">
        <v>46</v>
      </c>
      <c r="H1003" t="s">
        <v>142</v>
      </c>
      <c r="I1003" t="s">
        <v>110</v>
      </c>
      <c r="J1003" t="s">
        <v>21</v>
      </c>
      <c r="K1003" t="s">
        <v>62</v>
      </c>
      <c r="L1003">
        <v>181.85</v>
      </c>
      <c r="M1003" t="s">
        <v>115</v>
      </c>
      <c r="N1003">
        <f t="shared" si="136"/>
        <v>0</v>
      </c>
      <c r="O1003" t="s">
        <v>24</v>
      </c>
      <c r="P1003" t="s">
        <v>4186</v>
      </c>
      <c r="Q1003">
        <v>0</v>
      </c>
      <c r="R1003">
        <v>143</v>
      </c>
      <c r="S1003">
        <f t="shared" si="137"/>
        <v>0.10017603606830229</v>
      </c>
      <c r="T1003">
        <f t="shared" si="138"/>
        <v>0</v>
      </c>
      <c r="U1003">
        <f t="shared" si="139"/>
        <v>0</v>
      </c>
      <c r="V1003">
        <f t="shared" si="140"/>
        <v>1</v>
      </c>
      <c r="W1003">
        <f t="shared" si="141"/>
        <v>1</v>
      </c>
      <c r="X1003">
        <f t="shared" si="142"/>
        <v>0</v>
      </c>
      <c r="Y1003">
        <f t="shared" si="143"/>
        <v>0</v>
      </c>
    </row>
    <row r="1004" spans="1:25" x14ac:dyDescent="0.3">
      <c r="A1004" t="s">
        <v>4298</v>
      </c>
      <c r="B1004" t="s">
        <v>4299</v>
      </c>
      <c r="C1004" s="1">
        <v>45727</v>
      </c>
      <c r="D1004" s="3">
        <v>0.81712962962962965</v>
      </c>
      <c r="E1004">
        <f t="shared" si="135"/>
        <v>19</v>
      </c>
      <c r="F1004">
        <v>46</v>
      </c>
      <c r="G1004" t="s">
        <v>46</v>
      </c>
      <c r="H1004" t="s">
        <v>232</v>
      </c>
      <c r="I1004" t="s">
        <v>71</v>
      </c>
      <c r="J1004" t="s">
        <v>72</v>
      </c>
      <c r="K1004" t="s">
        <v>168</v>
      </c>
      <c r="L1004">
        <v>181.69</v>
      </c>
      <c r="M1004" t="s">
        <v>23</v>
      </c>
      <c r="N1004">
        <f t="shared" si="136"/>
        <v>0</v>
      </c>
      <c r="O1004" t="s">
        <v>24</v>
      </c>
      <c r="P1004" t="s">
        <v>4300</v>
      </c>
      <c r="Q1004">
        <v>0</v>
      </c>
      <c r="R1004">
        <v>460</v>
      </c>
      <c r="S1004">
        <f t="shared" si="137"/>
        <v>9.7960954552127541E-2</v>
      </c>
      <c r="T1004">
        <f t="shared" si="138"/>
        <v>0</v>
      </c>
      <c r="U1004">
        <f t="shared" si="139"/>
        <v>0</v>
      </c>
      <c r="V1004">
        <f t="shared" si="140"/>
        <v>0</v>
      </c>
      <c r="W1004">
        <f t="shared" si="141"/>
        <v>0</v>
      </c>
      <c r="X1004">
        <f t="shared" si="142"/>
        <v>0</v>
      </c>
      <c r="Y1004">
        <f t="shared" si="143"/>
        <v>0</v>
      </c>
    </row>
    <row r="1005" spans="1:25" x14ac:dyDescent="0.3">
      <c r="A1005" t="s">
        <v>4472</v>
      </c>
      <c r="B1005" t="s">
        <v>4473</v>
      </c>
      <c r="C1005" s="1">
        <v>45718</v>
      </c>
      <c r="D1005" s="3">
        <v>0.27251157407407406</v>
      </c>
      <c r="E1005">
        <f t="shared" si="135"/>
        <v>6</v>
      </c>
      <c r="F1005">
        <v>25</v>
      </c>
      <c r="G1005" t="s">
        <v>60</v>
      </c>
      <c r="H1005" t="s">
        <v>55</v>
      </c>
      <c r="I1005" t="s">
        <v>119</v>
      </c>
      <c r="J1005" t="s">
        <v>21</v>
      </c>
      <c r="K1005" t="s">
        <v>32</v>
      </c>
      <c r="L1005">
        <v>181.69</v>
      </c>
      <c r="M1005" t="s">
        <v>33</v>
      </c>
      <c r="N1005">
        <f t="shared" si="136"/>
        <v>0</v>
      </c>
      <c r="O1005" t="s">
        <v>34</v>
      </c>
      <c r="P1005" t="s">
        <v>4474</v>
      </c>
      <c r="Q1005">
        <v>0</v>
      </c>
      <c r="R1005">
        <v>124</v>
      </c>
      <c r="S1005">
        <f t="shared" si="137"/>
        <v>9.7960954552127541E-2</v>
      </c>
      <c r="T1005">
        <f t="shared" si="138"/>
        <v>0</v>
      </c>
      <c r="U1005">
        <f t="shared" si="139"/>
        <v>0</v>
      </c>
      <c r="V1005">
        <f t="shared" si="140"/>
        <v>1</v>
      </c>
      <c r="W1005">
        <f t="shared" si="141"/>
        <v>1</v>
      </c>
      <c r="X1005">
        <f t="shared" si="142"/>
        <v>0</v>
      </c>
      <c r="Y1005">
        <f t="shared" si="143"/>
        <v>0</v>
      </c>
    </row>
    <row r="1006" spans="1:25" x14ac:dyDescent="0.3">
      <c r="A1006" t="s">
        <v>3707</v>
      </c>
      <c r="B1006" t="s">
        <v>3708</v>
      </c>
      <c r="C1006" s="1">
        <v>45864</v>
      </c>
      <c r="D1006" s="3">
        <v>0.99853009259259262</v>
      </c>
      <c r="E1006">
        <f t="shared" si="135"/>
        <v>23</v>
      </c>
      <c r="F1006" s="4">
        <v>41</v>
      </c>
      <c r="G1006" t="s">
        <v>106</v>
      </c>
      <c r="H1006" t="s">
        <v>312</v>
      </c>
      <c r="I1006" t="s">
        <v>39</v>
      </c>
      <c r="J1006" t="s">
        <v>76</v>
      </c>
      <c r="K1006" t="s">
        <v>168</v>
      </c>
      <c r="L1006">
        <v>181.6</v>
      </c>
      <c r="M1006" t="s">
        <v>42</v>
      </c>
      <c r="N1006">
        <f t="shared" si="136"/>
        <v>0</v>
      </c>
      <c r="O1006" t="s">
        <v>86</v>
      </c>
      <c r="P1006" t="s">
        <v>3709</v>
      </c>
      <c r="Q1006">
        <v>0</v>
      </c>
      <c r="R1006">
        <v>386</v>
      </c>
      <c r="S1006">
        <f t="shared" si="137"/>
        <v>9.6714971199279173E-2</v>
      </c>
      <c r="T1006">
        <f t="shared" si="138"/>
        <v>0</v>
      </c>
      <c r="U1006">
        <f t="shared" si="139"/>
        <v>0</v>
      </c>
      <c r="V1006">
        <f t="shared" si="140"/>
        <v>0</v>
      </c>
      <c r="W1006">
        <f t="shared" si="141"/>
        <v>0</v>
      </c>
      <c r="X1006">
        <f t="shared" si="142"/>
        <v>0</v>
      </c>
      <c r="Y1006">
        <f t="shared" si="143"/>
        <v>0</v>
      </c>
    </row>
    <row r="1007" spans="1:25" x14ac:dyDescent="0.3">
      <c r="A1007" t="s">
        <v>4790</v>
      </c>
      <c r="B1007" t="s">
        <v>4791</v>
      </c>
      <c r="C1007" s="1">
        <v>45791</v>
      </c>
      <c r="D1007" s="3">
        <v>5.9097222222222225E-2</v>
      </c>
      <c r="E1007">
        <f t="shared" si="135"/>
        <v>1</v>
      </c>
      <c r="F1007">
        <v>54</v>
      </c>
      <c r="G1007" t="s">
        <v>18</v>
      </c>
      <c r="H1007" t="s">
        <v>84</v>
      </c>
      <c r="I1007" t="s">
        <v>39</v>
      </c>
      <c r="J1007" t="s">
        <v>21</v>
      </c>
      <c r="K1007" t="s">
        <v>22</v>
      </c>
      <c r="L1007">
        <v>181.46</v>
      </c>
      <c r="M1007" t="s">
        <v>115</v>
      </c>
      <c r="N1007">
        <f t="shared" si="136"/>
        <v>0</v>
      </c>
      <c r="O1007" t="s">
        <v>51</v>
      </c>
      <c r="P1007" t="s">
        <v>4792</v>
      </c>
      <c r="Q1007">
        <v>0</v>
      </c>
      <c r="R1007">
        <v>386</v>
      </c>
      <c r="S1007">
        <f t="shared" si="137"/>
        <v>9.477677487262641E-2</v>
      </c>
      <c r="T1007">
        <f t="shared" si="138"/>
        <v>0</v>
      </c>
      <c r="U1007">
        <f t="shared" si="139"/>
        <v>1</v>
      </c>
      <c r="V1007">
        <f t="shared" si="140"/>
        <v>0</v>
      </c>
      <c r="W1007">
        <f t="shared" si="141"/>
        <v>2</v>
      </c>
      <c r="X1007">
        <f t="shared" si="142"/>
        <v>0</v>
      </c>
      <c r="Y1007">
        <f t="shared" si="143"/>
        <v>0</v>
      </c>
    </row>
    <row r="1008" spans="1:25" x14ac:dyDescent="0.3">
      <c r="A1008" t="s">
        <v>1172</v>
      </c>
      <c r="B1008" t="s">
        <v>1173</v>
      </c>
      <c r="C1008" s="1">
        <v>45819</v>
      </c>
      <c r="D1008" s="3">
        <v>0.50373842592592588</v>
      </c>
      <c r="E1008">
        <f t="shared" si="135"/>
        <v>12</v>
      </c>
      <c r="F1008">
        <v>42</v>
      </c>
      <c r="G1008" t="s">
        <v>99</v>
      </c>
      <c r="H1008" t="s">
        <v>38</v>
      </c>
      <c r="I1008" t="s">
        <v>85</v>
      </c>
      <c r="J1008" t="s">
        <v>127</v>
      </c>
      <c r="K1008" t="s">
        <v>62</v>
      </c>
      <c r="L1008">
        <v>181.42</v>
      </c>
      <c r="M1008" t="s">
        <v>23</v>
      </c>
      <c r="N1008">
        <f t="shared" si="136"/>
        <v>0</v>
      </c>
      <c r="O1008" t="s">
        <v>34</v>
      </c>
      <c r="P1008" t="s">
        <v>1174</v>
      </c>
      <c r="Q1008">
        <v>0</v>
      </c>
      <c r="R1008">
        <v>231</v>
      </c>
      <c r="S1008">
        <f t="shared" si="137"/>
        <v>9.4223004493582438E-2</v>
      </c>
      <c r="T1008">
        <f t="shared" si="138"/>
        <v>0</v>
      </c>
      <c r="U1008">
        <f t="shared" si="139"/>
        <v>0</v>
      </c>
      <c r="V1008">
        <f t="shared" si="140"/>
        <v>1</v>
      </c>
      <c r="W1008">
        <f t="shared" si="141"/>
        <v>1</v>
      </c>
      <c r="X1008">
        <f t="shared" si="142"/>
        <v>0</v>
      </c>
      <c r="Y1008">
        <f t="shared" si="143"/>
        <v>0</v>
      </c>
    </row>
    <row r="1009" spans="1:25" x14ac:dyDescent="0.3">
      <c r="A1009" t="s">
        <v>3533</v>
      </c>
      <c r="B1009" t="s">
        <v>3534</v>
      </c>
      <c r="C1009" s="1">
        <v>45880</v>
      </c>
      <c r="D1009" s="3">
        <v>0.73263888888888884</v>
      </c>
      <c r="E1009">
        <f t="shared" si="135"/>
        <v>17</v>
      </c>
      <c r="F1009">
        <v>43</v>
      </c>
      <c r="G1009" t="s">
        <v>60</v>
      </c>
      <c r="H1009" t="s">
        <v>90</v>
      </c>
      <c r="I1009" t="s">
        <v>48</v>
      </c>
      <c r="J1009" t="s">
        <v>127</v>
      </c>
      <c r="K1009" t="s">
        <v>22</v>
      </c>
      <c r="L1009">
        <v>181.39</v>
      </c>
      <c r="M1009" t="s">
        <v>42</v>
      </c>
      <c r="N1009">
        <f t="shared" si="136"/>
        <v>0</v>
      </c>
      <c r="O1009" t="s">
        <v>51</v>
      </c>
      <c r="P1009" t="s">
        <v>3535</v>
      </c>
      <c r="Q1009">
        <v>0</v>
      </c>
      <c r="R1009">
        <v>66</v>
      </c>
      <c r="S1009">
        <f t="shared" si="137"/>
        <v>9.3807676709299639E-2</v>
      </c>
      <c r="T1009">
        <f t="shared" si="138"/>
        <v>0</v>
      </c>
      <c r="U1009">
        <f t="shared" si="139"/>
        <v>0</v>
      </c>
      <c r="V1009">
        <f t="shared" si="140"/>
        <v>1</v>
      </c>
      <c r="W1009">
        <f t="shared" si="141"/>
        <v>1</v>
      </c>
      <c r="X1009">
        <f t="shared" si="142"/>
        <v>0</v>
      </c>
      <c r="Y1009">
        <f t="shared" si="143"/>
        <v>0</v>
      </c>
    </row>
    <row r="1010" spans="1:25" x14ac:dyDescent="0.3">
      <c r="A1010" t="s">
        <v>6422</v>
      </c>
      <c r="B1010" t="s">
        <v>6423</v>
      </c>
      <c r="C1010" s="1">
        <v>45859</v>
      </c>
      <c r="D1010" s="3">
        <v>3.1250000000000002E-3</v>
      </c>
      <c r="E1010">
        <f t="shared" si="135"/>
        <v>0</v>
      </c>
      <c r="F1010">
        <v>59</v>
      </c>
      <c r="G1010" t="s">
        <v>60</v>
      </c>
      <c r="H1010" t="s">
        <v>232</v>
      </c>
      <c r="I1010" t="s">
        <v>20</v>
      </c>
      <c r="J1010" t="s">
        <v>94</v>
      </c>
      <c r="K1010" t="s">
        <v>120</v>
      </c>
      <c r="L1010">
        <v>181.34</v>
      </c>
      <c r="M1010" t="s">
        <v>42</v>
      </c>
      <c r="N1010">
        <f t="shared" si="136"/>
        <v>0</v>
      </c>
      <c r="O1010" t="s">
        <v>34</v>
      </c>
      <c r="P1010" t="s">
        <v>6424</v>
      </c>
      <c r="Q1010">
        <v>0</v>
      </c>
      <c r="R1010">
        <v>212</v>
      </c>
      <c r="S1010">
        <f t="shared" si="137"/>
        <v>9.3115463735495257E-2</v>
      </c>
      <c r="T1010">
        <f t="shared" si="138"/>
        <v>0</v>
      </c>
      <c r="U1010">
        <f t="shared" si="139"/>
        <v>1</v>
      </c>
      <c r="V1010">
        <f t="shared" si="140"/>
        <v>1</v>
      </c>
      <c r="W1010">
        <f t="shared" si="141"/>
        <v>3</v>
      </c>
      <c r="X1010">
        <f t="shared" si="142"/>
        <v>0</v>
      </c>
      <c r="Y1010">
        <f t="shared" si="143"/>
        <v>0</v>
      </c>
    </row>
    <row r="1011" spans="1:25" x14ac:dyDescent="0.3">
      <c r="A1011" t="s">
        <v>464</v>
      </c>
      <c r="B1011" t="s">
        <v>465</v>
      </c>
      <c r="C1011" s="1">
        <v>45737</v>
      </c>
      <c r="D1011" s="3">
        <v>0.50685185185185189</v>
      </c>
      <c r="E1011">
        <f t="shared" si="135"/>
        <v>12</v>
      </c>
      <c r="F1011">
        <v>44</v>
      </c>
      <c r="G1011" t="s">
        <v>18</v>
      </c>
      <c r="H1011" t="s">
        <v>131</v>
      </c>
      <c r="I1011" t="s">
        <v>20</v>
      </c>
      <c r="J1011" t="s">
        <v>40</v>
      </c>
      <c r="K1011" t="s">
        <v>50</v>
      </c>
      <c r="L1011">
        <v>181.2</v>
      </c>
      <c r="M1011" t="s">
        <v>33</v>
      </c>
      <c r="N1011">
        <f t="shared" si="136"/>
        <v>0</v>
      </c>
      <c r="O1011" t="s">
        <v>51</v>
      </c>
      <c r="P1011" t="s">
        <v>466</v>
      </c>
      <c r="Q1011">
        <v>0</v>
      </c>
      <c r="R1011">
        <v>381</v>
      </c>
      <c r="S1011">
        <f t="shared" si="137"/>
        <v>9.1177267408842105E-2</v>
      </c>
      <c r="T1011">
        <f t="shared" si="138"/>
        <v>0</v>
      </c>
      <c r="U1011">
        <f t="shared" si="139"/>
        <v>0</v>
      </c>
      <c r="V1011">
        <f t="shared" si="140"/>
        <v>0</v>
      </c>
      <c r="W1011">
        <f t="shared" si="141"/>
        <v>0</v>
      </c>
      <c r="X1011">
        <f t="shared" si="142"/>
        <v>0</v>
      </c>
      <c r="Y1011">
        <f t="shared" si="143"/>
        <v>0</v>
      </c>
    </row>
    <row r="1012" spans="1:25" x14ac:dyDescent="0.3">
      <c r="A1012" t="s">
        <v>3431</v>
      </c>
      <c r="B1012" t="s">
        <v>3432</v>
      </c>
      <c r="C1012" s="1">
        <v>45764</v>
      </c>
      <c r="D1012" s="3">
        <v>0.23569444444444446</v>
      </c>
      <c r="E1012">
        <f t="shared" si="135"/>
        <v>5</v>
      </c>
      <c r="F1012">
        <v>55</v>
      </c>
      <c r="G1012" t="s">
        <v>60</v>
      </c>
      <c r="H1012" t="s">
        <v>70</v>
      </c>
      <c r="I1012" t="s">
        <v>71</v>
      </c>
      <c r="J1012" t="s">
        <v>31</v>
      </c>
      <c r="K1012" t="s">
        <v>32</v>
      </c>
      <c r="L1012">
        <v>181.15</v>
      </c>
      <c r="M1012" t="s">
        <v>23</v>
      </c>
      <c r="N1012">
        <f t="shared" si="136"/>
        <v>0</v>
      </c>
      <c r="O1012" t="s">
        <v>86</v>
      </c>
      <c r="P1012" t="s">
        <v>3433</v>
      </c>
      <c r="Q1012">
        <v>0</v>
      </c>
      <c r="R1012">
        <v>448</v>
      </c>
      <c r="S1012">
        <f t="shared" si="137"/>
        <v>9.0485054435037723E-2</v>
      </c>
      <c r="T1012">
        <f t="shared" si="138"/>
        <v>0</v>
      </c>
      <c r="U1012">
        <f t="shared" si="139"/>
        <v>1</v>
      </c>
      <c r="V1012">
        <f t="shared" si="140"/>
        <v>0</v>
      </c>
      <c r="W1012">
        <f t="shared" si="141"/>
        <v>2</v>
      </c>
      <c r="X1012">
        <f t="shared" si="142"/>
        <v>0</v>
      </c>
      <c r="Y1012">
        <f t="shared" si="143"/>
        <v>0</v>
      </c>
    </row>
    <row r="1013" spans="1:25" x14ac:dyDescent="0.3">
      <c r="A1013" t="s">
        <v>950</v>
      </c>
      <c r="B1013" t="s">
        <v>951</v>
      </c>
      <c r="C1013" s="1">
        <v>45744</v>
      </c>
      <c r="D1013" s="3">
        <v>0.55982638888888892</v>
      </c>
      <c r="E1013">
        <f t="shared" si="135"/>
        <v>13</v>
      </c>
      <c r="F1013">
        <v>57</v>
      </c>
      <c r="G1013" t="s">
        <v>60</v>
      </c>
      <c r="H1013" t="s">
        <v>100</v>
      </c>
      <c r="I1013" t="s">
        <v>105</v>
      </c>
      <c r="J1013" t="s">
        <v>49</v>
      </c>
      <c r="K1013" t="s">
        <v>32</v>
      </c>
      <c r="L1013">
        <v>181.11</v>
      </c>
      <c r="M1013" t="s">
        <v>23</v>
      </c>
      <c r="N1013">
        <f t="shared" si="136"/>
        <v>0</v>
      </c>
      <c r="O1013" t="s">
        <v>24</v>
      </c>
      <c r="P1013" t="s">
        <v>952</v>
      </c>
      <c r="Q1013">
        <v>0</v>
      </c>
      <c r="R1013">
        <v>104</v>
      </c>
      <c r="S1013">
        <f t="shared" si="137"/>
        <v>8.993128405599414E-2</v>
      </c>
      <c r="T1013">
        <f t="shared" si="138"/>
        <v>0</v>
      </c>
      <c r="U1013">
        <f t="shared" si="139"/>
        <v>0</v>
      </c>
      <c r="V1013">
        <f t="shared" si="140"/>
        <v>1</v>
      </c>
      <c r="W1013">
        <f t="shared" si="141"/>
        <v>1</v>
      </c>
      <c r="X1013">
        <f t="shared" si="142"/>
        <v>0</v>
      </c>
      <c r="Y1013">
        <f t="shared" si="143"/>
        <v>0</v>
      </c>
    </row>
    <row r="1014" spans="1:25" x14ac:dyDescent="0.3">
      <c r="A1014" t="s">
        <v>4922</v>
      </c>
      <c r="B1014" t="s">
        <v>4923</v>
      </c>
      <c r="C1014" s="1">
        <v>45796</v>
      </c>
      <c r="D1014" s="3">
        <v>0.19019675925925925</v>
      </c>
      <c r="E1014">
        <f t="shared" si="135"/>
        <v>4</v>
      </c>
      <c r="F1014">
        <v>52</v>
      </c>
      <c r="G1014" t="s">
        <v>46</v>
      </c>
      <c r="H1014" t="s">
        <v>70</v>
      </c>
      <c r="I1014" t="s">
        <v>66</v>
      </c>
      <c r="J1014" t="s">
        <v>132</v>
      </c>
      <c r="K1014" t="s">
        <v>32</v>
      </c>
      <c r="L1014">
        <v>180.8</v>
      </c>
      <c r="M1014" t="s">
        <v>115</v>
      </c>
      <c r="N1014">
        <f t="shared" si="136"/>
        <v>0</v>
      </c>
      <c r="O1014" t="s">
        <v>51</v>
      </c>
      <c r="P1014" t="s">
        <v>4924</v>
      </c>
      <c r="Q1014">
        <v>0</v>
      </c>
      <c r="R1014">
        <v>442</v>
      </c>
      <c r="S1014">
        <f t="shared" si="137"/>
        <v>8.563956361840544E-2</v>
      </c>
      <c r="T1014">
        <f t="shared" si="138"/>
        <v>0</v>
      </c>
      <c r="U1014">
        <f t="shared" si="139"/>
        <v>1</v>
      </c>
      <c r="V1014">
        <f t="shared" si="140"/>
        <v>0</v>
      </c>
      <c r="W1014">
        <f t="shared" si="141"/>
        <v>2</v>
      </c>
      <c r="X1014">
        <f t="shared" si="142"/>
        <v>0</v>
      </c>
      <c r="Y1014">
        <f t="shared" si="143"/>
        <v>0</v>
      </c>
    </row>
    <row r="1015" spans="1:25" x14ac:dyDescent="0.3">
      <c r="A1015" t="s">
        <v>1295</v>
      </c>
      <c r="B1015" t="s">
        <v>1296</v>
      </c>
      <c r="C1015" s="1">
        <v>45864</v>
      </c>
      <c r="D1015" s="3">
        <v>0.80475694444444446</v>
      </c>
      <c r="E1015">
        <f t="shared" si="135"/>
        <v>19</v>
      </c>
      <c r="F1015">
        <v>32</v>
      </c>
      <c r="G1015" t="s">
        <v>60</v>
      </c>
      <c r="H1015" t="s">
        <v>131</v>
      </c>
      <c r="I1015" t="s">
        <v>20</v>
      </c>
      <c r="J1015" t="s">
        <v>72</v>
      </c>
      <c r="K1015" t="s">
        <v>114</v>
      </c>
      <c r="L1015">
        <v>180.67</v>
      </c>
      <c r="M1015" t="s">
        <v>115</v>
      </c>
      <c r="N1015">
        <f t="shared" si="136"/>
        <v>0</v>
      </c>
      <c r="O1015" t="s">
        <v>34</v>
      </c>
      <c r="P1015" t="s">
        <v>1297</v>
      </c>
      <c r="Q1015">
        <v>0</v>
      </c>
      <c r="R1015">
        <v>184</v>
      </c>
      <c r="S1015">
        <f t="shared" si="137"/>
        <v>8.3839809886513086E-2</v>
      </c>
      <c r="T1015">
        <f t="shared" si="138"/>
        <v>0</v>
      </c>
      <c r="U1015">
        <f t="shared" si="139"/>
        <v>0</v>
      </c>
      <c r="V1015">
        <f t="shared" si="140"/>
        <v>1</v>
      </c>
      <c r="W1015">
        <f t="shared" si="141"/>
        <v>1</v>
      </c>
      <c r="X1015">
        <f t="shared" si="142"/>
        <v>0</v>
      </c>
      <c r="Y1015">
        <f t="shared" si="143"/>
        <v>0</v>
      </c>
    </row>
    <row r="1016" spans="1:25" x14ac:dyDescent="0.3">
      <c r="A1016" t="s">
        <v>3125</v>
      </c>
      <c r="B1016" t="s">
        <v>3126</v>
      </c>
      <c r="C1016" s="1">
        <v>45722</v>
      </c>
      <c r="D1016" s="3">
        <v>0.30710648148148151</v>
      </c>
      <c r="E1016">
        <f t="shared" si="135"/>
        <v>7</v>
      </c>
      <c r="F1016">
        <v>23</v>
      </c>
      <c r="G1016" t="s">
        <v>46</v>
      </c>
      <c r="H1016" t="s">
        <v>312</v>
      </c>
      <c r="I1016" t="s">
        <v>85</v>
      </c>
      <c r="J1016" t="s">
        <v>127</v>
      </c>
      <c r="K1016" t="s">
        <v>62</v>
      </c>
      <c r="L1016">
        <v>180.6</v>
      </c>
      <c r="M1016" t="s">
        <v>115</v>
      </c>
      <c r="N1016">
        <f t="shared" si="136"/>
        <v>0</v>
      </c>
      <c r="O1016" t="s">
        <v>24</v>
      </c>
      <c r="P1016" t="s">
        <v>3127</v>
      </c>
      <c r="Q1016">
        <v>0</v>
      </c>
      <c r="R1016">
        <v>95</v>
      </c>
      <c r="S1016">
        <f t="shared" si="137"/>
        <v>8.2870711723186719E-2</v>
      </c>
      <c r="T1016">
        <f t="shared" si="138"/>
        <v>0</v>
      </c>
      <c r="U1016">
        <f t="shared" si="139"/>
        <v>0</v>
      </c>
      <c r="V1016">
        <f t="shared" si="140"/>
        <v>1</v>
      </c>
      <c r="W1016">
        <f t="shared" si="141"/>
        <v>1</v>
      </c>
      <c r="X1016">
        <f t="shared" si="142"/>
        <v>0</v>
      </c>
      <c r="Y1016">
        <f t="shared" si="143"/>
        <v>0</v>
      </c>
    </row>
    <row r="1017" spans="1:25" x14ac:dyDescent="0.3">
      <c r="A1017" t="s">
        <v>1814</v>
      </c>
      <c r="B1017" t="s">
        <v>1815</v>
      </c>
      <c r="C1017" s="1">
        <v>45762</v>
      </c>
      <c r="D1017" s="3">
        <v>0.10106481481481482</v>
      </c>
      <c r="E1017">
        <f t="shared" si="135"/>
        <v>2</v>
      </c>
      <c r="F1017">
        <v>36</v>
      </c>
      <c r="G1017" t="s">
        <v>6479</v>
      </c>
      <c r="H1017" t="s">
        <v>232</v>
      </c>
      <c r="I1017" t="s">
        <v>110</v>
      </c>
      <c r="J1017" t="s">
        <v>76</v>
      </c>
      <c r="K1017" t="s">
        <v>41</v>
      </c>
      <c r="L1017">
        <v>180.46</v>
      </c>
      <c r="M1017" t="s">
        <v>115</v>
      </c>
      <c r="N1017">
        <f t="shared" si="136"/>
        <v>0</v>
      </c>
      <c r="O1017" t="s">
        <v>86</v>
      </c>
      <c r="P1017" t="s">
        <v>1816</v>
      </c>
      <c r="Q1017">
        <v>0</v>
      </c>
      <c r="R1017">
        <v>376</v>
      </c>
      <c r="S1017">
        <f t="shared" si="137"/>
        <v>8.0932515396533955E-2</v>
      </c>
      <c r="T1017">
        <f t="shared" si="138"/>
        <v>0</v>
      </c>
      <c r="U1017">
        <f t="shared" si="139"/>
        <v>1</v>
      </c>
      <c r="V1017">
        <f t="shared" si="140"/>
        <v>0</v>
      </c>
      <c r="W1017">
        <f t="shared" si="141"/>
        <v>2</v>
      </c>
      <c r="X1017">
        <f t="shared" si="142"/>
        <v>0</v>
      </c>
      <c r="Y1017">
        <f t="shared" si="143"/>
        <v>0</v>
      </c>
    </row>
    <row r="1018" spans="1:25" x14ac:dyDescent="0.3">
      <c r="A1018" t="s">
        <v>5405</v>
      </c>
      <c r="B1018" t="s">
        <v>5406</v>
      </c>
      <c r="C1018" s="1">
        <v>45854</v>
      </c>
      <c r="D1018" s="3">
        <v>1.3356481481481481E-2</v>
      </c>
      <c r="E1018">
        <f t="shared" si="135"/>
        <v>0</v>
      </c>
      <c r="F1018">
        <v>51</v>
      </c>
      <c r="G1018" t="s">
        <v>46</v>
      </c>
      <c r="H1018" t="s">
        <v>167</v>
      </c>
      <c r="I1018" t="s">
        <v>39</v>
      </c>
      <c r="J1018" t="s">
        <v>21</v>
      </c>
      <c r="K1018" t="s">
        <v>101</v>
      </c>
      <c r="L1018">
        <v>180.37</v>
      </c>
      <c r="M1018" t="s">
        <v>42</v>
      </c>
      <c r="N1018">
        <f t="shared" si="136"/>
        <v>0</v>
      </c>
      <c r="O1018" t="s">
        <v>51</v>
      </c>
      <c r="P1018" t="s">
        <v>5407</v>
      </c>
      <c r="Q1018">
        <v>0</v>
      </c>
      <c r="R1018">
        <v>334</v>
      </c>
      <c r="S1018">
        <f t="shared" si="137"/>
        <v>7.9686532043685587E-2</v>
      </c>
      <c r="T1018">
        <f t="shared" si="138"/>
        <v>0</v>
      </c>
      <c r="U1018">
        <f t="shared" si="139"/>
        <v>1</v>
      </c>
      <c r="V1018">
        <f t="shared" si="140"/>
        <v>0</v>
      </c>
      <c r="W1018">
        <f t="shared" si="141"/>
        <v>2</v>
      </c>
      <c r="X1018">
        <f t="shared" si="142"/>
        <v>0</v>
      </c>
      <c r="Y1018">
        <f t="shared" si="143"/>
        <v>0</v>
      </c>
    </row>
    <row r="1019" spans="1:25" x14ac:dyDescent="0.3">
      <c r="A1019" t="s">
        <v>458</v>
      </c>
      <c r="B1019" t="s">
        <v>459</v>
      </c>
      <c r="C1019" s="1">
        <v>45794</v>
      </c>
      <c r="D1019" s="3">
        <v>0.63232638888888892</v>
      </c>
      <c r="E1019">
        <f t="shared" si="135"/>
        <v>15</v>
      </c>
      <c r="F1019">
        <v>57</v>
      </c>
      <c r="G1019" t="s">
        <v>18</v>
      </c>
      <c r="H1019" t="s">
        <v>189</v>
      </c>
      <c r="I1019" t="s">
        <v>119</v>
      </c>
      <c r="J1019" t="s">
        <v>31</v>
      </c>
      <c r="K1019" t="s">
        <v>114</v>
      </c>
      <c r="L1019">
        <v>180.29</v>
      </c>
      <c r="M1019" t="s">
        <v>23</v>
      </c>
      <c r="N1019">
        <f t="shared" si="136"/>
        <v>0</v>
      </c>
      <c r="O1019" t="s">
        <v>86</v>
      </c>
      <c r="P1019" t="s">
        <v>460</v>
      </c>
      <c r="Q1019">
        <v>0</v>
      </c>
      <c r="R1019">
        <v>248</v>
      </c>
      <c r="S1019">
        <f t="shared" si="137"/>
        <v>7.8578991285598018E-2</v>
      </c>
      <c r="T1019">
        <f t="shared" si="138"/>
        <v>0</v>
      </c>
      <c r="U1019">
        <f t="shared" si="139"/>
        <v>0</v>
      </c>
      <c r="V1019">
        <f t="shared" si="140"/>
        <v>1</v>
      </c>
      <c r="W1019">
        <f t="shared" si="141"/>
        <v>1</v>
      </c>
      <c r="X1019">
        <f t="shared" si="142"/>
        <v>0</v>
      </c>
      <c r="Y1019">
        <f t="shared" si="143"/>
        <v>0</v>
      </c>
    </row>
    <row r="1020" spans="1:25" x14ac:dyDescent="0.3">
      <c r="A1020" t="s">
        <v>3479</v>
      </c>
      <c r="B1020" t="s">
        <v>3480</v>
      </c>
      <c r="C1020" s="1">
        <v>45774</v>
      </c>
      <c r="D1020" s="3">
        <v>0.48799768518518516</v>
      </c>
      <c r="E1020">
        <f t="shared" si="135"/>
        <v>11</v>
      </c>
      <c r="F1020">
        <v>19</v>
      </c>
      <c r="G1020" t="s">
        <v>18</v>
      </c>
      <c r="H1020" t="s">
        <v>55</v>
      </c>
      <c r="I1020" t="s">
        <v>119</v>
      </c>
      <c r="J1020" t="s">
        <v>72</v>
      </c>
      <c r="K1020" t="s">
        <v>32</v>
      </c>
      <c r="L1020">
        <v>180.13</v>
      </c>
      <c r="M1020" t="s">
        <v>33</v>
      </c>
      <c r="N1020">
        <f t="shared" si="136"/>
        <v>0</v>
      </c>
      <c r="O1020" t="s">
        <v>34</v>
      </c>
      <c r="P1020" t="s">
        <v>3481</v>
      </c>
      <c r="Q1020">
        <v>0</v>
      </c>
      <c r="R1020">
        <v>357</v>
      </c>
      <c r="S1020">
        <f t="shared" si="137"/>
        <v>7.6363909769423283E-2</v>
      </c>
      <c r="T1020">
        <f t="shared" si="138"/>
        <v>0</v>
      </c>
      <c r="U1020">
        <f t="shared" si="139"/>
        <v>0</v>
      </c>
      <c r="V1020">
        <f t="shared" si="140"/>
        <v>0</v>
      </c>
      <c r="W1020">
        <f t="shared" si="141"/>
        <v>0</v>
      </c>
      <c r="X1020">
        <f t="shared" si="142"/>
        <v>0</v>
      </c>
      <c r="Y1020">
        <f t="shared" si="143"/>
        <v>0</v>
      </c>
    </row>
    <row r="1021" spans="1:25" x14ac:dyDescent="0.3">
      <c r="A1021" t="s">
        <v>150</v>
      </c>
      <c r="B1021" t="s">
        <v>151</v>
      </c>
      <c r="C1021" s="1">
        <v>45809</v>
      </c>
      <c r="D1021" s="3">
        <v>0.13391203703703702</v>
      </c>
      <c r="E1021">
        <f t="shared" si="135"/>
        <v>3</v>
      </c>
      <c r="F1021">
        <v>39</v>
      </c>
      <c r="G1021" t="s">
        <v>60</v>
      </c>
      <c r="H1021" t="s">
        <v>55</v>
      </c>
      <c r="I1021" t="s">
        <v>105</v>
      </c>
      <c r="J1021" t="s">
        <v>21</v>
      </c>
      <c r="K1021" t="s">
        <v>120</v>
      </c>
      <c r="L1021">
        <v>180.05</v>
      </c>
      <c r="M1021" t="s">
        <v>115</v>
      </c>
      <c r="N1021">
        <f t="shared" si="136"/>
        <v>0</v>
      </c>
      <c r="O1021" t="s">
        <v>86</v>
      </c>
      <c r="P1021" t="s">
        <v>152</v>
      </c>
      <c r="Q1021">
        <v>0</v>
      </c>
      <c r="R1021">
        <v>394</v>
      </c>
      <c r="S1021">
        <f t="shared" si="137"/>
        <v>7.5256369011336102E-2</v>
      </c>
      <c r="T1021">
        <f t="shared" si="138"/>
        <v>0</v>
      </c>
      <c r="U1021">
        <f t="shared" si="139"/>
        <v>1</v>
      </c>
      <c r="V1021">
        <f t="shared" si="140"/>
        <v>0</v>
      </c>
      <c r="W1021">
        <f t="shared" si="141"/>
        <v>2</v>
      </c>
      <c r="X1021">
        <f t="shared" si="142"/>
        <v>0</v>
      </c>
      <c r="Y1021">
        <f t="shared" si="143"/>
        <v>0</v>
      </c>
    </row>
    <row r="1022" spans="1:25" x14ac:dyDescent="0.3">
      <c r="A1022" t="s">
        <v>2096</v>
      </c>
      <c r="B1022" t="s">
        <v>2097</v>
      </c>
      <c r="C1022" s="1">
        <v>45799</v>
      </c>
      <c r="D1022" s="3">
        <v>3.1342592592592596E-2</v>
      </c>
      <c r="E1022">
        <f t="shared" si="135"/>
        <v>0</v>
      </c>
      <c r="F1022">
        <v>62</v>
      </c>
      <c r="G1022" t="s">
        <v>18</v>
      </c>
      <c r="H1022" t="s">
        <v>100</v>
      </c>
      <c r="I1022" t="s">
        <v>110</v>
      </c>
      <c r="J1022" t="s">
        <v>56</v>
      </c>
      <c r="K1022" t="s">
        <v>22</v>
      </c>
      <c r="L1022">
        <v>179.86</v>
      </c>
      <c r="M1022" t="s">
        <v>115</v>
      </c>
      <c r="N1022">
        <f t="shared" si="136"/>
        <v>0</v>
      </c>
      <c r="O1022" t="s">
        <v>86</v>
      </c>
      <c r="P1022" t="s">
        <v>2098</v>
      </c>
      <c r="Q1022">
        <v>0</v>
      </c>
      <c r="R1022">
        <v>124</v>
      </c>
      <c r="S1022">
        <f t="shared" si="137"/>
        <v>7.2625959710878568E-2</v>
      </c>
      <c r="T1022">
        <f t="shared" si="138"/>
        <v>0</v>
      </c>
      <c r="U1022">
        <f t="shared" si="139"/>
        <v>1</v>
      </c>
      <c r="V1022">
        <f t="shared" si="140"/>
        <v>1</v>
      </c>
      <c r="W1022">
        <f t="shared" si="141"/>
        <v>3</v>
      </c>
      <c r="X1022">
        <f t="shared" si="142"/>
        <v>0</v>
      </c>
      <c r="Y1022">
        <f t="shared" si="143"/>
        <v>0</v>
      </c>
    </row>
    <row r="1023" spans="1:25" x14ac:dyDescent="0.3">
      <c r="A1023" t="s">
        <v>5237</v>
      </c>
      <c r="B1023" t="s">
        <v>5238</v>
      </c>
      <c r="C1023" s="1">
        <v>45837</v>
      </c>
      <c r="D1023" s="3">
        <v>0.82943287037037039</v>
      </c>
      <c r="E1023">
        <f t="shared" si="135"/>
        <v>19</v>
      </c>
      <c r="F1023">
        <v>58</v>
      </c>
      <c r="G1023" t="s">
        <v>60</v>
      </c>
      <c r="H1023" t="s">
        <v>185</v>
      </c>
      <c r="I1023" t="s">
        <v>105</v>
      </c>
      <c r="J1023" t="s">
        <v>21</v>
      </c>
      <c r="K1023" t="s">
        <v>168</v>
      </c>
      <c r="L1023">
        <v>179.86</v>
      </c>
      <c r="M1023" t="s">
        <v>115</v>
      </c>
      <c r="N1023">
        <f t="shared" si="136"/>
        <v>0</v>
      </c>
      <c r="O1023" t="s">
        <v>34</v>
      </c>
      <c r="P1023" t="s">
        <v>5239</v>
      </c>
      <c r="Q1023">
        <v>0</v>
      </c>
      <c r="R1023">
        <v>396</v>
      </c>
      <c r="S1023">
        <f t="shared" si="137"/>
        <v>7.2625959710878568E-2</v>
      </c>
      <c r="T1023">
        <f t="shared" si="138"/>
        <v>0</v>
      </c>
      <c r="U1023">
        <f t="shared" si="139"/>
        <v>0</v>
      </c>
      <c r="V1023">
        <f t="shared" si="140"/>
        <v>0</v>
      </c>
      <c r="W1023">
        <f t="shared" si="141"/>
        <v>0</v>
      </c>
      <c r="X1023">
        <f t="shared" si="142"/>
        <v>0</v>
      </c>
      <c r="Y1023">
        <f t="shared" si="143"/>
        <v>0</v>
      </c>
    </row>
    <row r="1024" spans="1:25" x14ac:dyDescent="0.3">
      <c r="A1024" t="s">
        <v>3920</v>
      </c>
      <c r="B1024" t="s">
        <v>3921</v>
      </c>
      <c r="C1024" s="1">
        <v>45772</v>
      </c>
      <c r="D1024" s="3">
        <v>0.13442129629629629</v>
      </c>
      <c r="E1024">
        <f t="shared" si="135"/>
        <v>3</v>
      </c>
      <c r="F1024">
        <v>41</v>
      </c>
      <c r="G1024" t="s">
        <v>18</v>
      </c>
      <c r="H1024" t="s">
        <v>19</v>
      </c>
      <c r="I1024" t="s">
        <v>85</v>
      </c>
      <c r="J1024" t="s">
        <v>72</v>
      </c>
      <c r="K1024" t="s">
        <v>41</v>
      </c>
      <c r="L1024">
        <v>179.65</v>
      </c>
      <c r="M1024" t="s">
        <v>23</v>
      </c>
      <c r="N1024">
        <f t="shared" si="136"/>
        <v>0</v>
      </c>
      <c r="O1024" t="s">
        <v>86</v>
      </c>
      <c r="P1024" t="s">
        <v>3922</v>
      </c>
      <c r="Q1024">
        <v>0</v>
      </c>
      <c r="R1024">
        <v>189</v>
      </c>
      <c r="S1024">
        <f t="shared" si="137"/>
        <v>6.9718665220899048E-2</v>
      </c>
      <c r="T1024">
        <f t="shared" si="138"/>
        <v>0</v>
      </c>
      <c r="U1024">
        <f t="shared" si="139"/>
        <v>1</v>
      </c>
      <c r="V1024">
        <f t="shared" si="140"/>
        <v>1</v>
      </c>
      <c r="W1024">
        <f t="shared" si="141"/>
        <v>3</v>
      </c>
      <c r="X1024">
        <f t="shared" si="142"/>
        <v>0</v>
      </c>
      <c r="Y1024">
        <f t="shared" si="143"/>
        <v>0</v>
      </c>
    </row>
    <row r="1025" spans="1:25" x14ac:dyDescent="0.3">
      <c r="A1025" t="s">
        <v>5312</v>
      </c>
      <c r="B1025" t="s">
        <v>5313</v>
      </c>
      <c r="C1025" s="1">
        <v>45846</v>
      </c>
      <c r="D1025" s="3">
        <v>0.91935185185185186</v>
      </c>
      <c r="E1025">
        <f t="shared" si="135"/>
        <v>22</v>
      </c>
      <c r="F1025">
        <v>49</v>
      </c>
      <c r="G1025" t="s">
        <v>18</v>
      </c>
      <c r="H1025" t="s">
        <v>185</v>
      </c>
      <c r="I1025" t="s">
        <v>48</v>
      </c>
      <c r="J1025" t="s">
        <v>49</v>
      </c>
      <c r="K1025" t="s">
        <v>50</v>
      </c>
      <c r="L1025">
        <v>179.64</v>
      </c>
      <c r="M1025" t="s">
        <v>33</v>
      </c>
      <c r="N1025">
        <f t="shared" si="136"/>
        <v>0</v>
      </c>
      <c r="O1025" t="s">
        <v>34</v>
      </c>
      <c r="P1025" t="s">
        <v>5314</v>
      </c>
      <c r="Q1025">
        <v>0</v>
      </c>
      <c r="R1025">
        <v>209</v>
      </c>
      <c r="S1025">
        <f t="shared" si="137"/>
        <v>6.9580222626137847E-2</v>
      </c>
      <c r="T1025">
        <f t="shared" si="138"/>
        <v>0</v>
      </c>
      <c r="U1025">
        <f t="shared" si="139"/>
        <v>0</v>
      </c>
      <c r="V1025">
        <f t="shared" si="140"/>
        <v>1</v>
      </c>
      <c r="W1025">
        <f t="shared" si="141"/>
        <v>1</v>
      </c>
      <c r="X1025">
        <f t="shared" si="142"/>
        <v>0</v>
      </c>
      <c r="Y1025">
        <f t="shared" si="143"/>
        <v>0</v>
      </c>
    </row>
    <row r="1026" spans="1:25" x14ac:dyDescent="0.3">
      <c r="A1026" t="s">
        <v>4556</v>
      </c>
      <c r="B1026" t="s">
        <v>4557</v>
      </c>
      <c r="C1026" s="1">
        <v>45784</v>
      </c>
      <c r="D1026" s="3">
        <v>0.10784722222222222</v>
      </c>
      <c r="E1026">
        <f t="shared" ref="E1026:E1089" si="144">HOUR(D1026)</f>
        <v>2</v>
      </c>
      <c r="F1026">
        <v>24</v>
      </c>
      <c r="G1026" t="s">
        <v>60</v>
      </c>
      <c r="H1026" t="s">
        <v>232</v>
      </c>
      <c r="I1026" t="s">
        <v>71</v>
      </c>
      <c r="J1026" t="s">
        <v>21</v>
      </c>
      <c r="K1026" t="s">
        <v>22</v>
      </c>
      <c r="L1026">
        <v>179.5</v>
      </c>
      <c r="M1026" t="s">
        <v>33</v>
      </c>
      <c r="N1026">
        <f t="shared" ref="N1026:N1089" si="145">IF(M1026="Unknown",1,0)</f>
        <v>0</v>
      </c>
      <c r="O1026" t="s">
        <v>34</v>
      </c>
      <c r="P1026" t="s">
        <v>4558</v>
      </c>
      <c r="Q1026">
        <v>0</v>
      </c>
      <c r="R1026">
        <v>230</v>
      </c>
      <c r="S1026">
        <f t="shared" ref="S1026:S1089" si="146">(L1026-$P$2137)/$P$2138</f>
        <v>6.7642026299485097E-2</v>
      </c>
      <c r="T1026">
        <f t="shared" ref="T1026:T1089" si="147">IF(ABS(Z1026)&gt;3,1,0)</f>
        <v>0</v>
      </c>
      <c r="U1026">
        <f t="shared" ref="U1026:U1089" si="148">IF(AND(E1026&gt;=0,E1026&lt;=5),1,0)</f>
        <v>1</v>
      </c>
      <c r="V1026">
        <f t="shared" ref="V1026:V1089" si="149">IF(R1026&lt;AVERAGE($R:$R),1,0)</f>
        <v>1</v>
      </c>
      <c r="W1026">
        <f t="shared" ref="W1026:W1089" si="150">T1026*3+U1026*2+V1026*1+N1026*2</f>
        <v>3</v>
      </c>
      <c r="X1026">
        <f t="shared" ref="X1026:X1089" si="151">IF(W1026&gt;=5,1,0)</f>
        <v>0</v>
      </c>
      <c r="Y1026">
        <f t="shared" ref="Y1026:Y1089" si="152">IF(M1026="Unknown",1,0)</f>
        <v>0</v>
      </c>
    </row>
    <row r="1027" spans="1:25" x14ac:dyDescent="0.3">
      <c r="A1027" t="s">
        <v>5141</v>
      </c>
      <c r="B1027" t="s">
        <v>5142</v>
      </c>
      <c r="C1027" s="1">
        <v>45805</v>
      </c>
      <c r="D1027" s="3">
        <v>0.35910879629629627</v>
      </c>
      <c r="E1027">
        <f t="shared" si="144"/>
        <v>8</v>
      </c>
      <c r="F1027">
        <v>62</v>
      </c>
      <c r="G1027" t="s">
        <v>6479</v>
      </c>
      <c r="H1027" t="s">
        <v>100</v>
      </c>
      <c r="I1027" t="s">
        <v>20</v>
      </c>
      <c r="J1027" t="s">
        <v>40</v>
      </c>
      <c r="K1027" t="s">
        <v>32</v>
      </c>
      <c r="L1027">
        <v>179.49</v>
      </c>
      <c r="M1027" t="s">
        <v>115</v>
      </c>
      <c r="N1027">
        <f t="shared" si="145"/>
        <v>0</v>
      </c>
      <c r="O1027" t="s">
        <v>51</v>
      </c>
      <c r="P1027" t="s">
        <v>5143</v>
      </c>
      <c r="Q1027">
        <v>0</v>
      </c>
      <c r="R1027">
        <v>98</v>
      </c>
      <c r="S1027">
        <f t="shared" si="146"/>
        <v>6.7503583704724299E-2</v>
      </c>
      <c r="T1027">
        <f t="shared" si="147"/>
        <v>0</v>
      </c>
      <c r="U1027">
        <f t="shared" si="148"/>
        <v>0</v>
      </c>
      <c r="V1027">
        <f t="shared" si="149"/>
        <v>1</v>
      </c>
      <c r="W1027">
        <f t="shared" si="150"/>
        <v>1</v>
      </c>
      <c r="X1027">
        <f t="shared" si="151"/>
        <v>0</v>
      </c>
      <c r="Y1027">
        <f t="shared" si="152"/>
        <v>0</v>
      </c>
    </row>
    <row r="1028" spans="1:25" x14ac:dyDescent="0.3">
      <c r="A1028" t="s">
        <v>4577</v>
      </c>
      <c r="B1028" t="s">
        <v>4578</v>
      </c>
      <c r="C1028" s="1">
        <v>45864</v>
      </c>
      <c r="D1028" s="3">
        <v>0.67123842592592597</v>
      </c>
      <c r="E1028">
        <f t="shared" si="144"/>
        <v>16</v>
      </c>
      <c r="F1028">
        <v>40</v>
      </c>
      <c r="G1028" t="s">
        <v>60</v>
      </c>
      <c r="H1028" t="s">
        <v>29</v>
      </c>
      <c r="I1028" t="s">
        <v>66</v>
      </c>
      <c r="J1028" t="s">
        <v>40</v>
      </c>
      <c r="K1028" t="s">
        <v>41</v>
      </c>
      <c r="L1028">
        <v>179.48</v>
      </c>
      <c r="M1028" t="s">
        <v>33</v>
      </c>
      <c r="N1028">
        <f t="shared" si="145"/>
        <v>0</v>
      </c>
      <c r="O1028" t="s">
        <v>51</v>
      </c>
      <c r="P1028" t="s">
        <v>4579</v>
      </c>
      <c r="Q1028">
        <v>0</v>
      </c>
      <c r="R1028">
        <v>315</v>
      </c>
      <c r="S1028">
        <f t="shared" si="146"/>
        <v>6.7365141109963098E-2</v>
      </c>
      <c r="T1028">
        <f t="shared" si="147"/>
        <v>0</v>
      </c>
      <c r="U1028">
        <f t="shared" si="148"/>
        <v>0</v>
      </c>
      <c r="V1028">
        <f t="shared" si="149"/>
        <v>0</v>
      </c>
      <c r="W1028">
        <f t="shared" si="150"/>
        <v>0</v>
      </c>
      <c r="X1028">
        <f t="shared" si="151"/>
        <v>0</v>
      </c>
      <c r="Y1028">
        <f t="shared" si="152"/>
        <v>0</v>
      </c>
    </row>
    <row r="1029" spans="1:25" x14ac:dyDescent="0.3">
      <c r="A1029" t="s">
        <v>1760</v>
      </c>
      <c r="B1029" t="s">
        <v>1761</v>
      </c>
      <c r="C1029" s="1">
        <v>45784</v>
      </c>
      <c r="D1029" s="3">
        <v>6.6921296296296298E-2</v>
      </c>
      <c r="E1029">
        <f t="shared" si="144"/>
        <v>1</v>
      </c>
      <c r="F1029">
        <v>49</v>
      </c>
      <c r="G1029" t="s">
        <v>46</v>
      </c>
      <c r="H1029" t="s">
        <v>142</v>
      </c>
      <c r="I1029" t="s">
        <v>39</v>
      </c>
      <c r="J1029" t="s">
        <v>127</v>
      </c>
      <c r="K1029" t="s">
        <v>50</v>
      </c>
      <c r="L1029">
        <v>179.46</v>
      </c>
      <c r="M1029" t="s">
        <v>23</v>
      </c>
      <c r="N1029">
        <f t="shared" si="145"/>
        <v>0</v>
      </c>
      <c r="O1029" t="s">
        <v>24</v>
      </c>
      <c r="P1029" t="s">
        <v>1762</v>
      </c>
      <c r="Q1029">
        <v>0</v>
      </c>
      <c r="R1029">
        <v>278</v>
      </c>
      <c r="S1029">
        <f t="shared" si="146"/>
        <v>6.70882559204415E-2</v>
      </c>
      <c r="T1029">
        <f t="shared" si="147"/>
        <v>0</v>
      </c>
      <c r="U1029">
        <f t="shared" si="148"/>
        <v>1</v>
      </c>
      <c r="V1029">
        <f t="shared" si="149"/>
        <v>0</v>
      </c>
      <c r="W1029">
        <f t="shared" si="150"/>
        <v>2</v>
      </c>
      <c r="X1029">
        <f t="shared" si="151"/>
        <v>0</v>
      </c>
      <c r="Y1029">
        <f t="shared" si="152"/>
        <v>0</v>
      </c>
    </row>
    <row r="1030" spans="1:25" x14ac:dyDescent="0.3">
      <c r="A1030" t="s">
        <v>6050</v>
      </c>
      <c r="B1030" t="s">
        <v>6051</v>
      </c>
      <c r="C1030" s="1">
        <v>45829</v>
      </c>
      <c r="D1030" s="3">
        <v>0.81724537037037037</v>
      </c>
      <c r="E1030">
        <f t="shared" si="144"/>
        <v>19</v>
      </c>
      <c r="F1030">
        <v>53</v>
      </c>
      <c r="G1030" t="s">
        <v>18</v>
      </c>
      <c r="H1030" t="s">
        <v>175</v>
      </c>
      <c r="I1030" t="s">
        <v>20</v>
      </c>
      <c r="J1030" t="s">
        <v>49</v>
      </c>
      <c r="K1030" t="s">
        <v>32</v>
      </c>
      <c r="L1030">
        <v>179.4</v>
      </c>
      <c r="M1030" t="s">
        <v>33</v>
      </c>
      <c r="N1030">
        <f t="shared" si="145"/>
        <v>0</v>
      </c>
      <c r="O1030" t="s">
        <v>34</v>
      </c>
      <c r="P1030" t="s">
        <v>6052</v>
      </c>
      <c r="Q1030">
        <v>0</v>
      </c>
      <c r="R1030">
        <v>82</v>
      </c>
      <c r="S1030">
        <f t="shared" si="146"/>
        <v>6.6257600351875931E-2</v>
      </c>
      <c r="T1030">
        <f t="shared" si="147"/>
        <v>0</v>
      </c>
      <c r="U1030">
        <f t="shared" si="148"/>
        <v>0</v>
      </c>
      <c r="V1030">
        <f t="shared" si="149"/>
        <v>1</v>
      </c>
      <c r="W1030">
        <f t="shared" si="150"/>
        <v>1</v>
      </c>
      <c r="X1030">
        <f t="shared" si="151"/>
        <v>0</v>
      </c>
      <c r="Y1030">
        <f t="shared" si="152"/>
        <v>0</v>
      </c>
    </row>
    <row r="1031" spans="1:25" x14ac:dyDescent="0.3">
      <c r="A1031" t="s">
        <v>4046</v>
      </c>
      <c r="B1031" t="s">
        <v>4047</v>
      </c>
      <c r="C1031" s="1">
        <v>45771</v>
      </c>
      <c r="D1031" s="3">
        <v>0.72894675925925922</v>
      </c>
      <c r="E1031">
        <f t="shared" si="144"/>
        <v>17</v>
      </c>
      <c r="F1031">
        <v>37</v>
      </c>
      <c r="G1031" t="s">
        <v>18</v>
      </c>
      <c r="H1031" t="s">
        <v>70</v>
      </c>
      <c r="I1031" t="s">
        <v>105</v>
      </c>
      <c r="J1031" t="s">
        <v>49</v>
      </c>
      <c r="K1031" t="s">
        <v>41</v>
      </c>
      <c r="L1031">
        <v>179.32</v>
      </c>
      <c r="M1031" t="s">
        <v>115</v>
      </c>
      <c r="N1031">
        <f t="shared" si="145"/>
        <v>0</v>
      </c>
      <c r="O1031" t="s">
        <v>51</v>
      </c>
      <c r="P1031" t="s">
        <v>4048</v>
      </c>
      <c r="Q1031">
        <v>0</v>
      </c>
      <c r="R1031">
        <v>468</v>
      </c>
      <c r="S1031">
        <f t="shared" si="146"/>
        <v>6.5150059593788362E-2</v>
      </c>
      <c r="T1031">
        <f t="shared" si="147"/>
        <v>0</v>
      </c>
      <c r="U1031">
        <f t="shared" si="148"/>
        <v>0</v>
      </c>
      <c r="V1031">
        <f t="shared" si="149"/>
        <v>0</v>
      </c>
      <c r="W1031">
        <f t="shared" si="150"/>
        <v>0</v>
      </c>
      <c r="X1031">
        <f t="shared" si="151"/>
        <v>0</v>
      </c>
      <c r="Y1031">
        <f t="shared" si="152"/>
        <v>0</v>
      </c>
    </row>
    <row r="1032" spans="1:25" x14ac:dyDescent="0.3">
      <c r="A1032" t="s">
        <v>6239</v>
      </c>
      <c r="B1032" t="s">
        <v>6240</v>
      </c>
      <c r="C1032" s="1">
        <v>45711</v>
      </c>
      <c r="D1032" s="3">
        <v>0.6640625</v>
      </c>
      <c r="E1032">
        <f t="shared" si="144"/>
        <v>15</v>
      </c>
      <c r="F1032">
        <v>27</v>
      </c>
      <c r="G1032" t="s">
        <v>28</v>
      </c>
      <c r="H1032" t="s">
        <v>47</v>
      </c>
      <c r="I1032" t="s">
        <v>39</v>
      </c>
      <c r="J1032" t="s">
        <v>31</v>
      </c>
      <c r="K1032" t="s">
        <v>62</v>
      </c>
      <c r="L1032">
        <v>179.06</v>
      </c>
      <c r="M1032" t="s">
        <v>42</v>
      </c>
      <c r="N1032">
        <f t="shared" si="145"/>
        <v>0</v>
      </c>
      <c r="O1032" t="s">
        <v>34</v>
      </c>
      <c r="P1032" t="s">
        <v>6241</v>
      </c>
      <c r="Q1032">
        <v>1</v>
      </c>
      <c r="R1032">
        <v>395</v>
      </c>
      <c r="S1032">
        <f t="shared" si="146"/>
        <v>6.1550552130004446E-2</v>
      </c>
      <c r="T1032">
        <f t="shared" si="147"/>
        <v>0</v>
      </c>
      <c r="U1032">
        <f t="shared" si="148"/>
        <v>0</v>
      </c>
      <c r="V1032">
        <f t="shared" si="149"/>
        <v>0</v>
      </c>
      <c r="W1032">
        <f t="shared" si="150"/>
        <v>0</v>
      </c>
      <c r="X1032">
        <f t="shared" si="151"/>
        <v>0</v>
      </c>
      <c r="Y1032">
        <f t="shared" si="152"/>
        <v>0</v>
      </c>
    </row>
    <row r="1033" spans="1:25" x14ac:dyDescent="0.3">
      <c r="A1033" t="s">
        <v>1013</v>
      </c>
      <c r="B1033" t="s">
        <v>1014</v>
      </c>
      <c r="C1033" s="1">
        <v>45777</v>
      </c>
      <c r="D1033" s="3">
        <v>9.7106481481481488E-3</v>
      </c>
      <c r="E1033">
        <f t="shared" si="144"/>
        <v>0</v>
      </c>
      <c r="F1033">
        <v>65</v>
      </c>
      <c r="G1033" t="s">
        <v>46</v>
      </c>
      <c r="H1033" t="s">
        <v>100</v>
      </c>
      <c r="I1033" t="s">
        <v>39</v>
      </c>
      <c r="J1033" t="s">
        <v>72</v>
      </c>
      <c r="K1033" t="s">
        <v>120</v>
      </c>
      <c r="L1033">
        <v>178.87</v>
      </c>
      <c r="M1033" t="s">
        <v>23</v>
      </c>
      <c r="N1033">
        <f t="shared" si="145"/>
        <v>0</v>
      </c>
      <c r="O1033" t="s">
        <v>51</v>
      </c>
      <c r="P1033" t="s">
        <v>1015</v>
      </c>
      <c r="Q1033">
        <v>0</v>
      </c>
      <c r="R1033">
        <v>123</v>
      </c>
      <c r="S1033">
        <f t="shared" si="146"/>
        <v>5.8920142829546912E-2</v>
      </c>
      <c r="T1033">
        <f t="shared" si="147"/>
        <v>0</v>
      </c>
      <c r="U1033">
        <f t="shared" si="148"/>
        <v>1</v>
      </c>
      <c r="V1033">
        <f t="shared" si="149"/>
        <v>1</v>
      </c>
      <c r="W1033">
        <f t="shared" si="150"/>
        <v>3</v>
      </c>
      <c r="X1033">
        <f t="shared" si="151"/>
        <v>0</v>
      </c>
      <c r="Y1033">
        <f t="shared" si="152"/>
        <v>0</v>
      </c>
    </row>
    <row r="1034" spans="1:25" x14ac:dyDescent="0.3">
      <c r="A1034" s="2" t="s">
        <v>4076</v>
      </c>
      <c r="B1034" t="s">
        <v>4077</v>
      </c>
      <c r="C1034" s="1">
        <v>45759</v>
      </c>
      <c r="D1034" s="3">
        <v>0.88870370370370366</v>
      </c>
      <c r="E1034">
        <f t="shared" si="144"/>
        <v>21</v>
      </c>
      <c r="F1034">
        <v>55</v>
      </c>
      <c r="G1034" t="s">
        <v>60</v>
      </c>
      <c r="H1034" t="s">
        <v>100</v>
      </c>
      <c r="I1034" t="s">
        <v>105</v>
      </c>
      <c r="J1034" t="s">
        <v>94</v>
      </c>
      <c r="K1034" t="s">
        <v>120</v>
      </c>
      <c r="L1034">
        <v>178.58</v>
      </c>
      <c r="M1034" t="s">
        <v>33</v>
      </c>
      <c r="N1034">
        <f t="shared" si="145"/>
        <v>0</v>
      </c>
      <c r="O1034" t="s">
        <v>86</v>
      </c>
      <c r="P1034" t="s">
        <v>4078</v>
      </c>
      <c r="Q1034">
        <v>0</v>
      </c>
      <c r="R1034">
        <v>106</v>
      </c>
      <c r="S1034">
        <f t="shared" si="146"/>
        <v>5.4905307581480212E-2</v>
      </c>
      <c r="T1034">
        <f t="shared" si="147"/>
        <v>0</v>
      </c>
      <c r="U1034">
        <f t="shared" si="148"/>
        <v>0</v>
      </c>
      <c r="V1034">
        <f t="shared" si="149"/>
        <v>1</v>
      </c>
      <c r="W1034">
        <f t="shared" si="150"/>
        <v>1</v>
      </c>
      <c r="X1034">
        <f t="shared" si="151"/>
        <v>0</v>
      </c>
      <c r="Y1034">
        <f t="shared" si="152"/>
        <v>0</v>
      </c>
    </row>
    <row r="1035" spans="1:25" x14ac:dyDescent="0.3">
      <c r="A1035" t="s">
        <v>3275</v>
      </c>
      <c r="B1035" t="s">
        <v>3276</v>
      </c>
      <c r="C1035" s="1">
        <v>45766</v>
      </c>
      <c r="D1035" s="3">
        <v>0.79418981481481477</v>
      </c>
      <c r="E1035">
        <f t="shared" si="144"/>
        <v>19</v>
      </c>
      <c r="F1035">
        <v>42</v>
      </c>
      <c r="G1035" t="s">
        <v>46</v>
      </c>
      <c r="H1035" t="s">
        <v>175</v>
      </c>
      <c r="I1035" t="s">
        <v>20</v>
      </c>
      <c r="J1035" t="s">
        <v>76</v>
      </c>
      <c r="K1035" t="s">
        <v>95</v>
      </c>
      <c r="L1035">
        <v>178.52</v>
      </c>
      <c r="M1035" t="s">
        <v>23</v>
      </c>
      <c r="N1035">
        <f t="shared" si="145"/>
        <v>0</v>
      </c>
      <c r="O1035" t="s">
        <v>86</v>
      </c>
      <c r="P1035" t="s">
        <v>3277</v>
      </c>
      <c r="Q1035">
        <v>0</v>
      </c>
      <c r="R1035">
        <v>217</v>
      </c>
      <c r="S1035">
        <f t="shared" si="146"/>
        <v>5.4074652012914629E-2</v>
      </c>
      <c r="T1035">
        <f t="shared" si="147"/>
        <v>0</v>
      </c>
      <c r="U1035">
        <f t="shared" si="148"/>
        <v>0</v>
      </c>
      <c r="V1035">
        <f t="shared" si="149"/>
        <v>1</v>
      </c>
      <c r="W1035">
        <f t="shared" si="150"/>
        <v>1</v>
      </c>
      <c r="X1035">
        <f t="shared" si="151"/>
        <v>0</v>
      </c>
      <c r="Y1035">
        <f t="shared" si="152"/>
        <v>0</v>
      </c>
    </row>
    <row r="1036" spans="1:25" x14ac:dyDescent="0.3">
      <c r="A1036" t="s">
        <v>5300</v>
      </c>
      <c r="B1036" t="s">
        <v>5301</v>
      </c>
      <c r="C1036" s="1">
        <v>45846</v>
      </c>
      <c r="D1036" s="3">
        <v>0.1040625</v>
      </c>
      <c r="E1036">
        <f t="shared" si="144"/>
        <v>2</v>
      </c>
      <c r="F1036">
        <v>46</v>
      </c>
      <c r="G1036" t="s">
        <v>28</v>
      </c>
      <c r="H1036" t="s">
        <v>38</v>
      </c>
      <c r="I1036" t="s">
        <v>48</v>
      </c>
      <c r="J1036" t="s">
        <v>132</v>
      </c>
      <c r="K1036" t="s">
        <v>41</v>
      </c>
      <c r="L1036">
        <v>178.35</v>
      </c>
      <c r="M1036" t="s">
        <v>115</v>
      </c>
      <c r="N1036">
        <f t="shared" si="145"/>
        <v>0</v>
      </c>
      <c r="O1036" t="s">
        <v>34</v>
      </c>
      <c r="P1036" t="s">
        <v>5302</v>
      </c>
      <c r="Q1036">
        <v>0</v>
      </c>
      <c r="R1036">
        <v>308</v>
      </c>
      <c r="S1036">
        <f t="shared" si="146"/>
        <v>5.1721127901978692E-2</v>
      </c>
      <c r="T1036">
        <f t="shared" si="147"/>
        <v>0</v>
      </c>
      <c r="U1036">
        <f t="shared" si="148"/>
        <v>1</v>
      </c>
      <c r="V1036">
        <f t="shared" si="149"/>
        <v>0</v>
      </c>
      <c r="W1036">
        <f t="shared" si="150"/>
        <v>2</v>
      </c>
      <c r="X1036">
        <f t="shared" si="151"/>
        <v>0</v>
      </c>
      <c r="Y1036">
        <f t="shared" si="152"/>
        <v>0</v>
      </c>
    </row>
    <row r="1037" spans="1:25" x14ac:dyDescent="0.3">
      <c r="A1037" t="s">
        <v>755</v>
      </c>
      <c r="B1037" t="s">
        <v>756</v>
      </c>
      <c r="C1037" s="1">
        <v>45760</v>
      </c>
      <c r="D1037" s="3">
        <v>0.10657407407407407</v>
      </c>
      <c r="E1037">
        <f t="shared" si="144"/>
        <v>2</v>
      </c>
      <c r="F1037">
        <v>55</v>
      </c>
      <c r="G1037" t="s">
        <v>46</v>
      </c>
      <c r="H1037" t="s">
        <v>239</v>
      </c>
      <c r="I1037" t="s">
        <v>20</v>
      </c>
      <c r="J1037" t="s">
        <v>94</v>
      </c>
      <c r="K1037" t="s">
        <v>120</v>
      </c>
      <c r="L1037">
        <v>178.12</v>
      </c>
      <c r="M1037" t="s">
        <v>33</v>
      </c>
      <c r="N1037">
        <f t="shared" si="145"/>
        <v>0</v>
      </c>
      <c r="O1037" t="s">
        <v>34</v>
      </c>
      <c r="P1037" t="s">
        <v>757</v>
      </c>
      <c r="Q1037">
        <v>0</v>
      </c>
      <c r="R1037">
        <v>71</v>
      </c>
      <c r="S1037">
        <f t="shared" si="146"/>
        <v>4.8536948222477568E-2</v>
      </c>
      <c r="T1037">
        <f t="shared" si="147"/>
        <v>0</v>
      </c>
      <c r="U1037">
        <f t="shared" si="148"/>
        <v>1</v>
      </c>
      <c r="V1037">
        <f t="shared" si="149"/>
        <v>1</v>
      </c>
      <c r="W1037">
        <f t="shared" si="150"/>
        <v>3</v>
      </c>
      <c r="X1037">
        <f t="shared" si="151"/>
        <v>0</v>
      </c>
      <c r="Y1037">
        <f t="shared" si="152"/>
        <v>0</v>
      </c>
    </row>
    <row r="1038" spans="1:25" x14ac:dyDescent="0.3">
      <c r="A1038" t="s">
        <v>2366</v>
      </c>
      <c r="B1038" t="s">
        <v>2367</v>
      </c>
      <c r="C1038" s="1">
        <v>45875</v>
      </c>
      <c r="D1038" s="3">
        <v>0.86186342592592591</v>
      </c>
      <c r="E1038">
        <f t="shared" si="144"/>
        <v>20</v>
      </c>
      <c r="F1038">
        <v>55</v>
      </c>
      <c r="G1038" t="s">
        <v>6479</v>
      </c>
      <c r="H1038" t="s">
        <v>167</v>
      </c>
      <c r="I1038" t="s">
        <v>110</v>
      </c>
      <c r="J1038" t="s">
        <v>132</v>
      </c>
      <c r="K1038" t="s">
        <v>32</v>
      </c>
      <c r="L1038">
        <v>178.11</v>
      </c>
      <c r="M1038" t="s">
        <v>42</v>
      </c>
      <c r="N1038">
        <f t="shared" si="145"/>
        <v>0</v>
      </c>
      <c r="O1038" t="s">
        <v>86</v>
      </c>
      <c r="P1038" t="s">
        <v>2368</v>
      </c>
      <c r="Q1038">
        <v>1</v>
      </c>
      <c r="R1038">
        <v>314</v>
      </c>
      <c r="S1038">
        <f t="shared" si="146"/>
        <v>4.8398505627716769E-2</v>
      </c>
      <c r="T1038">
        <f t="shared" si="147"/>
        <v>0</v>
      </c>
      <c r="U1038">
        <f t="shared" si="148"/>
        <v>0</v>
      </c>
      <c r="V1038">
        <f t="shared" si="149"/>
        <v>0</v>
      </c>
      <c r="W1038">
        <f t="shared" si="150"/>
        <v>0</v>
      </c>
      <c r="X1038">
        <f t="shared" si="151"/>
        <v>0</v>
      </c>
      <c r="Y1038">
        <f t="shared" si="152"/>
        <v>0</v>
      </c>
    </row>
    <row r="1039" spans="1:25" x14ac:dyDescent="0.3">
      <c r="A1039" t="s">
        <v>6263</v>
      </c>
      <c r="B1039" t="s">
        <v>6264</v>
      </c>
      <c r="C1039" s="1">
        <v>45833</v>
      </c>
      <c r="D1039" s="3">
        <v>0.17524305555555555</v>
      </c>
      <c r="E1039">
        <f t="shared" si="144"/>
        <v>4</v>
      </c>
      <c r="F1039">
        <v>37</v>
      </c>
      <c r="G1039" t="s">
        <v>99</v>
      </c>
      <c r="H1039" t="s">
        <v>175</v>
      </c>
      <c r="I1039" t="s">
        <v>20</v>
      </c>
      <c r="J1039" t="s">
        <v>31</v>
      </c>
      <c r="K1039" t="s">
        <v>114</v>
      </c>
      <c r="L1039">
        <v>177.95</v>
      </c>
      <c r="M1039" t="s">
        <v>42</v>
      </c>
      <c r="N1039">
        <f t="shared" si="145"/>
        <v>0</v>
      </c>
      <c r="O1039" t="s">
        <v>86</v>
      </c>
      <c r="P1039" t="s">
        <v>6265</v>
      </c>
      <c r="Q1039">
        <v>0</v>
      </c>
      <c r="R1039">
        <v>435</v>
      </c>
      <c r="S1039">
        <f t="shared" si="146"/>
        <v>4.6183424111541631E-2</v>
      </c>
      <c r="T1039">
        <f t="shared" si="147"/>
        <v>0</v>
      </c>
      <c r="U1039">
        <f t="shared" si="148"/>
        <v>1</v>
      </c>
      <c r="V1039">
        <f t="shared" si="149"/>
        <v>0</v>
      </c>
      <c r="W1039">
        <f t="shared" si="150"/>
        <v>2</v>
      </c>
      <c r="X1039">
        <f t="shared" si="151"/>
        <v>0</v>
      </c>
      <c r="Y1039">
        <f t="shared" si="152"/>
        <v>0</v>
      </c>
    </row>
    <row r="1040" spans="1:25" x14ac:dyDescent="0.3">
      <c r="A1040" t="s">
        <v>6092</v>
      </c>
      <c r="B1040" t="s">
        <v>6093</v>
      </c>
      <c r="C1040" s="1">
        <v>45763</v>
      </c>
      <c r="D1040" s="3">
        <v>0.10469907407407407</v>
      </c>
      <c r="E1040">
        <f t="shared" si="144"/>
        <v>2</v>
      </c>
      <c r="F1040">
        <v>57</v>
      </c>
      <c r="G1040" t="s">
        <v>46</v>
      </c>
      <c r="H1040" t="s">
        <v>131</v>
      </c>
      <c r="I1040" t="s">
        <v>48</v>
      </c>
      <c r="J1040" t="s">
        <v>31</v>
      </c>
      <c r="K1040" t="s">
        <v>168</v>
      </c>
      <c r="L1040">
        <v>177.75</v>
      </c>
      <c r="M1040" t="s">
        <v>23</v>
      </c>
      <c r="N1040">
        <f t="shared" si="145"/>
        <v>0</v>
      </c>
      <c r="O1040" t="s">
        <v>24</v>
      </c>
      <c r="P1040" t="s">
        <v>6094</v>
      </c>
      <c r="Q1040">
        <v>0</v>
      </c>
      <c r="R1040">
        <v>398</v>
      </c>
      <c r="S1040">
        <f t="shared" si="146"/>
        <v>4.3414572216323298E-2</v>
      </c>
      <c r="T1040">
        <f t="shared" si="147"/>
        <v>0</v>
      </c>
      <c r="U1040">
        <f t="shared" si="148"/>
        <v>1</v>
      </c>
      <c r="V1040">
        <f t="shared" si="149"/>
        <v>0</v>
      </c>
      <c r="W1040">
        <f t="shared" si="150"/>
        <v>2</v>
      </c>
      <c r="X1040">
        <f t="shared" si="151"/>
        <v>0</v>
      </c>
      <c r="Y1040">
        <f t="shared" si="152"/>
        <v>0</v>
      </c>
    </row>
    <row r="1041" spans="1:25" x14ac:dyDescent="0.3">
      <c r="A1041" t="s">
        <v>1340</v>
      </c>
      <c r="B1041" t="s">
        <v>1341</v>
      </c>
      <c r="C1041" s="1">
        <v>45769</v>
      </c>
      <c r="D1041" s="3">
        <v>0.50020833333333337</v>
      </c>
      <c r="E1041">
        <f t="shared" si="144"/>
        <v>12</v>
      </c>
      <c r="F1041">
        <v>50</v>
      </c>
      <c r="G1041" t="s">
        <v>46</v>
      </c>
      <c r="H1041" t="s">
        <v>189</v>
      </c>
      <c r="I1041" t="s">
        <v>66</v>
      </c>
      <c r="J1041" t="s">
        <v>31</v>
      </c>
      <c r="K1041" t="s">
        <v>101</v>
      </c>
      <c r="L1041">
        <v>177.7</v>
      </c>
      <c r="M1041" t="s">
        <v>115</v>
      </c>
      <c r="N1041">
        <f t="shared" si="145"/>
        <v>0</v>
      </c>
      <c r="O1041" t="s">
        <v>51</v>
      </c>
      <c r="P1041" t="s">
        <v>1342</v>
      </c>
      <c r="Q1041">
        <v>0</v>
      </c>
      <c r="R1041">
        <v>347</v>
      </c>
      <c r="S1041">
        <f t="shared" si="146"/>
        <v>4.2722359242518521E-2</v>
      </c>
      <c r="T1041">
        <f t="shared" si="147"/>
        <v>0</v>
      </c>
      <c r="U1041">
        <f t="shared" si="148"/>
        <v>0</v>
      </c>
      <c r="V1041">
        <f t="shared" si="149"/>
        <v>0</v>
      </c>
      <c r="W1041">
        <f t="shared" si="150"/>
        <v>0</v>
      </c>
      <c r="X1041">
        <f t="shared" si="151"/>
        <v>0</v>
      </c>
      <c r="Y1041">
        <f t="shared" si="152"/>
        <v>0</v>
      </c>
    </row>
    <row r="1042" spans="1:25" x14ac:dyDescent="0.3">
      <c r="A1042" t="s">
        <v>5504</v>
      </c>
      <c r="B1042" t="s">
        <v>5505</v>
      </c>
      <c r="C1042" s="1">
        <v>45797</v>
      </c>
      <c r="D1042" s="3">
        <v>0.61710648148148151</v>
      </c>
      <c r="E1042">
        <f t="shared" si="144"/>
        <v>14</v>
      </c>
      <c r="F1042">
        <v>36</v>
      </c>
      <c r="G1042" t="s">
        <v>28</v>
      </c>
      <c r="H1042" t="s">
        <v>185</v>
      </c>
      <c r="I1042" t="s">
        <v>85</v>
      </c>
      <c r="J1042" t="s">
        <v>49</v>
      </c>
      <c r="K1042" t="s">
        <v>41</v>
      </c>
      <c r="L1042">
        <v>177.68</v>
      </c>
      <c r="M1042" t="s">
        <v>33</v>
      </c>
      <c r="N1042">
        <f t="shared" si="145"/>
        <v>0</v>
      </c>
      <c r="O1042" t="s">
        <v>24</v>
      </c>
      <c r="P1042" t="s">
        <v>5506</v>
      </c>
      <c r="Q1042">
        <v>0</v>
      </c>
      <c r="R1042">
        <v>385</v>
      </c>
      <c r="S1042">
        <f t="shared" si="146"/>
        <v>4.2445474052996923E-2</v>
      </c>
      <c r="T1042">
        <f t="shared" si="147"/>
        <v>0</v>
      </c>
      <c r="U1042">
        <f t="shared" si="148"/>
        <v>0</v>
      </c>
      <c r="V1042">
        <f t="shared" si="149"/>
        <v>0</v>
      </c>
      <c r="W1042">
        <f t="shared" si="150"/>
        <v>0</v>
      </c>
      <c r="X1042">
        <f t="shared" si="151"/>
        <v>0</v>
      </c>
      <c r="Y1042">
        <f t="shared" si="152"/>
        <v>0</v>
      </c>
    </row>
    <row r="1043" spans="1:25" x14ac:dyDescent="0.3">
      <c r="A1043" t="s">
        <v>4841</v>
      </c>
      <c r="B1043" t="s">
        <v>4842</v>
      </c>
      <c r="C1043" s="1">
        <v>45879</v>
      </c>
      <c r="D1043" s="3">
        <v>0.20497685185185185</v>
      </c>
      <c r="E1043">
        <f t="shared" si="144"/>
        <v>4</v>
      </c>
      <c r="F1043">
        <v>41</v>
      </c>
      <c r="G1043" t="s">
        <v>46</v>
      </c>
      <c r="H1043" t="s">
        <v>70</v>
      </c>
      <c r="I1043" t="s">
        <v>110</v>
      </c>
      <c r="J1043" t="s">
        <v>31</v>
      </c>
      <c r="K1043" t="s">
        <v>32</v>
      </c>
      <c r="L1043">
        <v>177.53</v>
      </c>
      <c r="M1043" t="s">
        <v>42</v>
      </c>
      <c r="N1043">
        <f t="shared" si="145"/>
        <v>0</v>
      </c>
      <c r="O1043" t="s">
        <v>24</v>
      </c>
      <c r="P1043" t="s">
        <v>4843</v>
      </c>
      <c r="Q1043">
        <v>0</v>
      </c>
      <c r="R1043">
        <v>314</v>
      </c>
      <c r="S1043">
        <f t="shared" si="146"/>
        <v>4.0368835131582972E-2</v>
      </c>
      <c r="T1043">
        <f t="shared" si="147"/>
        <v>0</v>
      </c>
      <c r="U1043">
        <f t="shared" si="148"/>
        <v>1</v>
      </c>
      <c r="V1043">
        <f t="shared" si="149"/>
        <v>0</v>
      </c>
      <c r="W1043">
        <f t="shared" si="150"/>
        <v>2</v>
      </c>
      <c r="X1043">
        <f t="shared" si="151"/>
        <v>0</v>
      </c>
      <c r="Y1043">
        <f t="shared" si="152"/>
        <v>0</v>
      </c>
    </row>
    <row r="1044" spans="1:25" x14ac:dyDescent="0.3">
      <c r="A1044" t="s">
        <v>3521</v>
      </c>
      <c r="B1044" t="s">
        <v>3522</v>
      </c>
      <c r="C1044" s="1">
        <v>45798</v>
      </c>
      <c r="D1044" s="3">
        <v>0.64467592592592593</v>
      </c>
      <c r="E1044">
        <f t="shared" si="144"/>
        <v>15</v>
      </c>
      <c r="F1044">
        <v>23</v>
      </c>
      <c r="G1044" t="s">
        <v>46</v>
      </c>
      <c r="H1044" t="s">
        <v>312</v>
      </c>
      <c r="I1044" t="s">
        <v>110</v>
      </c>
      <c r="J1044" t="s">
        <v>127</v>
      </c>
      <c r="K1044" t="s">
        <v>22</v>
      </c>
      <c r="L1044">
        <v>177.52</v>
      </c>
      <c r="M1044" t="s">
        <v>23</v>
      </c>
      <c r="N1044">
        <f t="shared" si="145"/>
        <v>0</v>
      </c>
      <c r="O1044" t="s">
        <v>24</v>
      </c>
      <c r="P1044" t="s">
        <v>3523</v>
      </c>
      <c r="Q1044">
        <v>0</v>
      </c>
      <c r="R1044">
        <v>284</v>
      </c>
      <c r="S1044">
        <f t="shared" si="146"/>
        <v>4.0230392536822174E-2</v>
      </c>
      <c r="T1044">
        <f t="shared" si="147"/>
        <v>0</v>
      </c>
      <c r="U1044">
        <f t="shared" si="148"/>
        <v>0</v>
      </c>
      <c r="V1044">
        <f t="shared" si="149"/>
        <v>0</v>
      </c>
      <c r="W1044">
        <f t="shared" si="150"/>
        <v>0</v>
      </c>
      <c r="X1044">
        <f t="shared" si="151"/>
        <v>0</v>
      </c>
      <c r="Y1044">
        <f t="shared" si="152"/>
        <v>0</v>
      </c>
    </row>
    <row r="1045" spans="1:25" x14ac:dyDescent="0.3">
      <c r="A1045" t="s">
        <v>2792</v>
      </c>
      <c r="B1045" t="s">
        <v>2793</v>
      </c>
      <c r="C1045" s="1">
        <v>45880</v>
      </c>
      <c r="D1045" s="3">
        <v>0.78031249999999996</v>
      </c>
      <c r="E1045">
        <f t="shared" si="144"/>
        <v>18</v>
      </c>
      <c r="F1045">
        <v>31</v>
      </c>
      <c r="G1045" t="s">
        <v>46</v>
      </c>
      <c r="H1045" t="s">
        <v>19</v>
      </c>
      <c r="I1045" t="s">
        <v>48</v>
      </c>
      <c r="J1045" t="s">
        <v>31</v>
      </c>
      <c r="K1045" t="s">
        <v>50</v>
      </c>
      <c r="L1045">
        <v>177.5</v>
      </c>
      <c r="M1045" t="s">
        <v>23</v>
      </c>
      <c r="N1045">
        <f t="shared" si="145"/>
        <v>0</v>
      </c>
      <c r="O1045" t="s">
        <v>51</v>
      </c>
      <c r="P1045" t="s">
        <v>2794</v>
      </c>
      <c r="Q1045">
        <v>0</v>
      </c>
      <c r="R1045">
        <v>60</v>
      </c>
      <c r="S1045">
        <f t="shared" si="146"/>
        <v>3.9953507347300188E-2</v>
      </c>
      <c r="T1045">
        <f t="shared" si="147"/>
        <v>0</v>
      </c>
      <c r="U1045">
        <f t="shared" si="148"/>
        <v>0</v>
      </c>
      <c r="V1045">
        <f t="shared" si="149"/>
        <v>1</v>
      </c>
      <c r="W1045">
        <f t="shared" si="150"/>
        <v>1</v>
      </c>
      <c r="X1045">
        <f t="shared" si="151"/>
        <v>0</v>
      </c>
      <c r="Y1045">
        <f t="shared" si="152"/>
        <v>0</v>
      </c>
    </row>
    <row r="1046" spans="1:25" x14ac:dyDescent="0.3">
      <c r="A1046" t="s">
        <v>4931</v>
      </c>
      <c r="B1046" t="s">
        <v>4932</v>
      </c>
      <c r="C1046" s="1">
        <v>45847</v>
      </c>
      <c r="D1046" s="3">
        <v>0.45520833333333333</v>
      </c>
      <c r="E1046">
        <f t="shared" si="144"/>
        <v>10</v>
      </c>
      <c r="F1046">
        <v>41</v>
      </c>
      <c r="G1046" t="s">
        <v>46</v>
      </c>
      <c r="H1046" t="s">
        <v>55</v>
      </c>
      <c r="I1046" t="s">
        <v>48</v>
      </c>
      <c r="J1046" t="s">
        <v>72</v>
      </c>
      <c r="K1046" t="s">
        <v>168</v>
      </c>
      <c r="L1046">
        <v>177.44</v>
      </c>
      <c r="M1046" t="s">
        <v>33</v>
      </c>
      <c r="N1046">
        <f t="shared" si="145"/>
        <v>0</v>
      </c>
      <c r="O1046" t="s">
        <v>34</v>
      </c>
      <c r="P1046" t="s">
        <v>4933</v>
      </c>
      <c r="Q1046">
        <v>0</v>
      </c>
      <c r="R1046">
        <v>411</v>
      </c>
      <c r="S1046">
        <f t="shared" si="146"/>
        <v>3.9122851778734605E-2</v>
      </c>
      <c r="T1046">
        <f t="shared" si="147"/>
        <v>0</v>
      </c>
      <c r="U1046">
        <f t="shared" si="148"/>
        <v>0</v>
      </c>
      <c r="V1046">
        <f t="shared" si="149"/>
        <v>0</v>
      </c>
      <c r="W1046">
        <f t="shared" si="150"/>
        <v>0</v>
      </c>
      <c r="X1046">
        <f t="shared" si="151"/>
        <v>0</v>
      </c>
      <c r="Y1046">
        <f t="shared" si="152"/>
        <v>0</v>
      </c>
    </row>
    <row r="1047" spans="1:25" x14ac:dyDescent="0.3">
      <c r="A1047" t="s">
        <v>253</v>
      </c>
      <c r="B1047" t="s">
        <v>254</v>
      </c>
      <c r="C1047" s="1">
        <v>45794</v>
      </c>
      <c r="D1047" s="3">
        <v>3.4953703703703705E-3</v>
      </c>
      <c r="E1047">
        <f t="shared" si="144"/>
        <v>0</v>
      </c>
      <c r="F1047">
        <v>34</v>
      </c>
      <c r="G1047" t="s">
        <v>60</v>
      </c>
      <c r="H1047" t="s">
        <v>61</v>
      </c>
      <c r="I1047" t="s">
        <v>110</v>
      </c>
      <c r="J1047" t="s">
        <v>31</v>
      </c>
      <c r="K1047" t="s">
        <v>168</v>
      </c>
      <c r="L1047">
        <v>177.37</v>
      </c>
      <c r="M1047" t="s">
        <v>33</v>
      </c>
      <c r="N1047">
        <f t="shared" si="145"/>
        <v>0</v>
      </c>
      <c r="O1047" t="s">
        <v>24</v>
      </c>
      <c r="P1047" t="s">
        <v>255</v>
      </c>
      <c r="Q1047">
        <v>0</v>
      </c>
      <c r="R1047">
        <v>417</v>
      </c>
      <c r="S1047">
        <f t="shared" si="146"/>
        <v>3.815375361540823E-2</v>
      </c>
      <c r="T1047">
        <f t="shared" si="147"/>
        <v>0</v>
      </c>
      <c r="U1047">
        <f t="shared" si="148"/>
        <v>1</v>
      </c>
      <c r="V1047">
        <f t="shared" si="149"/>
        <v>0</v>
      </c>
      <c r="W1047">
        <f t="shared" si="150"/>
        <v>2</v>
      </c>
      <c r="X1047">
        <f t="shared" si="151"/>
        <v>0</v>
      </c>
      <c r="Y1047">
        <f t="shared" si="152"/>
        <v>0</v>
      </c>
    </row>
    <row r="1048" spans="1:25" x14ac:dyDescent="0.3">
      <c r="A1048" t="s">
        <v>1136</v>
      </c>
      <c r="B1048" t="s">
        <v>1137</v>
      </c>
      <c r="C1048" s="1">
        <v>45782</v>
      </c>
      <c r="D1048" s="3">
        <v>0.89653935185185185</v>
      </c>
      <c r="E1048">
        <f t="shared" si="144"/>
        <v>21</v>
      </c>
      <c r="F1048">
        <v>41</v>
      </c>
      <c r="G1048" t="s">
        <v>46</v>
      </c>
      <c r="H1048" t="s">
        <v>131</v>
      </c>
      <c r="I1048" t="s">
        <v>71</v>
      </c>
      <c r="J1048" t="s">
        <v>127</v>
      </c>
      <c r="K1048" t="s">
        <v>41</v>
      </c>
      <c r="L1048">
        <v>177.27</v>
      </c>
      <c r="M1048" t="s">
        <v>42</v>
      </c>
      <c r="N1048">
        <f t="shared" si="145"/>
        <v>0</v>
      </c>
      <c r="O1048" t="s">
        <v>24</v>
      </c>
      <c r="P1048" t="s">
        <v>1138</v>
      </c>
      <c r="Q1048">
        <v>0</v>
      </c>
      <c r="R1048">
        <v>118</v>
      </c>
      <c r="S1048">
        <f t="shared" si="146"/>
        <v>3.6769327667799064E-2</v>
      </c>
      <c r="T1048">
        <f t="shared" si="147"/>
        <v>0</v>
      </c>
      <c r="U1048">
        <f t="shared" si="148"/>
        <v>0</v>
      </c>
      <c r="V1048">
        <f t="shared" si="149"/>
        <v>1</v>
      </c>
      <c r="W1048">
        <f t="shared" si="150"/>
        <v>1</v>
      </c>
      <c r="X1048">
        <f t="shared" si="151"/>
        <v>0</v>
      </c>
      <c r="Y1048">
        <f t="shared" si="152"/>
        <v>0</v>
      </c>
    </row>
    <row r="1049" spans="1:25" x14ac:dyDescent="0.3">
      <c r="A1049" t="s">
        <v>2153</v>
      </c>
      <c r="B1049" t="s">
        <v>2154</v>
      </c>
      <c r="C1049" s="1">
        <v>45873</v>
      </c>
      <c r="D1049" s="3">
        <v>2.0138888888888888E-3</v>
      </c>
      <c r="E1049">
        <f t="shared" si="144"/>
        <v>0</v>
      </c>
      <c r="F1049">
        <v>18</v>
      </c>
      <c r="G1049" t="s">
        <v>60</v>
      </c>
      <c r="H1049" t="s">
        <v>61</v>
      </c>
      <c r="I1049" t="s">
        <v>85</v>
      </c>
      <c r="J1049" t="s">
        <v>40</v>
      </c>
      <c r="K1049" t="s">
        <v>32</v>
      </c>
      <c r="L1049">
        <v>177.09</v>
      </c>
      <c r="M1049" t="s">
        <v>42</v>
      </c>
      <c r="N1049">
        <f t="shared" si="145"/>
        <v>0</v>
      </c>
      <c r="O1049" t="s">
        <v>86</v>
      </c>
      <c r="P1049" t="s">
        <v>2155</v>
      </c>
      <c r="Q1049">
        <v>0</v>
      </c>
      <c r="R1049">
        <v>92</v>
      </c>
      <c r="S1049">
        <f t="shared" si="146"/>
        <v>3.4277360962102328E-2</v>
      </c>
      <c r="T1049">
        <f t="shared" si="147"/>
        <v>0</v>
      </c>
      <c r="U1049">
        <f t="shared" si="148"/>
        <v>1</v>
      </c>
      <c r="V1049">
        <f t="shared" si="149"/>
        <v>1</v>
      </c>
      <c r="W1049">
        <f t="shared" si="150"/>
        <v>3</v>
      </c>
      <c r="X1049">
        <f t="shared" si="151"/>
        <v>0</v>
      </c>
      <c r="Y1049">
        <f t="shared" si="152"/>
        <v>0</v>
      </c>
    </row>
    <row r="1050" spans="1:25" x14ac:dyDescent="0.3">
      <c r="A1050" t="s">
        <v>3332</v>
      </c>
      <c r="B1050" t="s">
        <v>3333</v>
      </c>
      <c r="C1050" s="1">
        <v>45754</v>
      </c>
      <c r="D1050" s="3">
        <v>0.9349305555555556</v>
      </c>
      <c r="E1050">
        <f t="shared" si="144"/>
        <v>22</v>
      </c>
      <c r="F1050">
        <v>64</v>
      </c>
      <c r="G1050" t="s">
        <v>6479</v>
      </c>
      <c r="H1050" t="s">
        <v>175</v>
      </c>
      <c r="I1050" t="s">
        <v>71</v>
      </c>
      <c r="J1050" t="s">
        <v>94</v>
      </c>
      <c r="K1050" t="s">
        <v>168</v>
      </c>
      <c r="L1050">
        <v>176.81</v>
      </c>
      <c r="M1050" t="s">
        <v>115</v>
      </c>
      <c r="N1050">
        <f t="shared" si="145"/>
        <v>0</v>
      </c>
      <c r="O1050" t="s">
        <v>51</v>
      </c>
      <c r="P1050" t="s">
        <v>3334</v>
      </c>
      <c r="Q1050">
        <v>0</v>
      </c>
      <c r="R1050">
        <v>481</v>
      </c>
      <c r="S1050">
        <f t="shared" si="146"/>
        <v>3.0400968308796423E-2</v>
      </c>
      <c r="T1050">
        <f t="shared" si="147"/>
        <v>0</v>
      </c>
      <c r="U1050">
        <f t="shared" si="148"/>
        <v>0</v>
      </c>
      <c r="V1050">
        <f t="shared" si="149"/>
        <v>0</v>
      </c>
      <c r="W1050">
        <f t="shared" si="150"/>
        <v>0</v>
      </c>
      <c r="X1050">
        <f t="shared" si="151"/>
        <v>0</v>
      </c>
      <c r="Y1050">
        <f t="shared" si="152"/>
        <v>0</v>
      </c>
    </row>
    <row r="1051" spans="1:25" x14ac:dyDescent="0.3">
      <c r="A1051" t="s">
        <v>1244</v>
      </c>
      <c r="B1051" t="s">
        <v>1245</v>
      </c>
      <c r="C1051" s="1">
        <v>45843</v>
      </c>
      <c r="D1051" s="3">
        <v>9.6643518518518517E-2</v>
      </c>
      <c r="E1051">
        <f t="shared" si="144"/>
        <v>2</v>
      </c>
      <c r="F1051">
        <v>59</v>
      </c>
      <c r="G1051" t="s">
        <v>46</v>
      </c>
      <c r="H1051" t="s">
        <v>80</v>
      </c>
      <c r="I1051" t="s">
        <v>66</v>
      </c>
      <c r="J1051" t="s">
        <v>72</v>
      </c>
      <c r="K1051" t="s">
        <v>62</v>
      </c>
      <c r="L1051">
        <v>176.8</v>
      </c>
      <c r="M1051" t="s">
        <v>42</v>
      </c>
      <c r="N1051">
        <f t="shared" si="145"/>
        <v>0</v>
      </c>
      <c r="O1051" t="s">
        <v>51</v>
      </c>
      <c r="P1051" t="s">
        <v>1246</v>
      </c>
      <c r="Q1051">
        <v>0</v>
      </c>
      <c r="R1051">
        <v>477</v>
      </c>
      <c r="S1051">
        <f t="shared" si="146"/>
        <v>3.0262525714035624E-2</v>
      </c>
      <c r="T1051">
        <f t="shared" si="147"/>
        <v>0</v>
      </c>
      <c r="U1051">
        <f t="shared" si="148"/>
        <v>1</v>
      </c>
      <c r="V1051">
        <f t="shared" si="149"/>
        <v>0</v>
      </c>
      <c r="W1051">
        <f t="shared" si="150"/>
        <v>2</v>
      </c>
      <c r="X1051">
        <f t="shared" si="151"/>
        <v>0</v>
      </c>
      <c r="Y1051">
        <f t="shared" si="152"/>
        <v>0</v>
      </c>
    </row>
    <row r="1052" spans="1:25" x14ac:dyDescent="0.3">
      <c r="A1052" t="s">
        <v>6227</v>
      </c>
      <c r="B1052" t="s">
        <v>6228</v>
      </c>
      <c r="C1052" s="1">
        <v>45748</v>
      </c>
      <c r="D1052" s="3">
        <v>0.23480324074074074</v>
      </c>
      <c r="E1052">
        <f t="shared" si="144"/>
        <v>5</v>
      </c>
      <c r="F1052">
        <v>27</v>
      </c>
      <c r="G1052" t="s">
        <v>46</v>
      </c>
      <c r="H1052" t="s">
        <v>239</v>
      </c>
      <c r="I1052" t="s">
        <v>20</v>
      </c>
      <c r="J1052" t="s">
        <v>132</v>
      </c>
      <c r="K1052" t="s">
        <v>120</v>
      </c>
      <c r="L1052">
        <v>176.7</v>
      </c>
      <c r="M1052" t="s">
        <v>115</v>
      </c>
      <c r="N1052">
        <f t="shared" si="145"/>
        <v>0</v>
      </c>
      <c r="O1052" t="s">
        <v>34</v>
      </c>
      <c r="P1052" t="s">
        <v>6229</v>
      </c>
      <c r="Q1052">
        <v>0</v>
      </c>
      <c r="R1052">
        <v>104</v>
      </c>
      <c r="S1052">
        <f t="shared" si="146"/>
        <v>2.8878099766426066E-2</v>
      </c>
      <c r="T1052">
        <f t="shared" si="147"/>
        <v>0</v>
      </c>
      <c r="U1052">
        <f t="shared" si="148"/>
        <v>1</v>
      </c>
      <c r="V1052">
        <f t="shared" si="149"/>
        <v>1</v>
      </c>
      <c r="W1052">
        <f t="shared" si="150"/>
        <v>3</v>
      </c>
      <c r="X1052">
        <f t="shared" si="151"/>
        <v>0</v>
      </c>
      <c r="Y1052">
        <f t="shared" si="152"/>
        <v>0</v>
      </c>
    </row>
    <row r="1053" spans="1:25" x14ac:dyDescent="0.3">
      <c r="A1053" t="s">
        <v>2015</v>
      </c>
      <c r="B1053" t="s">
        <v>2016</v>
      </c>
      <c r="C1053" s="1">
        <v>45771</v>
      </c>
      <c r="D1053" s="3">
        <v>0.49953703703703706</v>
      </c>
      <c r="E1053">
        <f t="shared" si="144"/>
        <v>11</v>
      </c>
      <c r="F1053">
        <v>48</v>
      </c>
      <c r="G1053" t="s">
        <v>18</v>
      </c>
      <c r="H1053" t="s">
        <v>100</v>
      </c>
      <c r="I1053" t="s">
        <v>66</v>
      </c>
      <c r="J1053" t="s">
        <v>21</v>
      </c>
      <c r="K1053" t="s">
        <v>95</v>
      </c>
      <c r="L1053">
        <v>176.59</v>
      </c>
      <c r="M1053" t="s">
        <v>115</v>
      </c>
      <c r="N1053">
        <f t="shared" si="145"/>
        <v>0</v>
      </c>
      <c r="O1053" t="s">
        <v>86</v>
      </c>
      <c r="P1053" t="s">
        <v>2017</v>
      </c>
      <c r="Q1053">
        <v>0</v>
      </c>
      <c r="R1053">
        <v>224</v>
      </c>
      <c r="S1053">
        <f t="shared" si="146"/>
        <v>2.7355231224056097E-2</v>
      </c>
      <c r="T1053">
        <f t="shared" si="147"/>
        <v>0</v>
      </c>
      <c r="U1053">
        <f t="shared" si="148"/>
        <v>0</v>
      </c>
      <c r="V1053">
        <f t="shared" si="149"/>
        <v>1</v>
      </c>
      <c r="W1053">
        <f t="shared" si="150"/>
        <v>1</v>
      </c>
      <c r="X1053">
        <f t="shared" si="151"/>
        <v>0</v>
      </c>
      <c r="Y1053">
        <f t="shared" si="152"/>
        <v>0</v>
      </c>
    </row>
    <row r="1054" spans="1:25" x14ac:dyDescent="0.3">
      <c r="A1054" t="s">
        <v>1775</v>
      </c>
      <c r="B1054" t="s">
        <v>1776</v>
      </c>
      <c r="C1054" s="1">
        <v>45756</v>
      </c>
      <c r="D1054" s="3">
        <v>0.70674768518518516</v>
      </c>
      <c r="E1054">
        <f t="shared" si="144"/>
        <v>16</v>
      </c>
      <c r="F1054">
        <v>29</v>
      </c>
      <c r="G1054" t="s">
        <v>46</v>
      </c>
      <c r="H1054" t="s">
        <v>100</v>
      </c>
      <c r="I1054" t="s">
        <v>105</v>
      </c>
      <c r="J1054" t="s">
        <v>132</v>
      </c>
      <c r="K1054" t="s">
        <v>22</v>
      </c>
      <c r="L1054">
        <v>176.49</v>
      </c>
      <c r="M1054" t="s">
        <v>23</v>
      </c>
      <c r="N1054">
        <f t="shared" si="145"/>
        <v>0</v>
      </c>
      <c r="O1054" t="s">
        <v>34</v>
      </c>
      <c r="P1054" t="s">
        <v>1777</v>
      </c>
      <c r="Q1054">
        <v>0</v>
      </c>
      <c r="R1054">
        <v>207</v>
      </c>
      <c r="S1054">
        <f t="shared" si="146"/>
        <v>2.5970805276446931E-2</v>
      </c>
      <c r="T1054">
        <f t="shared" si="147"/>
        <v>0</v>
      </c>
      <c r="U1054">
        <f t="shared" si="148"/>
        <v>0</v>
      </c>
      <c r="V1054">
        <f t="shared" si="149"/>
        <v>1</v>
      </c>
      <c r="W1054">
        <f t="shared" si="150"/>
        <v>1</v>
      </c>
      <c r="X1054">
        <f t="shared" si="151"/>
        <v>0</v>
      </c>
      <c r="Y1054">
        <f t="shared" si="152"/>
        <v>0</v>
      </c>
    </row>
    <row r="1055" spans="1:25" x14ac:dyDescent="0.3">
      <c r="A1055" t="s">
        <v>3692</v>
      </c>
      <c r="B1055" t="s">
        <v>3693</v>
      </c>
      <c r="C1055" s="1">
        <v>45775</v>
      </c>
      <c r="D1055" s="3">
        <v>0.94467592592592597</v>
      </c>
      <c r="E1055">
        <f t="shared" si="144"/>
        <v>22</v>
      </c>
      <c r="F1055">
        <v>28</v>
      </c>
      <c r="G1055" t="s">
        <v>18</v>
      </c>
      <c r="H1055" t="s">
        <v>55</v>
      </c>
      <c r="I1055" t="s">
        <v>71</v>
      </c>
      <c r="J1055" t="s">
        <v>127</v>
      </c>
      <c r="K1055" t="s">
        <v>168</v>
      </c>
      <c r="L1055">
        <v>176.16</v>
      </c>
      <c r="M1055" t="s">
        <v>33</v>
      </c>
      <c r="N1055">
        <f t="shared" si="145"/>
        <v>0</v>
      </c>
      <c r="O1055" t="s">
        <v>51</v>
      </c>
      <c r="P1055" t="s">
        <v>3694</v>
      </c>
      <c r="Q1055">
        <v>0</v>
      </c>
      <c r="R1055">
        <v>181</v>
      </c>
      <c r="S1055">
        <f t="shared" si="146"/>
        <v>2.1402199649336248E-2</v>
      </c>
      <c r="T1055">
        <f t="shared" si="147"/>
        <v>0</v>
      </c>
      <c r="U1055">
        <f t="shared" si="148"/>
        <v>0</v>
      </c>
      <c r="V1055">
        <f t="shared" si="149"/>
        <v>1</v>
      </c>
      <c r="W1055">
        <f t="shared" si="150"/>
        <v>1</v>
      </c>
      <c r="X1055">
        <f t="shared" si="151"/>
        <v>0</v>
      </c>
      <c r="Y1055">
        <f t="shared" si="152"/>
        <v>0</v>
      </c>
    </row>
    <row r="1056" spans="1:25" x14ac:dyDescent="0.3">
      <c r="A1056" t="s">
        <v>2771</v>
      </c>
      <c r="B1056" t="s">
        <v>2772</v>
      </c>
      <c r="C1056" s="1">
        <v>45838</v>
      </c>
      <c r="D1056" s="3">
        <v>0.68511574074074078</v>
      </c>
      <c r="E1056">
        <f t="shared" si="144"/>
        <v>16</v>
      </c>
      <c r="F1056">
        <v>45</v>
      </c>
      <c r="G1056" t="s">
        <v>18</v>
      </c>
      <c r="H1056" t="s">
        <v>61</v>
      </c>
      <c r="I1056" t="s">
        <v>39</v>
      </c>
      <c r="J1056" t="s">
        <v>132</v>
      </c>
      <c r="K1056" t="s">
        <v>22</v>
      </c>
      <c r="L1056">
        <v>175.72</v>
      </c>
      <c r="M1056" t="s">
        <v>42</v>
      </c>
      <c r="N1056">
        <f t="shared" si="145"/>
        <v>0</v>
      </c>
      <c r="O1056" t="s">
        <v>24</v>
      </c>
      <c r="P1056" t="s">
        <v>2773</v>
      </c>
      <c r="Q1056">
        <v>0</v>
      </c>
      <c r="R1056">
        <v>62</v>
      </c>
      <c r="S1056">
        <f t="shared" si="146"/>
        <v>1.53107254798556E-2</v>
      </c>
      <c r="T1056">
        <f t="shared" si="147"/>
        <v>0</v>
      </c>
      <c r="U1056">
        <f t="shared" si="148"/>
        <v>0</v>
      </c>
      <c r="V1056">
        <f t="shared" si="149"/>
        <v>1</v>
      </c>
      <c r="W1056">
        <f t="shared" si="150"/>
        <v>1</v>
      </c>
      <c r="X1056">
        <f t="shared" si="151"/>
        <v>0</v>
      </c>
      <c r="Y1056">
        <f t="shared" si="152"/>
        <v>0</v>
      </c>
    </row>
    <row r="1057" spans="1:25" x14ac:dyDescent="0.3">
      <c r="A1057" t="s">
        <v>3293</v>
      </c>
      <c r="B1057" t="s">
        <v>3294</v>
      </c>
      <c r="C1057" s="1">
        <v>45870</v>
      </c>
      <c r="D1057" s="3">
        <v>0.65565972222222224</v>
      </c>
      <c r="E1057">
        <f t="shared" si="144"/>
        <v>15</v>
      </c>
      <c r="F1057">
        <v>25</v>
      </c>
      <c r="G1057" t="s">
        <v>46</v>
      </c>
      <c r="H1057" t="s">
        <v>131</v>
      </c>
      <c r="I1057" t="s">
        <v>71</v>
      </c>
      <c r="J1057" t="s">
        <v>94</v>
      </c>
      <c r="K1057" t="s">
        <v>41</v>
      </c>
      <c r="L1057">
        <v>175.7</v>
      </c>
      <c r="M1057" t="s">
        <v>23</v>
      </c>
      <c r="N1057">
        <f t="shared" si="145"/>
        <v>0</v>
      </c>
      <c r="O1057" t="s">
        <v>24</v>
      </c>
      <c r="P1057" t="s">
        <v>3295</v>
      </c>
      <c r="Q1057">
        <v>0</v>
      </c>
      <c r="R1057">
        <v>390</v>
      </c>
      <c r="S1057">
        <f t="shared" si="146"/>
        <v>1.5033840290333609E-2</v>
      </c>
      <c r="T1057">
        <f t="shared" si="147"/>
        <v>0</v>
      </c>
      <c r="U1057">
        <f t="shared" si="148"/>
        <v>0</v>
      </c>
      <c r="V1057">
        <f t="shared" si="149"/>
        <v>0</v>
      </c>
      <c r="W1057">
        <f t="shared" si="150"/>
        <v>0</v>
      </c>
      <c r="X1057">
        <f t="shared" si="151"/>
        <v>0</v>
      </c>
      <c r="Y1057">
        <f t="shared" si="152"/>
        <v>0</v>
      </c>
    </row>
    <row r="1058" spans="1:25" x14ac:dyDescent="0.3">
      <c r="A1058" t="s">
        <v>5369</v>
      </c>
      <c r="B1058" t="s">
        <v>5370</v>
      </c>
      <c r="C1058" s="1">
        <v>45720</v>
      </c>
      <c r="D1058" s="3">
        <v>0.44120370370370371</v>
      </c>
      <c r="E1058">
        <f t="shared" si="144"/>
        <v>10</v>
      </c>
      <c r="F1058">
        <v>29</v>
      </c>
      <c r="G1058" t="s">
        <v>46</v>
      </c>
      <c r="H1058" t="s">
        <v>55</v>
      </c>
      <c r="I1058" t="s">
        <v>85</v>
      </c>
      <c r="J1058" t="s">
        <v>40</v>
      </c>
      <c r="K1058" t="s">
        <v>41</v>
      </c>
      <c r="L1058">
        <v>175.64</v>
      </c>
      <c r="M1058" t="s">
        <v>23</v>
      </c>
      <c r="N1058">
        <f t="shared" si="145"/>
        <v>0</v>
      </c>
      <c r="O1058" t="s">
        <v>86</v>
      </c>
      <c r="P1058" t="s">
        <v>5371</v>
      </c>
      <c r="Q1058">
        <v>0</v>
      </c>
      <c r="R1058">
        <v>229</v>
      </c>
      <c r="S1058">
        <f t="shared" si="146"/>
        <v>1.4203184721768031E-2</v>
      </c>
      <c r="T1058">
        <f t="shared" si="147"/>
        <v>0</v>
      </c>
      <c r="U1058">
        <f t="shared" si="148"/>
        <v>0</v>
      </c>
      <c r="V1058">
        <f t="shared" si="149"/>
        <v>1</v>
      </c>
      <c r="W1058">
        <f t="shared" si="150"/>
        <v>1</v>
      </c>
      <c r="X1058">
        <f t="shared" si="151"/>
        <v>0</v>
      </c>
      <c r="Y1058">
        <f t="shared" si="152"/>
        <v>0</v>
      </c>
    </row>
    <row r="1059" spans="1:25" x14ac:dyDescent="0.3">
      <c r="A1059" t="s">
        <v>2489</v>
      </c>
      <c r="B1059" t="s">
        <v>2490</v>
      </c>
      <c r="C1059" s="1">
        <v>45839</v>
      </c>
      <c r="D1059" s="3">
        <v>0.75121527777777775</v>
      </c>
      <c r="E1059">
        <f t="shared" si="144"/>
        <v>18</v>
      </c>
      <c r="F1059">
        <v>31</v>
      </c>
      <c r="G1059" t="s">
        <v>28</v>
      </c>
      <c r="H1059" t="s">
        <v>312</v>
      </c>
      <c r="I1059" t="s">
        <v>66</v>
      </c>
      <c r="J1059" t="s">
        <v>49</v>
      </c>
      <c r="K1059" t="s">
        <v>114</v>
      </c>
      <c r="L1059">
        <v>175.5</v>
      </c>
      <c r="M1059" t="s">
        <v>115</v>
      </c>
      <c r="N1059">
        <f t="shared" si="145"/>
        <v>0</v>
      </c>
      <c r="O1059" t="s">
        <v>24</v>
      </c>
      <c r="P1059" t="s">
        <v>2491</v>
      </c>
      <c r="Q1059">
        <v>0</v>
      </c>
      <c r="R1059">
        <v>64</v>
      </c>
      <c r="S1059">
        <f t="shared" si="146"/>
        <v>1.2264988395115277E-2</v>
      </c>
      <c r="T1059">
        <f t="shared" si="147"/>
        <v>0</v>
      </c>
      <c r="U1059">
        <f t="shared" si="148"/>
        <v>0</v>
      </c>
      <c r="V1059">
        <f t="shared" si="149"/>
        <v>1</v>
      </c>
      <c r="W1059">
        <f t="shared" si="150"/>
        <v>1</v>
      </c>
      <c r="X1059">
        <f t="shared" si="151"/>
        <v>0</v>
      </c>
      <c r="Y1059">
        <f t="shared" si="152"/>
        <v>0</v>
      </c>
    </row>
    <row r="1060" spans="1:25" x14ac:dyDescent="0.3">
      <c r="A1060" t="s">
        <v>3509</v>
      </c>
      <c r="B1060" t="s">
        <v>3510</v>
      </c>
      <c r="C1060" s="1">
        <v>45790</v>
      </c>
      <c r="D1060" s="3">
        <v>0.85028935185185184</v>
      </c>
      <c r="E1060">
        <f t="shared" si="144"/>
        <v>20</v>
      </c>
      <c r="F1060">
        <v>28</v>
      </c>
      <c r="G1060" t="s">
        <v>46</v>
      </c>
      <c r="H1060" t="s">
        <v>232</v>
      </c>
      <c r="I1060" t="s">
        <v>66</v>
      </c>
      <c r="J1060" t="s">
        <v>31</v>
      </c>
      <c r="K1060" t="s">
        <v>120</v>
      </c>
      <c r="L1060">
        <v>175.41</v>
      </c>
      <c r="M1060" t="s">
        <v>23</v>
      </c>
      <c r="N1060">
        <f t="shared" si="145"/>
        <v>0</v>
      </c>
      <c r="O1060" t="s">
        <v>51</v>
      </c>
      <c r="P1060" t="s">
        <v>3511</v>
      </c>
      <c r="Q1060">
        <v>0</v>
      </c>
      <c r="R1060">
        <v>304</v>
      </c>
      <c r="S1060">
        <f t="shared" si="146"/>
        <v>1.1019005042266907E-2</v>
      </c>
      <c r="T1060">
        <f t="shared" si="147"/>
        <v>0</v>
      </c>
      <c r="U1060">
        <f t="shared" si="148"/>
        <v>0</v>
      </c>
      <c r="V1060">
        <f t="shared" si="149"/>
        <v>0</v>
      </c>
      <c r="W1060">
        <f t="shared" si="150"/>
        <v>0</v>
      </c>
      <c r="X1060">
        <f t="shared" si="151"/>
        <v>0</v>
      </c>
      <c r="Y1060">
        <f t="shared" si="152"/>
        <v>0</v>
      </c>
    </row>
    <row r="1061" spans="1:25" x14ac:dyDescent="0.3">
      <c r="A1061" t="s">
        <v>3722</v>
      </c>
      <c r="B1061" t="s">
        <v>3723</v>
      </c>
      <c r="C1061" s="1">
        <v>45778</v>
      </c>
      <c r="D1061" s="3">
        <v>0.87722222222222224</v>
      </c>
      <c r="E1061">
        <f t="shared" si="144"/>
        <v>21</v>
      </c>
      <c r="F1061">
        <v>61</v>
      </c>
      <c r="G1061" t="s">
        <v>46</v>
      </c>
      <c r="H1061" t="s">
        <v>47</v>
      </c>
      <c r="I1061" t="s">
        <v>20</v>
      </c>
      <c r="J1061" t="s">
        <v>56</v>
      </c>
      <c r="K1061" t="s">
        <v>62</v>
      </c>
      <c r="L1061">
        <v>175.23</v>
      </c>
      <c r="M1061" t="s">
        <v>23</v>
      </c>
      <c r="N1061">
        <f t="shared" si="145"/>
        <v>0</v>
      </c>
      <c r="O1061" t="s">
        <v>34</v>
      </c>
      <c r="P1061" t="s">
        <v>3724</v>
      </c>
      <c r="Q1061">
        <v>0</v>
      </c>
      <c r="R1061">
        <v>281</v>
      </c>
      <c r="S1061">
        <f t="shared" si="146"/>
        <v>8.5270383365701717E-3</v>
      </c>
      <c r="T1061">
        <f t="shared" si="147"/>
        <v>0</v>
      </c>
      <c r="U1061">
        <f t="shared" si="148"/>
        <v>0</v>
      </c>
      <c r="V1061">
        <f t="shared" si="149"/>
        <v>0</v>
      </c>
      <c r="W1061">
        <f t="shared" si="150"/>
        <v>0</v>
      </c>
      <c r="X1061">
        <f t="shared" si="151"/>
        <v>0</v>
      </c>
      <c r="Y1061">
        <f t="shared" si="152"/>
        <v>0</v>
      </c>
    </row>
    <row r="1062" spans="1:25" x14ac:dyDescent="0.3">
      <c r="A1062" t="s">
        <v>197</v>
      </c>
      <c r="B1062" t="s">
        <v>198</v>
      </c>
      <c r="C1062" s="1">
        <v>45728</v>
      </c>
      <c r="D1062" s="3">
        <v>0.73653935185185182</v>
      </c>
      <c r="E1062">
        <f t="shared" si="144"/>
        <v>17</v>
      </c>
      <c r="F1062">
        <v>26</v>
      </c>
      <c r="G1062" t="s">
        <v>46</v>
      </c>
      <c r="H1062" t="s">
        <v>47</v>
      </c>
      <c r="I1062" t="s">
        <v>119</v>
      </c>
      <c r="J1062" t="s">
        <v>56</v>
      </c>
      <c r="K1062" t="s">
        <v>168</v>
      </c>
      <c r="L1062">
        <v>174.68</v>
      </c>
      <c r="M1062" t="s">
        <v>23</v>
      </c>
      <c r="N1062">
        <f t="shared" si="145"/>
        <v>0</v>
      </c>
      <c r="O1062" t="s">
        <v>51</v>
      </c>
      <c r="P1062" t="s">
        <v>199</v>
      </c>
      <c r="Q1062">
        <v>0</v>
      </c>
      <c r="R1062">
        <v>407</v>
      </c>
      <c r="S1062">
        <f t="shared" si="146"/>
        <v>9.126956247195577E-4</v>
      </c>
      <c r="T1062">
        <f t="shared" si="147"/>
        <v>0</v>
      </c>
      <c r="U1062">
        <f t="shared" si="148"/>
        <v>0</v>
      </c>
      <c r="V1062">
        <f t="shared" si="149"/>
        <v>0</v>
      </c>
      <c r="W1062">
        <f t="shared" si="150"/>
        <v>0</v>
      </c>
      <c r="X1062">
        <f t="shared" si="151"/>
        <v>0</v>
      </c>
      <c r="Y1062">
        <f t="shared" si="152"/>
        <v>0</v>
      </c>
    </row>
    <row r="1063" spans="1:25" x14ac:dyDescent="0.3">
      <c r="A1063" t="s">
        <v>1040</v>
      </c>
      <c r="B1063" t="s">
        <v>1041</v>
      </c>
      <c r="C1063" s="1">
        <v>45851</v>
      </c>
      <c r="D1063" s="3">
        <v>0.70591435185185181</v>
      </c>
      <c r="E1063">
        <f t="shared" si="144"/>
        <v>16</v>
      </c>
      <c r="F1063">
        <v>39</v>
      </c>
      <c r="G1063" t="s">
        <v>60</v>
      </c>
      <c r="H1063" t="s">
        <v>131</v>
      </c>
      <c r="I1063" t="s">
        <v>20</v>
      </c>
      <c r="J1063" t="s">
        <v>94</v>
      </c>
      <c r="K1063" t="s">
        <v>114</v>
      </c>
      <c r="L1063">
        <v>174.66</v>
      </c>
      <c r="M1063" t="s">
        <v>42</v>
      </c>
      <c r="N1063">
        <f t="shared" si="145"/>
        <v>0</v>
      </c>
      <c r="O1063" t="s">
        <v>86</v>
      </c>
      <c r="P1063" t="s">
        <v>1042</v>
      </c>
      <c r="Q1063">
        <v>0</v>
      </c>
      <c r="R1063">
        <v>322</v>
      </c>
      <c r="S1063">
        <f t="shared" si="146"/>
        <v>6.35810435197567E-4</v>
      </c>
      <c r="T1063">
        <f t="shared" si="147"/>
        <v>0</v>
      </c>
      <c r="U1063">
        <f t="shared" si="148"/>
        <v>0</v>
      </c>
      <c r="V1063">
        <f t="shared" si="149"/>
        <v>0</v>
      </c>
      <c r="W1063">
        <f t="shared" si="150"/>
        <v>0</v>
      </c>
      <c r="X1063">
        <f t="shared" si="151"/>
        <v>0</v>
      </c>
      <c r="Y1063">
        <f t="shared" si="152"/>
        <v>0</v>
      </c>
    </row>
    <row r="1064" spans="1:25" x14ac:dyDescent="0.3">
      <c r="A1064" t="s">
        <v>2258</v>
      </c>
      <c r="B1064" t="s">
        <v>2259</v>
      </c>
      <c r="C1064" s="1">
        <v>45840</v>
      </c>
      <c r="D1064" s="3">
        <v>0.33187499999999998</v>
      </c>
      <c r="E1064">
        <f t="shared" si="144"/>
        <v>7</v>
      </c>
      <c r="F1064">
        <v>52</v>
      </c>
      <c r="G1064" t="s">
        <v>18</v>
      </c>
      <c r="H1064" t="s">
        <v>239</v>
      </c>
      <c r="I1064" t="s">
        <v>48</v>
      </c>
      <c r="J1064" t="s">
        <v>21</v>
      </c>
      <c r="K1064" t="s">
        <v>95</v>
      </c>
      <c r="L1064">
        <v>174.63</v>
      </c>
      <c r="M1064" t="s">
        <v>23</v>
      </c>
      <c r="N1064">
        <f t="shared" si="145"/>
        <v>0</v>
      </c>
      <c r="O1064" t="s">
        <v>24</v>
      </c>
      <c r="P1064" t="s">
        <v>2260</v>
      </c>
      <c r="Q1064">
        <v>0</v>
      </c>
      <c r="R1064">
        <v>252</v>
      </c>
      <c r="S1064">
        <f t="shared" si="146"/>
        <v>2.2048265091477762E-4</v>
      </c>
      <c r="T1064">
        <f t="shared" si="147"/>
        <v>0</v>
      </c>
      <c r="U1064">
        <f t="shared" si="148"/>
        <v>0</v>
      </c>
      <c r="V1064">
        <f t="shared" si="149"/>
        <v>1</v>
      </c>
      <c r="W1064">
        <f t="shared" si="150"/>
        <v>1</v>
      </c>
      <c r="X1064">
        <f t="shared" si="151"/>
        <v>0</v>
      </c>
      <c r="Y1064">
        <f t="shared" si="152"/>
        <v>0</v>
      </c>
    </row>
    <row r="1065" spans="1:25" x14ac:dyDescent="0.3">
      <c r="A1065" t="s">
        <v>626</v>
      </c>
      <c r="B1065" t="s">
        <v>627</v>
      </c>
      <c r="C1065" s="1">
        <v>45706</v>
      </c>
      <c r="D1065" s="3">
        <v>0.24997685185185184</v>
      </c>
      <c r="E1065">
        <f t="shared" si="144"/>
        <v>5</v>
      </c>
      <c r="F1065">
        <v>44</v>
      </c>
      <c r="G1065" t="s">
        <v>60</v>
      </c>
      <c r="H1065" t="s">
        <v>189</v>
      </c>
      <c r="I1065" t="s">
        <v>39</v>
      </c>
      <c r="J1065" t="s">
        <v>132</v>
      </c>
      <c r="K1065" t="s">
        <v>22</v>
      </c>
      <c r="L1065">
        <v>174.39</v>
      </c>
      <c r="M1065" t="s">
        <v>23</v>
      </c>
      <c r="N1065">
        <f t="shared" si="145"/>
        <v>0</v>
      </c>
      <c r="O1065" t="s">
        <v>24</v>
      </c>
      <c r="P1065" t="s">
        <v>628</v>
      </c>
      <c r="Q1065">
        <v>0</v>
      </c>
      <c r="R1065">
        <v>147</v>
      </c>
      <c r="S1065">
        <f t="shared" si="146"/>
        <v>-3.1021396233475375E-3</v>
      </c>
      <c r="T1065">
        <f t="shared" si="147"/>
        <v>0</v>
      </c>
      <c r="U1065">
        <f t="shared" si="148"/>
        <v>1</v>
      </c>
      <c r="V1065">
        <f t="shared" si="149"/>
        <v>1</v>
      </c>
      <c r="W1065">
        <f t="shared" si="150"/>
        <v>3</v>
      </c>
      <c r="X1065">
        <f t="shared" si="151"/>
        <v>0</v>
      </c>
      <c r="Y1065">
        <f t="shared" si="152"/>
        <v>0</v>
      </c>
    </row>
    <row r="1066" spans="1:25" x14ac:dyDescent="0.3">
      <c r="A1066" t="s">
        <v>5861</v>
      </c>
      <c r="B1066" t="s">
        <v>5862</v>
      </c>
      <c r="C1066" s="1">
        <v>45834</v>
      </c>
      <c r="D1066" s="3">
        <v>0.69578703703703704</v>
      </c>
      <c r="E1066">
        <f t="shared" si="144"/>
        <v>16</v>
      </c>
      <c r="F1066">
        <v>25</v>
      </c>
      <c r="G1066" t="s">
        <v>46</v>
      </c>
      <c r="H1066" t="s">
        <v>38</v>
      </c>
      <c r="I1066" t="s">
        <v>119</v>
      </c>
      <c r="J1066" t="s">
        <v>21</v>
      </c>
      <c r="K1066" t="s">
        <v>62</v>
      </c>
      <c r="L1066">
        <v>174.35</v>
      </c>
      <c r="M1066" t="s">
        <v>23</v>
      </c>
      <c r="N1066">
        <f t="shared" si="145"/>
        <v>0</v>
      </c>
      <c r="O1066" t="s">
        <v>51</v>
      </c>
      <c r="P1066" t="s">
        <v>5863</v>
      </c>
      <c r="Q1066">
        <v>0</v>
      </c>
      <c r="R1066">
        <v>414</v>
      </c>
      <c r="S1066">
        <f t="shared" si="146"/>
        <v>-3.6559100023911256E-3</v>
      </c>
      <c r="T1066">
        <f t="shared" si="147"/>
        <v>0</v>
      </c>
      <c r="U1066">
        <f t="shared" si="148"/>
        <v>0</v>
      </c>
      <c r="V1066">
        <f t="shared" si="149"/>
        <v>0</v>
      </c>
      <c r="W1066">
        <f t="shared" si="150"/>
        <v>0</v>
      </c>
      <c r="X1066">
        <f t="shared" si="151"/>
        <v>0</v>
      </c>
      <c r="Y1066">
        <f t="shared" si="152"/>
        <v>0</v>
      </c>
    </row>
    <row r="1067" spans="1:25" x14ac:dyDescent="0.3">
      <c r="A1067" t="s">
        <v>728</v>
      </c>
      <c r="B1067" t="s">
        <v>729</v>
      </c>
      <c r="C1067" s="1">
        <v>45817</v>
      </c>
      <c r="D1067" s="3">
        <v>0.39142361111111112</v>
      </c>
      <c r="E1067">
        <f t="shared" si="144"/>
        <v>9</v>
      </c>
      <c r="F1067">
        <v>19</v>
      </c>
      <c r="G1067" t="s">
        <v>28</v>
      </c>
      <c r="H1067" t="s">
        <v>185</v>
      </c>
      <c r="I1067" t="s">
        <v>105</v>
      </c>
      <c r="J1067" t="s">
        <v>94</v>
      </c>
      <c r="K1067" t="s">
        <v>95</v>
      </c>
      <c r="L1067">
        <v>174.18</v>
      </c>
      <c r="M1067" t="s">
        <v>33</v>
      </c>
      <c r="N1067">
        <f t="shared" si="145"/>
        <v>0</v>
      </c>
      <c r="O1067" t="s">
        <v>24</v>
      </c>
      <c r="P1067" t="s">
        <v>730</v>
      </c>
      <c r="Q1067">
        <v>0</v>
      </c>
      <c r="R1067">
        <v>192</v>
      </c>
      <c r="S1067">
        <f t="shared" si="146"/>
        <v>-6.0094341133266694E-3</v>
      </c>
      <c r="T1067">
        <f t="shared" si="147"/>
        <v>0</v>
      </c>
      <c r="U1067">
        <f t="shared" si="148"/>
        <v>0</v>
      </c>
      <c r="V1067">
        <f t="shared" si="149"/>
        <v>1</v>
      </c>
      <c r="W1067">
        <f t="shared" si="150"/>
        <v>1</v>
      </c>
      <c r="X1067">
        <f t="shared" si="151"/>
        <v>0</v>
      </c>
      <c r="Y1067">
        <f t="shared" si="152"/>
        <v>0</v>
      </c>
    </row>
    <row r="1068" spans="1:25" x14ac:dyDescent="0.3">
      <c r="A1068" t="s">
        <v>5831</v>
      </c>
      <c r="B1068" t="s">
        <v>5832</v>
      </c>
      <c r="C1068" s="1">
        <v>45753</v>
      </c>
      <c r="D1068" s="3">
        <v>0.88388888888888884</v>
      </c>
      <c r="E1068">
        <f t="shared" si="144"/>
        <v>21</v>
      </c>
      <c r="F1068">
        <v>20</v>
      </c>
      <c r="G1068" t="s">
        <v>46</v>
      </c>
      <c r="H1068" t="s">
        <v>80</v>
      </c>
      <c r="I1068" t="s">
        <v>39</v>
      </c>
      <c r="J1068" t="s">
        <v>76</v>
      </c>
      <c r="K1068" t="s">
        <v>62</v>
      </c>
      <c r="L1068">
        <v>174.18</v>
      </c>
      <c r="M1068" t="s">
        <v>42</v>
      </c>
      <c r="N1068">
        <f t="shared" si="145"/>
        <v>0</v>
      </c>
      <c r="O1068" t="s">
        <v>86</v>
      </c>
      <c r="P1068" t="s">
        <v>5833</v>
      </c>
      <c r="Q1068">
        <v>0</v>
      </c>
      <c r="R1068">
        <v>280</v>
      </c>
      <c r="S1068">
        <f t="shared" si="146"/>
        <v>-6.0094341133266694E-3</v>
      </c>
      <c r="T1068">
        <f t="shared" si="147"/>
        <v>0</v>
      </c>
      <c r="U1068">
        <f t="shared" si="148"/>
        <v>0</v>
      </c>
      <c r="V1068">
        <f t="shared" si="149"/>
        <v>0</v>
      </c>
      <c r="W1068">
        <f t="shared" si="150"/>
        <v>0</v>
      </c>
      <c r="X1068">
        <f t="shared" si="151"/>
        <v>0</v>
      </c>
      <c r="Y1068">
        <f t="shared" si="152"/>
        <v>0</v>
      </c>
    </row>
    <row r="1069" spans="1:25" x14ac:dyDescent="0.3">
      <c r="A1069" t="s">
        <v>3959</v>
      </c>
      <c r="B1069" t="s">
        <v>3960</v>
      </c>
      <c r="C1069" s="1">
        <v>45750</v>
      </c>
      <c r="D1069" s="3">
        <v>0.88025462962962964</v>
      </c>
      <c r="E1069">
        <f t="shared" si="144"/>
        <v>21</v>
      </c>
      <c r="F1069">
        <v>41</v>
      </c>
      <c r="G1069" t="s">
        <v>18</v>
      </c>
      <c r="H1069" t="s">
        <v>38</v>
      </c>
      <c r="I1069" t="s">
        <v>30</v>
      </c>
      <c r="J1069" t="s">
        <v>31</v>
      </c>
      <c r="K1069" t="s">
        <v>50</v>
      </c>
      <c r="L1069">
        <v>174.17</v>
      </c>
      <c r="M1069" t="s">
        <v>23</v>
      </c>
      <c r="N1069">
        <f t="shared" si="145"/>
        <v>0</v>
      </c>
      <c r="O1069" t="s">
        <v>86</v>
      </c>
      <c r="P1069" t="s">
        <v>3961</v>
      </c>
      <c r="Q1069">
        <v>0</v>
      </c>
      <c r="R1069">
        <v>262</v>
      </c>
      <c r="S1069">
        <f t="shared" si="146"/>
        <v>-6.1478767080878618E-3</v>
      </c>
      <c r="T1069">
        <f t="shared" si="147"/>
        <v>0</v>
      </c>
      <c r="U1069">
        <f t="shared" si="148"/>
        <v>0</v>
      </c>
      <c r="V1069">
        <f t="shared" si="149"/>
        <v>1</v>
      </c>
      <c r="W1069">
        <f t="shared" si="150"/>
        <v>1</v>
      </c>
      <c r="X1069">
        <f t="shared" si="151"/>
        <v>0</v>
      </c>
      <c r="Y1069">
        <f t="shared" si="152"/>
        <v>0</v>
      </c>
    </row>
    <row r="1070" spans="1:25" x14ac:dyDescent="0.3">
      <c r="A1070" t="s">
        <v>5657</v>
      </c>
      <c r="B1070" t="s">
        <v>5658</v>
      </c>
      <c r="C1070" s="1">
        <v>45794</v>
      </c>
      <c r="D1070" s="3">
        <v>0.85016203703703708</v>
      </c>
      <c r="E1070">
        <f t="shared" si="144"/>
        <v>20</v>
      </c>
      <c r="F1070">
        <v>34</v>
      </c>
      <c r="G1070" t="s">
        <v>60</v>
      </c>
      <c r="H1070" t="s">
        <v>239</v>
      </c>
      <c r="I1070" t="s">
        <v>71</v>
      </c>
      <c r="J1070" t="s">
        <v>132</v>
      </c>
      <c r="K1070" t="s">
        <v>114</v>
      </c>
      <c r="L1070">
        <v>174.03</v>
      </c>
      <c r="M1070" t="s">
        <v>115</v>
      </c>
      <c r="N1070">
        <f t="shared" si="145"/>
        <v>0</v>
      </c>
      <c r="O1070" t="s">
        <v>34</v>
      </c>
      <c r="P1070" t="s">
        <v>5659</v>
      </c>
      <c r="Q1070">
        <v>0</v>
      </c>
      <c r="R1070">
        <v>198</v>
      </c>
      <c r="S1070">
        <f t="shared" si="146"/>
        <v>-8.0860730347406158E-3</v>
      </c>
      <c r="T1070">
        <f t="shared" si="147"/>
        <v>0</v>
      </c>
      <c r="U1070">
        <f t="shared" si="148"/>
        <v>0</v>
      </c>
      <c r="V1070">
        <f t="shared" si="149"/>
        <v>1</v>
      </c>
      <c r="W1070">
        <f t="shared" si="150"/>
        <v>1</v>
      </c>
      <c r="X1070">
        <f t="shared" si="151"/>
        <v>0</v>
      </c>
      <c r="Y1070">
        <f t="shared" si="152"/>
        <v>0</v>
      </c>
    </row>
    <row r="1071" spans="1:25" x14ac:dyDescent="0.3">
      <c r="A1071" t="s">
        <v>1079</v>
      </c>
      <c r="B1071" t="s">
        <v>1080</v>
      </c>
      <c r="C1071" s="1">
        <v>45762</v>
      </c>
      <c r="D1071" s="3">
        <v>0.86343749999999997</v>
      </c>
      <c r="E1071">
        <f t="shared" si="144"/>
        <v>20</v>
      </c>
      <c r="F1071">
        <v>50</v>
      </c>
      <c r="G1071" t="s">
        <v>60</v>
      </c>
      <c r="H1071" t="s">
        <v>19</v>
      </c>
      <c r="I1071" t="s">
        <v>39</v>
      </c>
      <c r="J1071" t="s">
        <v>127</v>
      </c>
      <c r="K1071" t="s">
        <v>32</v>
      </c>
      <c r="L1071">
        <v>173.93</v>
      </c>
      <c r="M1071" t="s">
        <v>42</v>
      </c>
      <c r="N1071">
        <f t="shared" si="145"/>
        <v>0</v>
      </c>
      <c r="O1071" t="s">
        <v>86</v>
      </c>
      <c r="P1071" t="s">
        <v>1081</v>
      </c>
      <c r="Q1071">
        <v>0</v>
      </c>
      <c r="R1071">
        <v>171</v>
      </c>
      <c r="S1071">
        <f t="shared" si="146"/>
        <v>-9.4704989823497839E-3</v>
      </c>
      <c r="T1071">
        <f t="shared" si="147"/>
        <v>0</v>
      </c>
      <c r="U1071">
        <f t="shared" si="148"/>
        <v>0</v>
      </c>
      <c r="V1071">
        <f t="shared" si="149"/>
        <v>1</v>
      </c>
      <c r="W1071">
        <f t="shared" si="150"/>
        <v>1</v>
      </c>
      <c r="X1071">
        <f t="shared" si="151"/>
        <v>0</v>
      </c>
      <c r="Y1071">
        <f t="shared" si="152"/>
        <v>0</v>
      </c>
    </row>
    <row r="1072" spans="1:25" x14ac:dyDescent="0.3">
      <c r="A1072" t="s">
        <v>548</v>
      </c>
      <c r="B1072" t="s">
        <v>549</v>
      </c>
      <c r="C1072" s="1">
        <v>45730</v>
      </c>
      <c r="D1072" s="3">
        <v>0.53636574074074073</v>
      </c>
      <c r="E1072">
        <f t="shared" si="144"/>
        <v>12</v>
      </c>
      <c r="F1072">
        <v>62</v>
      </c>
      <c r="G1072" t="s">
        <v>60</v>
      </c>
      <c r="H1072" t="s">
        <v>90</v>
      </c>
      <c r="I1072" t="s">
        <v>20</v>
      </c>
      <c r="J1072" t="s">
        <v>132</v>
      </c>
      <c r="K1072" t="s">
        <v>32</v>
      </c>
      <c r="L1072">
        <v>173.89</v>
      </c>
      <c r="M1072" t="s">
        <v>42</v>
      </c>
      <c r="N1072">
        <f t="shared" si="145"/>
        <v>0</v>
      </c>
      <c r="O1072" t="s">
        <v>24</v>
      </c>
      <c r="P1072" t="s">
        <v>550</v>
      </c>
      <c r="Q1072">
        <v>0</v>
      </c>
      <c r="R1072">
        <v>285</v>
      </c>
      <c r="S1072">
        <f t="shared" si="146"/>
        <v>-1.0024269361393764E-2</v>
      </c>
      <c r="T1072">
        <f t="shared" si="147"/>
        <v>0</v>
      </c>
      <c r="U1072">
        <f t="shared" si="148"/>
        <v>0</v>
      </c>
      <c r="V1072">
        <f t="shared" si="149"/>
        <v>0</v>
      </c>
      <c r="W1072">
        <f t="shared" si="150"/>
        <v>0</v>
      </c>
      <c r="X1072">
        <f t="shared" si="151"/>
        <v>0</v>
      </c>
      <c r="Y1072">
        <f t="shared" si="152"/>
        <v>0</v>
      </c>
    </row>
    <row r="1073" spans="1:25" x14ac:dyDescent="0.3">
      <c r="A1073" t="s">
        <v>3506</v>
      </c>
      <c r="B1073" t="s">
        <v>3507</v>
      </c>
      <c r="C1073" s="1">
        <v>45825</v>
      </c>
      <c r="D1073" s="3">
        <v>0.67679398148148151</v>
      </c>
      <c r="E1073">
        <f t="shared" si="144"/>
        <v>16</v>
      </c>
      <c r="F1073">
        <v>37</v>
      </c>
      <c r="G1073" t="s">
        <v>18</v>
      </c>
      <c r="H1073" t="s">
        <v>131</v>
      </c>
      <c r="I1073" t="s">
        <v>85</v>
      </c>
      <c r="J1073" t="s">
        <v>49</v>
      </c>
      <c r="K1073" t="s">
        <v>62</v>
      </c>
      <c r="L1073">
        <v>173.88</v>
      </c>
      <c r="M1073" t="s">
        <v>115</v>
      </c>
      <c r="N1073">
        <f t="shared" si="145"/>
        <v>0</v>
      </c>
      <c r="O1073" t="s">
        <v>51</v>
      </c>
      <c r="P1073" t="s">
        <v>3508</v>
      </c>
      <c r="Q1073">
        <v>0</v>
      </c>
      <c r="R1073">
        <v>151</v>
      </c>
      <c r="S1073">
        <f t="shared" si="146"/>
        <v>-1.0162711956154563E-2</v>
      </c>
      <c r="T1073">
        <f t="shared" si="147"/>
        <v>0</v>
      </c>
      <c r="U1073">
        <f t="shared" si="148"/>
        <v>0</v>
      </c>
      <c r="V1073">
        <f t="shared" si="149"/>
        <v>1</v>
      </c>
      <c r="W1073">
        <f t="shared" si="150"/>
        <v>1</v>
      </c>
      <c r="X1073">
        <f t="shared" si="151"/>
        <v>0</v>
      </c>
      <c r="Y1073">
        <f t="shared" si="152"/>
        <v>0</v>
      </c>
    </row>
    <row r="1074" spans="1:25" x14ac:dyDescent="0.3">
      <c r="A1074" t="s">
        <v>1478</v>
      </c>
      <c r="B1074" t="s">
        <v>1479</v>
      </c>
      <c r="C1074" s="1">
        <v>45881</v>
      </c>
      <c r="D1074" s="3">
        <v>8.8067129629629634E-2</v>
      </c>
      <c r="E1074">
        <f t="shared" si="144"/>
        <v>2</v>
      </c>
      <c r="F1074">
        <v>33</v>
      </c>
      <c r="G1074" t="s">
        <v>18</v>
      </c>
      <c r="H1074" t="s">
        <v>175</v>
      </c>
      <c r="I1074" t="s">
        <v>66</v>
      </c>
      <c r="J1074" t="s">
        <v>127</v>
      </c>
      <c r="K1074" t="s">
        <v>101</v>
      </c>
      <c r="L1074">
        <v>173.69</v>
      </c>
      <c r="M1074" t="s">
        <v>115</v>
      </c>
      <c r="N1074">
        <f t="shared" si="145"/>
        <v>0</v>
      </c>
      <c r="O1074" t="s">
        <v>24</v>
      </c>
      <c r="P1074" t="s">
        <v>1480</v>
      </c>
      <c r="Q1074">
        <v>0</v>
      </c>
      <c r="R1074">
        <v>449</v>
      </c>
      <c r="S1074">
        <f t="shared" si="146"/>
        <v>-1.2793121256612099E-2</v>
      </c>
      <c r="T1074">
        <f t="shared" si="147"/>
        <v>0</v>
      </c>
      <c r="U1074">
        <f t="shared" si="148"/>
        <v>1</v>
      </c>
      <c r="V1074">
        <f t="shared" si="149"/>
        <v>0</v>
      </c>
      <c r="W1074">
        <f t="shared" si="150"/>
        <v>2</v>
      </c>
      <c r="X1074">
        <f t="shared" si="151"/>
        <v>0</v>
      </c>
      <c r="Y1074">
        <f t="shared" si="152"/>
        <v>0</v>
      </c>
    </row>
    <row r="1075" spans="1:25" x14ac:dyDescent="0.3">
      <c r="A1075" t="s">
        <v>410</v>
      </c>
      <c r="B1075" t="s">
        <v>411</v>
      </c>
      <c r="C1075" s="1">
        <v>45869</v>
      </c>
      <c r="D1075" s="3">
        <v>0.19371527777777778</v>
      </c>
      <c r="E1075">
        <f t="shared" si="144"/>
        <v>4</v>
      </c>
      <c r="F1075">
        <v>59</v>
      </c>
      <c r="G1075" t="s">
        <v>46</v>
      </c>
      <c r="H1075" t="s">
        <v>55</v>
      </c>
      <c r="I1075" t="s">
        <v>110</v>
      </c>
      <c r="J1075" t="s">
        <v>127</v>
      </c>
      <c r="K1075" t="s">
        <v>41</v>
      </c>
      <c r="L1075">
        <v>173.65</v>
      </c>
      <c r="M1075" t="s">
        <v>23</v>
      </c>
      <c r="N1075">
        <f t="shared" si="145"/>
        <v>0</v>
      </c>
      <c r="O1075" t="s">
        <v>24</v>
      </c>
      <c r="P1075" t="s">
        <v>412</v>
      </c>
      <c r="Q1075">
        <v>1</v>
      </c>
      <c r="R1075">
        <v>462</v>
      </c>
      <c r="S1075">
        <f t="shared" si="146"/>
        <v>-1.3346891635655686E-2</v>
      </c>
      <c r="T1075">
        <f t="shared" si="147"/>
        <v>0</v>
      </c>
      <c r="U1075">
        <f t="shared" si="148"/>
        <v>1</v>
      </c>
      <c r="V1075">
        <f t="shared" si="149"/>
        <v>0</v>
      </c>
      <c r="W1075">
        <f t="shared" si="150"/>
        <v>2</v>
      </c>
      <c r="X1075">
        <f t="shared" si="151"/>
        <v>0</v>
      </c>
      <c r="Y1075">
        <f t="shared" si="152"/>
        <v>0</v>
      </c>
    </row>
    <row r="1076" spans="1:25" x14ac:dyDescent="0.3">
      <c r="A1076" t="s">
        <v>1457</v>
      </c>
      <c r="B1076" t="s">
        <v>1458</v>
      </c>
      <c r="C1076" s="1">
        <v>45747</v>
      </c>
      <c r="D1076" s="3">
        <v>0.50310185185185186</v>
      </c>
      <c r="E1076">
        <f t="shared" si="144"/>
        <v>12</v>
      </c>
      <c r="F1076">
        <v>56</v>
      </c>
      <c r="G1076" t="s">
        <v>46</v>
      </c>
      <c r="H1076" t="s">
        <v>84</v>
      </c>
      <c r="I1076" t="s">
        <v>39</v>
      </c>
      <c r="J1076" t="s">
        <v>132</v>
      </c>
      <c r="K1076" t="s">
        <v>50</v>
      </c>
      <c r="L1076">
        <v>173.65</v>
      </c>
      <c r="M1076" t="s">
        <v>33</v>
      </c>
      <c r="N1076">
        <f t="shared" si="145"/>
        <v>0</v>
      </c>
      <c r="O1076" t="s">
        <v>24</v>
      </c>
      <c r="P1076" t="s">
        <v>1459</v>
      </c>
      <c r="Q1076">
        <v>0</v>
      </c>
      <c r="R1076">
        <v>472</v>
      </c>
      <c r="S1076">
        <f t="shared" si="146"/>
        <v>-1.3346891635655686E-2</v>
      </c>
      <c r="T1076">
        <f t="shared" si="147"/>
        <v>0</v>
      </c>
      <c r="U1076">
        <f t="shared" si="148"/>
        <v>0</v>
      </c>
      <c r="V1076">
        <f t="shared" si="149"/>
        <v>0</v>
      </c>
      <c r="W1076">
        <f t="shared" si="150"/>
        <v>0</v>
      </c>
      <c r="X1076">
        <f t="shared" si="151"/>
        <v>0</v>
      </c>
      <c r="Y1076">
        <f t="shared" si="152"/>
        <v>0</v>
      </c>
    </row>
    <row r="1077" spans="1:25" x14ac:dyDescent="0.3">
      <c r="A1077" t="s">
        <v>1106</v>
      </c>
      <c r="B1077" t="s">
        <v>1107</v>
      </c>
      <c r="C1077" s="1">
        <v>45722</v>
      </c>
      <c r="D1077" s="3">
        <v>0.66866898148148146</v>
      </c>
      <c r="E1077">
        <f t="shared" si="144"/>
        <v>16</v>
      </c>
      <c r="F1077">
        <v>34</v>
      </c>
      <c r="G1077" t="s">
        <v>60</v>
      </c>
      <c r="H1077" t="s">
        <v>239</v>
      </c>
      <c r="I1077" t="s">
        <v>66</v>
      </c>
      <c r="J1077" t="s">
        <v>72</v>
      </c>
      <c r="K1077" t="s">
        <v>168</v>
      </c>
      <c r="L1077">
        <v>173.46</v>
      </c>
      <c r="M1077" t="s">
        <v>115</v>
      </c>
      <c r="N1077">
        <f t="shared" si="145"/>
        <v>0</v>
      </c>
      <c r="O1077" t="s">
        <v>34</v>
      </c>
      <c r="P1077" t="s">
        <v>1108</v>
      </c>
      <c r="Q1077">
        <v>0</v>
      </c>
      <c r="R1077">
        <v>98</v>
      </c>
      <c r="S1077">
        <f t="shared" si="146"/>
        <v>-1.5977300936113221E-2</v>
      </c>
      <c r="T1077">
        <f t="shared" si="147"/>
        <v>0</v>
      </c>
      <c r="U1077">
        <f t="shared" si="148"/>
        <v>0</v>
      </c>
      <c r="V1077">
        <f t="shared" si="149"/>
        <v>1</v>
      </c>
      <c r="W1077">
        <f t="shared" si="150"/>
        <v>1</v>
      </c>
      <c r="X1077">
        <f t="shared" si="151"/>
        <v>0</v>
      </c>
      <c r="Y1077">
        <f t="shared" si="152"/>
        <v>0</v>
      </c>
    </row>
    <row r="1078" spans="1:25" x14ac:dyDescent="0.3">
      <c r="A1078" t="s">
        <v>2435</v>
      </c>
      <c r="B1078" t="s">
        <v>2436</v>
      </c>
      <c r="C1078" s="1">
        <v>45831</v>
      </c>
      <c r="D1078" s="3">
        <v>0.53524305555555551</v>
      </c>
      <c r="E1078">
        <f t="shared" si="144"/>
        <v>12</v>
      </c>
      <c r="F1078">
        <v>25</v>
      </c>
      <c r="G1078" t="s">
        <v>28</v>
      </c>
      <c r="H1078" t="s">
        <v>185</v>
      </c>
      <c r="I1078" t="s">
        <v>30</v>
      </c>
      <c r="J1078" t="s">
        <v>21</v>
      </c>
      <c r="K1078" t="s">
        <v>32</v>
      </c>
      <c r="L1078">
        <v>173.39</v>
      </c>
      <c r="M1078" t="s">
        <v>115</v>
      </c>
      <c r="N1078">
        <f t="shared" si="145"/>
        <v>0</v>
      </c>
      <c r="O1078" t="s">
        <v>24</v>
      </c>
      <c r="P1078" t="s">
        <v>2437</v>
      </c>
      <c r="Q1078">
        <v>0</v>
      </c>
      <c r="R1078">
        <v>355</v>
      </c>
      <c r="S1078">
        <f t="shared" si="146"/>
        <v>-1.6946399099439992E-2</v>
      </c>
      <c r="T1078">
        <f t="shared" si="147"/>
        <v>0</v>
      </c>
      <c r="U1078">
        <f t="shared" si="148"/>
        <v>0</v>
      </c>
      <c r="V1078">
        <f t="shared" si="149"/>
        <v>0</v>
      </c>
      <c r="W1078">
        <f t="shared" si="150"/>
        <v>0</v>
      </c>
      <c r="X1078">
        <f t="shared" si="151"/>
        <v>0</v>
      </c>
      <c r="Y1078">
        <f t="shared" si="152"/>
        <v>0</v>
      </c>
    </row>
    <row r="1079" spans="1:25" x14ac:dyDescent="0.3">
      <c r="A1079" t="s">
        <v>2801</v>
      </c>
      <c r="B1079" t="s">
        <v>2802</v>
      </c>
      <c r="C1079" s="1">
        <v>45827</v>
      </c>
      <c r="D1079" s="3">
        <v>0.28555555555555556</v>
      </c>
      <c r="E1079">
        <f t="shared" si="144"/>
        <v>6</v>
      </c>
      <c r="F1079">
        <v>64</v>
      </c>
      <c r="G1079" t="s">
        <v>18</v>
      </c>
      <c r="H1079" t="s">
        <v>232</v>
      </c>
      <c r="I1079" t="s">
        <v>119</v>
      </c>
      <c r="J1079" t="s">
        <v>56</v>
      </c>
      <c r="K1079" t="s">
        <v>168</v>
      </c>
      <c r="L1079">
        <v>173.37</v>
      </c>
      <c r="M1079" t="s">
        <v>6479</v>
      </c>
      <c r="N1079">
        <f t="shared" si="145"/>
        <v>1</v>
      </c>
      <c r="O1079" t="s">
        <v>86</v>
      </c>
      <c r="P1079" t="s">
        <v>2803</v>
      </c>
      <c r="Q1079">
        <v>0</v>
      </c>
      <c r="R1079">
        <v>55</v>
      </c>
      <c r="S1079">
        <f t="shared" si="146"/>
        <v>-1.7223284288961589E-2</v>
      </c>
      <c r="T1079">
        <f t="shared" si="147"/>
        <v>0</v>
      </c>
      <c r="U1079">
        <f t="shared" si="148"/>
        <v>0</v>
      </c>
      <c r="V1079">
        <f t="shared" si="149"/>
        <v>1</v>
      </c>
      <c r="W1079">
        <f t="shared" si="150"/>
        <v>3</v>
      </c>
      <c r="X1079">
        <f t="shared" si="151"/>
        <v>0</v>
      </c>
      <c r="Y1079">
        <f t="shared" si="152"/>
        <v>1</v>
      </c>
    </row>
    <row r="1080" spans="1:25" x14ac:dyDescent="0.3">
      <c r="A1080" t="s">
        <v>1319</v>
      </c>
      <c r="B1080" t="s">
        <v>1320</v>
      </c>
      <c r="C1080" s="1">
        <v>45810</v>
      </c>
      <c r="D1080" s="3">
        <v>0.33759259259259261</v>
      </c>
      <c r="E1080">
        <f t="shared" si="144"/>
        <v>8</v>
      </c>
      <c r="F1080">
        <v>39</v>
      </c>
      <c r="G1080" t="s">
        <v>99</v>
      </c>
      <c r="H1080" t="s">
        <v>189</v>
      </c>
      <c r="I1080" t="s">
        <v>39</v>
      </c>
      <c r="J1080" t="s">
        <v>72</v>
      </c>
      <c r="K1080" t="s">
        <v>101</v>
      </c>
      <c r="L1080">
        <v>173.31</v>
      </c>
      <c r="M1080" t="s">
        <v>33</v>
      </c>
      <c r="N1080">
        <f t="shared" si="145"/>
        <v>0</v>
      </c>
      <c r="O1080" t="s">
        <v>34</v>
      </c>
      <c r="P1080" t="s">
        <v>1321</v>
      </c>
      <c r="Q1080">
        <v>0</v>
      </c>
      <c r="R1080">
        <v>381</v>
      </c>
      <c r="S1080">
        <f t="shared" si="146"/>
        <v>-1.8053939857527169E-2</v>
      </c>
      <c r="T1080">
        <f t="shared" si="147"/>
        <v>0</v>
      </c>
      <c r="U1080">
        <f t="shared" si="148"/>
        <v>0</v>
      </c>
      <c r="V1080">
        <f t="shared" si="149"/>
        <v>0</v>
      </c>
      <c r="W1080">
        <f t="shared" si="150"/>
        <v>0</v>
      </c>
      <c r="X1080">
        <f t="shared" si="151"/>
        <v>0</v>
      </c>
      <c r="Y1080">
        <f t="shared" si="152"/>
        <v>0</v>
      </c>
    </row>
    <row r="1081" spans="1:25" x14ac:dyDescent="0.3">
      <c r="A1081" t="s">
        <v>983</v>
      </c>
      <c r="B1081" t="s">
        <v>984</v>
      </c>
      <c r="C1081" s="1">
        <v>45769</v>
      </c>
      <c r="D1081" s="3">
        <v>0.46219907407407407</v>
      </c>
      <c r="E1081">
        <f t="shared" si="144"/>
        <v>11</v>
      </c>
      <c r="F1081">
        <v>19</v>
      </c>
      <c r="G1081" t="s">
        <v>46</v>
      </c>
      <c r="H1081" t="s">
        <v>239</v>
      </c>
      <c r="I1081" t="s">
        <v>119</v>
      </c>
      <c r="J1081" t="s">
        <v>72</v>
      </c>
      <c r="K1081" t="s">
        <v>22</v>
      </c>
      <c r="L1081">
        <v>173.02</v>
      </c>
      <c r="M1081" t="s">
        <v>33</v>
      </c>
      <c r="N1081">
        <f t="shared" si="145"/>
        <v>0</v>
      </c>
      <c r="O1081" t="s">
        <v>34</v>
      </c>
      <c r="P1081" t="s">
        <v>985</v>
      </c>
      <c r="Q1081">
        <v>0</v>
      </c>
      <c r="R1081">
        <v>234</v>
      </c>
      <c r="S1081">
        <f t="shared" si="146"/>
        <v>-2.2068775105593869E-2</v>
      </c>
      <c r="T1081">
        <f t="shared" si="147"/>
        <v>0</v>
      </c>
      <c r="U1081">
        <f t="shared" si="148"/>
        <v>0</v>
      </c>
      <c r="V1081">
        <f t="shared" si="149"/>
        <v>1</v>
      </c>
      <c r="W1081">
        <f t="shared" si="150"/>
        <v>1</v>
      </c>
      <c r="X1081">
        <f t="shared" si="151"/>
        <v>0</v>
      </c>
      <c r="Y1081">
        <f t="shared" si="152"/>
        <v>0</v>
      </c>
    </row>
    <row r="1082" spans="1:25" x14ac:dyDescent="0.3">
      <c r="A1082" t="s">
        <v>5411</v>
      </c>
      <c r="B1082" t="s">
        <v>5412</v>
      </c>
      <c r="C1082" s="1">
        <v>45800</v>
      </c>
      <c r="D1082" s="3">
        <v>3.4629629629629628E-2</v>
      </c>
      <c r="E1082">
        <f t="shared" si="144"/>
        <v>0</v>
      </c>
      <c r="F1082">
        <v>51</v>
      </c>
      <c r="G1082" t="s">
        <v>46</v>
      </c>
      <c r="H1082" t="s">
        <v>70</v>
      </c>
      <c r="I1082" t="s">
        <v>85</v>
      </c>
      <c r="J1082" t="s">
        <v>21</v>
      </c>
      <c r="K1082" t="s">
        <v>168</v>
      </c>
      <c r="L1082">
        <v>172.93</v>
      </c>
      <c r="M1082" t="s">
        <v>42</v>
      </c>
      <c r="N1082">
        <f t="shared" si="145"/>
        <v>0</v>
      </c>
      <c r="O1082" t="s">
        <v>86</v>
      </c>
      <c r="P1082" t="s">
        <v>5413</v>
      </c>
      <c r="Q1082">
        <v>0</v>
      </c>
      <c r="R1082">
        <v>134</v>
      </c>
      <c r="S1082">
        <f t="shared" si="146"/>
        <v>-2.3314758458442237E-2</v>
      </c>
      <c r="T1082">
        <f t="shared" si="147"/>
        <v>0</v>
      </c>
      <c r="U1082">
        <f t="shared" si="148"/>
        <v>1</v>
      </c>
      <c r="V1082">
        <f t="shared" si="149"/>
        <v>1</v>
      </c>
      <c r="W1082">
        <f t="shared" si="150"/>
        <v>3</v>
      </c>
      <c r="X1082">
        <f t="shared" si="151"/>
        <v>0</v>
      </c>
      <c r="Y1082">
        <f t="shared" si="152"/>
        <v>0</v>
      </c>
    </row>
    <row r="1083" spans="1:25" x14ac:dyDescent="0.3">
      <c r="A1083" t="s">
        <v>1907</v>
      </c>
      <c r="B1083" t="s">
        <v>1908</v>
      </c>
      <c r="C1083" s="1">
        <v>45834</v>
      </c>
      <c r="D1083" s="3">
        <v>0.3150810185185185</v>
      </c>
      <c r="E1083">
        <f t="shared" si="144"/>
        <v>7</v>
      </c>
      <c r="F1083">
        <v>46</v>
      </c>
      <c r="G1083" t="s">
        <v>46</v>
      </c>
      <c r="H1083" t="s">
        <v>189</v>
      </c>
      <c r="I1083" t="s">
        <v>48</v>
      </c>
      <c r="J1083" t="s">
        <v>56</v>
      </c>
      <c r="K1083" t="s">
        <v>120</v>
      </c>
      <c r="L1083">
        <v>172.59</v>
      </c>
      <c r="M1083" t="s">
        <v>23</v>
      </c>
      <c r="N1083">
        <f t="shared" si="145"/>
        <v>0</v>
      </c>
      <c r="O1083" t="s">
        <v>24</v>
      </c>
      <c r="P1083" t="s">
        <v>1909</v>
      </c>
      <c r="Q1083">
        <v>0</v>
      </c>
      <c r="R1083">
        <v>483</v>
      </c>
      <c r="S1083">
        <f t="shared" si="146"/>
        <v>-2.8021806680313718E-2</v>
      </c>
      <c r="T1083">
        <f t="shared" si="147"/>
        <v>0</v>
      </c>
      <c r="U1083">
        <f t="shared" si="148"/>
        <v>0</v>
      </c>
      <c r="V1083">
        <f t="shared" si="149"/>
        <v>0</v>
      </c>
      <c r="W1083">
        <f t="shared" si="150"/>
        <v>0</v>
      </c>
      <c r="X1083">
        <f t="shared" si="151"/>
        <v>0</v>
      </c>
      <c r="Y1083">
        <f t="shared" si="152"/>
        <v>0</v>
      </c>
    </row>
    <row r="1084" spans="1:25" x14ac:dyDescent="0.3">
      <c r="A1084" t="s">
        <v>3440</v>
      </c>
      <c r="B1084" t="s">
        <v>3441</v>
      </c>
      <c r="C1084" s="1">
        <v>45739</v>
      </c>
      <c r="D1084" s="3">
        <v>0.99800925925925921</v>
      </c>
      <c r="E1084">
        <f t="shared" si="144"/>
        <v>23</v>
      </c>
      <c r="F1084">
        <v>64</v>
      </c>
      <c r="G1084" t="s">
        <v>28</v>
      </c>
      <c r="H1084" t="s">
        <v>70</v>
      </c>
      <c r="I1084" t="s">
        <v>20</v>
      </c>
      <c r="J1084" t="s">
        <v>127</v>
      </c>
      <c r="K1084" t="s">
        <v>101</v>
      </c>
      <c r="L1084">
        <v>172.59</v>
      </c>
      <c r="M1084" t="s">
        <v>42</v>
      </c>
      <c r="N1084">
        <f t="shared" si="145"/>
        <v>0</v>
      </c>
      <c r="O1084" t="s">
        <v>24</v>
      </c>
      <c r="P1084" t="s">
        <v>3442</v>
      </c>
      <c r="Q1084">
        <v>0</v>
      </c>
      <c r="R1084">
        <v>83</v>
      </c>
      <c r="S1084">
        <f t="shared" si="146"/>
        <v>-2.8021806680313718E-2</v>
      </c>
      <c r="T1084">
        <f t="shared" si="147"/>
        <v>0</v>
      </c>
      <c r="U1084">
        <f t="shared" si="148"/>
        <v>0</v>
      </c>
      <c r="V1084">
        <f t="shared" si="149"/>
        <v>1</v>
      </c>
      <c r="W1084">
        <f t="shared" si="150"/>
        <v>1</v>
      </c>
      <c r="X1084">
        <f t="shared" si="151"/>
        <v>0</v>
      </c>
      <c r="Y1084">
        <f t="shared" si="152"/>
        <v>0</v>
      </c>
    </row>
    <row r="1085" spans="1:25" x14ac:dyDescent="0.3">
      <c r="A1085" t="s">
        <v>3257</v>
      </c>
      <c r="B1085" t="s">
        <v>3258</v>
      </c>
      <c r="C1085" s="1">
        <v>45804</v>
      </c>
      <c r="D1085" s="3">
        <v>0.28195601851851854</v>
      </c>
      <c r="E1085">
        <f t="shared" si="144"/>
        <v>6</v>
      </c>
      <c r="F1085">
        <v>54</v>
      </c>
      <c r="G1085" t="s">
        <v>46</v>
      </c>
      <c r="H1085" t="s">
        <v>189</v>
      </c>
      <c r="I1085" t="s">
        <v>119</v>
      </c>
      <c r="J1085" t="s">
        <v>94</v>
      </c>
      <c r="K1085" t="s">
        <v>22</v>
      </c>
      <c r="L1085">
        <v>172.43</v>
      </c>
      <c r="M1085" t="s">
        <v>42</v>
      </c>
      <c r="N1085">
        <f t="shared" si="145"/>
        <v>0</v>
      </c>
      <c r="O1085" t="s">
        <v>51</v>
      </c>
      <c r="P1085" t="s">
        <v>3259</v>
      </c>
      <c r="Q1085">
        <v>0</v>
      </c>
      <c r="R1085">
        <v>73</v>
      </c>
      <c r="S1085">
        <f t="shared" si="146"/>
        <v>-3.0236888196488464E-2</v>
      </c>
      <c r="T1085">
        <f t="shared" si="147"/>
        <v>0</v>
      </c>
      <c r="U1085">
        <f t="shared" si="148"/>
        <v>0</v>
      </c>
      <c r="V1085">
        <f t="shared" si="149"/>
        <v>1</v>
      </c>
      <c r="W1085">
        <f t="shared" si="150"/>
        <v>1</v>
      </c>
      <c r="X1085">
        <f t="shared" si="151"/>
        <v>0</v>
      </c>
      <c r="Y1085">
        <f t="shared" si="152"/>
        <v>0</v>
      </c>
    </row>
    <row r="1086" spans="1:25" x14ac:dyDescent="0.3">
      <c r="A1086" t="s">
        <v>1856</v>
      </c>
      <c r="B1086" t="s">
        <v>1857</v>
      </c>
      <c r="C1086" s="1">
        <v>45863</v>
      </c>
      <c r="D1086" s="3">
        <v>0.90836805555555555</v>
      </c>
      <c r="E1086">
        <f t="shared" si="144"/>
        <v>21</v>
      </c>
      <c r="F1086">
        <v>22</v>
      </c>
      <c r="G1086" t="s">
        <v>46</v>
      </c>
      <c r="H1086" t="s">
        <v>61</v>
      </c>
      <c r="I1086" t="s">
        <v>48</v>
      </c>
      <c r="J1086" t="s">
        <v>21</v>
      </c>
      <c r="K1086" t="s">
        <v>32</v>
      </c>
      <c r="L1086">
        <v>172.32</v>
      </c>
      <c r="M1086" t="s">
        <v>33</v>
      </c>
      <c r="N1086">
        <f t="shared" si="145"/>
        <v>0</v>
      </c>
      <c r="O1086" t="s">
        <v>24</v>
      </c>
      <c r="P1086" t="s">
        <v>1858</v>
      </c>
      <c r="Q1086">
        <v>0</v>
      </c>
      <c r="R1086">
        <v>494</v>
      </c>
      <c r="S1086">
        <f t="shared" si="146"/>
        <v>-3.1759756738858821E-2</v>
      </c>
      <c r="T1086">
        <f t="shared" si="147"/>
        <v>0</v>
      </c>
      <c r="U1086">
        <f t="shared" si="148"/>
        <v>0</v>
      </c>
      <c r="V1086">
        <f t="shared" si="149"/>
        <v>0</v>
      </c>
      <c r="W1086">
        <f t="shared" si="150"/>
        <v>0</v>
      </c>
      <c r="X1086">
        <f t="shared" si="151"/>
        <v>0</v>
      </c>
      <c r="Y1086">
        <f t="shared" si="152"/>
        <v>0</v>
      </c>
    </row>
    <row r="1087" spans="1:25" x14ac:dyDescent="0.3">
      <c r="A1087" t="s">
        <v>653</v>
      </c>
      <c r="B1087" t="s">
        <v>654</v>
      </c>
      <c r="C1087" s="1">
        <v>45723</v>
      </c>
      <c r="D1087" s="3">
        <v>0.66398148148148151</v>
      </c>
      <c r="E1087">
        <f t="shared" si="144"/>
        <v>15</v>
      </c>
      <c r="F1087">
        <v>54</v>
      </c>
      <c r="G1087" t="s">
        <v>18</v>
      </c>
      <c r="H1087" t="s">
        <v>70</v>
      </c>
      <c r="I1087" t="s">
        <v>85</v>
      </c>
      <c r="J1087" t="s">
        <v>49</v>
      </c>
      <c r="K1087" t="s">
        <v>50</v>
      </c>
      <c r="L1087">
        <v>172.18</v>
      </c>
      <c r="M1087" t="s">
        <v>33</v>
      </c>
      <c r="N1087">
        <f t="shared" si="145"/>
        <v>0</v>
      </c>
      <c r="O1087" t="s">
        <v>24</v>
      </c>
      <c r="P1087" t="s">
        <v>655</v>
      </c>
      <c r="Q1087">
        <v>0</v>
      </c>
      <c r="R1087">
        <v>383</v>
      </c>
      <c r="S1087">
        <f t="shared" si="146"/>
        <v>-3.3697953065511578E-2</v>
      </c>
      <c r="T1087">
        <f t="shared" si="147"/>
        <v>0</v>
      </c>
      <c r="U1087">
        <f t="shared" si="148"/>
        <v>0</v>
      </c>
      <c r="V1087">
        <f t="shared" si="149"/>
        <v>0</v>
      </c>
      <c r="W1087">
        <f t="shared" si="150"/>
        <v>0</v>
      </c>
      <c r="X1087">
        <f t="shared" si="151"/>
        <v>0</v>
      </c>
      <c r="Y1087">
        <f t="shared" si="152"/>
        <v>0</v>
      </c>
    </row>
    <row r="1088" spans="1:25" x14ac:dyDescent="0.3">
      <c r="A1088" t="s">
        <v>2987</v>
      </c>
      <c r="B1088" t="s">
        <v>2988</v>
      </c>
      <c r="C1088" s="1">
        <v>45817</v>
      </c>
      <c r="D1088" s="3">
        <v>0.24625</v>
      </c>
      <c r="E1088">
        <f t="shared" si="144"/>
        <v>5</v>
      </c>
      <c r="F1088">
        <v>26</v>
      </c>
      <c r="G1088" t="s">
        <v>46</v>
      </c>
      <c r="H1088" t="s">
        <v>55</v>
      </c>
      <c r="I1088" t="s">
        <v>71</v>
      </c>
      <c r="J1088" t="s">
        <v>76</v>
      </c>
      <c r="K1088" t="s">
        <v>22</v>
      </c>
      <c r="L1088">
        <v>172.18</v>
      </c>
      <c r="M1088" t="s">
        <v>42</v>
      </c>
      <c r="N1088">
        <f t="shared" si="145"/>
        <v>0</v>
      </c>
      <c r="O1088" t="s">
        <v>34</v>
      </c>
      <c r="P1088" t="s">
        <v>2989</v>
      </c>
      <c r="Q1088">
        <v>0</v>
      </c>
      <c r="R1088">
        <v>409</v>
      </c>
      <c r="S1088">
        <f t="shared" si="146"/>
        <v>-3.3697953065511578E-2</v>
      </c>
      <c r="T1088">
        <f t="shared" si="147"/>
        <v>0</v>
      </c>
      <c r="U1088">
        <f t="shared" si="148"/>
        <v>1</v>
      </c>
      <c r="V1088">
        <f t="shared" si="149"/>
        <v>0</v>
      </c>
      <c r="W1088">
        <f t="shared" si="150"/>
        <v>2</v>
      </c>
      <c r="X1088">
        <f t="shared" si="151"/>
        <v>0</v>
      </c>
      <c r="Y1088">
        <f t="shared" si="152"/>
        <v>0</v>
      </c>
    </row>
    <row r="1089" spans="1:25" x14ac:dyDescent="0.3">
      <c r="A1089" s="2" t="s">
        <v>3290</v>
      </c>
      <c r="B1089" t="s">
        <v>3291</v>
      </c>
      <c r="C1089" s="1">
        <v>45702</v>
      </c>
      <c r="D1089" s="3">
        <v>0.14949074074074073</v>
      </c>
      <c r="E1089">
        <f t="shared" si="144"/>
        <v>3</v>
      </c>
      <c r="F1089">
        <v>57</v>
      </c>
      <c r="G1089" t="s">
        <v>46</v>
      </c>
      <c r="H1089" t="s">
        <v>80</v>
      </c>
      <c r="I1089" t="s">
        <v>39</v>
      </c>
      <c r="J1089" t="s">
        <v>76</v>
      </c>
      <c r="K1089" t="s">
        <v>120</v>
      </c>
      <c r="L1089">
        <v>172.11</v>
      </c>
      <c r="M1089" t="s">
        <v>33</v>
      </c>
      <c r="N1089">
        <f t="shared" si="145"/>
        <v>0</v>
      </c>
      <c r="O1089" t="s">
        <v>34</v>
      </c>
      <c r="P1089" t="s">
        <v>3292</v>
      </c>
      <c r="Q1089">
        <v>0</v>
      </c>
      <c r="R1089">
        <v>434</v>
      </c>
      <c r="S1089">
        <f t="shared" si="146"/>
        <v>-3.4667051228837953E-2</v>
      </c>
      <c r="T1089">
        <f t="shared" si="147"/>
        <v>0</v>
      </c>
      <c r="U1089">
        <f t="shared" si="148"/>
        <v>1</v>
      </c>
      <c r="V1089">
        <f t="shared" si="149"/>
        <v>0</v>
      </c>
      <c r="W1089">
        <f t="shared" si="150"/>
        <v>2</v>
      </c>
      <c r="X1089">
        <f t="shared" si="151"/>
        <v>0</v>
      </c>
      <c r="Y1089">
        <f t="shared" si="152"/>
        <v>0</v>
      </c>
    </row>
    <row r="1090" spans="1:25" x14ac:dyDescent="0.3">
      <c r="A1090" t="s">
        <v>692</v>
      </c>
      <c r="B1090" t="s">
        <v>693</v>
      </c>
      <c r="C1090" s="1">
        <v>45810</v>
      </c>
      <c r="D1090" s="3">
        <v>0.63957175925925924</v>
      </c>
      <c r="E1090">
        <f t="shared" ref="E1090:E1153" si="153">HOUR(D1090)</f>
        <v>15</v>
      </c>
      <c r="F1090">
        <v>20</v>
      </c>
      <c r="G1090" t="s">
        <v>28</v>
      </c>
      <c r="H1090" t="s">
        <v>29</v>
      </c>
      <c r="I1090" t="s">
        <v>119</v>
      </c>
      <c r="J1090" t="s">
        <v>21</v>
      </c>
      <c r="K1090" t="s">
        <v>22</v>
      </c>
      <c r="L1090">
        <v>171.26</v>
      </c>
      <c r="M1090" t="s">
        <v>33</v>
      </c>
      <c r="N1090">
        <f t="shared" ref="N1090:N1153" si="154">IF(M1090="Unknown",1,0)</f>
        <v>0</v>
      </c>
      <c r="O1090" t="s">
        <v>24</v>
      </c>
      <c r="P1090" t="s">
        <v>694</v>
      </c>
      <c r="Q1090">
        <v>0</v>
      </c>
      <c r="R1090">
        <v>450</v>
      </c>
      <c r="S1090">
        <f t="shared" ref="S1090:S1153" si="155">(L1090-$P$2137)/$P$2138</f>
        <v>-4.6434671783516859E-2</v>
      </c>
      <c r="T1090">
        <f t="shared" ref="T1090:T1153" si="156">IF(ABS(Z1090)&gt;3,1,0)</f>
        <v>0</v>
      </c>
      <c r="U1090">
        <f t="shared" ref="U1090:U1153" si="157">IF(AND(E1090&gt;=0,E1090&lt;=5),1,0)</f>
        <v>0</v>
      </c>
      <c r="V1090">
        <f t="shared" ref="V1090:V1153" si="158">IF(R1090&lt;AVERAGE($R:$R),1,0)</f>
        <v>0</v>
      </c>
      <c r="W1090">
        <f t="shared" ref="W1090:W1153" si="159">T1090*3+U1090*2+V1090*1+N1090*2</f>
        <v>0</v>
      </c>
      <c r="X1090">
        <f t="shared" ref="X1090:X1153" si="160">IF(W1090&gt;=5,1,0)</f>
        <v>0</v>
      </c>
      <c r="Y1090">
        <f t="shared" ref="Y1090:Y1153" si="161">IF(M1090="Unknown",1,0)</f>
        <v>0</v>
      </c>
    </row>
    <row r="1091" spans="1:25" x14ac:dyDescent="0.3">
      <c r="A1091" t="s">
        <v>5837</v>
      </c>
      <c r="B1091" t="s">
        <v>5838</v>
      </c>
      <c r="C1091" s="1">
        <v>45737</v>
      </c>
      <c r="D1091" s="3">
        <v>0.62197916666666664</v>
      </c>
      <c r="E1091">
        <f t="shared" si="153"/>
        <v>14</v>
      </c>
      <c r="F1091">
        <v>26</v>
      </c>
      <c r="G1091" t="s">
        <v>46</v>
      </c>
      <c r="H1091" t="s">
        <v>167</v>
      </c>
      <c r="I1091" t="s">
        <v>20</v>
      </c>
      <c r="J1091" t="s">
        <v>56</v>
      </c>
      <c r="K1091" t="s">
        <v>120</v>
      </c>
      <c r="L1091">
        <v>170.81</v>
      </c>
      <c r="M1091" t="s">
        <v>33</v>
      </c>
      <c r="N1091">
        <f t="shared" si="154"/>
        <v>0</v>
      </c>
      <c r="O1091" t="s">
        <v>34</v>
      </c>
      <c r="P1091" t="s">
        <v>5839</v>
      </c>
      <c r="Q1091">
        <v>0</v>
      </c>
      <c r="R1091">
        <v>408</v>
      </c>
      <c r="S1091">
        <f t="shared" si="155"/>
        <v>-5.2664588547758302E-2</v>
      </c>
      <c r="T1091">
        <f t="shared" si="156"/>
        <v>0</v>
      </c>
      <c r="U1091">
        <f t="shared" si="157"/>
        <v>0</v>
      </c>
      <c r="V1091">
        <f t="shared" si="158"/>
        <v>0</v>
      </c>
      <c r="W1091">
        <f t="shared" si="159"/>
        <v>0</v>
      </c>
      <c r="X1091">
        <f t="shared" si="160"/>
        <v>0</v>
      </c>
      <c r="Y1091">
        <f t="shared" si="161"/>
        <v>0</v>
      </c>
    </row>
    <row r="1092" spans="1:25" x14ac:dyDescent="0.3">
      <c r="A1092" t="s">
        <v>974</v>
      </c>
      <c r="B1092" t="s">
        <v>975</v>
      </c>
      <c r="C1092" s="1">
        <v>45799</v>
      </c>
      <c r="D1092" s="3">
        <v>0.51060185185185181</v>
      </c>
      <c r="E1092">
        <f t="shared" si="153"/>
        <v>12</v>
      </c>
      <c r="F1092">
        <v>35</v>
      </c>
      <c r="G1092" t="s">
        <v>46</v>
      </c>
      <c r="H1092" t="s">
        <v>80</v>
      </c>
      <c r="I1092" t="s">
        <v>20</v>
      </c>
      <c r="J1092" t="s">
        <v>127</v>
      </c>
      <c r="K1092" t="s">
        <v>168</v>
      </c>
      <c r="L1092">
        <v>170.52</v>
      </c>
      <c r="M1092" t="s">
        <v>42</v>
      </c>
      <c r="N1092">
        <f t="shared" si="154"/>
        <v>0</v>
      </c>
      <c r="O1092" t="s">
        <v>34</v>
      </c>
      <c r="P1092" t="s">
        <v>976</v>
      </c>
      <c r="Q1092">
        <v>0</v>
      </c>
      <c r="R1092">
        <v>218</v>
      </c>
      <c r="S1092">
        <f t="shared" si="155"/>
        <v>-5.6679423795825003E-2</v>
      </c>
      <c r="T1092">
        <f t="shared" si="156"/>
        <v>0</v>
      </c>
      <c r="U1092">
        <f t="shared" si="157"/>
        <v>0</v>
      </c>
      <c r="V1092">
        <f t="shared" si="158"/>
        <v>1</v>
      </c>
      <c r="W1092">
        <f t="shared" si="159"/>
        <v>1</v>
      </c>
      <c r="X1092">
        <f t="shared" si="160"/>
        <v>0</v>
      </c>
      <c r="Y1092">
        <f t="shared" si="161"/>
        <v>0</v>
      </c>
    </row>
    <row r="1093" spans="1:25" x14ac:dyDescent="0.3">
      <c r="A1093" t="s">
        <v>536</v>
      </c>
      <c r="B1093" s="2" t="s">
        <v>537</v>
      </c>
      <c r="C1093" s="1">
        <v>45839</v>
      </c>
      <c r="D1093" s="3">
        <v>0.74998842592592596</v>
      </c>
      <c r="E1093">
        <f t="shared" si="153"/>
        <v>17</v>
      </c>
      <c r="F1093">
        <v>47</v>
      </c>
      <c r="G1093" t="s">
        <v>46</v>
      </c>
      <c r="H1093" t="s">
        <v>70</v>
      </c>
      <c r="I1093" t="s">
        <v>119</v>
      </c>
      <c r="J1093" t="s">
        <v>21</v>
      </c>
      <c r="K1093" t="s">
        <v>114</v>
      </c>
      <c r="L1093">
        <v>170.47</v>
      </c>
      <c r="M1093" t="s">
        <v>115</v>
      </c>
      <c r="N1093">
        <f t="shared" si="154"/>
        <v>0</v>
      </c>
      <c r="O1093" t="s">
        <v>51</v>
      </c>
      <c r="P1093" t="s">
        <v>538</v>
      </c>
      <c r="Q1093">
        <v>0</v>
      </c>
      <c r="R1093">
        <v>289</v>
      </c>
      <c r="S1093">
        <f t="shared" si="155"/>
        <v>-5.7371636769629787E-2</v>
      </c>
      <c r="T1093">
        <f t="shared" si="156"/>
        <v>0</v>
      </c>
      <c r="U1093">
        <f t="shared" si="157"/>
        <v>0</v>
      </c>
      <c r="V1093">
        <f t="shared" si="158"/>
        <v>0</v>
      </c>
      <c r="W1093">
        <f t="shared" si="159"/>
        <v>0</v>
      </c>
      <c r="X1093">
        <f t="shared" si="160"/>
        <v>0</v>
      </c>
      <c r="Y1093">
        <f t="shared" si="161"/>
        <v>0</v>
      </c>
    </row>
    <row r="1094" spans="1:25" x14ac:dyDescent="0.3">
      <c r="A1094" t="s">
        <v>1112</v>
      </c>
      <c r="B1094" t="s">
        <v>1113</v>
      </c>
      <c r="C1094" s="1">
        <v>45870</v>
      </c>
      <c r="D1094" s="3">
        <v>7.4999999999999997E-2</v>
      </c>
      <c r="E1094">
        <f t="shared" si="153"/>
        <v>1</v>
      </c>
      <c r="F1094">
        <v>45</v>
      </c>
      <c r="G1094" t="s">
        <v>46</v>
      </c>
      <c r="H1094" t="s">
        <v>47</v>
      </c>
      <c r="I1094" t="s">
        <v>110</v>
      </c>
      <c r="J1094" t="s">
        <v>21</v>
      </c>
      <c r="K1094" t="s">
        <v>120</v>
      </c>
      <c r="L1094">
        <v>170.44</v>
      </c>
      <c r="M1094" t="s">
        <v>33</v>
      </c>
      <c r="N1094">
        <f t="shared" si="154"/>
        <v>0</v>
      </c>
      <c r="O1094" t="s">
        <v>24</v>
      </c>
      <c r="P1094" t="s">
        <v>1114</v>
      </c>
      <c r="Q1094">
        <v>0</v>
      </c>
      <c r="R1094">
        <v>359</v>
      </c>
      <c r="S1094">
        <f t="shared" si="155"/>
        <v>-5.7786964553912579E-2</v>
      </c>
      <c r="T1094">
        <f t="shared" si="156"/>
        <v>0</v>
      </c>
      <c r="U1094">
        <f t="shared" si="157"/>
        <v>1</v>
      </c>
      <c r="V1094">
        <f t="shared" si="158"/>
        <v>0</v>
      </c>
      <c r="W1094">
        <f t="shared" si="159"/>
        <v>2</v>
      </c>
      <c r="X1094">
        <f t="shared" si="160"/>
        <v>0</v>
      </c>
      <c r="Y1094">
        <f t="shared" si="161"/>
        <v>0</v>
      </c>
    </row>
    <row r="1095" spans="1:25" x14ac:dyDescent="0.3">
      <c r="A1095" t="s">
        <v>1448</v>
      </c>
      <c r="B1095" t="s">
        <v>1449</v>
      </c>
      <c r="C1095" s="1">
        <v>45747</v>
      </c>
      <c r="D1095" s="3">
        <v>0.19466435185185185</v>
      </c>
      <c r="E1095">
        <f t="shared" si="153"/>
        <v>4</v>
      </c>
      <c r="F1095">
        <v>62</v>
      </c>
      <c r="G1095" t="s">
        <v>46</v>
      </c>
      <c r="H1095" t="s">
        <v>19</v>
      </c>
      <c r="I1095" t="s">
        <v>71</v>
      </c>
      <c r="J1095" t="s">
        <v>31</v>
      </c>
      <c r="K1095" t="s">
        <v>95</v>
      </c>
      <c r="L1095">
        <v>170.38</v>
      </c>
      <c r="M1095" t="s">
        <v>42</v>
      </c>
      <c r="N1095">
        <f t="shared" si="154"/>
        <v>0</v>
      </c>
      <c r="O1095" t="s">
        <v>51</v>
      </c>
      <c r="P1095" t="s">
        <v>1450</v>
      </c>
      <c r="Q1095">
        <v>0</v>
      </c>
      <c r="R1095">
        <v>141</v>
      </c>
      <c r="S1095">
        <f t="shared" si="155"/>
        <v>-5.8617620122478155E-2</v>
      </c>
      <c r="T1095">
        <f t="shared" si="156"/>
        <v>0</v>
      </c>
      <c r="U1095">
        <f t="shared" si="157"/>
        <v>1</v>
      </c>
      <c r="V1095">
        <f t="shared" si="158"/>
        <v>1</v>
      </c>
      <c r="W1095">
        <f t="shared" si="159"/>
        <v>3</v>
      </c>
      <c r="X1095">
        <f t="shared" si="160"/>
        <v>0</v>
      </c>
      <c r="Y1095">
        <f t="shared" si="161"/>
        <v>0</v>
      </c>
    </row>
    <row r="1096" spans="1:25" x14ac:dyDescent="0.3">
      <c r="A1096" t="s">
        <v>1538</v>
      </c>
      <c r="B1096" t="s">
        <v>1539</v>
      </c>
      <c r="C1096" s="1">
        <v>45791</v>
      </c>
      <c r="D1096" s="3">
        <v>0.47923611111111108</v>
      </c>
      <c r="E1096">
        <f t="shared" si="153"/>
        <v>11</v>
      </c>
      <c r="F1096">
        <v>47</v>
      </c>
      <c r="G1096" t="s">
        <v>60</v>
      </c>
      <c r="H1096" t="s">
        <v>47</v>
      </c>
      <c r="I1096" t="s">
        <v>30</v>
      </c>
      <c r="J1096" t="s">
        <v>49</v>
      </c>
      <c r="K1096" t="s">
        <v>41</v>
      </c>
      <c r="L1096">
        <v>170.25</v>
      </c>
      <c r="M1096" t="s">
        <v>33</v>
      </c>
      <c r="N1096">
        <f t="shared" si="154"/>
        <v>0</v>
      </c>
      <c r="O1096" t="s">
        <v>86</v>
      </c>
      <c r="P1096" t="s">
        <v>1540</v>
      </c>
      <c r="Q1096">
        <v>0</v>
      </c>
      <c r="R1096">
        <v>400</v>
      </c>
      <c r="S1096">
        <f t="shared" si="155"/>
        <v>-6.0417373854370113E-2</v>
      </c>
      <c r="T1096">
        <f t="shared" si="156"/>
        <v>0</v>
      </c>
      <c r="U1096">
        <f t="shared" si="157"/>
        <v>0</v>
      </c>
      <c r="V1096">
        <f t="shared" si="158"/>
        <v>0</v>
      </c>
      <c r="W1096">
        <f t="shared" si="159"/>
        <v>0</v>
      </c>
      <c r="X1096">
        <f t="shared" si="160"/>
        <v>0</v>
      </c>
      <c r="Y1096">
        <f t="shared" si="161"/>
        <v>0</v>
      </c>
    </row>
    <row r="1097" spans="1:25" x14ac:dyDescent="0.3">
      <c r="A1097" t="s">
        <v>1583</v>
      </c>
      <c r="B1097" t="s">
        <v>1584</v>
      </c>
      <c r="C1097" s="1">
        <v>45854</v>
      </c>
      <c r="D1097" s="3">
        <v>0.2698726851851852</v>
      </c>
      <c r="E1097">
        <f t="shared" si="153"/>
        <v>6</v>
      </c>
      <c r="F1097">
        <v>33</v>
      </c>
      <c r="G1097" t="s">
        <v>18</v>
      </c>
      <c r="H1097" t="s">
        <v>100</v>
      </c>
      <c r="I1097" t="s">
        <v>110</v>
      </c>
      <c r="J1097" t="s">
        <v>127</v>
      </c>
      <c r="K1097" t="s">
        <v>62</v>
      </c>
      <c r="L1097">
        <v>170.19</v>
      </c>
      <c r="M1097" t="s">
        <v>23</v>
      </c>
      <c r="N1097">
        <f t="shared" si="154"/>
        <v>0</v>
      </c>
      <c r="O1097" t="s">
        <v>51</v>
      </c>
      <c r="P1097" t="s">
        <v>1585</v>
      </c>
      <c r="Q1097">
        <v>0</v>
      </c>
      <c r="R1097">
        <v>301</v>
      </c>
      <c r="S1097">
        <f t="shared" si="155"/>
        <v>-6.1248029422935689E-2</v>
      </c>
      <c r="T1097">
        <f t="shared" si="156"/>
        <v>0</v>
      </c>
      <c r="U1097">
        <f t="shared" si="157"/>
        <v>0</v>
      </c>
      <c r="V1097">
        <f t="shared" si="158"/>
        <v>0</v>
      </c>
      <c r="W1097">
        <f t="shared" si="159"/>
        <v>0</v>
      </c>
      <c r="X1097">
        <f t="shared" si="160"/>
        <v>0</v>
      </c>
      <c r="Y1097">
        <f t="shared" si="161"/>
        <v>0</v>
      </c>
    </row>
    <row r="1098" spans="1:25" x14ac:dyDescent="0.3">
      <c r="A1098" t="s">
        <v>4457</v>
      </c>
      <c r="B1098" t="s">
        <v>4458</v>
      </c>
      <c r="C1098" s="1">
        <v>45715</v>
      </c>
      <c r="D1098" s="3">
        <v>0.93457175925925928</v>
      </c>
      <c r="E1098">
        <f t="shared" si="153"/>
        <v>22</v>
      </c>
      <c r="F1098">
        <v>64</v>
      </c>
      <c r="G1098" t="s">
        <v>6479</v>
      </c>
      <c r="H1098" t="s">
        <v>90</v>
      </c>
      <c r="I1098" t="s">
        <v>105</v>
      </c>
      <c r="J1098" t="s">
        <v>49</v>
      </c>
      <c r="K1098" t="s">
        <v>168</v>
      </c>
      <c r="L1098">
        <v>170.16</v>
      </c>
      <c r="M1098" t="s">
        <v>33</v>
      </c>
      <c r="N1098">
        <f t="shared" si="154"/>
        <v>0</v>
      </c>
      <c r="O1098" t="s">
        <v>34</v>
      </c>
      <c r="P1098" t="s">
        <v>4459</v>
      </c>
      <c r="Q1098">
        <v>0</v>
      </c>
      <c r="R1098">
        <v>476</v>
      </c>
      <c r="S1098">
        <f t="shared" si="155"/>
        <v>-6.166335720721848E-2</v>
      </c>
      <c r="T1098">
        <f t="shared" si="156"/>
        <v>0</v>
      </c>
      <c r="U1098">
        <f t="shared" si="157"/>
        <v>0</v>
      </c>
      <c r="V1098">
        <f t="shared" si="158"/>
        <v>0</v>
      </c>
      <c r="W1098">
        <f t="shared" si="159"/>
        <v>0</v>
      </c>
      <c r="X1098">
        <f t="shared" si="160"/>
        <v>0</v>
      </c>
      <c r="Y1098">
        <f t="shared" si="161"/>
        <v>0</v>
      </c>
    </row>
    <row r="1099" spans="1:25" x14ac:dyDescent="0.3">
      <c r="A1099" t="s">
        <v>3545</v>
      </c>
      <c r="B1099" t="s">
        <v>3546</v>
      </c>
      <c r="C1099" s="1">
        <v>45761</v>
      </c>
      <c r="D1099" s="3">
        <v>0.86283564814814817</v>
      </c>
      <c r="E1099">
        <f t="shared" si="153"/>
        <v>20</v>
      </c>
      <c r="F1099">
        <v>43</v>
      </c>
      <c r="G1099" t="s">
        <v>46</v>
      </c>
      <c r="H1099" t="s">
        <v>189</v>
      </c>
      <c r="I1099" t="s">
        <v>66</v>
      </c>
      <c r="J1099" t="s">
        <v>49</v>
      </c>
      <c r="K1099" t="s">
        <v>62</v>
      </c>
      <c r="L1099">
        <v>169.89</v>
      </c>
      <c r="M1099" t="s">
        <v>23</v>
      </c>
      <c r="N1099">
        <f t="shared" si="154"/>
        <v>0</v>
      </c>
      <c r="O1099" t="s">
        <v>34</v>
      </c>
      <c r="P1099" t="s">
        <v>3547</v>
      </c>
      <c r="Q1099">
        <v>0</v>
      </c>
      <c r="R1099">
        <v>415</v>
      </c>
      <c r="S1099">
        <f t="shared" si="155"/>
        <v>-6.5401307265763584E-2</v>
      </c>
      <c r="T1099">
        <f t="shared" si="156"/>
        <v>0</v>
      </c>
      <c r="U1099">
        <f t="shared" si="157"/>
        <v>0</v>
      </c>
      <c r="V1099">
        <f t="shared" si="158"/>
        <v>0</v>
      </c>
      <c r="W1099">
        <f t="shared" si="159"/>
        <v>0</v>
      </c>
      <c r="X1099">
        <f t="shared" si="160"/>
        <v>0</v>
      </c>
      <c r="Y1099">
        <f t="shared" si="161"/>
        <v>0</v>
      </c>
    </row>
    <row r="1100" spans="1:25" x14ac:dyDescent="0.3">
      <c r="A1100" t="s">
        <v>5360</v>
      </c>
      <c r="B1100" t="s">
        <v>5361</v>
      </c>
      <c r="C1100" s="1">
        <v>45716</v>
      </c>
      <c r="D1100" s="3">
        <v>0.6817361111111111</v>
      </c>
      <c r="E1100">
        <f t="shared" si="153"/>
        <v>16</v>
      </c>
      <c r="F1100">
        <v>29</v>
      </c>
      <c r="G1100" t="s">
        <v>60</v>
      </c>
      <c r="H1100" t="s">
        <v>55</v>
      </c>
      <c r="I1100" t="s">
        <v>66</v>
      </c>
      <c r="J1100" t="s">
        <v>21</v>
      </c>
      <c r="K1100" t="s">
        <v>95</v>
      </c>
      <c r="L1100">
        <v>169.88</v>
      </c>
      <c r="M1100" t="s">
        <v>23</v>
      </c>
      <c r="N1100">
        <f t="shared" si="154"/>
        <v>0</v>
      </c>
      <c r="O1100" t="s">
        <v>34</v>
      </c>
      <c r="P1100" t="s">
        <v>5362</v>
      </c>
      <c r="Q1100">
        <v>0</v>
      </c>
      <c r="R1100">
        <v>394</v>
      </c>
      <c r="S1100">
        <f t="shared" si="155"/>
        <v>-6.5539749860524382E-2</v>
      </c>
      <c r="T1100">
        <f t="shared" si="156"/>
        <v>0</v>
      </c>
      <c r="U1100">
        <f t="shared" si="157"/>
        <v>0</v>
      </c>
      <c r="V1100">
        <f t="shared" si="158"/>
        <v>0</v>
      </c>
      <c r="W1100">
        <f t="shared" si="159"/>
        <v>0</v>
      </c>
      <c r="X1100">
        <f t="shared" si="160"/>
        <v>0</v>
      </c>
      <c r="Y1100">
        <f t="shared" si="161"/>
        <v>0</v>
      </c>
    </row>
    <row r="1101" spans="1:25" x14ac:dyDescent="0.3">
      <c r="A1101" s="2" t="s">
        <v>4355</v>
      </c>
      <c r="B1101" t="s">
        <v>4356</v>
      </c>
      <c r="C1101" s="1">
        <v>45714</v>
      </c>
      <c r="D1101" s="3">
        <v>0.73111111111111116</v>
      </c>
      <c r="E1101">
        <f t="shared" si="153"/>
        <v>17</v>
      </c>
      <c r="F1101">
        <v>52</v>
      </c>
      <c r="G1101" t="s">
        <v>18</v>
      </c>
      <c r="H1101" t="s">
        <v>70</v>
      </c>
      <c r="I1101" t="s">
        <v>85</v>
      </c>
      <c r="J1101" t="s">
        <v>76</v>
      </c>
      <c r="K1101" t="s">
        <v>62</v>
      </c>
      <c r="L1101">
        <v>169.87</v>
      </c>
      <c r="M1101" t="s">
        <v>33</v>
      </c>
      <c r="N1101">
        <f t="shared" si="154"/>
        <v>0</v>
      </c>
      <c r="O1101" t="s">
        <v>86</v>
      </c>
      <c r="P1101" t="s">
        <v>4357</v>
      </c>
      <c r="Q1101">
        <v>0</v>
      </c>
      <c r="R1101">
        <v>387</v>
      </c>
      <c r="S1101">
        <f t="shared" si="155"/>
        <v>-6.5678192455285181E-2</v>
      </c>
      <c r="T1101">
        <f t="shared" si="156"/>
        <v>0</v>
      </c>
      <c r="U1101">
        <f t="shared" si="157"/>
        <v>0</v>
      </c>
      <c r="V1101">
        <f t="shared" si="158"/>
        <v>0</v>
      </c>
      <c r="W1101">
        <f t="shared" si="159"/>
        <v>0</v>
      </c>
      <c r="X1101">
        <f t="shared" si="160"/>
        <v>0</v>
      </c>
      <c r="Y1101">
        <f t="shared" si="161"/>
        <v>0</v>
      </c>
    </row>
    <row r="1102" spans="1:25" x14ac:dyDescent="0.3">
      <c r="A1102" t="s">
        <v>5843</v>
      </c>
      <c r="B1102" t="s">
        <v>5844</v>
      </c>
      <c r="C1102" s="1">
        <v>45715</v>
      </c>
      <c r="D1102" s="3">
        <v>0.62239583333333337</v>
      </c>
      <c r="E1102">
        <f t="shared" si="153"/>
        <v>14</v>
      </c>
      <c r="F1102">
        <v>26</v>
      </c>
      <c r="G1102" t="s">
        <v>46</v>
      </c>
      <c r="H1102" t="s">
        <v>61</v>
      </c>
      <c r="I1102" t="s">
        <v>66</v>
      </c>
      <c r="J1102" t="s">
        <v>72</v>
      </c>
      <c r="K1102" t="s">
        <v>62</v>
      </c>
      <c r="L1102">
        <v>169.32</v>
      </c>
      <c r="M1102" t="s">
        <v>42</v>
      </c>
      <c r="N1102">
        <f t="shared" si="154"/>
        <v>0</v>
      </c>
      <c r="O1102" t="s">
        <v>51</v>
      </c>
      <c r="P1102" t="s">
        <v>5845</v>
      </c>
      <c r="Q1102">
        <v>0</v>
      </c>
      <c r="R1102">
        <v>450</v>
      </c>
      <c r="S1102">
        <f t="shared" si="155"/>
        <v>-7.3292535167136186E-2</v>
      </c>
      <c r="T1102">
        <f t="shared" si="156"/>
        <v>0</v>
      </c>
      <c r="U1102">
        <f t="shared" si="157"/>
        <v>0</v>
      </c>
      <c r="V1102">
        <f t="shared" si="158"/>
        <v>0</v>
      </c>
      <c r="W1102">
        <f t="shared" si="159"/>
        <v>0</v>
      </c>
      <c r="X1102">
        <f t="shared" si="160"/>
        <v>0</v>
      </c>
      <c r="Y1102">
        <f t="shared" si="161"/>
        <v>0</v>
      </c>
    </row>
    <row r="1103" spans="1:25" x14ac:dyDescent="0.3">
      <c r="A1103" t="s">
        <v>521</v>
      </c>
      <c r="B1103" t="s">
        <v>522</v>
      </c>
      <c r="C1103" s="1">
        <v>45843</v>
      </c>
      <c r="D1103" s="3">
        <v>0.3578587962962963</v>
      </c>
      <c r="E1103">
        <f t="shared" si="153"/>
        <v>8</v>
      </c>
      <c r="F1103">
        <v>30</v>
      </c>
      <c r="G1103" t="s">
        <v>46</v>
      </c>
      <c r="H1103" t="s">
        <v>70</v>
      </c>
      <c r="I1103" t="s">
        <v>39</v>
      </c>
      <c r="J1103" t="s">
        <v>94</v>
      </c>
      <c r="K1103" t="s">
        <v>62</v>
      </c>
      <c r="L1103">
        <v>169.29</v>
      </c>
      <c r="M1103" t="s">
        <v>33</v>
      </c>
      <c r="N1103">
        <f t="shared" si="154"/>
        <v>0</v>
      </c>
      <c r="O1103" t="s">
        <v>34</v>
      </c>
      <c r="P1103" t="s">
        <v>523</v>
      </c>
      <c r="Q1103">
        <v>0</v>
      </c>
      <c r="R1103">
        <v>252</v>
      </c>
      <c r="S1103">
        <f t="shared" si="155"/>
        <v>-7.370786295141897E-2</v>
      </c>
      <c r="T1103">
        <f t="shared" si="156"/>
        <v>0</v>
      </c>
      <c r="U1103">
        <f t="shared" si="157"/>
        <v>0</v>
      </c>
      <c r="V1103">
        <f t="shared" si="158"/>
        <v>1</v>
      </c>
      <c r="W1103">
        <f t="shared" si="159"/>
        <v>1</v>
      </c>
      <c r="X1103">
        <f t="shared" si="160"/>
        <v>0</v>
      </c>
      <c r="Y1103">
        <f t="shared" si="161"/>
        <v>0</v>
      </c>
    </row>
    <row r="1104" spans="1:25" x14ac:dyDescent="0.3">
      <c r="A1104" t="s">
        <v>4988</v>
      </c>
      <c r="B1104" t="s">
        <v>4989</v>
      </c>
      <c r="C1104" s="1">
        <v>45757</v>
      </c>
      <c r="D1104" s="3">
        <v>0.57729166666666665</v>
      </c>
      <c r="E1104">
        <f t="shared" si="153"/>
        <v>13</v>
      </c>
      <c r="F1104">
        <v>20</v>
      </c>
      <c r="G1104" t="s">
        <v>46</v>
      </c>
      <c r="H1104" t="s">
        <v>185</v>
      </c>
      <c r="I1104" t="s">
        <v>119</v>
      </c>
      <c r="J1104" t="s">
        <v>31</v>
      </c>
      <c r="K1104" t="s">
        <v>41</v>
      </c>
      <c r="L1104">
        <v>169.18</v>
      </c>
      <c r="M1104" t="s">
        <v>42</v>
      </c>
      <c r="N1104">
        <f t="shared" si="154"/>
        <v>0</v>
      </c>
      <c r="O1104" t="s">
        <v>51</v>
      </c>
      <c r="P1104" t="s">
        <v>4990</v>
      </c>
      <c r="Q1104">
        <v>0</v>
      </c>
      <c r="R1104">
        <v>171</v>
      </c>
      <c r="S1104">
        <f t="shared" si="155"/>
        <v>-7.5230731493788949E-2</v>
      </c>
      <c r="T1104">
        <f t="shared" si="156"/>
        <v>0</v>
      </c>
      <c r="U1104">
        <f t="shared" si="157"/>
        <v>0</v>
      </c>
      <c r="V1104">
        <f t="shared" si="158"/>
        <v>1</v>
      </c>
      <c r="W1104">
        <f t="shared" si="159"/>
        <v>1</v>
      </c>
      <c r="X1104">
        <f t="shared" si="160"/>
        <v>0</v>
      </c>
      <c r="Y1104">
        <f t="shared" si="161"/>
        <v>0</v>
      </c>
    </row>
    <row r="1105" spans="1:25" x14ac:dyDescent="0.3">
      <c r="A1105" t="s">
        <v>2642</v>
      </c>
      <c r="B1105" t="s">
        <v>2643</v>
      </c>
      <c r="C1105" s="1">
        <v>45879</v>
      </c>
      <c r="D1105" s="3">
        <v>0.77902777777777776</v>
      </c>
      <c r="E1105">
        <f t="shared" si="153"/>
        <v>18</v>
      </c>
      <c r="F1105">
        <v>20</v>
      </c>
      <c r="G1105" t="s">
        <v>46</v>
      </c>
      <c r="H1105" t="s">
        <v>232</v>
      </c>
      <c r="I1105" t="s">
        <v>71</v>
      </c>
      <c r="J1105" t="s">
        <v>127</v>
      </c>
      <c r="K1105" t="s">
        <v>101</v>
      </c>
      <c r="L1105">
        <v>168.77</v>
      </c>
      <c r="M1105" t="s">
        <v>42</v>
      </c>
      <c r="N1105">
        <f t="shared" si="154"/>
        <v>0</v>
      </c>
      <c r="O1105" t="s">
        <v>86</v>
      </c>
      <c r="P1105" t="s">
        <v>2644</v>
      </c>
      <c r="Q1105">
        <v>0</v>
      </c>
      <c r="R1105">
        <v>193</v>
      </c>
      <c r="S1105">
        <f t="shared" si="155"/>
        <v>-8.0906877878986802E-2</v>
      </c>
      <c r="T1105">
        <f t="shared" si="156"/>
        <v>0</v>
      </c>
      <c r="U1105">
        <f t="shared" si="157"/>
        <v>0</v>
      </c>
      <c r="V1105">
        <f t="shared" si="158"/>
        <v>1</v>
      </c>
      <c r="W1105">
        <f t="shared" si="159"/>
        <v>1</v>
      </c>
      <c r="X1105">
        <f t="shared" si="160"/>
        <v>0</v>
      </c>
      <c r="Y1105">
        <f t="shared" si="161"/>
        <v>0</v>
      </c>
    </row>
    <row r="1106" spans="1:25" x14ac:dyDescent="0.3">
      <c r="A1106" t="s">
        <v>4382</v>
      </c>
      <c r="B1106" t="s">
        <v>4383</v>
      </c>
      <c r="C1106" s="1">
        <v>45852</v>
      </c>
      <c r="D1106" s="3">
        <v>0.66028935185185189</v>
      </c>
      <c r="E1106">
        <f t="shared" si="153"/>
        <v>15</v>
      </c>
      <c r="F1106">
        <v>26</v>
      </c>
      <c r="G1106" t="s">
        <v>28</v>
      </c>
      <c r="H1106" t="s">
        <v>70</v>
      </c>
      <c r="I1106" t="s">
        <v>48</v>
      </c>
      <c r="J1106" t="s">
        <v>31</v>
      </c>
      <c r="K1106" t="s">
        <v>114</v>
      </c>
      <c r="L1106">
        <v>168.54</v>
      </c>
      <c r="M1106" t="s">
        <v>23</v>
      </c>
      <c r="N1106">
        <f t="shared" si="154"/>
        <v>0</v>
      </c>
      <c r="O1106" t="s">
        <v>86</v>
      </c>
      <c r="P1106" t="s">
        <v>4384</v>
      </c>
      <c r="Q1106">
        <v>0</v>
      </c>
      <c r="R1106">
        <v>256</v>
      </c>
      <c r="S1106">
        <f t="shared" si="155"/>
        <v>-8.4091057558488322E-2</v>
      </c>
      <c r="T1106">
        <f t="shared" si="156"/>
        <v>0</v>
      </c>
      <c r="U1106">
        <f t="shared" si="157"/>
        <v>0</v>
      </c>
      <c r="V1106">
        <f t="shared" si="158"/>
        <v>1</v>
      </c>
      <c r="W1106">
        <f t="shared" si="159"/>
        <v>1</v>
      </c>
      <c r="X1106">
        <f t="shared" si="160"/>
        <v>0</v>
      </c>
      <c r="Y1106">
        <f t="shared" si="161"/>
        <v>0</v>
      </c>
    </row>
    <row r="1107" spans="1:25" x14ac:dyDescent="0.3">
      <c r="A1107" t="s">
        <v>2693</v>
      </c>
      <c r="B1107" t="s">
        <v>2694</v>
      </c>
      <c r="C1107" s="1">
        <v>45780</v>
      </c>
      <c r="D1107" s="3">
        <v>0.88771990740740736</v>
      </c>
      <c r="E1107">
        <f t="shared" si="153"/>
        <v>21</v>
      </c>
      <c r="F1107">
        <v>43</v>
      </c>
      <c r="G1107" t="s">
        <v>18</v>
      </c>
      <c r="H1107" t="s">
        <v>19</v>
      </c>
      <c r="I1107" t="s">
        <v>20</v>
      </c>
      <c r="J1107" t="s">
        <v>40</v>
      </c>
      <c r="K1107" t="s">
        <v>101</v>
      </c>
      <c r="L1107">
        <v>168.36</v>
      </c>
      <c r="M1107" t="s">
        <v>42</v>
      </c>
      <c r="N1107">
        <f t="shared" si="154"/>
        <v>0</v>
      </c>
      <c r="O1107" t="s">
        <v>34</v>
      </c>
      <c r="P1107" t="s">
        <v>2695</v>
      </c>
      <c r="Q1107">
        <v>0</v>
      </c>
      <c r="R1107">
        <v>148</v>
      </c>
      <c r="S1107">
        <f t="shared" si="155"/>
        <v>-8.6583024264184655E-2</v>
      </c>
      <c r="T1107">
        <f t="shared" si="156"/>
        <v>0</v>
      </c>
      <c r="U1107">
        <f t="shared" si="157"/>
        <v>0</v>
      </c>
      <c r="V1107">
        <f t="shared" si="158"/>
        <v>1</v>
      </c>
      <c r="W1107">
        <f t="shared" si="159"/>
        <v>1</v>
      </c>
      <c r="X1107">
        <f t="shared" si="160"/>
        <v>0</v>
      </c>
      <c r="Y1107">
        <f t="shared" si="161"/>
        <v>0</v>
      </c>
    </row>
    <row r="1108" spans="1:25" x14ac:dyDescent="0.3">
      <c r="A1108" t="s">
        <v>1376</v>
      </c>
      <c r="B1108" t="s">
        <v>1377</v>
      </c>
      <c r="C1108" s="1">
        <v>45711</v>
      </c>
      <c r="D1108" s="3">
        <v>0.98646990740740736</v>
      </c>
      <c r="E1108">
        <f t="shared" si="153"/>
        <v>23</v>
      </c>
      <c r="F1108" s="4">
        <v>41</v>
      </c>
      <c r="G1108" t="s">
        <v>60</v>
      </c>
      <c r="H1108" t="s">
        <v>100</v>
      </c>
      <c r="I1108" t="s">
        <v>110</v>
      </c>
      <c r="J1108" t="s">
        <v>76</v>
      </c>
      <c r="K1108" t="s">
        <v>168</v>
      </c>
      <c r="L1108">
        <v>168.05</v>
      </c>
      <c r="M1108" t="s">
        <v>23</v>
      </c>
      <c r="N1108">
        <f t="shared" si="154"/>
        <v>0</v>
      </c>
      <c r="O1108" t="s">
        <v>51</v>
      </c>
      <c r="P1108" t="s">
        <v>1378</v>
      </c>
      <c r="Q1108">
        <v>0</v>
      </c>
      <c r="R1108">
        <v>126</v>
      </c>
      <c r="S1108">
        <f t="shared" si="155"/>
        <v>-9.0874744701773355E-2</v>
      </c>
      <c r="T1108">
        <f t="shared" si="156"/>
        <v>0</v>
      </c>
      <c r="U1108">
        <f t="shared" si="157"/>
        <v>0</v>
      </c>
      <c r="V1108">
        <f t="shared" si="158"/>
        <v>1</v>
      </c>
      <c r="W1108">
        <f t="shared" si="159"/>
        <v>1</v>
      </c>
      <c r="X1108">
        <f t="shared" si="160"/>
        <v>0</v>
      </c>
      <c r="Y1108">
        <f t="shared" si="161"/>
        <v>0</v>
      </c>
    </row>
    <row r="1109" spans="1:25" x14ac:dyDescent="0.3">
      <c r="A1109" t="s">
        <v>4415</v>
      </c>
      <c r="B1109" t="s">
        <v>4416</v>
      </c>
      <c r="C1109" s="1">
        <v>45766</v>
      </c>
      <c r="D1109" s="3">
        <v>0.66694444444444445</v>
      </c>
      <c r="E1109">
        <f t="shared" si="153"/>
        <v>16</v>
      </c>
      <c r="F1109">
        <v>52</v>
      </c>
      <c r="G1109" t="s">
        <v>18</v>
      </c>
      <c r="H1109" t="s">
        <v>55</v>
      </c>
      <c r="I1109" t="s">
        <v>20</v>
      </c>
      <c r="J1109" t="s">
        <v>127</v>
      </c>
      <c r="K1109" t="s">
        <v>62</v>
      </c>
      <c r="L1109">
        <v>167.83</v>
      </c>
      <c r="M1109" t="s">
        <v>115</v>
      </c>
      <c r="N1109">
        <f t="shared" si="154"/>
        <v>0</v>
      </c>
      <c r="O1109" t="s">
        <v>34</v>
      </c>
      <c r="P1109" t="s">
        <v>4417</v>
      </c>
      <c r="Q1109">
        <v>0</v>
      </c>
      <c r="R1109">
        <v>219</v>
      </c>
      <c r="S1109">
        <f t="shared" si="155"/>
        <v>-9.3920481786513674E-2</v>
      </c>
      <c r="T1109">
        <f t="shared" si="156"/>
        <v>0</v>
      </c>
      <c r="U1109">
        <f t="shared" si="157"/>
        <v>0</v>
      </c>
      <c r="V1109">
        <f t="shared" si="158"/>
        <v>1</v>
      </c>
      <c r="W1109">
        <f t="shared" si="159"/>
        <v>1</v>
      </c>
      <c r="X1109">
        <f t="shared" si="160"/>
        <v>0</v>
      </c>
      <c r="Y1109">
        <f t="shared" si="161"/>
        <v>0</v>
      </c>
    </row>
    <row r="1110" spans="1:25" x14ac:dyDescent="0.3">
      <c r="A1110" t="s">
        <v>2045</v>
      </c>
      <c r="B1110" t="s">
        <v>2046</v>
      </c>
      <c r="C1110" s="1">
        <v>45741</v>
      </c>
      <c r="D1110" s="3">
        <v>0.56092592592592594</v>
      </c>
      <c r="E1110">
        <f t="shared" si="153"/>
        <v>13</v>
      </c>
      <c r="F1110">
        <v>62</v>
      </c>
      <c r="G1110" t="s">
        <v>28</v>
      </c>
      <c r="H1110" t="s">
        <v>47</v>
      </c>
      <c r="I1110" t="s">
        <v>39</v>
      </c>
      <c r="J1110" t="s">
        <v>40</v>
      </c>
      <c r="K1110" t="s">
        <v>62</v>
      </c>
      <c r="L1110">
        <v>167.65</v>
      </c>
      <c r="M1110" t="s">
        <v>23</v>
      </c>
      <c r="N1110">
        <f t="shared" si="154"/>
        <v>0</v>
      </c>
      <c r="O1110" t="s">
        <v>86</v>
      </c>
      <c r="P1110" t="s">
        <v>2047</v>
      </c>
      <c r="Q1110">
        <v>0</v>
      </c>
      <c r="R1110">
        <v>367</v>
      </c>
      <c r="S1110">
        <f t="shared" si="155"/>
        <v>-9.6412448492210409E-2</v>
      </c>
      <c r="T1110">
        <f t="shared" si="156"/>
        <v>0</v>
      </c>
      <c r="U1110">
        <f t="shared" si="157"/>
        <v>0</v>
      </c>
      <c r="V1110">
        <f t="shared" si="158"/>
        <v>0</v>
      </c>
      <c r="W1110">
        <f t="shared" si="159"/>
        <v>0</v>
      </c>
      <c r="X1110">
        <f t="shared" si="160"/>
        <v>0</v>
      </c>
      <c r="Y1110">
        <f t="shared" si="161"/>
        <v>0</v>
      </c>
    </row>
    <row r="1111" spans="1:25" x14ac:dyDescent="0.3">
      <c r="A1111" t="s">
        <v>707</v>
      </c>
      <c r="B1111" t="s">
        <v>708</v>
      </c>
      <c r="C1111" s="1">
        <v>45781</v>
      </c>
      <c r="D1111" s="3">
        <v>1.1585648148148149E-2</v>
      </c>
      <c r="E1111">
        <f t="shared" si="153"/>
        <v>0</v>
      </c>
      <c r="F1111" s="4">
        <v>41</v>
      </c>
      <c r="G1111" t="s">
        <v>18</v>
      </c>
      <c r="H1111" t="s">
        <v>70</v>
      </c>
      <c r="I1111" t="s">
        <v>39</v>
      </c>
      <c r="J1111" t="s">
        <v>76</v>
      </c>
      <c r="K1111" t="s">
        <v>120</v>
      </c>
      <c r="L1111">
        <v>167.57</v>
      </c>
      <c r="M1111" t="s">
        <v>42</v>
      </c>
      <c r="N1111">
        <f t="shared" si="154"/>
        <v>0</v>
      </c>
      <c r="O1111" t="s">
        <v>34</v>
      </c>
      <c r="P1111" t="s">
        <v>709</v>
      </c>
      <c r="Q1111">
        <v>0</v>
      </c>
      <c r="R1111">
        <v>255</v>
      </c>
      <c r="S1111">
        <f t="shared" si="155"/>
        <v>-9.7519989250297978E-2</v>
      </c>
      <c r="T1111">
        <f t="shared" si="156"/>
        <v>0</v>
      </c>
      <c r="U1111">
        <f t="shared" si="157"/>
        <v>1</v>
      </c>
      <c r="V1111">
        <f t="shared" si="158"/>
        <v>1</v>
      </c>
      <c r="W1111">
        <f t="shared" si="159"/>
        <v>3</v>
      </c>
      <c r="X1111">
        <f t="shared" si="160"/>
        <v>0</v>
      </c>
      <c r="Y1111">
        <f t="shared" si="161"/>
        <v>0</v>
      </c>
    </row>
    <row r="1112" spans="1:25" x14ac:dyDescent="0.3">
      <c r="A1112" t="s">
        <v>2024</v>
      </c>
      <c r="B1112" t="s">
        <v>2025</v>
      </c>
      <c r="C1112" s="1">
        <v>45840</v>
      </c>
      <c r="D1112" s="3">
        <v>0.73832175925925925</v>
      </c>
      <c r="E1112">
        <f t="shared" si="153"/>
        <v>17</v>
      </c>
      <c r="F1112">
        <v>56</v>
      </c>
      <c r="G1112" t="s">
        <v>46</v>
      </c>
      <c r="H1112" t="s">
        <v>19</v>
      </c>
      <c r="I1112" t="s">
        <v>119</v>
      </c>
      <c r="J1112" t="s">
        <v>94</v>
      </c>
      <c r="K1112" t="s">
        <v>50</v>
      </c>
      <c r="L1112">
        <v>167.56</v>
      </c>
      <c r="M1112" t="s">
        <v>23</v>
      </c>
      <c r="N1112">
        <f t="shared" si="154"/>
        <v>0</v>
      </c>
      <c r="O1112" t="s">
        <v>51</v>
      </c>
      <c r="P1112" t="s">
        <v>2026</v>
      </c>
      <c r="Q1112">
        <v>0</v>
      </c>
      <c r="R1112">
        <v>56</v>
      </c>
      <c r="S1112">
        <f t="shared" si="155"/>
        <v>-9.7658431845058777E-2</v>
      </c>
      <c r="T1112">
        <f t="shared" si="156"/>
        <v>0</v>
      </c>
      <c r="U1112">
        <f t="shared" si="157"/>
        <v>0</v>
      </c>
      <c r="V1112">
        <f t="shared" si="158"/>
        <v>1</v>
      </c>
      <c r="W1112">
        <f t="shared" si="159"/>
        <v>1</v>
      </c>
      <c r="X1112">
        <f t="shared" si="160"/>
        <v>0</v>
      </c>
      <c r="Y1112">
        <f t="shared" si="161"/>
        <v>0</v>
      </c>
    </row>
    <row r="1113" spans="1:25" x14ac:dyDescent="0.3">
      <c r="A1113" t="s">
        <v>6410</v>
      </c>
      <c r="B1113" t="s">
        <v>6411</v>
      </c>
      <c r="C1113" s="1">
        <v>45791</v>
      </c>
      <c r="D1113" s="3">
        <v>0.47582175925925924</v>
      </c>
      <c r="E1113">
        <f t="shared" si="153"/>
        <v>11</v>
      </c>
      <c r="F1113">
        <v>37</v>
      </c>
      <c r="G1113" t="s">
        <v>60</v>
      </c>
      <c r="H1113" t="s">
        <v>312</v>
      </c>
      <c r="I1113" t="s">
        <v>85</v>
      </c>
      <c r="J1113" t="s">
        <v>40</v>
      </c>
      <c r="K1113" t="s">
        <v>168</v>
      </c>
      <c r="L1113">
        <v>167.51</v>
      </c>
      <c r="M1113" t="s">
        <v>115</v>
      </c>
      <c r="N1113">
        <f t="shared" si="154"/>
        <v>0</v>
      </c>
      <c r="O1113" t="s">
        <v>34</v>
      </c>
      <c r="P1113" t="s">
        <v>6412</v>
      </c>
      <c r="Q1113">
        <v>0</v>
      </c>
      <c r="R1113">
        <v>380</v>
      </c>
      <c r="S1113">
        <f t="shared" si="155"/>
        <v>-9.8350644818863561E-2</v>
      </c>
      <c r="T1113">
        <f t="shared" si="156"/>
        <v>0</v>
      </c>
      <c r="U1113">
        <f t="shared" si="157"/>
        <v>0</v>
      </c>
      <c r="V1113">
        <f t="shared" si="158"/>
        <v>0</v>
      </c>
      <c r="W1113">
        <f t="shared" si="159"/>
        <v>0</v>
      </c>
      <c r="X1113">
        <f t="shared" si="160"/>
        <v>0</v>
      </c>
      <c r="Y1113">
        <f t="shared" si="161"/>
        <v>0</v>
      </c>
    </row>
    <row r="1114" spans="1:25" x14ac:dyDescent="0.3">
      <c r="A1114" t="s">
        <v>3140</v>
      </c>
      <c r="B1114" t="s">
        <v>3141</v>
      </c>
      <c r="C1114" s="1">
        <v>45856</v>
      </c>
      <c r="D1114" s="3">
        <v>0.14586805555555554</v>
      </c>
      <c r="E1114">
        <f t="shared" si="153"/>
        <v>3</v>
      </c>
      <c r="F1114">
        <v>61</v>
      </c>
      <c r="G1114" t="s">
        <v>99</v>
      </c>
      <c r="H1114" t="s">
        <v>189</v>
      </c>
      <c r="I1114" t="s">
        <v>66</v>
      </c>
      <c r="J1114" t="s">
        <v>49</v>
      </c>
      <c r="K1114" t="s">
        <v>101</v>
      </c>
      <c r="L1114">
        <v>167.45</v>
      </c>
      <c r="M1114" t="s">
        <v>115</v>
      </c>
      <c r="N1114">
        <f t="shared" si="154"/>
        <v>0</v>
      </c>
      <c r="O1114" t="s">
        <v>51</v>
      </c>
      <c r="P1114" t="s">
        <v>3142</v>
      </c>
      <c r="Q1114">
        <v>0</v>
      </c>
      <c r="R1114">
        <v>58</v>
      </c>
      <c r="S1114">
        <f t="shared" si="155"/>
        <v>-9.9181300387429144E-2</v>
      </c>
      <c r="T1114">
        <f t="shared" si="156"/>
        <v>0</v>
      </c>
      <c r="U1114">
        <f t="shared" si="157"/>
        <v>1</v>
      </c>
      <c r="V1114">
        <f t="shared" si="158"/>
        <v>1</v>
      </c>
      <c r="W1114">
        <f t="shared" si="159"/>
        <v>3</v>
      </c>
      <c r="X1114">
        <f t="shared" si="160"/>
        <v>0</v>
      </c>
      <c r="Y1114">
        <f t="shared" si="161"/>
        <v>0</v>
      </c>
    </row>
    <row r="1115" spans="1:25" x14ac:dyDescent="0.3">
      <c r="A1115" t="s">
        <v>5678</v>
      </c>
      <c r="B1115" t="s">
        <v>5679</v>
      </c>
      <c r="C1115" s="1">
        <v>45826</v>
      </c>
      <c r="D1115" s="3">
        <v>1.5625000000000001E-3</v>
      </c>
      <c r="E1115">
        <f t="shared" si="153"/>
        <v>0</v>
      </c>
      <c r="F1115">
        <v>64</v>
      </c>
      <c r="G1115" t="s">
        <v>46</v>
      </c>
      <c r="H1115" t="s">
        <v>19</v>
      </c>
      <c r="I1115" t="s">
        <v>71</v>
      </c>
      <c r="J1115" t="s">
        <v>49</v>
      </c>
      <c r="K1115" t="s">
        <v>32</v>
      </c>
      <c r="L1115">
        <v>167.13</v>
      </c>
      <c r="M1115" t="s">
        <v>42</v>
      </c>
      <c r="N1115">
        <f t="shared" si="154"/>
        <v>0</v>
      </c>
      <c r="O1115" t="s">
        <v>24</v>
      </c>
      <c r="P1115" t="s">
        <v>5680</v>
      </c>
      <c r="Q1115">
        <v>1</v>
      </c>
      <c r="R1115">
        <v>333</v>
      </c>
      <c r="S1115">
        <f t="shared" si="155"/>
        <v>-0.10361146341977863</v>
      </c>
      <c r="T1115">
        <f t="shared" si="156"/>
        <v>0</v>
      </c>
      <c r="U1115">
        <f t="shared" si="157"/>
        <v>1</v>
      </c>
      <c r="V1115">
        <f t="shared" si="158"/>
        <v>0</v>
      </c>
      <c r="W1115">
        <f t="shared" si="159"/>
        <v>2</v>
      </c>
      <c r="X1115">
        <f t="shared" si="160"/>
        <v>0</v>
      </c>
      <c r="Y1115">
        <f t="shared" si="161"/>
        <v>0</v>
      </c>
    </row>
    <row r="1116" spans="1:25" x14ac:dyDescent="0.3">
      <c r="A1116" t="s">
        <v>6287</v>
      </c>
      <c r="B1116" t="s">
        <v>6288</v>
      </c>
      <c r="C1116" s="1">
        <v>45775</v>
      </c>
      <c r="D1116" s="3">
        <v>0.67152777777777772</v>
      </c>
      <c r="E1116">
        <f t="shared" si="153"/>
        <v>16</v>
      </c>
      <c r="F1116">
        <v>54</v>
      </c>
      <c r="G1116" t="s">
        <v>46</v>
      </c>
      <c r="H1116" t="s">
        <v>80</v>
      </c>
      <c r="I1116" t="s">
        <v>119</v>
      </c>
      <c r="J1116" t="s">
        <v>49</v>
      </c>
      <c r="K1116" t="s">
        <v>22</v>
      </c>
      <c r="L1116">
        <v>167.05</v>
      </c>
      <c r="M1116" t="s">
        <v>23</v>
      </c>
      <c r="N1116">
        <f t="shared" si="154"/>
        <v>0</v>
      </c>
      <c r="O1116" t="s">
        <v>86</v>
      </c>
      <c r="P1116" t="s">
        <v>6289</v>
      </c>
      <c r="Q1116">
        <v>0</v>
      </c>
      <c r="R1116">
        <v>152</v>
      </c>
      <c r="S1116">
        <f t="shared" si="155"/>
        <v>-0.10471900417786581</v>
      </c>
      <c r="T1116">
        <f t="shared" si="156"/>
        <v>0</v>
      </c>
      <c r="U1116">
        <f t="shared" si="157"/>
        <v>0</v>
      </c>
      <c r="V1116">
        <f t="shared" si="158"/>
        <v>1</v>
      </c>
      <c r="W1116">
        <f t="shared" si="159"/>
        <v>1</v>
      </c>
      <c r="X1116">
        <f t="shared" si="160"/>
        <v>0</v>
      </c>
      <c r="Y1116">
        <f t="shared" si="161"/>
        <v>0</v>
      </c>
    </row>
    <row r="1117" spans="1:25" x14ac:dyDescent="0.3">
      <c r="A1117" t="s">
        <v>3869</v>
      </c>
      <c r="B1117" t="s">
        <v>3870</v>
      </c>
      <c r="C1117" s="1">
        <v>45818</v>
      </c>
      <c r="D1117" s="3">
        <v>0.33172453703703703</v>
      </c>
      <c r="E1117">
        <f t="shared" si="153"/>
        <v>7</v>
      </c>
      <c r="F1117">
        <v>56</v>
      </c>
      <c r="G1117" t="s">
        <v>46</v>
      </c>
      <c r="H1117" t="s">
        <v>239</v>
      </c>
      <c r="I1117" t="s">
        <v>20</v>
      </c>
      <c r="J1117" t="s">
        <v>49</v>
      </c>
      <c r="K1117" t="s">
        <v>120</v>
      </c>
      <c r="L1117">
        <v>167.03</v>
      </c>
      <c r="M1117" t="s">
        <v>6479</v>
      </c>
      <c r="N1117">
        <f t="shared" si="154"/>
        <v>1</v>
      </c>
      <c r="O1117" t="s">
        <v>51</v>
      </c>
      <c r="P1117" t="s">
        <v>3871</v>
      </c>
      <c r="Q1117">
        <v>0</v>
      </c>
      <c r="R1117">
        <v>485</v>
      </c>
      <c r="S1117">
        <f t="shared" si="155"/>
        <v>-0.1049958893673878</v>
      </c>
      <c r="T1117">
        <f t="shared" si="156"/>
        <v>0</v>
      </c>
      <c r="U1117">
        <f t="shared" si="157"/>
        <v>0</v>
      </c>
      <c r="V1117">
        <f t="shared" si="158"/>
        <v>0</v>
      </c>
      <c r="W1117">
        <f t="shared" si="159"/>
        <v>2</v>
      </c>
      <c r="X1117">
        <f t="shared" si="160"/>
        <v>0</v>
      </c>
      <c r="Y1117">
        <f t="shared" si="161"/>
        <v>1</v>
      </c>
    </row>
    <row r="1118" spans="1:25" x14ac:dyDescent="0.3">
      <c r="A1118" t="s">
        <v>422</v>
      </c>
      <c r="B1118" t="s">
        <v>423</v>
      </c>
      <c r="C1118" s="1">
        <v>45819</v>
      </c>
      <c r="D1118" s="3">
        <v>0.4009375</v>
      </c>
      <c r="E1118">
        <f t="shared" si="153"/>
        <v>9</v>
      </c>
      <c r="F1118">
        <v>24</v>
      </c>
      <c r="G1118" t="s">
        <v>18</v>
      </c>
      <c r="H1118" t="s">
        <v>38</v>
      </c>
      <c r="I1118" t="s">
        <v>105</v>
      </c>
      <c r="J1118" t="s">
        <v>49</v>
      </c>
      <c r="K1118" t="s">
        <v>50</v>
      </c>
      <c r="L1118">
        <v>167</v>
      </c>
      <c r="M1118" t="s">
        <v>33</v>
      </c>
      <c r="N1118">
        <f t="shared" si="154"/>
        <v>0</v>
      </c>
      <c r="O1118" t="s">
        <v>24</v>
      </c>
      <c r="P1118" t="s">
        <v>424</v>
      </c>
      <c r="Q1118">
        <v>0</v>
      </c>
      <c r="R1118">
        <v>222</v>
      </c>
      <c r="S1118">
        <f t="shared" si="155"/>
        <v>-0.10541121715167059</v>
      </c>
      <c r="T1118">
        <f t="shared" si="156"/>
        <v>0</v>
      </c>
      <c r="U1118">
        <f t="shared" si="157"/>
        <v>0</v>
      </c>
      <c r="V1118">
        <f t="shared" si="158"/>
        <v>1</v>
      </c>
      <c r="W1118">
        <f t="shared" si="159"/>
        <v>1</v>
      </c>
      <c r="X1118">
        <f t="shared" si="160"/>
        <v>0</v>
      </c>
      <c r="Y1118">
        <f t="shared" si="161"/>
        <v>0</v>
      </c>
    </row>
    <row r="1119" spans="1:25" x14ac:dyDescent="0.3">
      <c r="A1119" t="s">
        <v>6122</v>
      </c>
      <c r="B1119" t="s">
        <v>6123</v>
      </c>
      <c r="C1119" s="1">
        <v>45836</v>
      </c>
      <c r="D1119" s="3">
        <v>0.323125</v>
      </c>
      <c r="E1119">
        <f t="shared" si="153"/>
        <v>7</v>
      </c>
      <c r="F1119" s="4">
        <v>41</v>
      </c>
      <c r="G1119" t="s">
        <v>60</v>
      </c>
      <c r="H1119" t="s">
        <v>29</v>
      </c>
      <c r="I1119" t="s">
        <v>66</v>
      </c>
      <c r="J1119" t="s">
        <v>76</v>
      </c>
      <c r="K1119" t="s">
        <v>50</v>
      </c>
      <c r="L1119">
        <v>166.98</v>
      </c>
      <c r="M1119" t="s">
        <v>115</v>
      </c>
      <c r="N1119">
        <f t="shared" si="154"/>
        <v>0</v>
      </c>
      <c r="O1119" t="s">
        <v>24</v>
      </c>
      <c r="P1119" t="s">
        <v>6124</v>
      </c>
      <c r="Q1119">
        <v>0</v>
      </c>
      <c r="R1119">
        <v>170</v>
      </c>
      <c r="S1119">
        <f t="shared" si="155"/>
        <v>-0.10568810234119258</v>
      </c>
      <c r="T1119">
        <f t="shared" si="156"/>
        <v>0</v>
      </c>
      <c r="U1119">
        <f t="shared" si="157"/>
        <v>0</v>
      </c>
      <c r="V1119">
        <f t="shared" si="158"/>
        <v>1</v>
      </c>
      <c r="W1119">
        <f t="shared" si="159"/>
        <v>1</v>
      </c>
      <c r="X1119">
        <f t="shared" si="160"/>
        <v>0</v>
      </c>
      <c r="Y1119">
        <f t="shared" si="161"/>
        <v>0</v>
      </c>
    </row>
    <row r="1120" spans="1:25" x14ac:dyDescent="0.3">
      <c r="A1120" t="s">
        <v>4385</v>
      </c>
      <c r="B1120" t="s">
        <v>4386</v>
      </c>
      <c r="C1120" s="1">
        <v>45757</v>
      </c>
      <c r="D1120" s="3">
        <v>0.51570601851851849</v>
      </c>
      <c r="E1120">
        <f t="shared" si="153"/>
        <v>12</v>
      </c>
      <c r="F1120">
        <v>26</v>
      </c>
      <c r="G1120" t="s">
        <v>18</v>
      </c>
      <c r="H1120" t="s">
        <v>239</v>
      </c>
      <c r="I1120" t="s">
        <v>20</v>
      </c>
      <c r="J1120" t="s">
        <v>56</v>
      </c>
      <c r="K1120" t="s">
        <v>50</v>
      </c>
      <c r="L1120">
        <v>166.97</v>
      </c>
      <c r="M1120" t="s">
        <v>23</v>
      </c>
      <c r="N1120">
        <f t="shared" si="154"/>
        <v>0</v>
      </c>
      <c r="O1120" t="s">
        <v>86</v>
      </c>
      <c r="P1120" t="s">
        <v>4387</v>
      </c>
      <c r="Q1120">
        <v>0</v>
      </c>
      <c r="R1120">
        <v>202</v>
      </c>
      <c r="S1120">
        <f t="shared" si="155"/>
        <v>-0.10582654493595338</v>
      </c>
      <c r="T1120">
        <f t="shared" si="156"/>
        <v>0</v>
      </c>
      <c r="U1120">
        <f t="shared" si="157"/>
        <v>0</v>
      </c>
      <c r="V1120">
        <f t="shared" si="158"/>
        <v>1</v>
      </c>
      <c r="W1120">
        <f t="shared" si="159"/>
        <v>1</v>
      </c>
      <c r="X1120">
        <f t="shared" si="160"/>
        <v>0</v>
      </c>
      <c r="Y1120">
        <f t="shared" si="161"/>
        <v>0</v>
      </c>
    </row>
    <row r="1121" spans="1:25" x14ac:dyDescent="0.3">
      <c r="A1121" t="s">
        <v>2099</v>
      </c>
      <c r="B1121" t="s">
        <v>2100</v>
      </c>
      <c r="C1121" s="1">
        <v>45824</v>
      </c>
      <c r="D1121" s="3">
        <v>0.91678240740740746</v>
      </c>
      <c r="E1121">
        <f t="shared" si="153"/>
        <v>22</v>
      </c>
      <c r="F1121">
        <v>49</v>
      </c>
      <c r="G1121" t="s">
        <v>99</v>
      </c>
      <c r="H1121" t="s">
        <v>38</v>
      </c>
      <c r="I1121" t="s">
        <v>85</v>
      </c>
      <c r="J1121" t="s">
        <v>76</v>
      </c>
      <c r="K1121" t="s">
        <v>62</v>
      </c>
      <c r="L1121">
        <v>166.7</v>
      </c>
      <c r="M1121" t="s">
        <v>33</v>
      </c>
      <c r="N1121">
        <f t="shared" si="154"/>
        <v>0</v>
      </c>
      <c r="O1121" t="s">
        <v>24</v>
      </c>
      <c r="P1121" t="s">
        <v>2101</v>
      </c>
      <c r="Q1121">
        <v>0</v>
      </c>
      <c r="R1121">
        <v>496</v>
      </c>
      <c r="S1121">
        <f t="shared" si="155"/>
        <v>-0.10956449499449848</v>
      </c>
      <c r="T1121">
        <f t="shared" si="156"/>
        <v>0</v>
      </c>
      <c r="U1121">
        <f t="shared" si="157"/>
        <v>0</v>
      </c>
      <c r="V1121">
        <f t="shared" si="158"/>
        <v>0</v>
      </c>
      <c r="W1121">
        <f t="shared" si="159"/>
        <v>0</v>
      </c>
      <c r="X1121">
        <f t="shared" si="160"/>
        <v>0</v>
      </c>
      <c r="Y1121">
        <f t="shared" si="161"/>
        <v>0</v>
      </c>
    </row>
    <row r="1122" spans="1:25" x14ac:dyDescent="0.3">
      <c r="A1122" t="s">
        <v>5432</v>
      </c>
      <c r="B1122" t="s">
        <v>5433</v>
      </c>
      <c r="C1122" s="1">
        <v>45868</v>
      </c>
      <c r="D1122" s="3">
        <v>0.76057870370370373</v>
      </c>
      <c r="E1122">
        <f t="shared" si="153"/>
        <v>18</v>
      </c>
      <c r="F1122">
        <v>56</v>
      </c>
      <c r="G1122" t="s">
        <v>46</v>
      </c>
      <c r="H1122" t="s">
        <v>167</v>
      </c>
      <c r="I1122" t="s">
        <v>105</v>
      </c>
      <c r="J1122" t="s">
        <v>72</v>
      </c>
      <c r="K1122" t="s">
        <v>168</v>
      </c>
      <c r="L1122">
        <v>166.68</v>
      </c>
      <c r="M1122" t="s">
        <v>23</v>
      </c>
      <c r="N1122">
        <f t="shared" si="154"/>
        <v>0</v>
      </c>
      <c r="O1122" t="s">
        <v>34</v>
      </c>
      <c r="P1122" t="s">
        <v>5434</v>
      </c>
      <c r="Q1122">
        <v>0</v>
      </c>
      <c r="R1122">
        <v>179</v>
      </c>
      <c r="S1122">
        <f t="shared" si="155"/>
        <v>-0.10984138018402008</v>
      </c>
      <c r="T1122">
        <f t="shared" si="156"/>
        <v>0</v>
      </c>
      <c r="U1122">
        <f t="shared" si="157"/>
        <v>0</v>
      </c>
      <c r="V1122">
        <f t="shared" si="158"/>
        <v>1</v>
      </c>
      <c r="W1122">
        <f t="shared" si="159"/>
        <v>1</v>
      </c>
      <c r="X1122">
        <f t="shared" si="160"/>
        <v>0</v>
      </c>
      <c r="Y1122">
        <f t="shared" si="161"/>
        <v>0</v>
      </c>
    </row>
    <row r="1123" spans="1:25" x14ac:dyDescent="0.3">
      <c r="A1123" t="s">
        <v>5447</v>
      </c>
      <c r="B1123" t="s">
        <v>5448</v>
      </c>
      <c r="C1123" s="1">
        <v>45830</v>
      </c>
      <c r="D1123" s="3">
        <v>0.45173611111111112</v>
      </c>
      <c r="E1123">
        <f t="shared" si="153"/>
        <v>10</v>
      </c>
      <c r="F1123">
        <v>49</v>
      </c>
      <c r="G1123" t="s">
        <v>18</v>
      </c>
      <c r="H1123" t="s">
        <v>19</v>
      </c>
      <c r="I1123" t="s">
        <v>71</v>
      </c>
      <c r="J1123" t="s">
        <v>94</v>
      </c>
      <c r="K1123" t="s">
        <v>22</v>
      </c>
      <c r="L1123">
        <v>166.66</v>
      </c>
      <c r="M1123" t="s">
        <v>33</v>
      </c>
      <c r="N1123">
        <f t="shared" si="154"/>
        <v>0</v>
      </c>
      <c r="O1123" t="s">
        <v>51</v>
      </c>
      <c r="P1123" t="s">
        <v>5449</v>
      </c>
      <c r="Q1123">
        <v>0</v>
      </c>
      <c r="R1123">
        <v>140</v>
      </c>
      <c r="S1123">
        <f t="shared" si="155"/>
        <v>-0.11011826537354207</v>
      </c>
      <c r="T1123">
        <f t="shared" si="156"/>
        <v>0</v>
      </c>
      <c r="U1123">
        <f t="shared" si="157"/>
        <v>0</v>
      </c>
      <c r="V1123">
        <f t="shared" si="158"/>
        <v>1</v>
      </c>
      <c r="W1123">
        <f t="shared" si="159"/>
        <v>1</v>
      </c>
      <c r="X1123">
        <f t="shared" si="160"/>
        <v>0</v>
      </c>
      <c r="Y1123">
        <f t="shared" si="161"/>
        <v>0</v>
      </c>
    </row>
    <row r="1124" spans="1:25" x14ac:dyDescent="0.3">
      <c r="A1124" t="s">
        <v>1808</v>
      </c>
      <c r="B1124" t="s">
        <v>1809</v>
      </c>
      <c r="C1124" s="1">
        <v>45787</v>
      </c>
      <c r="D1124" s="3">
        <v>0.51949074074074075</v>
      </c>
      <c r="E1124">
        <f t="shared" si="153"/>
        <v>12</v>
      </c>
      <c r="F1124">
        <v>39</v>
      </c>
      <c r="G1124" t="s">
        <v>99</v>
      </c>
      <c r="H1124" t="s">
        <v>232</v>
      </c>
      <c r="I1124" t="s">
        <v>48</v>
      </c>
      <c r="J1124" t="s">
        <v>127</v>
      </c>
      <c r="K1124" t="s">
        <v>62</v>
      </c>
      <c r="L1124">
        <v>166.58</v>
      </c>
      <c r="M1124" t="s">
        <v>33</v>
      </c>
      <c r="N1124">
        <f t="shared" si="154"/>
        <v>0</v>
      </c>
      <c r="O1124" t="s">
        <v>86</v>
      </c>
      <c r="P1124" t="s">
        <v>1810</v>
      </c>
      <c r="Q1124">
        <v>0</v>
      </c>
      <c r="R1124">
        <v>150</v>
      </c>
      <c r="S1124">
        <f t="shared" si="155"/>
        <v>-0.11122580613162925</v>
      </c>
      <c r="T1124">
        <f t="shared" si="156"/>
        <v>0</v>
      </c>
      <c r="U1124">
        <f t="shared" si="157"/>
        <v>0</v>
      </c>
      <c r="V1124">
        <f t="shared" si="158"/>
        <v>1</v>
      </c>
      <c r="W1124">
        <f t="shared" si="159"/>
        <v>1</v>
      </c>
      <c r="X1124">
        <f t="shared" si="160"/>
        <v>0</v>
      </c>
      <c r="Y1124">
        <f t="shared" si="161"/>
        <v>0</v>
      </c>
    </row>
    <row r="1125" spans="1:25" x14ac:dyDescent="0.3">
      <c r="A1125" t="s">
        <v>1847</v>
      </c>
      <c r="B1125" t="s">
        <v>1848</v>
      </c>
      <c r="C1125" s="1">
        <v>45720</v>
      </c>
      <c r="D1125" s="3">
        <v>0.44138888888888889</v>
      </c>
      <c r="E1125">
        <f t="shared" si="153"/>
        <v>10</v>
      </c>
      <c r="F1125">
        <v>36</v>
      </c>
      <c r="G1125" t="s">
        <v>28</v>
      </c>
      <c r="H1125" t="s">
        <v>19</v>
      </c>
      <c r="I1125" t="s">
        <v>119</v>
      </c>
      <c r="J1125" t="s">
        <v>127</v>
      </c>
      <c r="K1125" t="s">
        <v>114</v>
      </c>
      <c r="L1125">
        <v>166.49</v>
      </c>
      <c r="M1125" t="s">
        <v>42</v>
      </c>
      <c r="N1125">
        <f t="shared" si="154"/>
        <v>0</v>
      </c>
      <c r="O1125" t="s">
        <v>51</v>
      </c>
      <c r="P1125" t="s">
        <v>1849</v>
      </c>
      <c r="Q1125">
        <v>0</v>
      </c>
      <c r="R1125">
        <v>307</v>
      </c>
      <c r="S1125">
        <f t="shared" si="155"/>
        <v>-0.11247178948447761</v>
      </c>
      <c r="T1125">
        <f t="shared" si="156"/>
        <v>0</v>
      </c>
      <c r="U1125">
        <f t="shared" si="157"/>
        <v>0</v>
      </c>
      <c r="V1125">
        <f t="shared" si="158"/>
        <v>0</v>
      </c>
      <c r="W1125">
        <f t="shared" si="159"/>
        <v>0</v>
      </c>
      <c r="X1125">
        <f t="shared" si="160"/>
        <v>0</v>
      </c>
      <c r="Y1125">
        <f t="shared" si="161"/>
        <v>0</v>
      </c>
    </row>
    <row r="1126" spans="1:25" x14ac:dyDescent="0.3">
      <c r="A1126" s="2" t="s">
        <v>5444</v>
      </c>
      <c r="B1126" t="s">
        <v>5445</v>
      </c>
      <c r="C1126" s="1">
        <v>45823</v>
      </c>
      <c r="D1126" s="3">
        <v>0.96164351851851848</v>
      </c>
      <c r="E1126">
        <f t="shared" si="153"/>
        <v>23</v>
      </c>
      <c r="F1126">
        <v>28</v>
      </c>
      <c r="G1126" t="s">
        <v>18</v>
      </c>
      <c r="H1126" t="s">
        <v>47</v>
      </c>
      <c r="I1126" t="s">
        <v>105</v>
      </c>
      <c r="J1126" t="s">
        <v>127</v>
      </c>
      <c r="K1126" t="s">
        <v>22</v>
      </c>
      <c r="L1126">
        <v>166.4</v>
      </c>
      <c r="M1126" t="s">
        <v>6479</v>
      </c>
      <c r="N1126">
        <f t="shared" si="154"/>
        <v>1</v>
      </c>
      <c r="O1126" t="s">
        <v>34</v>
      </c>
      <c r="P1126" t="s">
        <v>5446</v>
      </c>
      <c r="Q1126">
        <v>0</v>
      </c>
      <c r="R1126">
        <v>375</v>
      </c>
      <c r="S1126">
        <f t="shared" si="155"/>
        <v>-0.11371777283732598</v>
      </c>
      <c r="T1126">
        <f t="shared" si="156"/>
        <v>0</v>
      </c>
      <c r="U1126">
        <f t="shared" si="157"/>
        <v>0</v>
      </c>
      <c r="V1126">
        <f t="shared" si="158"/>
        <v>0</v>
      </c>
      <c r="W1126">
        <f t="shared" si="159"/>
        <v>2</v>
      </c>
      <c r="X1126">
        <f t="shared" si="160"/>
        <v>0</v>
      </c>
      <c r="Y1126">
        <f t="shared" si="161"/>
        <v>1</v>
      </c>
    </row>
    <row r="1127" spans="1:25" x14ac:dyDescent="0.3">
      <c r="A1127" t="s">
        <v>1526</v>
      </c>
      <c r="B1127" t="s">
        <v>1527</v>
      </c>
      <c r="C1127" s="1">
        <v>45786</v>
      </c>
      <c r="D1127" s="3">
        <v>8.880787037037037E-2</v>
      </c>
      <c r="E1127">
        <f t="shared" si="153"/>
        <v>2</v>
      </c>
      <c r="F1127">
        <v>38</v>
      </c>
      <c r="G1127" t="s">
        <v>18</v>
      </c>
      <c r="H1127" t="s">
        <v>47</v>
      </c>
      <c r="I1127" t="s">
        <v>66</v>
      </c>
      <c r="J1127" t="s">
        <v>56</v>
      </c>
      <c r="K1127" t="s">
        <v>95</v>
      </c>
      <c r="L1127">
        <v>166.28</v>
      </c>
      <c r="M1127" t="s">
        <v>23</v>
      </c>
      <c r="N1127">
        <f t="shared" si="154"/>
        <v>0</v>
      </c>
      <c r="O1127" t="s">
        <v>86</v>
      </c>
      <c r="P1127" t="s">
        <v>1528</v>
      </c>
      <c r="Q1127">
        <v>0</v>
      </c>
      <c r="R1127">
        <v>143</v>
      </c>
      <c r="S1127">
        <f t="shared" si="155"/>
        <v>-0.11537908397445713</v>
      </c>
      <c r="T1127">
        <f t="shared" si="156"/>
        <v>0</v>
      </c>
      <c r="U1127">
        <f t="shared" si="157"/>
        <v>1</v>
      </c>
      <c r="V1127">
        <f t="shared" si="158"/>
        <v>1</v>
      </c>
      <c r="W1127">
        <f t="shared" si="159"/>
        <v>3</v>
      </c>
      <c r="X1127">
        <f t="shared" si="160"/>
        <v>0</v>
      </c>
      <c r="Y1127">
        <f t="shared" si="161"/>
        <v>0</v>
      </c>
    </row>
    <row r="1128" spans="1:25" x14ac:dyDescent="0.3">
      <c r="A1128" t="s">
        <v>6332</v>
      </c>
      <c r="B1128" t="s">
        <v>6333</v>
      </c>
      <c r="C1128" s="1">
        <v>45879</v>
      </c>
      <c r="D1128" s="3">
        <v>0.13442129629629629</v>
      </c>
      <c r="E1128">
        <f t="shared" si="153"/>
        <v>3</v>
      </c>
      <c r="F1128">
        <v>54</v>
      </c>
      <c r="G1128" t="s">
        <v>46</v>
      </c>
      <c r="H1128" t="s">
        <v>47</v>
      </c>
      <c r="I1128" t="s">
        <v>105</v>
      </c>
      <c r="J1128" t="s">
        <v>49</v>
      </c>
      <c r="K1128" t="s">
        <v>50</v>
      </c>
      <c r="L1128">
        <v>166.13</v>
      </c>
      <c r="M1128" t="s">
        <v>115</v>
      </c>
      <c r="N1128">
        <f t="shared" si="154"/>
        <v>0</v>
      </c>
      <c r="O1128" t="s">
        <v>34</v>
      </c>
      <c r="P1128" t="s">
        <v>6334</v>
      </c>
      <c r="Q1128">
        <v>0</v>
      </c>
      <c r="R1128">
        <v>412</v>
      </c>
      <c r="S1128">
        <f t="shared" si="155"/>
        <v>-0.11745572289587108</v>
      </c>
      <c r="T1128">
        <f t="shared" si="156"/>
        <v>0</v>
      </c>
      <c r="U1128">
        <f t="shared" si="157"/>
        <v>1</v>
      </c>
      <c r="V1128">
        <f t="shared" si="158"/>
        <v>0</v>
      </c>
      <c r="W1128">
        <f t="shared" si="159"/>
        <v>2</v>
      </c>
      <c r="X1128">
        <f t="shared" si="160"/>
        <v>0</v>
      </c>
      <c r="Y1128">
        <f t="shared" si="161"/>
        <v>0</v>
      </c>
    </row>
    <row r="1129" spans="1:25" x14ac:dyDescent="0.3">
      <c r="A1129" t="s">
        <v>3650</v>
      </c>
      <c r="B1129" t="s">
        <v>3651</v>
      </c>
      <c r="C1129" s="1">
        <v>45786</v>
      </c>
      <c r="D1129" s="3">
        <v>0.95017361111111109</v>
      </c>
      <c r="E1129">
        <f t="shared" si="153"/>
        <v>22</v>
      </c>
      <c r="F1129">
        <v>40</v>
      </c>
      <c r="G1129" t="s">
        <v>46</v>
      </c>
      <c r="H1129" t="s">
        <v>185</v>
      </c>
      <c r="I1129" t="s">
        <v>119</v>
      </c>
      <c r="J1129" t="s">
        <v>56</v>
      </c>
      <c r="K1129" t="s">
        <v>120</v>
      </c>
      <c r="L1129">
        <v>166.02</v>
      </c>
      <c r="M1129" t="s">
        <v>6479</v>
      </c>
      <c r="N1129">
        <f t="shared" si="154"/>
        <v>1</v>
      </c>
      <c r="O1129" t="s">
        <v>34</v>
      </c>
      <c r="P1129" t="s">
        <v>3652</v>
      </c>
      <c r="Q1129">
        <v>0</v>
      </c>
      <c r="R1129">
        <v>175</v>
      </c>
      <c r="S1129">
        <f t="shared" si="155"/>
        <v>-0.11897859143824105</v>
      </c>
      <c r="T1129">
        <f t="shared" si="156"/>
        <v>0</v>
      </c>
      <c r="U1129">
        <f t="shared" si="157"/>
        <v>0</v>
      </c>
      <c r="V1129">
        <f t="shared" si="158"/>
        <v>1</v>
      </c>
      <c r="W1129">
        <f t="shared" si="159"/>
        <v>3</v>
      </c>
      <c r="X1129">
        <f t="shared" si="160"/>
        <v>0</v>
      </c>
      <c r="Y1129">
        <f t="shared" si="161"/>
        <v>1</v>
      </c>
    </row>
    <row r="1130" spans="1:25" x14ac:dyDescent="0.3">
      <c r="A1130" t="s">
        <v>3425</v>
      </c>
      <c r="B1130" t="s">
        <v>3426</v>
      </c>
      <c r="C1130" s="1">
        <v>45825</v>
      </c>
      <c r="D1130" s="3">
        <v>0.77142361111111113</v>
      </c>
      <c r="E1130">
        <f t="shared" si="153"/>
        <v>18</v>
      </c>
      <c r="F1130">
        <v>27</v>
      </c>
      <c r="G1130" t="s">
        <v>46</v>
      </c>
      <c r="H1130" t="s">
        <v>61</v>
      </c>
      <c r="I1130" t="s">
        <v>119</v>
      </c>
      <c r="J1130" t="s">
        <v>127</v>
      </c>
      <c r="K1130" t="s">
        <v>50</v>
      </c>
      <c r="L1130">
        <v>165.96</v>
      </c>
      <c r="M1130" t="s">
        <v>23</v>
      </c>
      <c r="N1130">
        <f t="shared" si="154"/>
        <v>0</v>
      </c>
      <c r="O1130" t="s">
        <v>34</v>
      </c>
      <c r="P1130" t="s">
        <v>3427</v>
      </c>
      <c r="Q1130">
        <v>0</v>
      </c>
      <c r="R1130">
        <v>52</v>
      </c>
      <c r="S1130">
        <f t="shared" si="155"/>
        <v>-0.11980924700680663</v>
      </c>
      <c r="T1130">
        <f t="shared" si="156"/>
        <v>0</v>
      </c>
      <c r="U1130">
        <f t="shared" si="157"/>
        <v>0</v>
      </c>
      <c r="V1130">
        <f t="shared" si="158"/>
        <v>1</v>
      </c>
      <c r="W1130">
        <f t="shared" si="159"/>
        <v>1</v>
      </c>
      <c r="X1130">
        <f t="shared" si="160"/>
        <v>0</v>
      </c>
      <c r="Y1130">
        <f t="shared" si="161"/>
        <v>0</v>
      </c>
    </row>
    <row r="1131" spans="1:25" x14ac:dyDescent="0.3">
      <c r="A1131" t="s">
        <v>2774</v>
      </c>
      <c r="B1131" t="s">
        <v>2775</v>
      </c>
      <c r="C1131" s="1">
        <v>45734</v>
      </c>
      <c r="D1131" s="3">
        <v>0.91387731481481482</v>
      </c>
      <c r="E1131">
        <f t="shared" si="153"/>
        <v>21</v>
      </c>
      <c r="F1131">
        <v>40</v>
      </c>
      <c r="G1131" t="s">
        <v>46</v>
      </c>
      <c r="H1131" t="s">
        <v>84</v>
      </c>
      <c r="I1131" t="s">
        <v>71</v>
      </c>
      <c r="J1131" t="s">
        <v>94</v>
      </c>
      <c r="K1131" t="s">
        <v>120</v>
      </c>
      <c r="L1131">
        <v>165.78</v>
      </c>
      <c r="M1131" t="s">
        <v>33</v>
      </c>
      <c r="N1131">
        <f t="shared" si="154"/>
        <v>0</v>
      </c>
      <c r="O1131" t="s">
        <v>51</v>
      </c>
      <c r="P1131" t="s">
        <v>2776</v>
      </c>
      <c r="Q1131">
        <v>0</v>
      </c>
      <c r="R1131">
        <v>439</v>
      </c>
      <c r="S1131">
        <f t="shared" si="155"/>
        <v>-0.12230121371250337</v>
      </c>
      <c r="T1131">
        <f t="shared" si="156"/>
        <v>0</v>
      </c>
      <c r="U1131">
        <f t="shared" si="157"/>
        <v>0</v>
      </c>
      <c r="V1131">
        <f t="shared" si="158"/>
        <v>0</v>
      </c>
      <c r="W1131">
        <f t="shared" si="159"/>
        <v>0</v>
      </c>
      <c r="X1131">
        <f t="shared" si="160"/>
        <v>0</v>
      </c>
      <c r="Y1131">
        <f t="shared" si="161"/>
        <v>0</v>
      </c>
    </row>
    <row r="1132" spans="1:25" x14ac:dyDescent="0.3">
      <c r="A1132" t="s">
        <v>2477</v>
      </c>
      <c r="B1132" t="s">
        <v>2478</v>
      </c>
      <c r="C1132" s="1">
        <v>45835</v>
      </c>
      <c r="D1132" s="3">
        <v>0.51596064814814813</v>
      </c>
      <c r="E1132">
        <f t="shared" si="153"/>
        <v>12</v>
      </c>
      <c r="F1132">
        <v>40</v>
      </c>
      <c r="G1132" t="s">
        <v>46</v>
      </c>
      <c r="H1132" t="s">
        <v>175</v>
      </c>
      <c r="I1132" t="s">
        <v>39</v>
      </c>
      <c r="J1132" t="s">
        <v>49</v>
      </c>
      <c r="K1132" t="s">
        <v>101</v>
      </c>
      <c r="L1132">
        <v>165.69</v>
      </c>
      <c r="M1132" t="s">
        <v>33</v>
      </c>
      <c r="N1132">
        <f t="shared" si="154"/>
        <v>0</v>
      </c>
      <c r="O1132" t="s">
        <v>51</v>
      </c>
      <c r="P1132" t="s">
        <v>2479</v>
      </c>
      <c r="Q1132">
        <v>0</v>
      </c>
      <c r="R1132">
        <v>162</v>
      </c>
      <c r="S1132">
        <f t="shared" si="155"/>
        <v>-0.12354719706535174</v>
      </c>
      <c r="T1132">
        <f t="shared" si="156"/>
        <v>0</v>
      </c>
      <c r="U1132">
        <f t="shared" si="157"/>
        <v>0</v>
      </c>
      <c r="V1132">
        <f t="shared" si="158"/>
        <v>1</v>
      </c>
      <c r="W1132">
        <f t="shared" si="159"/>
        <v>1</v>
      </c>
      <c r="X1132">
        <f t="shared" si="160"/>
        <v>0</v>
      </c>
      <c r="Y1132">
        <f t="shared" si="161"/>
        <v>0</v>
      </c>
    </row>
    <row r="1133" spans="1:25" x14ac:dyDescent="0.3">
      <c r="A1133" t="s">
        <v>259</v>
      </c>
      <c r="B1133" t="s">
        <v>260</v>
      </c>
      <c r="C1133" s="1">
        <v>45751</v>
      </c>
      <c r="D1133" s="3">
        <v>0.3619560185185185</v>
      </c>
      <c r="E1133">
        <f t="shared" si="153"/>
        <v>8</v>
      </c>
      <c r="F1133">
        <v>57</v>
      </c>
      <c r="G1133" t="s">
        <v>60</v>
      </c>
      <c r="H1133" t="s">
        <v>55</v>
      </c>
      <c r="I1133" t="s">
        <v>30</v>
      </c>
      <c r="J1133" t="s">
        <v>72</v>
      </c>
      <c r="K1133" t="s">
        <v>62</v>
      </c>
      <c r="L1133">
        <v>165.64</v>
      </c>
      <c r="M1133" t="s">
        <v>23</v>
      </c>
      <c r="N1133">
        <f t="shared" si="154"/>
        <v>0</v>
      </c>
      <c r="O1133" t="s">
        <v>34</v>
      </c>
      <c r="P1133" t="s">
        <v>261</v>
      </c>
      <c r="Q1133">
        <v>0</v>
      </c>
      <c r="R1133">
        <v>96</v>
      </c>
      <c r="S1133">
        <f t="shared" si="155"/>
        <v>-0.12423941003915652</v>
      </c>
      <c r="T1133">
        <f t="shared" si="156"/>
        <v>0</v>
      </c>
      <c r="U1133">
        <f t="shared" si="157"/>
        <v>0</v>
      </c>
      <c r="V1133">
        <f t="shared" si="158"/>
        <v>1</v>
      </c>
      <c r="W1133">
        <f t="shared" si="159"/>
        <v>1</v>
      </c>
      <c r="X1133">
        <f t="shared" si="160"/>
        <v>0</v>
      </c>
      <c r="Y1133">
        <f t="shared" si="161"/>
        <v>0</v>
      </c>
    </row>
    <row r="1134" spans="1:25" x14ac:dyDescent="0.3">
      <c r="A1134" t="s">
        <v>3398</v>
      </c>
      <c r="B1134" t="s">
        <v>3399</v>
      </c>
      <c r="C1134" s="1">
        <v>45820</v>
      </c>
      <c r="D1134" s="3">
        <v>0.96207175925925925</v>
      </c>
      <c r="E1134">
        <f t="shared" si="153"/>
        <v>23</v>
      </c>
      <c r="F1134">
        <v>50</v>
      </c>
      <c r="G1134" t="s">
        <v>46</v>
      </c>
      <c r="H1134" t="s">
        <v>38</v>
      </c>
      <c r="I1134" t="s">
        <v>119</v>
      </c>
      <c r="J1134" t="s">
        <v>132</v>
      </c>
      <c r="K1134" t="s">
        <v>120</v>
      </c>
      <c r="L1134">
        <v>165.56</v>
      </c>
      <c r="M1134" t="s">
        <v>23</v>
      </c>
      <c r="N1134">
        <f t="shared" si="154"/>
        <v>0</v>
      </c>
      <c r="O1134" t="s">
        <v>34</v>
      </c>
      <c r="P1134" t="s">
        <v>3400</v>
      </c>
      <c r="Q1134">
        <v>0</v>
      </c>
      <c r="R1134">
        <v>308</v>
      </c>
      <c r="S1134">
        <f t="shared" si="155"/>
        <v>-0.1253469507972437</v>
      </c>
      <c r="T1134">
        <f t="shared" si="156"/>
        <v>0</v>
      </c>
      <c r="U1134">
        <f t="shared" si="157"/>
        <v>0</v>
      </c>
      <c r="V1134">
        <f t="shared" si="158"/>
        <v>0</v>
      </c>
      <c r="W1134">
        <f t="shared" si="159"/>
        <v>0</v>
      </c>
      <c r="X1134">
        <f t="shared" si="160"/>
        <v>0</v>
      </c>
      <c r="Y1134">
        <f t="shared" si="161"/>
        <v>0</v>
      </c>
    </row>
    <row r="1135" spans="1:25" x14ac:dyDescent="0.3">
      <c r="A1135" s="2" t="s">
        <v>5711</v>
      </c>
      <c r="B1135" t="s">
        <v>5712</v>
      </c>
      <c r="C1135" s="1">
        <v>45711</v>
      </c>
      <c r="D1135" s="3">
        <v>0.52925925925925921</v>
      </c>
      <c r="E1135">
        <f t="shared" si="153"/>
        <v>12</v>
      </c>
      <c r="F1135">
        <v>28</v>
      </c>
      <c r="G1135" t="s">
        <v>46</v>
      </c>
      <c r="H1135" t="s">
        <v>232</v>
      </c>
      <c r="I1135" t="s">
        <v>110</v>
      </c>
      <c r="J1135" t="s">
        <v>49</v>
      </c>
      <c r="K1135" t="s">
        <v>101</v>
      </c>
      <c r="L1135">
        <v>165.5</v>
      </c>
      <c r="M1135" t="s">
        <v>42</v>
      </c>
      <c r="N1135">
        <f t="shared" si="154"/>
        <v>0</v>
      </c>
      <c r="O1135" t="s">
        <v>34</v>
      </c>
      <c r="P1135" t="s">
        <v>5713</v>
      </c>
      <c r="Q1135">
        <v>0</v>
      </c>
      <c r="R1135">
        <v>330</v>
      </c>
      <c r="S1135">
        <f t="shared" si="155"/>
        <v>-0.12617760636580927</v>
      </c>
      <c r="T1135">
        <f t="shared" si="156"/>
        <v>0</v>
      </c>
      <c r="U1135">
        <f t="shared" si="157"/>
        <v>0</v>
      </c>
      <c r="V1135">
        <f t="shared" si="158"/>
        <v>0</v>
      </c>
      <c r="W1135">
        <f t="shared" si="159"/>
        <v>0</v>
      </c>
      <c r="X1135">
        <f t="shared" si="160"/>
        <v>0</v>
      </c>
      <c r="Y1135">
        <f t="shared" si="161"/>
        <v>0</v>
      </c>
    </row>
    <row r="1136" spans="1:25" x14ac:dyDescent="0.3">
      <c r="A1136" t="s">
        <v>4262</v>
      </c>
      <c r="B1136" t="s">
        <v>4263</v>
      </c>
      <c r="C1136" s="1">
        <v>45827</v>
      </c>
      <c r="D1136" s="3">
        <v>0.57732638888888888</v>
      </c>
      <c r="E1136">
        <f t="shared" si="153"/>
        <v>13</v>
      </c>
      <c r="F1136">
        <v>27</v>
      </c>
      <c r="G1136" t="s">
        <v>46</v>
      </c>
      <c r="H1136" t="s">
        <v>80</v>
      </c>
      <c r="I1136" t="s">
        <v>30</v>
      </c>
      <c r="J1136" t="s">
        <v>49</v>
      </c>
      <c r="K1136" t="s">
        <v>95</v>
      </c>
      <c r="L1136">
        <v>165.45</v>
      </c>
      <c r="M1136" t="s">
        <v>115</v>
      </c>
      <c r="N1136">
        <f t="shared" si="154"/>
        <v>0</v>
      </c>
      <c r="O1136" t="s">
        <v>34</v>
      </c>
      <c r="P1136" t="s">
        <v>4264</v>
      </c>
      <c r="Q1136">
        <v>0</v>
      </c>
      <c r="R1136">
        <v>422</v>
      </c>
      <c r="S1136">
        <f t="shared" si="155"/>
        <v>-0.12686981933961405</v>
      </c>
      <c r="T1136">
        <f t="shared" si="156"/>
        <v>0</v>
      </c>
      <c r="U1136">
        <f t="shared" si="157"/>
        <v>0</v>
      </c>
      <c r="V1136">
        <f t="shared" si="158"/>
        <v>0</v>
      </c>
      <c r="W1136">
        <f t="shared" si="159"/>
        <v>0</v>
      </c>
      <c r="X1136">
        <f t="shared" si="160"/>
        <v>0</v>
      </c>
      <c r="Y1136">
        <f t="shared" si="161"/>
        <v>0</v>
      </c>
    </row>
    <row r="1137" spans="1:25" x14ac:dyDescent="0.3">
      <c r="A1137" t="s">
        <v>187</v>
      </c>
      <c r="B1137" t="s">
        <v>188</v>
      </c>
      <c r="C1137" s="1">
        <v>45741</v>
      </c>
      <c r="D1137" s="3">
        <v>0.83643518518518523</v>
      </c>
      <c r="E1137">
        <f t="shared" si="153"/>
        <v>20</v>
      </c>
      <c r="F1137">
        <v>54</v>
      </c>
      <c r="G1137" t="s">
        <v>46</v>
      </c>
      <c r="H1137" t="s">
        <v>189</v>
      </c>
      <c r="I1137" t="s">
        <v>110</v>
      </c>
      <c r="J1137" t="s">
        <v>72</v>
      </c>
      <c r="K1137" t="s">
        <v>168</v>
      </c>
      <c r="L1137">
        <v>165.44</v>
      </c>
      <c r="M1137" t="s">
        <v>23</v>
      </c>
      <c r="N1137">
        <f t="shared" si="154"/>
        <v>0</v>
      </c>
      <c r="O1137" t="s">
        <v>86</v>
      </c>
      <c r="P1137" t="s">
        <v>190</v>
      </c>
      <c r="Q1137">
        <v>0</v>
      </c>
      <c r="R1137">
        <v>375</v>
      </c>
      <c r="S1137">
        <f t="shared" si="155"/>
        <v>-0.12700826193437484</v>
      </c>
      <c r="T1137">
        <f t="shared" si="156"/>
        <v>0</v>
      </c>
      <c r="U1137">
        <f t="shared" si="157"/>
        <v>0</v>
      </c>
      <c r="V1137">
        <f t="shared" si="158"/>
        <v>0</v>
      </c>
      <c r="W1137">
        <f t="shared" si="159"/>
        <v>0</v>
      </c>
      <c r="X1137">
        <f t="shared" si="160"/>
        <v>0</v>
      </c>
      <c r="Y1137">
        <f t="shared" si="161"/>
        <v>0</v>
      </c>
    </row>
    <row r="1138" spans="1:25" x14ac:dyDescent="0.3">
      <c r="A1138" t="s">
        <v>776</v>
      </c>
      <c r="B1138" t="s">
        <v>777</v>
      </c>
      <c r="C1138" s="1">
        <v>45760</v>
      </c>
      <c r="D1138" s="3">
        <v>0.68619212962962961</v>
      </c>
      <c r="E1138">
        <f t="shared" si="153"/>
        <v>16</v>
      </c>
      <c r="F1138">
        <v>65</v>
      </c>
      <c r="G1138" t="s">
        <v>60</v>
      </c>
      <c r="H1138" t="s">
        <v>19</v>
      </c>
      <c r="I1138" t="s">
        <v>71</v>
      </c>
      <c r="J1138" t="s">
        <v>72</v>
      </c>
      <c r="K1138" t="s">
        <v>62</v>
      </c>
      <c r="L1138">
        <v>165.44</v>
      </c>
      <c r="M1138" t="s">
        <v>23</v>
      </c>
      <c r="N1138">
        <f t="shared" si="154"/>
        <v>0</v>
      </c>
      <c r="O1138" t="s">
        <v>51</v>
      </c>
      <c r="P1138" t="s">
        <v>778</v>
      </c>
      <c r="Q1138">
        <v>0</v>
      </c>
      <c r="R1138">
        <v>119</v>
      </c>
      <c r="S1138">
        <f t="shared" si="155"/>
        <v>-0.12700826193437484</v>
      </c>
      <c r="T1138">
        <f t="shared" si="156"/>
        <v>0</v>
      </c>
      <c r="U1138">
        <f t="shared" si="157"/>
        <v>0</v>
      </c>
      <c r="V1138">
        <f t="shared" si="158"/>
        <v>1</v>
      </c>
      <c r="W1138">
        <f t="shared" si="159"/>
        <v>1</v>
      </c>
      <c r="X1138">
        <f t="shared" si="160"/>
        <v>0</v>
      </c>
      <c r="Y1138">
        <f t="shared" si="161"/>
        <v>0</v>
      </c>
    </row>
    <row r="1139" spans="1:25" x14ac:dyDescent="0.3">
      <c r="A1139" t="s">
        <v>2474</v>
      </c>
      <c r="B1139" t="s">
        <v>2475</v>
      </c>
      <c r="C1139" s="1">
        <v>45747</v>
      </c>
      <c r="D1139" s="3">
        <v>0.31729166666666669</v>
      </c>
      <c r="E1139">
        <f t="shared" si="153"/>
        <v>7</v>
      </c>
      <c r="F1139">
        <v>64</v>
      </c>
      <c r="G1139" t="s">
        <v>46</v>
      </c>
      <c r="H1139" t="s">
        <v>47</v>
      </c>
      <c r="I1139" t="s">
        <v>66</v>
      </c>
      <c r="J1139" t="s">
        <v>94</v>
      </c>
      <c r="K1139" t="s">
        <v>62</v>
      </c>
      <c r="L1139">
        <v>165.35</v>
      </c>
      <c r="M1139" t="s">
        <v>33</v>
      </c>
      <c r="N1139">
        <f t="shared" si="154"/>
        <v>0</v>
      </c>
      <c r="O1139" t="s">
        <v>86</v>
      </c>
      <c r="P1139" t="s">
        <v>2476</v>
      </c>
      <c r="Q1139">
        <v>0</v>
      </c>
      <c r="R1139">
        <v>254</v>
      </c>
      <c r="S1139">
        <f t="shared" si="155"/>
        <v>-0.12825424528722321</v>
      </c>
      <c r="T1139">
        <f t="shared" si="156"/>
        <v>0</v>
      </c>
      <c r="U1139">
        <f t="shared" si="157"/>
        <v>0</v>
      </c>
      <c r="V1139">
        <f t="shared" si="158"/>
        <v>1</v>
      </c>
      <c r="W1139">
        <f t="shared" si="159"/>
        <v>1</v>
      </c>
      <c r="X1139">
        <f t="shared" si="160"/>
        <v>0</v>
      </c>
      <c r="Y1139">
        <f t="shared" si="161"/>
        <v>0</v>
      </c>
    </row>
    <row r="1140" spans="1:25" x14ac:dyDescent="0.3">
      <c r="A1140" t="s">
        <v>1901</v>
      </c>
      <c r="B1140" t="s">
        <v>1902</v>
      </c>
      <c r="C1140" s="1">
        <v>45747</v>
      </c>
      <c r="D1140" s="3">
        <v>9.3749999999999997E-3</v>
      </c>
      <c r="E1140">
        <f t="shared" si="153"/>
        <v>0</v>
      </c>
      <c r="F1140">
        <v>52</v>
      </c>
      <c r="G1140" t="s">
        <v>60</v>
      </c>
      <c r="H1140" t="s">
        <v>232</v>
      </c>
      <c r="I1140" t="s">
        <v>110</v>
      </c>
      <c r="J1140" t="s">
        <v>21</v>
      </c>
      <c r="K1140" t="s">
        <v>41</v>
      </c>
      <c r="L1140">
        <v>165.29</v>
      </c>
      <c r="M1140" t="s">
        <v>42</v>
      </c>
      <c r="N1140">
        <f t="shared" si="154"/>
        <v>0</v>
      </c>
      <c r="O1140" t="s">
        <v>51</v>
      </c>
      <c r="P1140" t="s">
        <v>1903</v>
      </c>
      <c r="Q1140">
        <v>0</v>
      </c>
      <c r="R1140">
        <v>185</v>
      </c>
      <c r="S1140">
        <f t="shared" si="155"/>
        <v>-0.1290849008557888</v>
      </c>
      <c r="T1140">
        <f t="shared" si="156"/>
        <v>0</v>
      </c>
      <c r="U1140">
        <f t="shared" si="157"/>
        <v>1</v>
      </c>
      <c r="V1140">
        <f t="shared" si="158"/>
        <v>1</v>
      </c>
      <c r="W1140">
        <f t="shared" si="159"/>
        <v>3</v>
      </c>
      <c r="X1140">
        <f t="shared" si="160"/>
        <v>0</v>
      </c>
      <c r="Y1140">
        <f t="shared" si="161"/>
        <v>0</v>
      </c>
    </row>
    <row r="1141" spans="1:25" x14ac:dyDescent="0.3">
      <c r="A1141" t="s">
        <v>6116</v>
      </c>
      <c r="B1141" t="s">
        <v>6117</v>
      </c>
      <c r="C1141" s="1">
        <v>45794</v>
      </c>
      <c r="D1141" s="3">
        <v>0.85521990740740739</v>
      </c>
      <c r="E1141">
        <f t="shared" si="153"/>
        <v>20</v>
      </c>
      <c r="F1141">
        <v>65</v>
      </c>
      <c r="G1141" t="s">
        <v>18</v>
      </c>
      <c r="H1141" t="s">
        <v>239</v>
      </c>
      <c r="I1141" t="s">
        <v>48</v>
      </c>
      <c r="J1141" t="s">
        <v>31</v>
      </c>
      <c r="K1141" t="s">
        <v>50</v>
      </c>
      <c r="L1141">
        <v>165.26</v>
      </c>
      <c r="M1141" t="s">
        <v>42</v>
      </c>
      <c r="N1141">
        <f t="shared" si="154"/>
        <v>0</v>
      </c>
      <c r="O1141" t="s">
        <v>86</v>
      </c>
      <c r="P1141" t="s">
        <v>6118</v>
      </c>
      <c r="Q1141">
        <v>0</v>
      </c>
      <c r="R1141">
        <v>334</v>
      </c>
      <c r="S1141">
        <f t="shared" si="155"/>
        <v>-0.12950022864007157</v>
      </c>
      <c r="T1141">
        <f t="shared" si="156"/>
        <v>0</v>
      </c>
      <c r="U1141">
        <f t="shared" si="157"/>
        <v>0</v>
      </c>
      <c r="V1141">
        <f t="shared" si="158"/>
        <v>0</v>
      </c>
      <c r="W1141">
        <f t="shared" si="159"/>
        <v>0</v>
      </c>
      <c r="X1141">
        <f t="shared" si="160"/>
        <v>0</v>
      </c>
      <c r="Y1141">
        <f t="shared" si="161"/>
        <v>0</v>
      </c>
    </row>
    <row r="1142" spans="1:25" x14ac:dyDescent="0.3">
      <c r="A1142" t="s">
        <v>140</v>
      </c>
      <c r="B1142" t="s">
        <v>141</v>
      </c>
      <c r="C1142" s="1">
        <v>45868</v>
      </c>
      <c r="D1142" s="3">
        <v>0.24010416666666667</v>
      </c>
      <c r="E1142">
        <f t="shared" si="153"/>
        <v>5</v>
      </c>
      <c r="F1142" s="4">
        <v>41</v>
      </c>
      <c r="G1142" t="s">
        <v>46</v>
      </c>
      <c r="H1142" t="s">
        <v>142</v>
      </c>
      <c r="I1142" t="s">
        <v>39</v>
      </c>
      <c r="J1142" t="s">
        <v>94</v>
      </c>
      <c r="K1142" t="s">
        <v>41</v>
      </c>
      <c r="L1142">
        <v>165.24</v>
      </c>
      <c r="M1142" t="s">
        <v>42</v>
      </c>
      <c r="N1142">
        <f t="shared" si="154"/>
        <v>0</v>
      </c>
      <c r="O1142" t="s">
        <v>51</v>
      </c>
      <c r="P1142" t="s">
        <v>143</v>
      </c>
      <c r="Q1142">
        <v>0</v>
      </c>
      <c r="R1142">
        <v>107</v>
      </c>
      <c r="S1142">
        <f t="shared" si="155"/>
        <v>-0.12977711382959317</v>
      </c>
      <c r="T1142">
        <f t="shared" si="156"/>
        <v>0</v>
      </c>
      <c r="U1142">
        <f t="shared" si="157"/>
        <v>1</v>
      </c>
      <c r="V1142">
        <f t="shared" si="158"/>
        <v>1</v>
      </c>
      <c r="W1142">
        <f t="shared" si="159"/>
        <v>3</v>
      </c>
      <c r="X1142">
        <f t="shared" si="160"/>
        <v>0</v>
      </c>
      <c r="Y1142">
        <f t="shared" si="161"/>
        <v>0</v>
      </c>
    </row>
    <row r="1143" spans="1:25" x14ac:dyDescent="0.3">
      <c r="A1143" t="s">
        <v>4454</v>
      </c>
      <c r="B1143" t="s">
        <v>4455</v>
      </c>
      <c r="C1143" s="1">
        <v>45769</v>
      </c>
      <c r="D1143" s="3">
        <v>0.7658449074074074</v>
      </c>
      <c r="E1143">
        <f t="shared" si="153"/>
        <v>18</v>
      </c>
      <c r="F1143">
        <v>27</v>
      </c>
      <c r="G1143" t="s">
        <v>46</v>
      </c>
      <c r="H1143" t="s">
        <v>167</v>
      </c>
      <c r="I1143" t="s">
        <v>110</v>
      </c>
      <c r="J1143" t="s">
        <v>31</v>
      </c>
      <c r="K1143" t="s">
        <v>22</v>
      </c>
      <c r="L1143">
        <v>165.13</v>
      </c>
      <c r="M1143" t="s">
        <v>115</v>
      </c>
      <c r="N1143">
        <f t="shared" si="154"/>
        <v>0</v>
      </c>
      <c r="O1143" t="s">
        <v>86</v>
      </c>
      <c r="P1143" t="s">
        <v>4456</v>
      </c>
      <c r="Q1143">
        <v>0</v>
      </c>
      <c r="R1143">
        <v>375</v>
      </c>
      <c r="S1143">
        <f t="shared" si="155"/>
        <v>-0.13129998237196355</v>
      </c>
      <c r="T1143">
        <f t="shared" si="156"/>
        <v>0</v>
      </c>
      <c r="U1143">
        <f t="shared" si="157"/>
        <v>0</v>
      </c>
      <c r="V1143">
        <f t="shared" si="158"/>
        <v>0</v>
      </c>
      <c r="W1143">
        <f t="shared" si="159"/>
        <v>0</v>
      </c>
      <c r="X1143">
        <f t="shared" si="160"/>
        <v>0</v>
      </c>
      <c r="Y1143">
        <f t="shared" si="161"/>
        <v>0</v>
      </c>
    </row>
    <row r="1144" spans="1:25" x14ac:dyDescent="0.3">
      <c r="A1144" t="s">
        <v>5720</v>
      </c>
      <c r="B1144" s="2" t="s">
        <v>5721</v>
      </c>
      <c r="C1144" s="1">
        <v>45860</v>
      </c>
      <c r="D1144" s="3">
        <v>0.86335648148148147</v>
      </c>
      <c r="E1144">
        <f t="shared" si="153"/>
        <v>20</v>
      </c>
      <c r="F1144">
        <v>58</v>
      </c>
      <c r="G1144" t="s">
        <v>6479</v>
      </c>
      <c r="H1144" t="s">
        <v>55</v>
      </c>
      <c r="I1144" t="s">
        <v>30</v>
      </c>
      <c r="J1144" t="s">
        <v>132</v>
      </c>
      <c r="K1144" t="s">
        <v>22</v>
      </c>
      <c r="L1144">
        <v>165.11</v>
      </c>
      <c r="M1144" t="s">
        <v>42</v>
      </c>
      <c r="N1144">
        <f t="shared" si="154"/>
        <v>0</v>
      </c>
      <c r="O1144" t="s">
        <v>86</v>
      </c>
      <c r="P1144" t="s">
        <v>5722</v>
      </c>
      <c r="Q1144">
        <v>0</v>
      </c>
      <c r="R1144">
        <v>196</v>
      </c>
      <c r="S1144">
        <f t="shared" si="155"/>
        <v>-0.13157686756148515</v>
      </c>
      <c r="T1144">
        <f t="shared" si="156"/>
        <v>0</v>
      </c>
      <c r="U1144">
        <f t="shared" si="157"/>
        <v>0</v>
      </c>
      <c r="V1144">
        <f t="shared" si="158"/>
        <v>1</v>
      </c>
      <c r="W1144">
        <f t="shared" si="159"/>
        <v>1</v>
      </c>
      <c r="X1144">
        <f t="shared" si="160"/>
        <v>0</v>
      </c>
      <c r="Y1144">
        <f t="shared" si="161"/>
        <v>0</v>
      </c>
    </row>
    <row r="1145" spans="1:25" x14ac:dyDescent="0.3">
      <c r="A1145" t="s">
        <v>1349</v>
      </c>
      <c r="B1145" t="s">
        <v>1350</v>
      </c>
      <c r="C1145" s="1">
        <v>45843</v>
      </c>
      <c r="D1145" s="3">
        <v>0.74809027777777781</v>
      </c>
      <c r="E1145">
        <f t="shared" si="153"/>
        <v>17</v>
      </c>
      <c r="F1145">
        <v>61</v>
      </c>
      <c r="G1145" t="s">
        <v>60</v>
      </c>
      <c r="H1145" t="s">
        <v>239</v>
      </c>
      <c r="I1145" t="s">
        <v>66</v>
      </c>
      <c r="J1145" t="s">
        <v>76</v>
      </c>
      <c r="K1145" t="s">
        <v>22</v>
      </c>
      <c r="L1145">
        <v>165.08</v>
      </c>
      <c r="M1145" t="s">
        <v>42</v>
      </c>
      <c r="N1145">
        <f t="shared" si="154"/>
        <v>0</v>
      </c>
      <c r="O1145" t="s">
        <v>34</v>
      </c>
      <c r="P1145" t="s">
        <v>1351</v>
      </c>
      <c r="Q1145">
        <v>0</v>
      </c>
      <c r="R1145">
        <v>495</v>
      </c>
      <c r="S1145">
        <f t="shared" si="155"/>
        <v>-0.13199219534576792</v>
      </c>
      <c r="T1145">
        <f t="shared" si="156"/>
        <v>0</v>
      </c>
      <c r="U1145">
        <f t="shared" si="157"/>
        <v>0</v>
      </c>
      <c r="V1145">
        <f t="shared" si="158"/>
        <v>0</v>
      </c>
      <c r="W1145">
        <f t="shared" si="159"/>
        <v>0</v>
      </c>
      <c r="X1145">
        <f t="shared" si="160"/>
        <v>0</v>
      </c>
      <c r="Y1145">
        <f t="shared" si="161"/>
        <v>0</v>
      </c>
    </row>
    <row r="1146" spans="1:25" x14ac:dyDescent="0.3">
      <c r="A1146" t="s">
        <v>482</v>
      </c>
      <c r="B1146" t="s">
        <v>483</v>
      </c>
      <c r="C1146" s="1">
        <v>45741</v>
      </c>
      <c r="D1146" s="3">
        <v>0.56445601851851857</v>
      </c>
      <c r="E1146">
        <f t="shared" si="153"/>
        <v>13</v>
      </c>
      <c r="F1146">
        <v>31</v>
      </c>
      <c r="G1146" t="s">
        <v>46</v>
      </c>
      <c r="H1146" t="s">
        <v>55</v>
      </c>
      <c r="I1146" t="s">
        <v>48</v>
      </c>
      <c r="J1146" t="s">
        <v>49</v>
      </c>
      <c r="K1146" t="s">
        <v>50</v>
      </c>
      <c r="L1146">
        <v>164.96</v>
      </c>
      <c r="M1146" t="s">
        <v>42</v>
      </c>
      <c r="N1146">
        <f t="shared" si="154"/>
        <v>0</v>
      </c>
      <c r="O1146" t="s">
        <v>34</v>
      </c>
      <c r="P1146" t="s">
        <v>484</v>
      </c>
      <c r="Q1146">
        <v>0</v>
      </c>
      <c r="R1146">
        <v>145</v>
      </c>
      <c r="S1146">
        <f t="shared" si="155"/>
        <v>-0.13365350648289909</v>
      </c>
      <c r="T1146">
        <f t="shared" si="156"/>
        <v>0</v>
      </c>
      <c r="U1146">
        <f t="shared" si="157"/>
        <v>0</v>
      </c>
      <c r="V1146">
        <f t="shared" si="158"/>
        <v>1</v>
      </c>
      <c r="W1146">
        <f t="shared" si="159"/>
        <v>1</v>
      </c>
      <c r="X1146">
        <f t="shared" si="160"/>
        <v>0</v>
      </c>
      <c r="Y1146">
        <f t="shared" si="161"/>
        <v>0</v>
      </c>
    </row>
    <row r="1147" spans="1:25" x14ac:dyDescent="0.3">
      <c r="A1147" t="s">
        <v>710</v>
      </c>
      <c r="B1147" t="s">
        <v>711</v>
      </c>
      <c r="C1147" s="1">
        <v>45804</v>
      </c>
      <c r="D1147" s="3">
        <v>0.48906250000000001</v>
      </c>
      <c r="E1147">
        <f t="shared" si="153"/>
        <v>11</v>
      </c>
      <c r="F1147">
        <v>40</v>
      </c>
      <c r="G1147" t="s">
        <v>18</v>
      </c>
      <c r="H1147" t="s">
        <v>185</v>
      </c>
      <c r="I1147" t="s">
        <v>39</v>
      </c>
      <c r="J1147" t="s">
        <v>127</v>
      </c>
      <c r="K1147" t="s">
        <v>50</v>
      </c>
      <c r="L1147">
        <v>164.7</v>
      </c>
      <c r="M1147" t="s">
        <v>23</v>
      </c>
      <c r="N1147">
        <f t="shared" si="154"/>
        <v>0</v>
      </c>
      <c r="O1147" t="s">
        <v>51</v>
      </c>
      <c r="P1147" t="s">
        <v>712</v>
      </c>
      <c r="Q1147">
        <v>0</v>
      </c>
      <c r="R1147">
        <v>232</v>
      </c>
      <c r="S1147">
        <f t="shared" si="155"/>
        <v>-0.13725301394668338</v>
      </c>
      <c r="T1147">
        <f t="shared" si="156"/>
        <v>0</v>
      </c>
      <c r="U1147">
        <f t="shared" si="157"/>
        <v>0</v>
      </c>
      <c r="V1147">
        <f t="shared" si="158"/>
        <v>1</v>
      </c>
      <c r="W1147">
        <f t="shared" si="159"/>
        <v>1</v>
      </c>
      <c r="X1147">
        <f t="shared" si="160"/>
        <v>0</v>
      </c>
      <c r="Y1147">
        <f t="shared" si="161"/>
        <v>0</v>
      </c>
    </row>
    <row r="1148" spans="1:25" x14ac:dyDescent="0.3">
      <c r="A1148" t="s">
        <v>3986</v>
      </c>
      <c r="B1148" t="s">
        <v>3987</v>
      </c>
      <c r="C1148" s="1">
        <v>45862</v>
      </c>
      <c r="D1148" s="3">
        <v>0.60028935185185184</v>
      </c>
      <c r="E1148">
        <f t="shared" si="153"/>
        <v>14</v>
      </c>
      <c r="F1148">
        <v>31</v>
      </c>
      <c r="G1148" t="s">
        <v>46</v>
      </c>
      <c r="H1148" t="s">
        <v>55</v>
      </c>
      <c r="I1148" t="s">
        <v>105</v>
      </c>
      <c r="J1148" t="s">
        <v>72</v>
      </c>
      <c r="K1148" t="s">
        <v>22</v>
      </c>
      <c r="L1148">
        <v>164.67</v>
      </c>
      <c r="M1148" t="s">
        <v>115</v>
      </c>
      <c r="N1148">
        <f t="shared" si="154"/>
        <v>0</v>
      </c>
      <c r="O1148" t="s">
        <v>34</v>
      </c>
      <c r="P1148" t="s">
        <v>3988</v>
      </c>
      <c r="Q1148">
        <v>0</v>
      </c>
      <c r="R1148">
        <v>460</v>
      </c>
      <c r="S1148">
        <f t="shared" si="155"/>
        <v>-0.13766834173096618</v>
      </c>
      <c r="T1148">
        <f t="shared" si="156"/>
        <v>0</v>
      </c>
      <c r="U1148">
        <f t="shared" si="157"/>
        <v>0</v>
      </c>
      <c r="V1148">
        <f t="shared" si="158"/>
        <v>0</v>
      </c>
      <c r="W1148">
        <f t="shared" si="159"/>
        <v>0</v>
      </c>
      <c r="X1148">
        <f t="shared" si="160"/>
        <v>0</v>
      </c>
      <c r="Y1148">
        <f t="shared" si="161"/>
        <v>0</v>
      </c>
    </row>
    <row r="1149" spans="1:25" x14ac:dyDescent="0.3">
      <c r="A1149" t="s">
        <v>3263</v>
      </c>
      <c r="B1149" t="s">
        <v>3264</v>
      </c>
      <c r="C1149" s="1">
        <v>45711</v>
      </c>
      <c r="D1149" s="3">
        <v>0.14149305555555555</v>
      </c>
      <c r="E1149">
        <f t="shared" si="153"/>
        <v>3</v>
      </c>
      <c r="F1149">
        <v>36</v>
      </c>
      <c r="G1149" t="s">
        <v>18</v>
      </c>
      <c r="H1149" t="s">
        <v>90</v>
      </c>
      <c r="I1149" t="s">
        <v>71</v>
      </c>
      <c r="J1149" t="s">
        <v>49</v>
      </c>
      <c r="K1149" t="s">
        <v>95</v>
      </c>
      <c r="L1149">
        <v>164.65</v>
      </c>
      <c r="M1149" t="s">
        <v>115</v>
      </c>
      <c r="N1149">
        <f t="shared" si="154"/>
        <v>0</v>
      </c>
      <c r="O1149" t="s">
        <v>51</v>
      </c>
      <c r="P1149" t="s">
        <v>3265</v>
      </c>
      <c r="Q1149">
        <v>0</v>
      </c>
      <c r="R1149">
        <v>360</v>
      </c>
      <c r="S1149">
        <f t="shared" si="155"/>
        <v>-0.13794522692048777</v>
      </c>
      <c r="T1149">
        <f t="shared" si="156"/>
        <v>0</v>
      </c>
      <c r="U1149">
        <f t="shared" si="157"/>
        <v>1</v>
      </c>
      <c r="V1149">
        <f t="shared" si="158"/>
        <v>0</v>
      </c>
      <c r="W1149">
        <f t="shared" si="159"/>
        <v>2</v>
      </c>
      <c r="X1149">
        <f t="shared" si="160"/>
        <v>0</v>
      </c>
      <c r="Y1149">
        <f t="shared" si="161"/>
        <v>0</v>
      </c>
    </row>
    <row r="1150" spans="1:25" x14ac:dyDescent="0.3">
      <c r="A1150" t="s">
        <v>3644</v>
      </c>
      <c r="B1150" t="s">
        <v>3645</v>
      </c>
      <c r="C1150" s="1">
        <v>45868</v>
      </c>
      <c r="D1150" s="3">
        <v>0.43953703703703706</v>
      </c>
      <c r="E1150">
        <f t="shared" si="153"/>
        <v>10</v>
      </c>
      <c r="F1150">
        <v>63</v>
      </c>
      <c r="G1150" t="s">
        <v>60</v>
      </c>
      <c r="H1150" t="s">
        <v>239</v>
      </c>
      <c r="I1150" t="s">
        <v>30</v>
      </c>
      <c r="J1150" t="s">
        <v>56</v>
      </c>
      <c r="K1150" t="s">
        <v>114</v>
      </c>
      <c r="L1150">
        <v>164.59</v>
      </c>
      <c r="M1150" t="s">
        <v>42</v>
      </c>
      <c r="N1150">
        <f t="shared" si="154"/>
        <v>0</v>
      </c>
      <c r="O1150" t="s">
        <v>51</v>
      </c>
      <c r="P1150" t="s">
        <v>3646</v>
      </c>
      <c r="Q1150">
        <v>0</v>
      </c>
      <c r="R1150">
        <v>95</v>
      </c>
      <c r="S1150">
        <f t="shared" si="155"/>
        <v>-0.13877588248905334</v>
      </c>
      <c r="T1150">
        <f t="shared" si="156"/>
        <v>0</v>
      </c>
      <c r="U1150">
        <f t="shared" si="157"/>
        <v>0</v>
      </c>
      <c r="V1150">
        <f t="shared" si="158"/>
        <v>1</v>
      </c>
      <c r="W1150">
        <f t="shared" si="159"/>
        <v>1</v>
      </c>
      <c r="X1150">
        <f t="shared" si="160"/>
        <v>0</v>
      </c>
      <c r="Y1150">
        <f t="shared" si="161"/>
        <v>0</v>
      </c>
    </row>
    <row r="1151" spans="1:25" x14ac:dyDescent="0.3">
      <c r="A1151" t="s">
        <v>4892</v>
      </c>
      <c r="B1151" t="s">
        <v>4893</v>
      </c>
      <c r="C1151" s="1">
        <v>45864</v>
      </c>
      <c r="D1151" s="3">
        <v>0.50423611111111111</v>
      </c>
      <c r="E1151">
        <f t="shared" si="153"/>
        <v>12</v>
      </c>
      <c r="F1151">
        <v>20</v>
      </c>
      <c r="G1151" t="s">
        <v>99</v>
      </c>
      <c r="H1151" t="s">
        <v>61</v>
      </c>
      <c r="I1151" t="s">
        <v>85</v>
      </c>
      <c r="J1151" t="s">
        <v>76</v>
      </c>
      <c r="K1151" t="s">
        <v>22</v>
      </c>
      <c r="L1151">
        <v>164.52</v>
      </c>
      <c r="M1151" t="s">
        <v>33</v>
      </c>
      <c r="N1151">
        <f t="shared" si="154"/>
        <v>0</v>
      </c>
      <c r="O1151" t="s">
        <v>51</v>
      </c>
      <c r="P1151" t="s">
        <v>4894</v>
      </c>
      <c r="Q1151">
        <v>0</v>
      </c>
      <c r="R1151">
        <v>439</v>
      </c>
      <c r="S1151">
        <f t="shared" si="155"/>
        <v>-0.13974498065237972</v>
      </c>
      <c r="T1151">
        <f t="shared" si="156"/>
        <v>0</v>
      </c>
      <c r="U1151">
        <f t="shared" si="157"/>
        <v>0</v>
      </c>
      <c r="V1151">
        <f t="shared" si="158"/>
        <v>0</v>
      </c>
      <c r="W1151">
        <f t="shared" si="159"/>
        <v>0</v>
      </c>
      <c r="X1151">
        <f t="shared" si="160"/>
        <v>0</v>
      </c>
      <c r="Y1151">
        <f t="shared" si="161"/>
        <v>0</v>
      </c>
    </row>
    <row r="1152" spans="1:25" x14ac:dyDescent="0.3">
      <c r="A1152" t="s">
        <v>6218</v>
      </c>
      <c r="B1152" t="s">
        <v>6219</v>
      </c>
      <c r="C1152" s="1">
        <v>45880</v>
      </c>
      <c r="D1152" s="3">
        <v>0.43379629629629629</v>
      </c>
      <c r="E1152">
        <f t="shared" si="153"/>
        <v>10</v>
      </c>
      <c r="F1152">
        <v>64</v>
      </c>
      <c r="G1152" t="s">
        <v>28</v>
      </c>
      <c r="H1152" t="s">
        <v>29</v>
      </c>
      <c r="I1152" t="s">
        <v>110</v>
      </c>
      <c r="J1152" t="s">
        <v>94</v>
      </c>
      <c r="K1152" t="s">
        <v>32</v>
      </c>
      <c r="L1152">
        <v>164.46</v>
      </c>
      <c r="M1152" t="s">
        <v>33</v>
      </c>
      <c r="N1152">
        <f t="shared" si="154"/>
        <v>0</v>
      </c>
      <c r="O1152" t="s">
        <v>24</v>
      </c>
      <c r="P1152" t="s">
        <v>6220</v>
      </c>
      <c r="Q1152">
        <v>0</v>
      </c>
      <c r="R1152">
        <v>235</v>
      </c>
      <c r="S1152">
        <f t="shared" si="155"/>
        <v>-0.14057563622094532</v>
      </c>
      <c r="T1152">
        <f t="shared" si="156"/>
        <v>0</v>
      </c>
      <c r="U1152">
        <f t="shared" si="157"/>
        <v>0</v>
      </c>
      <c r="V1152">
        <f t="shared" si="158"/>
        <v>1</v>
      </c>
      <c r="W1152">
        <f t="shared" si="159"/>
        <v>1</v>
      </c>
      <c r="X1152">
        <f t="shared" si="160"/>
        <v>0</v>
      </c>
      <c r="Y1152">
        <f t="shared" si="161"/>
        <v>0</v>
      </c>
    </row>
    <row r="1153" spans="1:25" x14ac:dyDescent="0.3">
      <c r="A1153" t="s">
        <v>3740</v>
      </c>
      <c r="B1153" t="s">
        <v>3741</v>
      </c>
      <c r="C1153" s="1">
        <v>45793</v>
      </c>
      <c r="D1153" s="3">
        <v>0.70997685185185189</v>
      </c>
      <c r="E1153">
        <f t="shared" si="153"/>
        <v>17</v>
      </c>
      <c r="F1153">
        <v>50</v>
      </c>
      <c r="G1153" t="s">
        <v>46</v>
      </c>
      <c r="H1153" t="s">
        <v>185</v>
      </c>
      <c r="I1153" t="s">
        <v>48</v>
      </c>
      <c r="J1153" t="s">
        <v>132</v>
      </c>
      <c r="K1153" t="s">
        <v>41</v>
      </c>
      <c r="L1153">
        <v>163.98</v>
      </c>
      <c r="M1153" t="s">
        <v>115</v>
      </c>
      <c r="N1153">
        <f t="shared" si="154"/>
        <v>0</v>
      </c>
      <c r="O1153" t="s">
        <v>34</v>
      </c>
      <c r="P1153" t="s">
        <v>3742</v>
      </c>
      <c r="Q1153">
        <v>0</v>
      </c>
      <c r="R1153">
        <v>257</v>
      </c>
      <c r="S1153">
        <f t="shared" si="155"/>
        <v>-0.14722088076946993</v>
      </c>
      <c r="T1153">
        <f t="shared" si="156"/>
        <v>0</v>
      </c>
      <c r="U1153">
        <f t="shared" si="157"/>
        <v>0</v>
      </c>
      <c r="V1153">
        <f t="shared" si="158"/>
        <v>1</v>
      </c>
      <c r="W1153">
        <f t="shared" si="159"/>
        <v>1</v>
      </c>
      <c r="X1153">
        <f t="shared" si="160"/>
        <v>0</v>
      </c>
      <c r="Y1153">
        <f t="shared" si="161"/>
        <v>0</v>
      </c>
    </row>
    <row r="1154" spans="1:25" x14ac:dyDescent="0.3">
      <c r="A1154" t="s">
        <v>6203</v>
      </c>
      <c r="B1154" t="s">
        <v>6204</v>
      </c>
      <c r="C1154" s="1">
        <v>45788</v>
      </c>
      <c r="D1154" s="3">
        <v>0.88929398148148153</v>
      </c>
      <c r="E1154">
        <f t="shared" ref="E1154:E1217" si="162">HOUR(D1154)</f>
        <v>21</v>
      </c>
      <c r="F1154">
        <v>57</v>
      </c>
      <c r="G1154" t="s">
        <v>28</v>
      </c>
      <c r="H1154" t="s">
        <v>29</v>
      </c>
      <c r="I1154" t="s">
        <v>71</v>
      </c>
      <c r="J1154" t="s">
        <v>56</v>
      </c>
      <c r="K1154" t="s">
        <v>62</v>
      </c>
      <c r="L1154">
        <v>163.72999999999999</v>
      </c>
      <c r="M1154" t="s">
        <v>115</v>
      </c>
      <c r="N1154">
        <f t="shared" ref="N1154:N1217" si="163">IF(M1154="Unknown",1,0)</f>
        <v>0</v>
      </c>
      <c r="O1154" t="s">
        <v>34</v>
      </c>
      <c r="P1154" t="s">
        <v>6205</v>
      </c>
      <c r="Q1154">
        <v>0</v>
      </c>
      <c r="R1154">
        <v>330</v>
      </c>
      <c r="S1154">
        <f t="shared" ref="S1154:S1217" si="164">(L1154-$P$2137)/$P$2138</f>
        <v>-0.15068194563849305</v>
      </c>
      <c r="T1154">
        <f t="shared" ref="T1154:T1217" si="165">IF(ABS(Z1154)&gt;3,1,0)</f>
        <v>0</v>
      </c>
      <c r="U1154">
        <f t="shared" ref="U1154:U1217" si="166">IF(AND(E1154&gt;=0,E1154&lt;=5),1,0)</f>
        <v>0</v>
      </c>
      <c r="V1154">
        <f t="shared" ref="V1154:V1217" si="167">IF(R1154&lt;AVERAGE($R:$R),1,0)</f>
        <v>0</v>
      </c>
      <c r="W1154">
        <f t="shared" ref="W1154:W1217" si="168">T1154*3+U1154*2+V1154*1+N1154*2</f>
        <v>0</v>
      </c>
      <c r="X1154">
        <f t="shared" ref="X1154:X1217" si="169">IF(W1154&gt;=5,1,0)</f>
        <v>0</v>
      </c>
      <c r="Y1154">
        <f t="shared" ref="Y1154:Y1217" si="170">IF(M1154="Unknown",1,0)</f>
        <v>0</v>
      </c>
    </row>
    <row r="1155" spans="1:25" x14ac:dyDescent="0.3">
      <c r="A1155" t="s">
        <v>4379</v>
      </c>
      <c r="B1155" t="s">
        <v>4380</v>
      </c>
      <c r="C1155" s="1">
        <v>45755</v>
      </c>
      <c r="D1155" s="3">
        <v>0.55197916666666669</v>
      </c>
      <c r="E1155">
        <f t="shared" si="162"/>
        <v>13</v>
      </c>
      <c r="F1155">
        <v>19</v>
      </c>
      <c r="G1155" t="s">
        <v>46</v>
      </c>
      <c r="H1155" t="s">
        <v>167</v>
      </c>
      <c r="I1155" t="s">
        <v>85</v>
      </c>
      <c r="J1155" t="s">
        <v>21</v>
      </c>
      <c r="K1155" t="s">
        <v>168</v>
      </c>
      <c r="L1155">
        <v>163.6</v>
      </c>
      <c r="M1155" t="s">
        <v>42</v>
      </c>
      <c r="N1155">
        <f t="shared" si="163"/>
        <v>0</v>
      </c>
      <c r="O1155" t="s">
        <v>34</v>
      </c>
      <c r="P1155" t="s">
        <v>4381</v>
      </c>
      <c r="Q1155">
        <v>0</v>
      </c>
      <c r="R1155">
        <v>387</v>
      </c>
      <c r="S1155">
        <f t="shared" si="164"/>
        <v>-0.152481699370385</v>
      </c>
      <c r="T1155">
        <f t="shared" si="165"/>
        <v>0</v>
      </c>
      <c r="U1155">
        <f t="shared" si="166"/>
        <v>0</v>
      </c>
      <c r="V1155">
        <f t="shared" si="167"/>
        <v>0</v>
      </c>
      <c r="W1155">
        <f t="shared" si="168"/>
        <v>0</v>
      </c>
      <c r="X1155">
        <f t="shared" si="169"/>
        <v>0</v>
      </c>
      <c r="Y1155">
        <f t="shared" si="170"/>
        <v>0</v>
      </c>
    </row>
    <row r="1156" spans="1:25" x14ac:dyDescent="0.3">
      <c r="A1156" t="s">
        <v>6176</v>
      </c>
      <c r="B1156" t="s">
        <v>6177</v>
      </c>
      <c r="C1156" s="1">
        <v>45870</v>
      </c>
      <c r="D1156" s="3">
        <v>0.66562500000000002</v>
      </c>
      <c r="E1156">
        <f t="shared" si="162"/>
        <v>15</v>
      </c>
      <c r="F1156">
        <v>23</v>
      </c>
      <c r="G1156" t="s">
        <v>28</v>
      </c>
      <c r="H1156" t="s">
        <v>189</v>
      </c>
      <c r="I1156" t="s">
        <v>71</v>
      </c>
      <c r="J1156" t="s">
        <v>49</v>
      </c>
      <c r="K1156" t="s">
        <v>95</v>
      </c>
      <c r="L1156">
        <v>163.47999999999999</v>
      </c>
      <c r="M1156" t="s">
        <v>33</v>
      </c>
      <c r="N1156">
        <f t="shared" si="163"/>
        <v>0</v>
      </c>
      <c r="O1156" t="s">
        <v>34</v>
      </c>
      <c r="P1156" t="s">
        <v>6178</v>
      </c>
      <c r="Q1156">
        <v>0</v>
      </c>
      <c r="R1156">
        <v>485</v>
      </c>
      <c r="S1156">
        <f t="shared" si="164"/>
        <v>-0.15414301050751616</v>
      </c>
      <c r="T1156">
        <f t="shared" si="165"/>
        <v>0</v>
      </c>
      <c r="U1156">
        <f t="shared" si="166"/>
        <v>0</v>
      </c>
      <c r="V1156">
        <f t="shared" si="167"/>
        <v>0</v>
      </c>
      <c r="W1156">
        <f t="shared" si="168"/>
        <v>0</v>
      </c>
      <c r="X1156">
        <f t="shared" si="169"/>
        <v>0</v>
      </c>
      <c r="Y1156">
        <f t="shared" si="170"/>
        <v>0</v>
      </c>
    </row>
    <row r="1157" spans="1:25" x14ac:dyDescent="0.3">
      <c r="A1157" t="s">
        <v>5201</v>
      </c>
      <c r="B1157" t="s">
        <v>5202</v>
      </c>
      <c r="C1157" s="1">
        <v>45836</v>
      </c>
      <c r="D1157" s="3">
        <v>0.93833333333333335</v>
      </c>
      <c r="E1157">
        <f t="shared" si="162"/>
        <v>22</v>
      </c>
      <c r="F1157">
        <v>53</v>
      </c>
      <c r="G1157" t="s">
        <v>60</v>
      </c>
      <c r="H1157" t="s">
        <v>29</v>
      </c>
      <c r="I1157" t="s">
        <v>105</v>
      </c>
      <c r="J1157" t="s">
        <v>72</v>
      </c>
      <c r="K1157" t="s">
        <v>120</v>
      </c>
      <c r="L1157">
        <v>163.29</v>
      </c>
      <c r="M1157" t="s">
        <v>23</v>
      </c>
      <c r="N1157">
        <f t="shared" si="163"/>
        <v>0</v>
      </c>
      <c r="O1157" t="s">
        <v>86</v>
      </c>
      <c r="P1157" t="s">
        <v>5203</v>
      </c>
      <c r="Q1157">
        <v>0</v>
      </c>
      <c r="R1157">
        <v>162</v>
      </c>
      <c r="S1157">
        <f t="shared" si="164"/>
        <v>-0.15677341980797371</v>
      </c>
      <c r="T1157">
        <f t="shared" si="165"/>
        <v>0</v>
      </c>
      <c r="U1157">
        <f t="shared" si="166"/>
        <v>0</v>
      </c>
      <c r="V1157">
        <f t="shared" si="167"/>
        <v>1</v>
      </c>
      <c r="W1157">
        <f t="shared" si="168"/>
        <v>1</v>
      </c>
      <c r="X1157">
        <f t="shared" si="169"/>
        <v>0</v>
      </c>
      <c r="Y1157">
        <f t="shared" si="170"/>
        <v>0</v>
      </c>
    </row>
    <row r="1158" spans="1:25" x14ac:dyDescent="0.3">
      <c r="A1158" t="s">
        <v>5192</v>
      </c>
      <c r="B1158" t="s">
        <v>5193</v>
      </c>
      <c r="C1158" s="1">
        <v>45813</v>
      </c>
      <c r="D1158" s="3">
        <v>0.37293981481481481</v>
      </c>
      <c r="E1158">
        <f t="shared" si="162"/>
        <v>8</v>
      </c>
      <c r="F1158">
        <v>56</v>
      </c>
      <c r="G1158" t="s">
        <v>18</v>
      </c>
      <c r="H1158" t="s">
        <v>100</v>
      </c>
      <c r="I1158" t="s">
        <v>110</v>
      </c>
      <c r="J1158" t="s">
        <v>31</v>
      </c>
      <c r="K1158" t="s">
        <v>41</v>
      </c>
      <c r="L1158">
        <v>163.05000000000001</v>
      </c>
      <c r="M1158" t="s">
        <v>23</v>
      </c>
      <c r="N1158">
        <f t="shared" si="163"/>
        <v>0</v>
      </c>
      <c r="O1158" t="s">
        <v>86</v>
      </c>
      <c r="P1158" t="s">
        <v>5194</v>
      </c>
      <c r="Q1158">
        <v>0</v>
      </c>
      <c r="R1158">
        <v>149</v>
      </c>
      <c r="S1158">
        <f t="shared" si="164"/>
        <v>-0.16009604208223563</v>
      </c>
      <c r="T1158">
        <f t="shared" si="165"/>
        <v>0</v>
      </c>
      <c r="U1158">
        <f t="shared" si="166"/>
        <v>0</v>
      </c>
      <c r="V1158">
        <f t="shared" si="167"/>
        <v>1</v>
      </c>
      <c r="W1158">
        <f t="shared" si="168"/>
        <v>1</v>
      </c>
      <c r="X1158">
        <f t="shared" si="169"/>
        <v>0</v>
      </c>
      <c r="Y1158">
        <f t="shared" si="170"/>
        <v>0</v>
      </c>
    </row>
    <row r="1159" spans="1:25" x14ac:dyDescent="0.3">
      <c r="A1159" t="s">
        <v>3389</v>
      </c>
      <c r="B1159" t="s">
        <v>3390</v>
      </c>
      <c r="C1159" s="1">
        <v>45725</v>
      </c>
      <c r="D1159" s="3">
        <v>0.19630787037037037</v>
      </c>
      <c r="E1159">
        <f t="shared" si="162"/>
        <v>4</v>
      </c>
      <c r="F1159">
        <v>53</v>
      </c>
      <c r="G1159" t="s">
        <v>46</v>
      </c>
      <c r="H1159" t="s">
        <v>55</v>
      </c>
      <c r="I1159" t="s">
        <v>39</v>
      </c>
      <c r="J1159" t="s">
        <v>49</v>
      </c>
      <c r="K1159" t="s">
        <v>101</v>
      </c>
      <c r="L1159">
        <v>163.01</v>
      </c>
      <c r="M1159" t="s">
        <v>115</v>
      </c>
      <c r="N1159">
        <f t="shared" si="163"/>
        <v>0</v>
      </c>
      <c r="O1159" t="s">
        <v>86</v>
      </c>
      <c r="P1159" t="s">
        <v>3391</v>
      </c>
      <c r="Q1159">
        <v>0</v>
      </c>
      <c r="R1159">
        <v>340</v>
      </c>
      <c r="S1159">
        <f t="shared" si="164"/>
        <v>-0.1606498124612796</v>
      </c>
      <c r="T1159">
        <f t="shared" si="165"/>
        <v>0</v>
      </c>
      <c r="U1159">
        <f t="shared" si="166"/>
        <v>1</v>
      </c>
      <c r="V1159">
        <f t="shared" si="167"/>
        <v>0</v>
      </c>
      <c r="W1159">
        <f t="shared" si="168"/>
        <v>2</v>
      </c>
      <c r="X1159">
        <f t="shared" si="169"/>
        <v>0</v>
      </c>
      <c r="Y1159">
        <f t="shared" si="170"/>
        <v>0</v>
      </c>
    </row>
    <row r="1160" spans="1:25" x14ac:dyDescent="0.3">
      <c r="A1160" t="s">
        <v>5921</v>
      </c>
      <c r="B1160" t="s">
        <v>5922</v>
      </c>
      <c r="C1160" s="1">
        <v>45762</v>
      </c>
      <c r="D1160" s="3">
        <v>0.58415509259259257</v>
      </c>
      <c r="E1160">
        <f t="shared" si="162"/>
        <v>14</v>
      </c>
      <c r="F1160">
        <v>40</v>
      </c>
      <c r="G1160" t="s">
        <v>46</v>
      </c>
      <c r="H1160" t="s">
        <v>47</v>
      </c>
      <c r="I1160" t="s">
        <v>119</v>
      </c>
      <c r="J1160" t="s">
        <v>72</v>
      </c>
      <c r="K1160" t="s">
        <v>168</v>
      </c>
      <c r="L1160">
        <v>162.93</v>
      </c>
      <c r="M1160" t="s">
        <v>115</v>
      </c>
      <c r="N1160">
        <f t="shared" si="163"/>
        <v>0</v>
      </c>
      <c r="O1160" t="s">
        <v>24</v>
      </c>
      <c r="P1160" t="s">
        <v>5923</v>
      </c>
      <c r="Q1160">
        <v>0</v>
      </c>
      <c r="R1160">
        <v>349</v>
      </c>
      <c r="S1160">
        <f t="shared" si="164"/>
        <v>-0.1617573532193668</v>
      </c>
      <c r="T1160">
        <f t="shared" si="165"/>
        <v>0</v>
      </c>
      <c r="U1160">
        <f t="shared" si="166"/>
        <v>0</v>
      </c>
      <c r="V1160">
        <f t="shared" si="167"/>
        <v>0</v>
      </c>
      <c r="W1160">
        <f t="shared" si="168"/>
        <v>0</v>
      </c>
      <c r="X1160">
        <f t="shared" si="169"/>
        <v>0</v>
      </c>
      <c r="Y1160">
        <f t="shared" si="170"/>
        <v>0</v>
      </c>
    </row>
    <row r="1161" spans="1:25" x14ac:dyDescent="0.3">
      <c r="A1161" t="s">
        <v>4544</v>
      </c>
      <c r="B1161" t="s">
        <v>4545</v>
      </c>
      <c r="C1161" s="1">
        <v>45827</v>
      </c>
      <c r="D1161" s="3">
        <v>0.51576388888888891</v>
      </c>
      <c r="E1161">
        <f t="shared" si="162"/>
        <v>12</v>
      </c>
      <c r="F1161">
        <v>40</v>
      </c>
      <c r="G1161" t="s">
        <v>46</v>
      </c>
      <c r="H1161" t="s">
        <v>175</v>
      </c>
      <c r="I1161" t="s">
        <v>105</v>
      </c>
      <c r="J1161" t="s">
        <v>127</v>
      </c>
      <c r="K1161" t="s">
        <v>101</v>
      </c>
      <c r="L1161">
        <v>162.61000000000001</v>
      </c>
      <c r="M1161" t="s">
        <v>115</v>
      </c>
      <c r="N1161">
        <f t="shared" si="163"/>
        <v>0</v>
      </c>
      <c r="O1161" t="s">
        <v>34</v>
      </c>
      <c r="P1161" t="s">
        <v>4546</v>
      </c>
      <c r="Q1161">
        <v>0</v>
      </c>
      <c r="R1161">
        <v>280</v>
      </c>
      <c r="S1161">
        <f t="shared" si="164"/>
        <v>-0.16618751625171627</v>
      </c>
      <c r="T1161">
        <f t="shared" si="165"/>
        <v>0</v>
      </c>
      <c r="U1161">
        <f t="shared" si="166"/>
        <v>0</v>
      </c>
      <c r="V1161">
        <f t="shared" si="167"/>
        <v>0</v>
      </c>
      <c r="W1161">
        <f t="shared" si="168"/>
        <v>0</v>
      </c>
      <c r="X1161">
        <f t="shared" si="169"/>
        <v>0</v>
      </c>
      <c r="Y1161">
        <f t="shared" si="170"/>
        <v>0</v>
      </c>
    </row>
    <row r="1162" spans="1:25" x14ac:dyDescent="0.3">
      <c r="A1162" t="s">
        <v>3653</v>
      </c>
      <c r="B1162" t="s">
        <v>3654</v>
      </c>
      <c r="C1162" s="1">
        <v>45874</v>
      </c>
      <c r="D1162" s="3">
        <v>0.35093750000000001</v>
      </c>
      <c r="E1162">
        <f t="shared" si="162"/>
        <v>8</v>
      </c>
      <c r="F1162">
        <v>18</v>
      </c>
      <c r="G1162" t="s">
        <v>6479</v>
      </c>
      <c r="H1162" t="s">
        <v>80</v>
      </c>
      <c r="I1162" t="s">
        <v>30</v>
      </c>
      <c r="J1162" t="s">
        <v>49</v>
      </c>
      <c r="K1162" t="s">
        <v>120</v>
      </c>
      <c r="L1162">
        <v>162.51</v>
      </c>
      <c r="M1162" t="s">
        <v>115</v>
      </c>
      <c r="N1162">
        <f t="shared" si="163"/>
        <v>0</v>
      </c>
      <c r="O1162" t="s">
        <v>51</v>
      </c>
      <c r="P1162" t="s">
        <v>3655</v>
      </c>
      <c r="Q1162">
        <v>0</v>
      </c>
      <c r="R1162">
        <v>133</v>
      </c>
      <c r="S1162">
        <f t="shared" si="164"/>
        <v>-0.16757194219932584</v>
      </c>
      <c r="T1162">
        <f t="shared" si="165"/>
        <v>0</v>
      </c>
      <c r="U1162">
        <f t="shared" si="166"/>
        <v>0</v>
      </c>
      <c r="V1162">
        <f t="shared" si="167"/>
        <v>1</v>
      </c>
      <c r="W1162">
        <f t="shared" si="168"/>
        <v>1</v>
      </c>
      <c r="X1162">
        <f t="shared" si="169"/>
        <v>0</v>
      </c>
      <c r="Y1162">
        <f t="shared" si="170"/>
        <v>0</v>
      </c>
    </row>
    <row r="1163" spans="1:25" x14ac:dyDescent="0.3">
      <c r="A1163" t="s">
        <v>4151</v>
      </c>
      <c r="B1163" t="s">
        <v>4152</v>
      </c>
      <c r="C1163" s="1">
        <v>45708</v>
      </c>
      <c r="D1163" s="3">
        <v>0.33181712962962961</v>
      </c>
      <c r="E1163">
        <f t="shared" si="162"/>
        <v>7</v>
      </c>
      <c r="F1163">
        <v>39</v>
      </c>
      <c r="G1163" t="s">
        <v>18</v>
      </c>
      <c r="H1163" t="s">
        <v>232</v>
      </c>
      <c r="I1163" t="s">
        <v>105</v>
      </c>
      <c r="J1163" t="s">
        <v>132</v>
      </c>
      <c r="K1163" t="s">
        <v>41</v>
      </c>
      <c r="L1163">
        <v>162.4</v>
      </c>
      <c r="M1163" t="s">
        <v>23</v>
      </c>
      <c r="N1163">
        <f t="shared" si="163"/>
        <v>0</v>
      </c>
      <c r="O1163" t="s">
        <v>24</v>
      </c>
      <c r="P1163" t="s">
        <v>4153</v>
      </c>
      <c r="Q1163">
        <v>0</v>
      </c>
      <c r="R1163">
        <v>433</v>
      </c>
      <c r="S1163">
        <f t="shared" si="164"/>
        <v>-0.1690948107416958</v>
      </c>
      <c r="T1163">
        <f t="shared" si="165"/>
        <v>0</v>
      </c>
      <c r="U1163">
        <f t="shared" si="166"/>
        <v>0</v>
      </c>
      <c r="V1163">
        <f t="shared" si="167"/>
        <v>0</v>
      </c>
      <c r="W1163">
        <f t="shared" si="168"/>
        <v>0</v>
      </c>
      <c r="X1163">
        <f t="shared" si="169"/>
        <v>0</v>
      </c>
      <c r="Y1163">
        <f t="shared" si="170"/>
        <v>0</v>
      </c>
    </row>
    <row r="1164" spans="1:25" x14ac:dyDescent="0.3">
      <c r="A1164" t="s">
        <v>1934</v>
      </c>
      <c r="B1164" t="s">
        <v>1935</v>
      </c>
      <c r="C1164" s="1">
        <v>45872</v>
      </c>
      <c r="D1164" s="3">
        <v>0.18390046296296297</v>
      </c>
      <c r="E1164">
        <f t="shared" si="162"/>
        <v>4</v>
      </c>
      <c r="F1164">
        <v>34</v>
      </c>
      <c r="G1164" t="s">
        <v>46</v>
      </c>
      <c r="H1164" t="s">
        <v>189</v>
      </c>
      <c r="I1164" t="s">
        <v>66</v>
      </c>
      <c r="J1164" t="s">
        <v>76</v>
      </c>
      <c r="K1164" t="s">
        <v>120</v>
      </c>
      <c r="L1164">
        <v>162.34</v>
      </c>
      <c r="M1164" t="s">
        <v>42</v>
      </c>
      <c r="N1164">
        <f t="shared" si="163"/>
        <v>0</v>
      </c>
      <c r="O1164" t="s">
        <v>86</v>
      </c>
      <c r="P1164" t="s">
        <v>1936</v>
      </c>
      <c r="Q1164">
        <v>0</v>
      </c>
      <c r="R1164">
        <v>363</v>
      </c>
      <c r="S1164">
        <f t="shared" si="164"/>
        <v>-0.16992546631026137</v>
      </c>
      <c r="T1164">
        <f t="shared" si="165"/>
        <v>0</v>
      </c>
      <c r="U1164">
        <f t="shared" si="166"/>
        <v>1</v>
      </c>
      <c r="V1164">
        <f t="shared" si="167"/>
        <v>0</v>
      </c>
      <c r="W1164">
        <f t="shared" si="168"/>
        <v>2</v>
      </c>
      <c r="X1164">
        <f t="shared" si="169"/>
        <v>0</v>
      </c>
      <c r="Y1164">
        <f t="shared" si="170"/>
        <v>0</v>
      </c>
    </row>
    <row r="1165" spans="1:25" x14ac:dyDescent="0.3">
      <c r="A1165" t="s">
        <v>1328</v>
      </c>
      <c r="B1165" t="s">
        <v>1329</v>
      </c>
      <c r="C1165" s="1">
        <v>45702</v>
      </c>
      <c r="D1165" s="3">
        <v>0.68479166666666669</v>
      </c>
      <c r="E1165">
        <f t="shared" si="162"/>
        <v>16</v>
      </c>
      <c r="F1165">
        <v>23</v>
      </c>
      <c r="G1165" t="s">
        <v>46</v>
      </c>
      <c r="H1165" t="s">
        <v>232</v>
      </c>
      <c r="I1165" t="s">
        <v>105</v>
      </c>
      <c r="J1165" t="s">
        <v>40</v>
      </c>
      <c r="K1165" t="s">
        <v>168</v>
      </c>
      <c r="L1165">
        <v>162.32</v>
      </c>
      <c r="M1165" t="s">
        <v>23</v>
      </c>
      <c r="N1165">
        <f t="shared" si="163"/>
        <v>0</v>
      </c>
      <c r="O1165" t="s">
        <v>86</v>
      </c>
      <c r="P1165" t="s">
        <v>1330</v>
      </c>
      <c r="Q1165">
        <v>0</v>
      </c>
      <c r="R1165">
        <v>493</v>
      </c>
      <c r="S1165">
        <f t="shared" si="164"/>
        <v>-0.17020235149978338</v>
      </c>
      <c r="T1165">
        <f t="shared" si="165"/>
        <v>0</v>
      </c>
      <c r="U1165">
        <f t="shared" si="166"/>
        <v>0</v>
      </c>
      <c r="V1165">
        <f t="shared" si="167"/>
        <v>0</v>
      </c>
      <c r="W1165">
        <f t="shared" si="168"/>
        <v>0</v>
      </c>
      <c r="X1165">
        <f t="shared" si="169"/>
        <v>0</v>
      </c>
      <c r="Y1165">
        <f t="shared" si="170"/>
        <v>0</v>
      </c>
    </row>
    <row r="1166" spans="1:25" x14ac:dyDescent="0.3">
      <c r="A1166" t="s">
        <v>494</v>
      </c>
      <c r="B1166" t="s">
        <v>495</v>
      </c>
      <c r="C1166" s="1">
        <v>45810</v>
      </c>
      <c r="D1166" s="3">
        <v>0.27453703703703702</v>
      </c>
      <c r="E1166">
        <f t="shared" si="162"/>
        <v>6</v>
      </c>
      <c r="F1166" s="4">
        <v>41</v>
      </c>
      <c r="G1166" t="s">
        <v>60</v>
      </c>
      <c r="H1166" t="s">
        <v>84</v>
      </c>
      <c r="I1166" t="s">
        <v>39</v>
      </c>
      <c r="J1166" t="s">
        <v>132</v>
      </c>
      <c r="K1166" t="s">
        <v>41</v>
      </c>
      <c r="L1166">
        <v>162.31</v>
      </c>
      <c r="M1166" t="s">
        <v>33</v>
      </c>
      <c r="N1166">
        <f t="shared" si="163"/>
        <v>0</v>
      </c>
      <c r="O1166" t="s">
        <v>34</v>
      </c>
      <c r="P1166" t="s">
        <v>496</v>
      </c>
      <c r="Q1166">
        <v>0</v>
      </c>
      <c r="R1166">
        <v>131</v>
      </c>
      <c r="S1166">
        <f t="shared" si="164"/>
        <v>-0.17034079409454417</v>
      </c>
      <c r="T1166">
        <f t="shared" si="165"/>
        <v>0</v>
      </c>
      <c r="U1166">
        <f t="shared" si="166"/>
        <v>0</v>
      </c>
      <c r="V1166">
        <f t="shared" si="167"/>
        <v>1</v>
      </c>
      <c r="W1166">
        <f t="shared" si="168"/>
        <v>1</v>
      </c>
      <c r="X1166">
        <f t="shared" si="169"/>
        <v>0</v>
      </c>
      <c r="Y1166">
        <f t="shared" si="170"/>
        <v>0</v>
      </c>
    </row>
    <row r="1167" spans="1:25" x14ac:dyDescent="0.3">
      <c r="A1167" t="s">
        <v>3056</v>
      </c>
      <c r="B1167" t="s">
        <v>3057</v>
      </c>
      <c r="C1167" s="1">
        <v>45867</v>
      </c>
      <c r="D1167" s="3">
        <v>0.95672453703703708</v>
      </c>
      <c r="E1167">
        <f t="shared" si="162"/>
        <v>22</v>
      </c>
      <c r="F1167">
        <v>62</v>
      </c>
      <c r="G1167" t="s">
        <v>60</v>
      </c>
      <c r="H1167" t="s">
        <v>175</v>
      </c>
      <c r="I1167" t="s">
        <v>85</v>
      </c>
      <c r="J1167" t="s">
        <v>49</v>
      </c>
      <c r="K1167" t="s">
        <v>62</v>
      </c>
      <c r="L1167">
        <v>162.24</v>
      </c>
      <c r="M1167" t="s">
        <v>115</v>
      </c>
      <c r="N1167">
        <f t="shared" si="163"/>
        <v>0</v>
      </c>
      <c r="O1167" t="s">
        <v>86</v>
      </c>
      <c r="P1167" t="s">
        <v>3058</v>
      </c>
      <c r="Q1167">
        <v>0</v>
      </c>
      <c r="R1167">
        <v>444</v>
      </c>
      <c r="S1167">
        <f t="shared" si="164"/>
        <v>-0.17130989225787055</v>
      </c>
      <c r="T1167">
        <f t="shared" si="165"/>
        <v>0</v>
      </c>
      <c r="U1167">
        <f t="shared" si="166"/>
        <v>0</v>
      </c>
      <c r="V1167">
        <f t="shared" si="167"/>
        <v>0</v>
      </c>
      <c r="W1167">
        <f t="shared" si="168"/>
        <v>0</v>
      </c>
      <c r="X1167">
        <f t="shared" si="169"/>
        <v>0</v>
      </c>
      <c r="Y1167">
        <f t="shared" si="170"/>
        <v>0</v>
      </c>
    </row>
    <row r="1168" spans="1:25" x14ac:dyDescent="0.3">
      <c r="A1168" t="s">
        <v>2963</v>
      </c>
      <c r="B1168" t="s">
        <v>2964</v>
      </c>
      <c r="C1168" s="1">
        <v>45742</v>
      </c>
      <c r="D1168" s="3">
        <v>0.15487268518518518</v>
      </c>
      <c r="E1168">
        <f t="shared" si="162"/>
        <v>3</v>
      </c>
      <c r="F1168">
        <v>23</v>
      </c>
      <c r="G1168" t="s">
        <v>18</v>
      </c>
      <c r="H1168" t="s">
        <v>84</v>
      </c>
      <c r="I1168" t="s">
        <v>30</v>
      </c>
      <c r="J1168" t="s">
        <v>76</v>
      </c>
      <c r="K1168" t="s">
        <v>41</v>
      </c>
      <c r="L1168">
        <v>162.15</v>
      </c>
      <c r="M1168" t="s">
        <v>23</v>
      </c>
      <c r="N1168">
        <f t="shared" si="163"/>
        <v>0</v>
      </c>
      <c r="O1168" t="s">
        <v>34</v>
      </c>
      <c r="P1168" t="s">
        <v>2965</v>
      </c>
      <c r="Q1168">
        <v>0</v>
      </c>
      <c r="R1168">
        <v>365</v>
      </c>
      <c r="S1168">
        <f t="shared" si="164"/>
        <v>-0.17255587561071892</v>
      </c>
      <c r="T1168">
        <f t="shared" si="165"/>
        <v>0</v>
      </c>
      <c r="U1168">
        <f t="shared" si="166"/>
        <v>1</v>
      </c>
      <c r="V1168">
        <f t="shared" si="167"/>
        <v>0</v>
      </c>
      <c r="W1168">
        <f t="shared" si="168"/>
        <v>2</v>
      </c>
      <c r="X1168">
        <f t="shared" si="169"/>
        <v>0</v>
      </c>
      <c r="Y1168">
        <f t="shared" si="170"/>
        <v>0</v>
      </c>
    </row>
    <row r="1169" spans="1:25" x14ac:dyDescent="0.3">
      <c r="A1169" t="s">
        <v>4061</v>
      </c>
      <c r="B1169" s="2" t="s">
        <v>4062</v>
      </c>
      <c r="C1169" s="1">
        <v>45788</v>
      </c>
      <c r="D1169" s="3">
        <v>0.46437499999999998</v>
      </c>
      <c r="E1169">
        <f t="shared" si="162"/>
        <v>11</v>
      </c>
      <c r="F1169">
        <v>40</v>
      </c>
      <c r="G1169" t="s">
        <v>18</v>
      </c>
      <c r="H1169" t="s">
        <v>131</v>
      </c>
      <c r="I1169" t="s">
        <v>85</v>
      </c>
      <c r="J1169" t="s">
        <v>49</v>
      </c>
      <c r="K1169" t="s">
        <v>101</v>
      </c>
      <c r="L1169">
        <v>161.88</v>
      </c>
      <c r="M1169" t="s">
        <v>115</v>
      </c>
      <c r="N1169">
        <f t="shared" si="163"/>
        <v>0</v>
      </c>
      <c r="O1169" t="s">
        <v>34</v>
      </c>
      <c r="P1169" t="s">
        <v>4063</v>
      </c>
      <c r="Q1169">
        <v>0</v>
      </c>
      <c r="R1169">
        <v>67</v>
      </c>
      <c r="S1169">
        <f t="shared" si="164"/>
        <v>-0.17629382566926402</v>
      </c>
      <c r="T1169">
        <f t="shared" si="165"/>
        <v>0</v>
      </c>
      <c r="U1169">
        <f t="shared" si="166"/>
        <v>0</v>
      </c>
      <c r="V1169">
        <f t="shared" si="167"/>
        <v>1</v>
      </c>
      <c r="W1169">
        <f t="shared" si="168"/>
        <v>1</v>
      </c>
      <c r="X1169">
        <f t="shared" si="169"/>
        <v>0</v>
      </c>
      <c r="Y1169">
        <f t="shared" si="170"/>
        <v>0</v>
      </c>
    </row>
    <row r="1170" spans="1:25" x14ac:dyDescent="0.3">
      <c r="A1170" t="s">
        <v>2174</v>
      </c>
      <c r="B1170" t="s">
        <v>2175</v>
      </c>
      <c r="C1170" s="1">
        <v>45838</v>
      </c>
      <c r="D1170" s="3">
        <v>0.31039351851851854</v>
      </c>
      <c r="E1170">
        <f t="shared" si="162"/>
        <v>7</v>
      </c>
      <c r="F1170">
        <v>49</v>
      </c>
      <c r="G1170" t="s">
        <v>60</v>
      </c>
      <c r="H1170" t="s">
        <v>131</v>
      </c>
      <c r="I1170" t="s">
        <v>48</v>
      </c>
      <c r="J1170" t="s">
        <v>31</v>
      </c>
      <c r="K1170" t="s">
        <v>62</v>
      </c>
      <c r="L1170">
        <v>161.75</v>
      </c>
      <c r="M1170" t="s">
        <v>33</v>
      </c>
      <c r="N1170">
        <f t="shared" si="163"/>
        <v>0</v>
      </c>
      <c r="O1170" t="s">
        <v>34</v>
      </c>
      <c r="P1170" t="s">
        <v>2176</v>
      </c>
      <c r="Q1170">
        <v>0</v>
      </c>
      <c r="R1170">
        <v>79</v>
      </c>
      <c r="S1170">
        <f t="shared" si="164"/>
        <v>-0.17809357940115597</v>
      </c>
      <c r="T1170">
        <f t="shared" si="165"/>
        <v>0</v>
      </c>
      <c r="U1170">
        <f t="shared" si="166"/>
        <v>0</v>
      </c>
      <c r="V1170">
        <f t="shared" si="167"/>
        <v>1</v>
      </c>
      <c r="W1170">
        <f t="shared" si="168"/>
        <v>1</v>
      </c>
      <c r="X1170">
        <f t="shared" si="169"/>
        <v>0</v>
      </c>
      <c r="Y1170">
        <f t="shared" si="170"/>
        <v>0</v>
      </c>
    </row>
    <row r="1171" spans="1:25" x14ac:dyDescent="0.3">
      <c r="A1171" t="s">
        <v>3833</v>
      </c>
      <c r="B1171" t="s">
        <v>3834</v>
      </c>
      <c r="C1171" s="1">
        <v>45875</v>
      </c>
      <c r="D1171" s="3">
        <v>0.11857638888888888</v>
      </c>
      <c r="E1171">
        <f t="shared" si="162"/>
        <v>2</v>
      </c>
      <c r="F1171">
        <v>35</v>
      </c>
      <c r="G1171" t="s">
        <v>46</v>
      </c>
      <c r="H1171" t="s">
        <v>239</v>
      </c>
      <c r="I1171" t="s">
        <v>30</v>
      </c>
      <c r="J1171" t="s">
        <v>56</v>
      </c>
      <c r="K1171" t="s">
        <v>168</v>
      </c>
      <c r="L1171">
        <v>161.72999999999999</v>
      </c>
      <c r="M1171" t="s">
        <v>42</v>
      </c>
      <c r="N1171">
        <f t="shared" si="163"/>
        <v>0</v>
      </c>
      <c r="O1171" t="s">
        <v>24</v>
      </c>
      <c r="P1171" t="s">
        <v>3835</v>
      </c>
      <c r="Q1171">
        <v>0</v>
      </c>
      <c r="R1171">
        <v>198</v>
      </c>
      <c r="S1171">
        <f t="shared" si="164"/>
        <v>-0.17837046459067796</v>
      </c>
      <c r="T1171">
        <f t="shared" si="165"/>
        <v>0</v>
      </c>
      <c r="U1171">
        <f t="shared" si="166"/>
        <v>1</v>
      </c>
      <c r="V1171">
        <f t="shared" si="167"/>
        <v>1</v>
      </c>
      <c r="W1171">
        <f t="shared" si="168"/>
        <v>3</v>
      </c>
      <c r="X1171">
        <f t="shared" si="169"/>
        <v>0</v>
      </c>
      <c r="Y1171">
        <f t="shared" si="170"/>
        <v>0</v>
      </c>
    </row>
    <row r="1172" spans="1:25" x14ac:dyDescent="0.3">
      <c r="A1172" t="s">
        <v>5270</v>
      </c>
      <c r="B1172" t="s">
        <v>5271</v>
      </c>
      <c r="C1172" s="1">
        <v>45752</v>
      </c>
      <c r="D1172" s="3">
        <v>0.24655092592592592</v>
      </c>
      <c r="E1172">
        <f t="shared" si="162"/>
        <v>5</v>
      </c>
      <c r="F1172">
        <v>47</v>
      </c>
      <c r="G1172" t="s">
        <v>46</v>
      </c>
      <c r="H1172" t="s">
        <v>175</v>
      </c>
      <c r="I1172" t="s">
        <v>71</v>
      </c>
      <c r="J1172" t="s">
        <v>31</v>
      </c>
      <c r="K1172" t="s">
        <v>168</v>
      </c>
      <c r="L1172">
        <v>161.65</v>
      </c>
      <c r="M1172" t="s">
        <v>33</v>
      </c>
      <c r="N1172">
        <f t="shared" si="163"/>
        <v>0</v>
      </c>
      <c r="O1172" t="s">
        <v>34</v>
      </c>
      <c r="P1172" t="s">
        <v>5272</v>
      </c>
      <c r="Q1172">
        <v>0</v>
      </c>
      <c r="R1172">
        <v>199</v>
      </c>
      <c r="S1172">
        <f t="shared" si="164"/>
        <v>-0.17947800534876515</v>
      </c>
      <c r="T1172">
        <f t="shared" si="165"/>
        <v>0</v>
      </c>
      <c r="U1172">
        <f t="shared" si="166"/>
        <v>1</v>
      </c>
      <c r="V1172">
        <f t="shared" si="167"/>
        <v>1</v>
      </c>
      <c r="W1172">
        <f t="shared" si="168"/>
        <v>3</v>
      </c>
      <c r="X1172">
        <f t="shared" si="169"/>
        <v>0</v>
      </c>
      <c r="Y1172">
        <f t="shared" si="170"/>
        <v>0</v>
      </c>
    </row>
    <row r="1173" spans="1:25" x14ac:dyDescent="0.3">
      <c r="A1173" t="s">
        <v>5561</v>
      </c>
      <c r="B1173" t="s">
        <v>5562</v>
      </c>
      <c r="C1173" s="1">
        <v>45870</v>
      </c>
      <c r="D1173" s="3">
        <v>0.47375</v>
      </c>
      <c r="E1173">
        <f t="shared" si="162"/>
        <v>11</v>
      </c>
      <c r="F1173">
        <v>34</v>
      </c>
      <c r="G1173" t="s">
        <v>46</v>
      </c>
      <c r="H1173" t="s">
        <v>175</v>
      </c>
      <c r="I1173" t="s">
        <v>30</v>
      </c>
      <c r="J1173" t="s">
        <v>21</v>
      </c>
      <c r="K1173" t="s">
        <v>95</v>
      </c>
      <c r="L1173">
        <v>161.62</v>
      </c>
      <c r="M1173" t="s">
        <v>42</v>
      </c>
      <c r="N1173">
        <f t="shared" si="163"/>
        <v>0</v>
      </c>
      <c r="O1173" t="s">
        <v>86</v>
      </c>
      <c r="P1173" t="s">
        <v>5563</v>
      </c>
      <c r="Q1173">
        <v>0</v>
      </c>
      <c r="R1173">
        <v>352</v>
      </c>
      <c r="S1173">
        <f t="shared" si="164"/>
        <v>-0.17989333313304792</v>
      </c>
      <c r="T1173">
        <f t="shared" si="165"/>
        <v>0</v>
      </c>
      <c r="U1173">
        <f t="shared" si="166"/>
        <v>0</v>
      </c>
      <c r="V1173">
        <f t="shared" si="167"/>
        <v>0</v>
      </c>
      <c r="W1173">
        <f t="shared" si="168"/>
        <v>0</v>
      </c>
      <c r="X1173">
        <f t="shared" si="169"/>
        <v>0</v>
      </c>
      <c r="Y1173">
        <f t="shared" si="170"/>
        <v>0</v>
      </c>
    </row>
    <row r="1174" spans="1:25" x14ac:dyDescent="0.3">
      <c r="A1174" t="s">
        <v>3035</v>
      </c>
      <c r="B1174" t="s">
        <v>3036</v>
      </c>
      <c r="C1174" s="1">
        <v>45852</v>
      </c>
      <c r="D1174" s="3">
        <v>2.2708333333333334E-2</v>
      </c>
      <c r="E1174">
        <f t="shared" si="162"/>
        <v>0</v>
      </c>
      <c r="F1174">
        <v>47</v>
      </c>
      <c r="G1174" t="s">
        <v>46</v>
      </c>
      <c r="H1174" t="s">
        <v>239</v>
      </c>
      <c r="I1174" t="s">
        <v>48</v>
      </c>
      <c r="J1174" t="s">
        <v>76</v>
      </c>
      <c r="K1174" t="s">
        <v>95</v>
      </c>
      <c r="L1174">
        <v>161.57</v>
      </c>
      <c r="M1174" t="s">
        <v>42</v>
      </c>
      <c r="N1174">
        <f t="shared" si="163"/>
        <v>0</v>
      </c>
      <c r="O1174" t="s">
        <v>24</v>
      </c>
      <c r="P1174" t="s">
        <v>3037</v>
      </c>
      <c r="Q1174">
        <v>0</v>
      </c>
      <c r="R1174">
        <v>397</v>
      </c>
      <c r="S1174">
        <f t="shared" si="164"/>
        <v>-0.18058554610685271</v>
      </c>
      <c r="T1174">
        <f t="shared" si="165"/>
        <v>0</v>
      </c>
      <c r="U1174">
        <f t="shared" si="166"/>
        <v>1</v>
      </c>
      <c r="V1174">
        <f t="shared" si="167"/>
        <v>0</v>
      </c>
      <c r="W1174">
        <f t="shared" si="168"/>
        <v>2</v>
      </c>
      <c r="X1174">
        <f t="shared" si="169"/>
        <v>0</v>
      </c>
      <c r="Y1174">
        <f t="shared" si="170"/>
        <v>0</v>
      </c>
    </row>
    <row r="1175" spans="1:25" x14ac:dyDescent="0.3">
      <c r="A1175" t="s">
        <v>347</v>
      </c>
      <c r="B1175" t="s">
        <v>348</v>
      </c>
      <c r="C1175" s="1">
        <v>45743</v>
      </c>
      <c r="D1175" s="3">
        <v>0.46045138888888887</v>
      </c>
      <c r="E1175">
        <f t="shared" si="162"/>
        <v>11</v>
      </c>
      <c r="F1175">
        <v>62</v>
      </c>
      <c r="G1175" t="s">
        <v>60</v>
      </c>
      <c r="H1175" t="s">
        <v>232</v>
      </c>
      <c r="I1175" t="s">
        <v>119</v>
      </c>
      <c r="J1175" t="s">
        <v>76</v>
      </c>
      <c r="K1175" t="s">
        <v>62</v>
      </c>
      <c r="L1175">
        <v>161.36000000000001</v>
      </c>
      <c r="M1175" t="s">
        <v>33</v>
      </c>
      <c r="N1175">
        <f t="shared" si="163"/>
        <v>0</v>
      </c>
      <c r="O1175" t="s">
        <v>24</v>
      </c>
      <c r="P1175" t="s">
        <v>349</v>
      </c>
      <c r="Q1175">
        <v>0</v>
      </c>
      <c r="R1175">
        <v>376</v>
      </c>
      <c r="S1175">
        <f t="shared" si="164"/>
        <v>-0.18349284059683185</v>
      </c>
      <c r="T1175">
        <f t="shared" si="165"/>
        <v>0</v>
      </c>
      <c r="U1175">
        <f t="shared" si="166"/>
        <v>0</v>
      </c>
      <c r="V1175">
        <f t="shared" si="167"/>
        <v>0</v>
      </c>
      <c r="W1175">
        <f t="shared" si="168"/>
        <v>0</v>
      </c>
      <c r="X1175">
        <f t="shared" si="169"/>
        <v>0</v>
      </c>
      <c r="Y1175">
        <f t="shared" si="170"/>
        <v>0</v>
      </c>
    </row>
    <row r="1176" spans="1:25" x14ac:dyDescent="0.3">
      <c r="A1176" t="s">
        <v>2948</v>
      </c>
      <c r="B1176" t="s">
        <v>2949</v>
      </c>
      <c r="C1176" s="1">
        <v>45862</v>
      </c>
      <c r="D1176" s="3">
        <v>0.2933912037037037</v>
      </c>
      <c r="E1176">
        <f t="shared" si="162"/>
        <v>7</v>
      </c>
      <c r="F1176">
        <v>54</v>
      </c>
      <c r="G1176" t="s">
        <v>46</v>
      </c>
      <c r="H1176" t="s">
        <v>131</v>
      </c>
      <c r="I1176" t="s">
        <v>105</v>
      </c>
      <c r="J1176" t="s">
        <v>49</v>
      </c>
      <c r="K1176" t="s">
        <v>41</v>
      </c>
      <c r="L1176">
        <v>161.28</v>
      </c>
      <c r="M1176" t="s">
        <v>42</v>
      </c>
      <c r="N1176">
        <f t="shared" si="163"/>
        <v>0</v>
      </c>
      <c r="O1176" t="s">
        <v>34</v>
      </c>
      <c r="P1176" t="s">
        <v>2950</v>
      </c>
      <c r="Q1176">
        <v>0</v>
      </c>
      <c r="R1176">
        <v>314</v>
      </c>
      <c r="S1176">
        <f t="shared" si="164"/>
        <v>-0.18460038135491941</v>
      </c>
      <c r="T1176">
        <f t="shared" si="165"/>
        <v>0</v>
      </c>
      <c r="U1176">
        <f t="shared" si="166"/>
        <v>0</v>
      </c>
      <c r="V1176">
        <f t="shared" si="167"/>
        <v>0</v>
      </c>
      <c r="W1176">
        <f t="shared" si="168"/>
        <v>0</v>
      </c>
      <c r="X1176">
        <f t="shared" si="169"/>
        <v>0</v>
      </c>
      <c r="Y1176">
        <f t="shared" si="170"/>
        <v>0</v>
      </c>
    </row>
    <row r="1177" spans="1:25" x14ac:dyDescent="0.3">
      <c r="A1177" t="s">
        <v>4442</v>
      </c>
      <c r="B1177" t="s">
        <v>4443</v>
      </c>
      <c r="C1177" s="1">
        <v>45852</v>
      </c>
      <c r="D1177" s="3">
        <v>0.56655092592592593</v>
      </c>
      <c r="E1177">
        <f t="shared" si="162"/>
        <v>13</v>
      </c>
      <c r="F1177">
        <v>36</v>
      </c>
      <c r="G1177" t="s">
        <v>46</v>
      </c>
      <c r="H1177" t="s">
        <v>100</v>
      </c>
      <c r="I1177" t="s">
        <v>39</v>
      </c>
      <c r="J1177" t="s">
        <v>56</v>
      </c>
      <c r="K1177" t="s">
        <v>22</v>
      </c>
      <c r="L1177">
        <v>161.02000000000001</v>
      </c>
      <c r="M1177" t="s">
        <v>42</v>
      </c>
      <c r="N1177">
        <f t="shared" si="163"/>
        <v>0</v>
      </c>
      <c r="O1177" t="s">
        <v>24</v>
      </c>
      <c r="P1177" t="s">
        <v>4444</v>
      </c>
      <c r="Q1177">
        <v>0</v>
      </c>
      <c r="R1177">
        <v>198</v>
      </c>
      <c r="S1177">
        <f t="shared" si="164"/>
        <v>-0.18819988881870334</v>
      </c>
      <c r="T1177">
        <f t="shared" si="165"/>
        <v>0</v>
      </c>
      <c r="U1177">
        <f t="shared" si="166"/>
        <v>0</v>
      </c>
      <c r="V1177">
        <f t="shared" si="167"/>
        <v>1</v>
      </c>
      <c r="W1177">
        <f t="shared" si="168"/>
        <v>1</v>
      </c>
      <c r="X1177">
        <f t="shared" si="169"/>
        <v>0</v>
      </c>
      <c r="Y1177">
        <f t="shared" si="170"/>
        <v>0</v>
      </c>
    </row>
    <row r="1178" spans="1:25" x14ac:dyDescent="0.3">
      <c r="A1178" t="s">
        <v>4673</v>
      </c>
      <c r="B1178" t="s">
        <v>4674</v>
      </c>
      <c r="C1178" s="1">
        <v>45767</v>
      </c>
      <c r="D1178" s="3">
        <v>0.11368055555555556</v>
      </c>
      <c r="E1178">
        <f t="shared" si="162"/>
        <v>2</v>
      </c>
      <c r="F1178">
        <v>35</v>
      </c>
      <c r="G1178" t="s">
        <v>60</v>
      </c>
      <c r="H1178" t="s">
        <v>232</v>
      </c>
      <c r="I1178" t="s">
        <v>39</v>
      </c>
      <c r="J1178" t="s">
        <v>21</v>
      </c>
      <c r="K1178" t="s">
        <v>95</v>
      </c>
      <c r="L1178">
        <v>160.94999999999999</v>
      </c>
      <c r="M1178" t="s">
        <v>42</v>
      </c>
      <c r="N1178">
        <f t="shared" si="163"/>
        <v>0</v>
      </c>
      <c r="O1178" t="s">
        <v>24</v>
      </c>
      <c r="P1178" t="s">
        <v>4675</v>
      </c>
      <c r="Q1178">
        <v>0</v>
      </c>
      <c r="R1178">
        <v>289</v>
      </c>
      <c r="S1178">
        <f t="shared" si="164"/>
        <v>-0.18916898698203011</v>
      </c>
      <c r="T1178">
        <f t="shared" si="165"/>
        <v>0</v>
      </c>
      <c r="U1178">
        <f t="shared" si="166"/>
        <v>1</v>
      </c>
      <c r="V1178">
        <f t="shared" si="167"/>
        <v>0</v>
      </c>
      <c r="W1178">
        <f t="shared" si="168"/>
        <v>2</v>
      </c>
      <c r="X1178">
        <f t="shared" si="169"/>
        <v>0</v>
      </c>
      <c r="Y1178">
        <f t="shared" si="170"/>
        <v>0</v>
      </c>
    </row>
    <row r="1179" spans="1:25" x14ac:dyDescent="0.3">
      <c r="A1179" t="s">
        <v>1988</v>
      </c>
      <c r="B1179" t="s">
        <v>1989</v>
      </c>
      <c r="C1179" s="1">
        <v>45835</v>
      </c>
      <c r="D1179" s="3">
        <v>0.91410879629629627</v>
      </c>
      <c r="E1179">
        <f t="shared" si="162"/>
        <v>21</v>
      </c>
      <c r="F1179">
        <v>18</v>
      </c>
      <c r="G1179" t="s">
        <v>60</v>
      </c>
      <c r="H1179" t="s">
        <v>142</v>
      </c>
      <c r="I1179" t="s">
        <v>30</v>
      </c>
      <c r="J1179" t="s">
        <v>127</v>
      </c>
      <c r="K1179" t="s">
        <v>120</v>
      </c>
      <c r="L1179">
        <v>160.93</v>
      </c>
      <c r="M1179" t="s">
        <v>115</v>
      </c>
      <c r="N1179">
        <f t="shared" si="163"/>
        <v>0</v>
      </c>
      <c r="O1179" t="s">
        <v>51</v>
      </c>
      <c r="P1179" t="s">
        <v>1990</v>
      </c>
      <c r="Q1179">
        <v>0</v>
      </c>
      <c r="R1179">
        <v>178</v>
      </c>
      <c r="S1179">
        <f t="shared" si="164"/>
        <v>-0.1894458721715517</v>
      </c>
      <c r="T1179">
        <f t="shared" si="165"/>
        <v>0</v>
      </c>
      <c r="U1179">
        <f t="shared" si="166"/>
        <v>0</v>
      </c>
      <c r="V1179">
        <f t="shared" si="167"/>
        <v>1</v>
      </c>
      <c r="W1179">
        <f t="shared" si="168"/>
        <v>1</v>
      </c>
      <c r="X1179">
        <f t="shared" si="169"/>
        <v>0</v>
      </c>
      <c r="Y1179">
        <f t="shared" si="170"/>
        <v>0</v>
      </c>
    </row>
    <row r="1180" spans="1:25" x14ac:dyDescent="0.3">
      <c r="A1180" t="s">
        <v>1103</v>
      </c>
      <c r="B1180" t="s">
        <v>1104</v>
      </c>
      <c r="C1180" s="1">
        <v>45860</v>
      </c>
      <c r="D1180" s="3">
        <v>0.73684027777777783</v>
      </c>
      <c r="E1180">
        <f t="shared" si="162"/>
        <v>17</v>
      </c>
      <c r="F1180">
        <v>52</v>
      </c>
      <c r="G1180" t="s">
        <v>18</v>
      </c>
      <c r="H1180" t="s">
        <v>29</v>
      </c>
      <c r="I1180" t="s">
        <v>20</v>
      </c>
      <c r="J1180" t="s">
        <v>72</v>
      </c>
      <c r="K1180" t="s">
        <v>168</v>
      </c>
      <c r="L1180">
        <v>160.63</v>
      </c>
      <c r="M1180" t="s">
        <v>115</v>
      </c>
      <c r="N1180">
        <f t="shared" si="163"/>
        <v>0</v>
      </c>
      <c r="O1180" t="s">
        <v>86</v>
      </c>
      <c r="P1180" t="s">
        <v>1105</v>
      </c>
      <c r="Q1180">
        <v>0</v>
      </c>
      <c r="R1180">
        <v>224</v>
      </c>
      <c r="S1180">
        <f t="shared" si="164"/>
        <v>-0.19359915001437958</v>
      </c>
      <c r="T1180">
        <f t="shared" si="165"/>
        <v>0</v>
      </c>
      <c r="U1180">
        <f t="shared" si="166"/>
        <v>0</v>
      </c>
      <c r="V1180">
        <f t="shared" si="167"/>
        <v>1</v>
      </c>
      <c r="W1180">
        <f t="shared" si="168"/>
        <v>1</v>
      </c>
      <c r="X1180">
        <f t="shared" si="169"/>
        <v>0</v>
      </c>
      <c r="Y1180">
        <f t="shared" si="170"/>
        <v>0</v>
      </c>
    </row>
    <row r="1181" spans="1:25" x14ac:dyDescent="0.3">
      <c r="A1181" t="s">
        <v>6044</v>
      </c>
      <c r="B1181" t="s">
        <v>6045</v>
      </c>
      <c r="C1181" s="1">
        <v>45718</v>
      </c>
      <c r="D1181" s="3">
        <v>0.88795138888888892</v>
      </c>
      <c r="E1181">
        <f t="shared" si="162"/>
        <v>21</v>
      </c>
      <c r="F1181">
        <v>49</v>
      </c>
      <c r="G1181" t="s">
        <v>28</v>
      </c>
      <c r="H1181" t="s">
        <v>90</v>
      </c>
      <c r="I1181" t="s">
        <v>30</v>
      </c>
      <c r="J1181" t="s">
        <v>56</v>
      </c>
      <c r="K1181" t="s">
        <v>62</v>
      </c>
      <c r="L1181">
        <v>160.58000000000001</v>
      </c>
      <c r="M1181" t="s">
        <v>23</v>
      </c>
      <c r="N1181">
        <f t="shared" si="163"/>
        <v>0</v>
      </c>
      <c r="O1181" t="s">
        <v>86</v>
      </c>
      <c r="P1181" t="s">
        <v>6046</v>
      </c>
      <c r="Q1181">
        <v>0</v>
      </c>
      <c r="R1181">
        <v>444</v>
      </c>
      <c r="S1181">
        <f t="shared" si="164"/>
        <v>-0.19429136298818397</v>
      </c>
      <c r="T1181">
        <f t="shared" si="165"/>
        <v>0</v>
      </c>
      <c r="U1181">
        <f t="shared" si="166"/>
        <v>0</v>
      </c>
      <c r="V1181">
        <f t="shared" si="167"/>
        <v>0</v>
      </c>
      <c r="W1181">
        <f t="shared" si="168"/>
        <v>0</v>
      </c>
      <c r="X1181">
        <f t="shared" si="169"/>
        <v>0</v>
      </c>
      <c r="Y1181">
        <f t="shared" si="170"/>
        <v>0</v>
      </c>
    </row>
    <row r="1182" spans="1:25" x14ac:dyDescent="0.3">
      <c r="A1182" t="s">
        <v>4430</v>
      </c>
      <c r="B1182" t="s">
        <v>4431</v>
      </c>
      <c r="C1182" s="1">
        <v>45735</v>
      </c>
      <c r="D1182" s="3">
        <v>0.37122685185185184</v>
      </c>
      <c r="E1182">
        <f t="shared" si="162"/>
        <v>8</v>
      </c>
      <c r="F1182" s="4">
        <v>41</v>
      </c>
      <c r="G1182" t="s">
        <v>60</v>
      </c>
      <c r="H1182" t="s">
        <v>70</v>
      </c>
      <c r="I1182" t="s">
        <v>119</v>
      </c>
      <c r="J1182" t="s">
        <v>49</v>
      </c>
      <c r="K1182" t="s">
        <v>22</v>
      </c>
      <c r="L1182">
        <v>160.49</v>
      </c>
      <c r="M1182" t="s">
        <v>42</v>
      </c>
      <c r="N1182">
        <f t="shared" si="163"/>
        <v>0</v>
      </c>
      <c r="O1182" t="s">
        <v>86</v>
      </c>
      <c r="P1182" t="s">
        <v>4432</v>
      </c>
      <c r="Q1182">
        <v>0</v>
      </c>
      <c r="R1182">
        <v>370</v>
      </c>
      <c r="S1182">
        <f t="shared" si="164"/>
        <v>-0.19553734634103234</v>
      </c>
      <c r="T1182">
        <f t="shared" si="165"/>
        <v>0</v>
      </c>
      <c r="U1182">
        <f t="shared" si="166"/>
        <v>0</v>
      </c>
      <c r="V1182">
        <f t="shared" si="167"/>
        <v>0</v>
      </c>
      <c r="W1182">
        <f t="shared" si="168"/>
        <v>0</v>
      </c>
      <c r="X1182">
        <f t="shared" si="169"/>
        <v>0</v>
      </c>
      <c r="Y1182">
        <f t="shared" si="170"/>
        <v>0</v>
      </c>
    </row>
    <row r="1183" spans="1:25" x14ac:dyDescent="0.3">
      <c r="A1183" t="s">
        <v>2012</v>
      </c>
      <c r="B1183" t="s">
        <v>2013</v>
      </c>
      <c r="C1183" s="1">
        <v>45762</v>
      </c>
      <c r="D1183" s="3">
        <v>0.7055555555555556</v>
      </c>
      <c r="E1183">
        <f t="shared" si="162"/>
        <v>16</v>
      </c>
      <c r="F1183">
        <v>23</v>
      </c>
      <c r="G1183" t="s">
        <v>60</v>
      </c>
      <c r="H1183" t="s">
        <v>167</v>
      </c>
      <c r="I1183" t="s">
        <v>66</v>
      </c>
      <c r="J1183" t="s">
        <v>31</v>
      </c>
      <c r="K1183" t="s">
        <v>41</v>
      </c>
      <c r="L1183">
        <v>160.46</v>
      </c>
      <c r="M1183" t="s">
        <v>42</v>
      </c>
      <c r="N1183">
        <f t="shared" si="163"/>
        <v>0</v>
      </c>
      <c r="O1183" t="s">
        <v>24</v>
      </c>
      <c r="P1183" t="s">
        <v>2014</v>
      </c>
      <c r="Q1183">
        <v>1</v>
      </c>
      <c r="R1183">
        <v>223</v>
      </c>
      <c r="S1183">
        <f t="shared" si="164"/>
        <v>-0.19595267412531514</v>
      </c>
      <c r="T1183">
        <f t="shared" si="165"/>
        <v>0</v>
      </c>
      <c r="U1183">
        <f t="shared" si="166"/>
        <v>0</v>
      </c>
      <c r="V1183">
        <f t="shared" si="167"/>
        <v>1</v>
      </c>
      <c r="W1183">
        <f t="shared" si="168"/>
        <v>1</v>
      </c>
      <c r="X1183">
        <f t="shared" si="169"/>
        <v>0</v>
      </c>
      <c r="Y1183">
        <f t="shared" si="170"/>
        <v>0</v>
      </c>
    </row>
    <row r="1184" spans="1:25" x14ac:dyDescent="0.3">
      <c r="A1184" t="s">
        <v>5000</v>
      </c>
      <c r="B1184" t="s">
        <v>5001</v>
      </c>
      <c r="C1184" s="1">
        <v>45812</v>
      </c>
      <c r="D1184" s="3">
        <v>0.72737268518518516</v>
      </c>
      <c r="E1184">
        <f t="shared" si="162"/>
        <v>17</v>
      </c>
      <c r="F1184">
        <v>59</v>
      </c>
      <c r="G1184" t="s">
        <v>99</v>
      </c>
      <c r="H1184" t="s">
        <v>189</v>
      </c>
      <c r="I1184" t="s">
        <v>110</v>
      </c>
      <c r="J1184" t="s">
        <v>49</v>
      </c>
      <c r="K1184" t="s">
        <v>101</v>
      </c>
      <c r="L1184">
        <v>160.31</v>
      </c>
      <c r="M1184" t="s">
        <v>23</v>
      </c>
      <c r="N1184">
        <f t="shared" si="163"/>
        <v>0</v>
      </c>
      <c r="O1184" t="s">
        <v>51</v>
      </c>
      <c r="P1184" t="s">
        <v>5002</v>
      </c>
      <c r="Q1184">
        <v>0</v>
      </c>
      <c r="R1184">
        <v>485</v>
      </c>
      <c r="S1184">
        <f t="shared" si="164"/>
        <v>-0.19802931304672908</v>
      </c>
      <c r="T1184">
        <f t="shared" si="165"/>
        <v>0</v>
      </c>
      <c r="U1184">
        <f t="shared" si="166"/>
        <v>0</v>
      </c>
      <c r="V1184">
        <f t="shared" si="167"/>
        <v>0</v>
      </c>
      <c r="W1184">
        <f t="shared" si="168"/>
        <v>0</v>
      </c>
      <c r="X1184">
        <f t="shared" si="169"/>
        <v>0</v>
      </c>
      <c r="Y1184">
        <f t="shared" si="170"/>
        <v>0</v>
      </c>
    </row>
    <row r="1185" spans="1:25" x14ac:dyDescent="0.3">
      <c r="A1185" t="s">
        <v>5030</v>
      </c>
      <c r="B1185" t="s">
        <v>5031</v>
      </c>
      <c r="C1185" s="1">
        <v>45713</v>
      </c>
      <c r="D1185" s="3">
        <v>9.1064814814814821E-2</v>
      </c>
      <c r="E1185">
        <f t="shared" si="162"/>
        <v>2</v>
      </c>
      <c r="F1185">
        <v>55</v>
      </c>
      <c r="G1185" t="s">
        <v>60</v>
      </c>
      <c r="H1185" t="s">
        <v>131</v>
      </c>
      <c r="I1185" t="s">
        <v>119</v>
      </c>
      <c r="J1185" t="s">
        <v>40</v>
      </c>
      <c r="K1185" t="s">
        <v>168</v>
      </c>
      <c r="L1185">
        <v>160.13</v>
      </c>
      <c r="M1185" t="s">
        <v>33</v>
      </c>
      <c r="N1185">
        <f t="shared" si="163"/>
        <v>0</v>
      </c>
      <c r="O1185" t="s">
        <v>34</v>
      </c>
      <c r="P1185" t="s">
        <v>5032</v>
      </c>
      <c r="Q1185">
        <v>0</v>
      </c>
      <c r="R1185">
        <v>193</v>
      </c>
      <c r="S1185">
        <f t="shared" si="164"/>
        <v>-0.20052127975242581</v>
      </c>
      <c r="T1185">
        <f t="shared" si="165"/>
        <v>0</v>
      </c>
      <c r="U1185">
        <f t="shared" si="166"/>
        <v>1</v>
      </c>
      <c r="V1185">
        <f t="shared" si="167"/>
        <v>1</v>
      </c>
      <c r="W1185">
        <f t="shared" si="168"/>
        <v>3</v>
      </c>
      <c r="X1185">
        <f t="shared" si="169"/>
        <v>0</v>
      </c>
      <c r="Y1185">
        <f t="shared" si="170"/>
        <v>0</v>
      </c>
    </row>
    <row r="1186" spans="1:25" x14ac:dyDescent="0.3">
      <c r="A1186" t="s">
        <v>4568</v>
      </c>
      <c r="B1186" t="s">
        <v>4569</v>
      </c>
      <c r="C1186" s="1">
        <v>45734</v>
      </c>
      <c r="D1186" s="3">
        <v>0.27082175925925928</v>
      </c>
      <c r="E1186">
        <f t="shared" si="162"/>
        <v>6</v>
      </c>
      <c r="F1186">
        <v>26</v>
      </c>
      <c r="G1186" t="s">
        <v>18</v>
      </c>
      <c r="H1186" t="s">
        <v>232</v>
      </c>
      <c r="I1186" t="s">
        <v>105</v>
      </c>
      <c r="J1186" t="s">
        <v>94</v>
      </c>
      <c r="K1186" t="s">
        <v>50</v>
      </c>
      <c r="L1186">
        <v>160</v>
      </c>
      <c r="M1186" t="s">
        <v>115</v>
      </c>
      <c r="N1186">
        <f t="shared" si="163"/>
        <v>0</v>
      </c>
      <c r="O1186" t="s">
        <v>51</v>
      </c>
      <c r="P1186" t="s">
        <v>4570</v>
      </c>
      <c r="Q1186">
        <v>0</v>
      </c>
      <c r="R1186">
        <v>235</v>
      </c>
      <c r="S1186">
        <f t="shared" si="164"/>
        <v>-0.20232103348431776</v>
      </c>
      <c r="T1186">
        <f t="shared" si="165"/>
        <v>0</v>
      </c>
      <c r="U1186">
        <f t="shared" si="166"/>
        <v>0</v>
      </c>
      <c r="V1186">
        <f t="shared" si="167"/>
        <v>1</v>
      </c>
      <c r="W1186">
        <f t="shared" si="168"/>
        <v>1</v>
      </c>
      <c r="X1186">
        <f t="shared" si="169"/>
        <v>0</v>
      </c>
      <c r="Y1186">
        <f t="shared" si="170"/>
        <v>0</v>
      </c>
    </row>
    <row r="1187" spans="1:25" x14ac:dyDescent="0.3">
      <c r="A1187" t="s">
        <v>2021</v>
      </c>
      <c r="B1187" t="s">
        <v>2022</v>
      </c>
      <c r="C1187" s="1">
        <v>45783</v>
      </c>
      <c r="D1187" s="3">
        <v>0.76832175925925927</v>
      </c>
      <c r="E1187">
        <f t="shared" si="162"/>
        <v>18</v>
      </c>
      <c r="F1187">
        <v>61</v>
      </c>
      <c r="G1187" t="s">
        <v>60</v>
      </c>
      <c r="H1187" t="s">
        <v>80</v>
      </c>
      <c r="I1187" t="s">
        <v>30</v>
      </c>
      <c r="J1187" t="s">
        <v>31</v>
      </c>
      <c r="K1187" t="s">
        <v>62</v>
      </c>
      <c r="L1187">
        <v>159.99</v>
      </c>
      <c r="M1187" t="s">
        <v>42</v>
      </c>
      <c r="N1187">
        <f t="shared" si="163"/>
        <v>0</v>
      </c>
      <c r="O1187" t="s">
        <v>34</v>
      </c>
      <c r="P1187" t="s">
        <v>2023</v>
      </c>
      <c r="Q1187">
        <v>0</v>
      </c>
      <c r="R1187">
        <v>253</v>
      </c>
      <c r="S1187">
        <f t="shared" si="164"/>
        <v>-0.20245947607907858</v>
      </c>
      <c r="T1187">
        <f t="shared" si="165"/>
        <v>0</v>
      </c>
      <c r="U1187">
        <f t="shared" si="166"/>
        <v>0</v>
      </c>
      <c r="V1187">
        <f t="shared" si="167"/>
        <v>1</v>
      </c>
      <c r="W1187">
        <f t="shared" si="168"/>
        <v>1</v>
      </c>
      <c r="X1187">
        <f t="shared" si="169"/>
        <v>0</v>
      </c>
      <c r="Y1187">
        <f t="shared" si="170"/>
        <v>0</v>
      </c>
    </row>
    <row r="1188" spans="1:25" x14ac:dyDescent="0.3">
      <c r="A1188" t="s">
        <v>2807</v>
      </c>
      <c r="B1188" t="s">
        <v>2808</v>
      </c>
      <c r="C1188" s="1">
        <v>45705</v>
      </c>
      <c r="D1188" s="3">
        <v>0.11350694444444444</v>
      </c>
      <c r="E1188">
        <f t="shared" si="162"/>
        <v>2</v>
      </c>
      <c r="F1188" s="4">
        <v>41</v>
      </c>
      <c r="G1188" t="s">
        <v>46</v>
      </c>
      <c r="H1188" t="s">
        <v>80</v>
      </c>
      <c r="I1188" t="s">
        <v>119</v>
      </c>
      <c r="J1188" t="s">
        <v>72</v>
      </c>
      <c r="K1188" t="s">
        <v>95</v>
      </c>
      <c r="L1188">
        <v>159.47999999999999</v>
      </c>
      <c r="M1188" t="s">
        <v>115</v>
      </c>
      <c r="N1188">
        <f t="shared" si="163"/>
        <v>0</v>
      </c>
      <c r="O1188" t="s">
        <v>51</v>
      </c>
      <c r="P1188" t="s">
        <v>2809</v>
      </c>
      <c r="Q1188">
        <v>0</v>
      </c>
      <c r="R1188">
        <v>271</v>
      </c>
      <c r="S1188">
        <f t="shared" si="164"/>
        <v>-0.20952004841188598</v>
      </c>
      <c r="T1188">
        <f t="shared" si="165"/>
        <v>0</v>
      </c>
      <c r="U1188">
        <f t="shared" si="166"/>
        <v>1</v>
      </c>
      <c r="V1188">
        <f t="shared" si="167"/>
        <v>1</v>
      </c>
      <c r="W1188">
        <f t="shared" si="168"/>
        <v>3</v>
      </c>
      <c r="X1188">
        <f t="shared" si="169"/>
        <v>0</v>
      </c>
      <c r="Y1188">
        <f t="shared" si="170"/>
        <v>0</v>
      </c>
    </row>
    <row r="1189" spans="1:25" x14ac:dyDescent="0.3">
      <c r="A1189" t="s">
        <v>5090</v>
      </c>
      <c r="B1189" t="s">
        <v>5091</v>
      </c>
      <c r="C1189" s="1">
        <v>45838</v>
      </c>
      <c r="D1189" s="3">
        <v>5.4282407407407404E-3</v>
      </c>
      <c r="E1189">
        <f t="shared" si="162"/>
        <v>0</v>
      </c>
      <c r="F1189">
        <v>51</v>
      </c>
      <c r="G1189" t="s">
        <v>46</v>
      </c>
      <c r="H1189" t="s">
        <v>47</v>
      </c>
      <c r="I1189" t="s">
        <v>105</v>
      </c>
      <c r="J1189" t="s">
        <v>76</v>
      </c>
      <c r="K1189" t="s">
        <v>32</v>
      </c>
      <c r="L1189">
        <v>159.4</v>
      </c>
      <c r="M1189" t="s">
        <v>6479</v>
      </c>
      <c r="N1189">
        <f t="shared" si="163"/>
        <v>1</v>
      </c>
      <c r="O1189" t="s">
        <v>24</v>
      </c>
      <c r="P1189" t="s">
        <v>5092</v>
      </c>
      <c r="Q1189">
        <v>0</v>
      </c>
      <c r="R1189">
        <v>396</v>
      </c>
      <c r="S1189">
        <f t="shared" si="164"/>
        <v>-0.21062758916997315</v>
      </c>
      <c r="T1189">
        <f t="shared" si="165"/>
        <v>0</v>
      </c>
      <c r="U1189">
        <f t="shared" si="166"/>
        <v>1</v>
      </c>
      <c r="V1189">
        <f t="shared" si="167"/>
        <v>0</v>
      </c>
      <c r="W1189">
        <f t="shared" si="168"/>
        <v>4</v>
      </c>
      <c r="X1189">
        <f t="shared" si="169"/>
        <v>0</v>
      </c>
      <c r="Y1189">
        <f t="shared" si="170"/>
        <v>1</v>
      </c>
    </row>
    <row r="1190" spans="1:25" x14ac:dyDescent="0.3">
      <c r="A1190" t="s">
        <v>2384</v>
      </c>
      <c r="B1190" s="2" t="s">
        <v>2385</v>
      </c>
      <c r="C1190" s="1">
        <v>45878</v>
      </c>
      <c r="D1190" s="3">
        <v>0.42155092592592591</v>
      </c>
      <c r="E1190">
        <f t="shared" si="162"/>
        <v>10</v>
      </c>
      <c r="F1190">
        <v>27</v>
      </c>
      <c r="G1190" t="s">
        <v>46</v>
      </c>
      <c r="H1190" t="s">
        <v>185</v>
      </c>
      <c r="I1190" t="s">
        <v>119</v>
      </c>
      <c r="J1190" t="s">
        <v>21</v>
      </c>
      <c r="K1190" t="s">
        <v>114</v>
      </c>
      <c r="L1190">
        <v>159.37</v>
      </c>
      <c r="M1190" t="s">
        <v>23</v>
      </c>
      <c r="N1190">
        <f t="shared" si="163"/>
        <v>0</v>
      </c>
      <c r="O1190" t="s">
        <v>51</v>
      </c>
      <c r="P1190" t="s">
        <v>2386</v>
      </c>
      <c r="Q1190">
        <v>0</v>
      </c>
      <c r="R1190">
        <v>488</v>
      </c>
      <c r="S1190">
        <f t="shared" si="164"/>
        <v>-0.21104291695425595</v>
      </c>
      <c r="T1190">
        <f t="shared" si="165"/>
        <v>0</v>
      </c>
      <c r="U1190">
        <f t="shared" si="166"/>
        <v>0</v>
      </c>
      <c r="V1190">
        <f t="shared" si="167"/>
        <v>0</v>
      </c>
      <c r="W1190">
        <f t="shared" si="168"/>
        <v>0</v>
      </c>
      <c r="X1190">
        <f t="shared" si="169"/>
        <v>0</v>
      </c>
      <c r="Y1190">
        <f t="shared" si="170"/>
        <v>0</v>
      </c>
    </row>
    <row r="1191" spans="1:25" x14ac:dyDescent="0.3">
      <c r="A1191" t="s">
        <v>5318</v>
      </c>
      <c r="B1191" t="s">
        <v>5319</v>
      </c>
      <c r="C1191" s="1">
        <v>45864</v>
      </c>
      <c r="D1191" s="3">
        <v>7.3657407407407408E-2</v>
      </c>
      <c r="E1191">
        <f t="shared" si="162"/>
        <v>1</v>
      </c>
      <c r="F1191">
        <v>21</v>
      </c>
      <c r="G1191" t="s">
        <v>28</v>
      </c>
      <c r="H1191" t="s">
        <v>80</v>
      </c>
      <c r="I1191" t="s">
        <v>20</v>
      </c>
      <c r="J1191" t="s">
        <v>132</v>
      </c>
      <c r="K1191" t="s">
        <v>95</v>
      </c>
      <c r="L1191">
        <v>159.35</v>
      </c>
      <c r="M1191" t="s">
        <v>115</v>
      </c>
      <c r="N1191">
        <f t="shared" si="163"/>
        <v>0</v>
      </c>
      <c r="O1191" t="s">
        <v>51</v>
      </c>
      <c r="P1191" t="s">
        <v>5320</v>
      </c>
      <c r="Q1191">
        <v>0</v>
      </c>
      <c r="R1191">
        <v>442</v>
      </c>
      <c r="S1191">
        <f t="shared" si="164"/>
        <v>-0.21131980214377794</v>
      </c>
      <c r="T1191">
        <f t="shared" si="165"/>
        <v>0</v>
      </c>
      <c r="U1191">
        <f t="shared" si="166"/>
        <v>1</v>
      </c>
      <c r="V1191">
        <f t="shared" si="167"/>
        <v>0</v>
      </c>
      <c r="W1191">
        <f t="shared" si="168"/>
        <v>2</v>
      </c>
      <c r="X1191">
        <f t="shared" si="169"/>
        <v>0</v>
      </c>
      <c r="Y1191">
        <f t="shared" si="170"/>
        <v>0</v>
      </c>
    </row>
    <row r="1192" spans="1:25" x14ac:dyDescent="0.3">
      <c r="A1192" t="s">
        <v>794</v>
      </c>
      <c r="B1192" t="s">
        <v>795</v>
      </c>
      <c r="C1192" s="1">
        <v>45762</v>
      </c>
      <c r="D1192" s="3">
        <v>0.75248842592592591</v>
      </c>
      <c r="E1192">
        <f t="shared" si="162"/>
        <v>18</v>
      </c>
      <c r="F1192">
        <v>46</v>
      </c>
      <c r="G1192" t="s">
        <v>60</v>
      </c>
      <c r="H1192" t="s">
        <v>80</v>
      </c>
      <c r="I1192" t="s">
        <v>39</v>
      </c>
      <c r="J1192" t="s">
        <v>31</v>
      </c>
      <c r="K1192" t="s">
        <v>95</v>
      </c>
      <c r="L1192">
        <v>159.28</v>
      </c>
      <c r="M1192" t="s">
        <v>42</v>
      </c>
      <c r="N1192">
        <f t="shared" si="163"/>
        <v>0</v>
      </c>
      <c r="O1192" t="s">
        <v>24</v>
      </c>
      <c r="P1192" t="s">
        <v>796</v>
      </c>
      <c r="Q1192">
        <v>0</v>
      </c>
      <c r="R1192">
        <v>301</v>
      </c>
      <c r="S1192">
        <f t="shared" si="164"/>
        <v>-0.21228890030710432</v>
      </c>
      <c r="T1192">
        <f t="shared" si="165"/>
        <v>0</v>
      </c>
      <c r="U1192">
        <f t="shared" si="166"/>
        <v>0</v>
      </c>
      <c r="V1192">
        <f t="shared" si="167"/>
        <v>0</v>
      </c>
      <c r="W1192">
        <f t="shared" si="168"/>
        <v>0</v>
      </c>
      <c r="X1192">
        <f t="shared" si="169"/>
        <v>0</v>
      </c>
      <c r="Y1192">
        <f t="shared" si="170"/>
        <v>0</v>
      </c>
    </row>
    <row r="1193" spans="1:25" x14ac:dyDescent="0.3">
      <c r="A1193" t="s">
        <v>5555</v>
      </c>
      <c r="B1193" t="s">
        <v>5556</v>
      </c>
      <c r="C1193" s="1">
        <v>45774</v>
      </c>
      <c r="D1193" s="3">
        <v>0.7535532407407407</v>
      </c>
      <c r="E1193">
        <f t="shared" si="162"/>
        <v>18</v>
      </c>
      <c r="F1193">
        <v>63</v>
      </c>
      <c r="G1193" t="s">
        <v>60</v>
      </c>
      <c r="H1193" t="s">
        <v>84</v>
      </c>
      <c r="I1193" t="s">
        <v>66</v>
      </c>
      <c r="J1193" t="s">
        <v>132</v>
      </c>
      <c r="K1193" t="s">
        <v>114</v>
      </c>
      <c r="L1193">
        <v>159.19</v>
      </c>
      <c r="M1193" t="s">
        <v>115</v>
      </c>
      <c r="N1193">
        <f t="shared" si="163"/>
        <v>0</v>
      </c>
      <c r="O1193" t="s">
        <v>34</v>
      </c>
      <c r="P1193" t="s">
        <v>5557</v>
      </c>
      <c r="Q1193">
        <v>0</v>
      </c>
      <c r="R1193">
        <v>163</v>
      </c>
      <c r="S1193">
        <f t="shared" si="164"/>
        <v>-0.21353488365995268</v>
      </c>
      <c r="T1193">
        <f t="shared" si="165"/>
        <v>0</v>
      </c>
      <c r="U1193">
        <f t="shared" si="166"/>
        <v>0</v>
      </c>
      <c r="V1193">
        <f t="shared" si="167"/>
        <v>1</v>
      </c>
      <c r="W1193">
        <f t="shared" si="168"/>
        <v>1</v>
      </c>
      <c r="X1193">
        <f t="shared" si="169"/>
        <v>0</v>
      </c>
      <c r="Y1193">
        <f t="shared" si="170"/>
        <v>0</v>
      </c>
    </row>
    <row r="1194" spans="1:25" x14ac:dyDescent="0.3">
      <c r="A1194" t="s">
        <v>2594</v>
      </c>
      <c r="B1194" t="s">
        <v>2595</v>
      </c>
      <c r="C1194" s="1">
        <v>45723</v>
      </c>
      <c r="D1194" s="3">
        <v>0.63149305555555557</v>
      </c>
      <c r="E1194">
        <f t="shared" si="162"/>
        <v>15</v>
      </c>
      <c r="F1194">
        <v>60</v>
      </c>
      <c r="G1194" t="s">
        <v>46</v>
      </c>
      <c r="H1194" t="s">
        <v>239</v>
      </c>
      <c r="I1194" t="s">
        <v>39</v>
      </c>
      <c r="J1194" t="s">
        <v>76</v>
      </c>
      <c r="K1194" t="s">
        <v>101</v>
      </c>
      <c r="L1194">
        <v>159.07</v>
      </c>
      <c r="M1194" t="s">
        <v>23</v>
      </c>
      <c r="N1194">
        <f t="shared" si="163"/>
        <v>0</v>
      </c>
      <c r="O1194" t="s">
        <v>34</v>
      </c>
      <c r="P1194" t="s">
        <v>2596</v>
      </c>
      <c r="Q1194">
        <v>0</v>
      </c>
      <c r="R1194">
        <v>236</v>
      </c>
      <c r="S1194">
        <f t="shared" si="164"/>
        <v>-0.21519619479708385</v>
      </c>
      <c r="T1194">
        <f t="shared" si="165"/>
        <v>0</v>
      </c>
      <c r="U1194">
        <f t="shared" si="166"/>
        <v>0</v>
      </c>
      <c r="V1194">
        <f t="shared" si="167"/>
        <v>1</v>
      </c>
      <c r="W1194">
        <f t="shared" si="168"/>
        <v>1</v>
      </c>
      <c r="X1194">
        <f t="shared" si="169"/>
        <v>0</v>
      </c>
      <c r="Y1194">
        <f t="shared" si="170"/>
        <v>0</v>
      </c>
    </row>
    <row r="1195" spans="1:25" x14ac:dyDescent="0.3">
      <c r="A1195" t="s">
        <v>2930</v>
      </c>
      <c r="B1195" t="s">
        <v>2931</v>
      </c>
      <c r="C1195" s="1">
        <v>45847</v>
      </c>
      <c r="D1195" s="3">
        <v>0.21133101851851852</v>
      </c>
      <c r="E1195">
        <f t="shared" si="162"/>
        <v>5</v>
      </c>
      <c r="F1195">
        <v>54</v>
      </c>
      <c r="G1195" t="s">
        <v>46</v>
      </c>
      <c r="H1195" t="s">
        <v>167</v>
      </c>
      <c r="I1195" t="s">
        <v>110</v>
      </c>
      <c r="J1195" t="s">
        <v>127</v>
      </c>
      <c r="K1195" t="s">
        <v>168</v>
      </c>
      <c r="L1195">
        <v>159.06</v>
      </c>
      <c r="M1195" t="s">
        <v>33</v>
      </c>
      <c r="N1195">
        <f t="shared" si="163"/>
        <v>0</v>
      </c>
      <c r="O1195" t="s">
        <v>86</v>
      </c>
      <c r="P1195" t="s">
        <v>2932</v>
      </c>
      <c r="Q1195">
        <v>0</v>
      </c>
      <c r="R1195">
        <v>212</v>
      </c>
      <c r="S1195">
        <f t="shared" si="164"/>
        <v>-0.21533463739184464</v>
      </c>
      <c r="T1195">
        <f t="shared" si="165"/>
        <v>0</v>
      </c>
      <c r="U1195">
        <f t="shared" si="166"/>
        <v>1</v>
      </c>
      <c r="V1195">
        <f t="shared" si="167"/>
        <v>1</v>
      </c>
      <c r="W1195">
        <f t="shared" si="168"/>
        <v>3</v>
      </c>
      <c r="X1195">
        <f t="shared" si="169"/>
        <v>0</v>
      </c>
      <c r="Y1195">
        <f t="shared" si="170"/>
        <v>0</v>
      </c>
    </row>
    <row r="1196" spans="1:25" x14ac:dyDescent="0.3">
      <c r="A1196" t="s">
        <v>170</v>
      </c>
      <c r="B1196" t="s">
        <v>171</v>
      </c>
      <c r="C1196" s="1">
        <v>45742</v>
      </c>
      <c r="D1196" s="3">
        <v>8.6331018518518515E-2</v>
      </c>
      <c r="E1196">
        <f t="shared" si="162"/>
        <v>2</v>
      </c>
      <c r="F1196">
        <v>33</v>
      </c>
      <c r="G1196" t="s">
        <v>46</v>
      </c>
      <c r="H1196" t="s">
        <v>131</v>
      </c>
      <c r="I1196" t="s">
        <v>85</v>
      </c>
      <c r="J1196" t="s">
        <v>31</v>
      </c>
      <c r="K1196" t="s">
        <v>32</v>
      </c>
      <c r="L1196">
        <v>159.01</v>
      </c>
      <c r="M1196" t="s">
        <v>115</v>
      </c>
      <c r="N1196">
        <f t="shared" si="163"/>
        <v>0</v>
      </c>
      <c r="O1196" t="s">
        <v>51</v>
      </c>
      <c r="P1196" t="s">
        <v>172</v>
      </c>
      <c r="Q1196">
        <v>0</v>
      </c>
      <c r="R1196">
        <v>292</v>
      </c>
      <c r="S1196">
        <f t="shared" si="164"/>
        <v>-0.21602685036564942</v>
      </c>
      <c r="T1196">
        <f t="shared" si="165"/>
        <v>0</v>
      </c>
      <c r="U1196">
        <f t="shared" si="166"/>
        <v>1</v>
      </c>
      <c r="V1196">
        <f t="shared" si="167"/>
        <v>0</v>
      </c>
      <c r="W1196">
        <f t="shared" si="168"/>
        <v>2</v>
      </c>
      <c r="X1196">
        <f t="shared" si="169"/>
        <v>0</v>
      </c>
      <c r="Y1196">
        <f t="shared" si="170"/>
        <v>0</v>
      </c>
    </row>
    <row r="1197" spans="1:25" x14ac:dyDescent="0.3">
      <c r="A1197" t="s">
        <v>1409</v>
      </c>
      <c r="B1197" t="s">
        <v>1410</v>
      </c>
      <c r="C1197" s="1">
        <v>45793</v>
      </c>
      <c r="D1197" s="3">
        <v>0.42459490740740741</v>
      </c>
      <c r="E1197">
        <f t="shared" si="162"/>
        <v>10</v>
      </c>
      <c r="F1197">
        <v>54</v>
      </c>
      <c r="G1197" t="s">
        <v>18</v>
      </c>
      <c r="H1197" t="s">
        <v>312</v>
      </c>
      <c r="I1197" t="s">
        <v>119</v>
      </c>
      <c r="J1197" t="s">
        <v>94</v>
      </c>
      <c r="K1197" t="s">
        <v>114</v>
      </c>
      <c r="L1197">
        <v>158.96</v>
      </c>
      <c r="M1197" t="s">
        <v>33</v>
      </c>
      <c r="N1197">
        <f t="shared" si="163"/>
        <v>0</v>
      </c>
      <c r="O1197" t="s">
        <v>86</v>
      </c>
      <c r="P1197" t="s">
        <v>1411</v>
      </c>
      <c r="Q1197">
        <v>0</v>
      </c>
      <c r="R1197">
        <v>89</v>
      </c>
      <c r="S1197">
        <f t="shared" si="164"/>
        <v>-0.21671906333945382</v>
      </c>
      <c r="T1197">
        <f t="shared" si="165"/>
        <v>0</v>
      </c>
      <c r="U1197">
        <f t="shared" si="166"/>
        <v>0</v>
      </c>
      <c r="V1197">
        <f t="shared" si="167"/>
        <v>1</v>
      </c>
      <c r="W1197">
        <f t="shared" si="168"/>
        <v>1</v>
      </c>
      <c r="X1197">
        <f t="shared" si="169"/>
        <v>0</v>
      </c>
      <c r="Y1197">
        <f t="shared" si="170"/>
        <v>0</v>
      </c>
    </row>
    <row r="1198" spans="1:25" x14ac:dyDescent="0.3">
      <c r="A1198" t="s">
        <v>4292</v>
      </c>
      <c r="B1198" t="s">
        <v>4293</v>
      </c>
      <c r="C1198" s="1">
        <v>45762</v>
      </c>
      <c r="D1198" s="3">
        <v>0.22012731481481482</v>
      </c>
      <c r="E1198">
        <f t="shared" si="162"/>
        <v>5</v>
      </c>
      <c r="F1198">
        <v>53</v>
      </c>
      <c r="G1198" t="s">
        <v>18</v>
      </c>
      <c r="H1198" t="s">
        <v>84</v>
      </c>
      <c r="I1198" t="s">
        <v>20</v>
      </c>
      <c r="J1198" t="s">
        <v>31</v>
      </c>
      <c r="K1198" t="s">
        <v>32</v>
      </c>
      <c r="L1198">
        <v>158.66999999999999</v>
      </c>
      <c r="M1198" t="s">
        <v>23</v>
      </c>
      <c r="N1198">
        <f t="shared" si="163"/>
        <v>0</v>
      </c>
      <c r="O1198" t="s">
        <v>24</v>
      </c>
      <c r="P1198" t="s">
        <v>4294</v>
      </c>
      <c r="Q1198">
        <v>0</v>
      </c>
      <c r="R1198">
        <v>399</v>
      </c>
      <c r="S1198">
        <f t="shared" si="164"/>
        <v>-0.2207338985875209</v>
      </c>
      <c r="T1198">
        <f t="shared" si="165"/>
        <v>0</v>
      </c>
      <c r="U1198">
        <f t="shared" si="166"/>
        <v>1</v>
      </c>
      <c r="V1198">
        <f t="shared" si="167"/>
        <v>0</v>
      </c>
      <c r="W1198">
        <f t="shared" si="168"/>
        <v>2</v>
      </c>
      <c r="X1198">
        <f t="shared" si="169"/>
        <v>0</v>
      </c>
      <c r="Y1198">
        <f t="shared" si="170"/>
        <v>0</v>
      </c>
    </row>
    <row r="1199" spans="1:25" x14ac:dyDescent="0.3">
      <c r="A1199" t="s">
        <v>2885</v>
      </c>
      <c r="B1199" t="s">
        <v>2886</v>
      </c>
      <c r="C1199" s="1">
        <v>45732</v>
      </c>
      <c r="D1199" s="3">
        <v>7.4652777777777776E-2</v>
      </c>
      <c r="E1199">
        <f t="shared" si="162"/>
        <v>1</v>
      </c>
      <c r="F1199">
        <v>58</v>
      </c>
      <c r="G1199" t="s">
        <v>46</v>
      </c>
      <c r="H1199" t="s">
        <v>70</v>
      </c>
      <c r="I1199" t="s">
        <v>105</v>
      </c>
      <c r="J1199" t="s">
        <v>56</v>
      </c>
      <c r="K1199" t="s">
        <v>168</v>
      </c>
      <c r="L1199">
        <v>158.55000000000001</v>
      </c>
      <c r="M1199" t="s">
        <v>42</v>
      </c>
      <c r="N1199">
        <f t="shared" si="163"/>
        <v>0</v>
      </c>
      <c r="O1199" t="s">
        <v>86</v>
      </c>
      <c r="P1199" t="s">
        <v>2887</v>
      </c>
      <c r="Q1199">
        <v>0</v>
      </c>
      <c r="R1199">
        <v>358</v>
      </c>
      <c r="S1199">
        <f t="shared" si="164"/>
        <v>-0.22239520972465168</v>
      </c>
      <c r="T1199">
        <f t="shared" si="165"/>
        <v>0</v>
      </c>
      <c r="U1199">
        <f t="shared" si="166"/>
        <v>1</v>
      </c>
      <c r="V1199">
        <f t="shared" si="167"/>
        <v>0</v>
      </c>
      <c r="W1199">
        <f t="shared" si="168"/>
        <v>2</v>
      </c>
      <c r="X1199">
        <f t="shared" si="169"/>
        <v>0</v>
      </c>
      <c r="Y1199">
        <f t="shared" si="170"/>
        <v>0</v>
      </c>
    </row>
    <row r="1200" spans="1:25" x14ac:dyDescent="0.3">
      <c r="A1200" t="s">
        <v>4205</v>
      </c>
      <c r="B1200" t="s">
        <v>4206</v>
      </c>
      <c r="C1200" s="1">
        <v>45779</v>
      </c>
      <c r="D1200" s="3">
        <v>7.0370370370370375E-2</v>
      </c>
      <c r="E1200">
        <f t="shared" si="162"/>
        <v>1</v>
      </c>
      <c r="F1200">
        <v>51</v>
      </c>
      <c r="G1200" t="s">
        <v>60</v>
      </c>
      <c r="H1200" t="s">
        <v>29</v>
      </c>
      <c r="I1200" t="s">
        <v>48</v>
      </c>
      <c r="J1200" t="s">
        <v>56</v>
      </c>
      <c r="K1200" t="s">
        <v>168</v>
      </c>
      <c r="L1200">
        <v>158.52000000000001</v>
      </c>
      <c r="M1200" t="s">
        <v>42</v>
      </c>
      <c r="N1200">
        <f t="shared" si="163"/>
        <v>0</v>
      </c>
      <c r="O1200" t="s">
        <v>24</v>
      </c>
      <c r="P1200" t="s">
        <v>4207</v>
      </c>
      <c r="Q1200">
        <v>0</v>
      </c>
      <c r="R1200">
        <v>142</v>
      </c>
      <c r="S1200">
        <f t="shared" si="164"/>
        <v>-0.22281053750893445</v>
      </c>
      <c r="T1200">
        <f t="shared" si="165"/>
        <v>0</v>
      </c>
      <c r="U1200">
        <f t="shared" si="166"/>
        <v>1</v>
      </c>
      <c r="V1200">
        <f t="shared" si="167"/>
        <v>1</v>
      </c>
      <c r="W1200">
        <f t="shared" si="168"/>
        <v>3</v>
      </c>
      <c r="X1200">
        <f t="shared" si="169"/>
        <v>0</v>
      </c>
      <c r="Y1200">
        <f t="shared" si="170"/>
        <v>0</v>
      </c>
    </row>
    <row r="1201" spans="1:25" x14ac:dyDescent="0.3">
      <c r="A1201" t="s">
        <v>1499</v>
      </c>
      <c r="B1201" t="s">
        <v>1500</v>
      </c>
      <c r="C1201" s="1">
        <v>45819</v>
      </c>
      <c r="D1201" s="3">
        <v>0.13627314814814814</v>
      </c>
      <c r="E1201">
        <f t="shared" si="162"/>
        <v>3</v>
      </c>
      <c r="F1201">
        <v>64</v>
      </c>
      <c r="G1201" t="s">
        <v>6479</v>
      </c>
      <c r="H1201" t="s">
        <v>38</v>
      </c>
      <c r="I1201" t="s">
        <v>20</v>
      </c>
      <c r="J1201" t="s">
        <v>127</v>
      </c>
      <c r="K1201" t="s">
        <v>95</v>
      </c>
      <c r="L1201">
        <v>158.4</v>
      </c>
      <c r="M1201" t="s">
        <v>115</v>
      </c>
      <c r="N1201">
        <f t="shared" si="163"/>
        <v>0</v>
      </c>
      <c r="O1201" t="s">
        <v>34</v>
      </c>
      <c r="P1201" t="s">
        <v>1501</v>
      </c>
      <c r="Q1201">
        <v>0</v>
      </c>
      <c r="R1201">
        <v>412</v>
      </c>
      <c r="S1201">
        <f t="shared" si="164"/>
        <v>-0.22447184864606562</v>
      </c>
      <c r="T1201">
        <f t="shared" si="165"/>
        <v>0</v>
      </c>
      <c r="U1201">
        <f t="shared" si="166"/>
        <v>1</v>
      </c>
      <c r="V1201">
        <f t="shared" si="167"/>
        <v>0</v>
      </c>
      <c r="W1201">
        <f t="shared" si="168"/>
        <v>2</v>
      </c>
      <c r="X1201">
        <f t="shared" si="169"/>
        <v>0</v>
      </c>
      <c r="Y1201">
        <f t="shared" si="170"/>
        <v>0</v>
      </c>
    </row>
    <row r="1202" spans="1:25" x14ac:dyDescent="0.3">
      <c r="A1202" t="s">
        <v>2225</v>
      </c>
      <c r="B1202" t="s">
        <v>2226</v>
      </c>
      <c r="C1202" s="1">
        <v>45756</v>
      </c>
      <c r="D1202" s="3">
        <v>0.29791666666666666</v>
      </c>
      <c r="E1202">
        <f t="shared" si="162"/>
        <v>7</v>
      </c>
      <c r="F1202">
        <v>44</v>
      </c>
      <c r="G1202" t="s">
        <v>18</v>
      </c>
      <c r="H1202" t="s">
        <v>175</v>
      </c>
      <c r="I1202" t="s">
        <v>48</v>
      </c>
      <c r="J1202" t="s">
        <v>56</v>
      </c>
      <c r="K1202" t="s">
        <v>41</v>
      </c>
      <c r="L1202">
        <v>158.38999999999999</v>
      </c>
      <c r="M1202" t="s">
        <v>23</v>
      </c>
      <c r="N1202">
        <f t="shared" si="163"/>
        <v>0</v>
      </c>
      <c r="O1202" t="s">
        <v>34</v>
      </c>
      <c r="P1202" t="s">
        <v>2227</v>
      </c>
      <c r="Q1202">
        <v>0</v>
      </c>
      <c r="R1202">
        <v>241</v>
      </c>
      <c r="S1202">
        <f t="shared" si="164"/>
        <v>-0.22461029124082682</v>
      </c>
      <c r="T1202">
        <f t="shared" si="165"/>
        <v>0</v>
      </c>
      <c r="U1202">
        <f t="shared" si="166"/>
        <v>0</v>
      </c>
      <c r="V1202">
        <f t="shared" si="167"/>
        <v>1</v>
      </c>
      <c r="W1202">
        <f t="shared" si="168"/>
        <v>1</v>
      </c>
      <c r="X1202">
        <f t="shared" si="169"/>
        <v>0</v>
      </c>
      <c r="Y1202">
        <f t="shared" si="170"/>
        <v>0</v>
      </c>
    </row>
    <row r="1203" spans="1:25" x14ac:dyDescent="0.3">
      <c r="A1203" t="s">
        <v>1139</v>
      </c>
      <c r="B1203" t="s">
        <v>1140</v>
      </c>
      <c r="C1203" s="1">
        <v>45763</v>
      </c>
      <c r="D1203" s="3">
        <v>2.4016203703703703E-2</v>
      </c>
      <c r="E1203">
        <f t="shared" si="162"/>
        <v>0</v>
      </c>
      <c r="F1203">
        <v>46</v>
      </c>
      <c r="G1203" t="s">
        <v>46</v>
      </c>
      <c r="H1203" t="s">
        <v>55</v>
      </c>
      <c r="I1203" t="s">
        <v>66</v>
      </c>
      <c r="J1203" t="s">
        <v>72</v>
      </c>
      <c r="K1203" t="s">
        <v>120</v>
      </c>
      <c r="L1203">
        <v>158.31</v>
      </c>
      <c r="M1203" t="s">
        <v>115</v>
      </c>
      <c r="N1203">
        <f t="shared" si="163"/>
        <v>0</v>
      </c>
      <c r="O1203" t="s">
        <v>51</v>
      </c>
      <c r="P1203" t="s">
        <v>1141</v>
      </c>
      <c r="Q1203">
        <v>0</v>
      </c>
      <c r="R1203">
        <v>120</v>
      </c>
      <c r="S1203">
        <f t="shared" si="164"/>
        <v>-0.22571783199891399</v>
      </c>
      <c r="T1203">
        <f t="shared" si="165"/>
        <v>0</v>
      </c>
      <c r="U1203">
        <f t="shared" si="166"/>
        <v>1</v>
      </c>
      <c r="V1203">
        <f t="shared" si="167"/>
        <v>1</v>
      </c>
      <c r="W1203">
        <f t="shared" si="168"/>
        <v>3</v>
      </c>
      <c r="X1203">
        <f t="shared" si="169"/>
        <v>0</v>
      </c>
      <c r="Y1203">
        <f t="shared" si="170"/>
        <v>0</v>
      </c>
    </row>
    <row r="1204" spans="1:25" x14ac:dyDescent="0.3">
      <c r="A1204" t="s">
        <v>16</v>
      </c>
      <c r="B1204" t="s">
        <v>17</v>
      </c>
      <c r="C1204" s="1">
        <v>45865</v>
      </c>
      <c r="D1204" s="3">
        <v>0.16961805555555556</v>
      </c>
      <c r="E1204">
        <f>HOUR(Table1[[#This Row],[Transaction_Time]])</f>
        <v>4</v>
      </c>
      <c r="F1204">
        <v>56</v>
      </c>
      <c r="G1204" t="s">
        <v>18</v>
      </c>
      <c r="H1204" t="s">
        <v>19</v>
      </c>
      <c r="I1204" t="s">
        <v>20</v>
      </c>
      <c r="J1204" t="s">
        <v>21</v>
      </c>
      <c r="K1204" t="s">
        <v>22</v>
      </c>
      <c r="L1204">
        <v>158.24</v>
      </c>
      <c r="M1204" t="s">
        <v>23</v>
      </c>
      <c r="N1204">
        <f t="shared" si="163"/>
        <v>0</v>
      </c>
      <c r="O1204" t="s">
        <v>24</v>
      </c>
      <c r="P1204" t="s">
        <v>25</v>
      </c>
      <c r="Q1204">
        <v>0</v>
      </c>
      <c r="R1204">
        <v>333</v>
      </c>
      <c r="S1204">
        <f t="shared" si="164"/>
        <v>-0.22668693016224037</v>
      </c>
      <c r="T1204">
        <f t="shared" si="165"/>
        <v>0</v>
      </c>
      <c r="U1204">
        <f t="shared" si="166"/>
        <v>1</v>
      </c>
      <c r="V1204">
        <f t="shared" si="167"/>
        <v>0</v>
      </c>
      <c r="W1204">
        <f t="shared" si="168"/>
        <v>2</v>
      </c>
      <c r="X1204">
        <f t="shared" si="169"/>
        <v>0</v>
      </c>
      <c r="Y1204">
        <f t="shared" si="170"/>
        <v>0</v>
      </c>
    </row>
    <row r="1205" spans="1:25" x14ac:dyDescent="0.3">
      <c r="A1205" t="s">
        <v>1358</v>
      </c>
      <c r="B1205" t="s">
        <v>1359</v>
      </c>
      <c r="C1205" s="1">
        <v>45704</v>
      </c>
      <c r="D1205" s="3">
        <v>0.17869212962962963</v>
      </c>
      <c r="E1205">
        <f t="shared" ref="E1205:E1268" si="171">HOUR(D1205)</f>
        <v>4</v>
      </c>
      <c r="F1205">
        <v>21</v>
      </c>
      <c r="G1205" t="s">
        <v>18</v>
      </c>
      <c r="H1205" t="s">
        <v>185</v>
      </c>
      <c r="I1205" t="s">
        <v>30</v>
      </c>
      <c r="J1205" t="s">
        <v>31</v>
      </c>
      <c r="K1205" t="s">
        <v>101</v>
      </c>
      <c r="L1205">
        <v>158.11000000000001</v>
      </c>
      <c r="M1205" t="s">
        <v>33</v>
      </c>
      <c r="N1205">
        <f t="shared" si="163"/>
        <v>0</v>
      </c>
      <c r="O1205" t="s">
        <v>34</v>
      </c>
      <c r="P1205" t="s">
        <v>1360</v>
      </c>
      <c r="Q1205">
        <v>0</v>
      </c>
      <c r="R1205">
        <v>497</v>
      </c>
      <c r="S1205">
        <f t="shared" si="164"/>
        <v>-0.22848668389413232</v>
      </c>
      <c r="T1205">
        <f t="shared" si="165"/>
        <v>0</v>
      </c>
      <c r="U1205">
        <f t="shared" si="166"/>
        <v>1</v>
      </c>
      <c r="V1205">
        <f t="shared" si="167"/>
        <v>0</v>
      </c>
      <c r="W1205">
        <f t="shared" si="168"/>
        <v>2</v>
      </c>
      <c r="X1205">
        <f t="shared" si="169"/>
        <v>0</v>
      </c>
      <c r="Y1205">
        <f t="shared" si="170"/>
        <v>0</v>
      </c>
    </row>
    <row r="1206" spans="1:25" x14ac:dyDescent="0.3">
      <c r="A1206" t="s">
        <v>6161</v>
      </c>
      <c r="B1206" t="s">
        <v>6162</v>
      </c>
      <c r="C1206" s="1">
        <v>45706</v>
      </c>
      <c r="D1206" s="3">
        <v>0.43153935185185183</v>
      </c>
      <c r="E1206">
        <f t="shared" si="171"/>
        <v>10</v>
      </c>
      <c r="F1206">
        <v>56</v>
      </c>
      <c r="G1206" t="s">
        <v>6479</v>
      </c>
      <c r="H1206" t="s">
        <v>38</v>
      </c>
      <c r="I1206" t="s">
        <v>110</v>
      </c>
      <c r="J1206" t="s">
        <v>72</v>
      </c>
      <c r="K1206" t="s">
        <v>62</v>
      </c>
      <c r="L1206">
        <v>158.02000000000001</v>
      </c>
      <c r="M1206" t="s">
        <v>115</v>
      </c>
      <c r="N1206">
        <f t="shared" si="163"/>
        <v>0</v>
      </c>
      <c r="O1206" t="s">
        <v>86</v>
      </c>
      <c r="P1206" t="s">
        <v>6163</v>
      </c>
      <c r="Q1206">
        <v>0</v>
      </c>
      <c r="R1206">
        <v>124</v>
      </c>
      <c r="S1206">
        <f t="shared" si="164"/>
        <v>-0.22973266724698069</v>
      </c>
      <c r="T1206">
        <f t="shared" si="165"/>
        <v>0</v>
      </c>
      <c r="U1206">
        <f t="shared" si="166"/>
        <v>0</v>
      </c>
      <c r="V1206">
        <f t="shared" si="167"/>
        <v>1</v>
      </c>
      <c r="W1206">
        <f t="shared" si="168"/>
        <v>1</v>
      </c>
      <c r="X1206">
        <f t="shared" si="169"/>
        <v>0</v>
      </c>
      <c r="Y1206">
        <f t="shared" si="170"/>
        <v>0</v>
      </c>
    </row>
    <row r="1207" spans="1:25" x14ac:dyDescent="0.3">
      <c r="A1207" t="s">
        <v>5849</v>
      </c>
      <c r="B1207" t="s">
        <v>5850</v>
      </c>
      <c r="C1207" s="1">
        <v>45825</v>
      </c>
      <c r="D1207" s="3">
        <v>6.8599537037037042E-2</v>
      </c>
      <c r="E1207">
        <f t="shared" si="171"/>
        <v>1</v>
      </c>
      <c r="F1207">
        <v>48</v>
      </c>
      <c r="G1207" t="s">
        <v>6479</v>
      </c>
      <c r="H1207" t="s">
        <v>100</v>
      </c>
      <c r="I1207" t="s">
        <v>66</v>
      </c>
      <c r="J1207" t="s">
        <v>56</v>
      </c>
      <c r="K1207" t="s">
        <v>22</v>
      </c>
      <c r="L1207">
        <v>157.91999999999999</v>
      </c>
      <c r="M1207" t="s">
        <v>42</v>
      </c>
      <c r="N1207">
        <f t="shared" si="163"/>
        <v>0</v>
      </c>
      <c r="O1207" t="s">
        <v>86</v>
      </c>
      <c r="P1207" t="s">
        <v>5851</v>
      </c>
      <c r="Q1207">
        <v>0</v>
      </c>
      <c r="R1207">
        <v>268</v>
      </c>
      <c r="S1207">
        <f t="shared" si="164"/>
        <v>-0.23111709319459026</v>
      </c>
      <c r="T1207">
        <f t="shared" si="165"/>
        <v>0</v>
      </c>
      <c r="U1207">
        <f t="shared" si="166"/>
        <v>1</v>
      </c>
      <c r="V1207">
        <f t="shared" si="167"/>
        <v>1</v>
      </c>
      <c r="W1207">
        <f t="shared" si="168"/>
        <v>3</v>
      </c>
      <c r="X1207">
        <f t="shared" si="169"/>
        <v>0</v>
      </c>
      <c r="Y1207">
        <f t="shared" si="170"/>
        <v>0</v>
      </c>
    </row>
    <row r="1208" spans="1:25" x14ac:dyDescent="0.3">
      <c r="A1208" t="s">
        <v>5078</v>
      </c>
      <c r="B1208" t="s">
        <v>5079</v>
      </c>
      <c r="C1208" s="1">
        <v>45812</v>
      </c>
      <c r="D1208" s="3">
        <v>0.16894675925925925</v>
      </c>
      <c r="E1208">
        <f t="shared" si="171"/>
        <v>4</v>
      </c>
      <c r="F1208">
        <v>49</v>
      </c>
      <c r="G1208" t="s">
        <v>46</v>
      </c>
      <c r="H1208" t="s">
        <v>47</v>
      </c>
      <c r="I1208" t="s">
        <v>66</v>
      </c>
      <c r="J1208" t="s">
        <v>127</v>
      </c>
      <c r="K1208" t="s">
        <v>41</v>
      </c>
      <c r="L1208">
        <v>157.81</v>
      </c>
      <c r="M1208" t="s">
        <v>33</v>
      </c>
      <c r="N1208">
        <f t="shared" si="163"/>
        <v>0</v>
      </c>
      <c r="O1208" t="s">
        <v>51</v>
      </c>
      <c r="P1208" t="s">
        <v>5080</v>
      </c>
      <c r="Q1208">
        <v>0</v>
      </c>
      <c r="R1208">
        <v>252</v>
      </c>
      <c r="S1208">
        <f t="shared" si="164"/>
        <v>-0.23263996173696022</v>
      </c>
      <c r="T1208">
        <f t="shared" si="165"/>
        <v>0</v>
      </c>
      <c r="U1208">
        <f t="shared" si="166"/>
        <v>1</v>
      </c>
      <c r="V1208">
        <f t="shared" si="167"/>
        <v>1</v>
      </c>
      <c r="W1208">
        <f t="shared" si="168"/>
        <v>3</v>
      </c>
      <c r="X1208">
        <f t="shared" si="169"/>
        <v>0</v>
      </c>
      <c r="Y1208">
        <f t="shared" si="170"/>
        <v>0</v>
      </c>
    </row>
    <row r="1209" spans="1:25" x14ac:dyDescent="0.3">
      <c r="A1209" t="s">
        <v>4691</v>
      </c>
      <c r="B1209" t="s">
        <v>4692</v>
      </c>
      <c r="C1209" s="1">
        <v>45725</v>
      </c>
      <c r="D1209" s="3">
        <v>0.63319444444444439</v>
      </c>
      <c r="E1209">
        <f t="shared" si="171"/>
        <v>15</v>
      </c>
      <c r="F1209" s="4">
        <v>41</v>
      </c>
      <c r="G1209" t="s">
        <v>60</v>
      </c>
      <c r="H1209" t="s">
        <v>61</v>
      </c>
      <c r="I1209" t="s">
        <v>30</v>
      </c>
      <c r="J1209" t="s">
        <v>56</v>
      </c>
      <c r="K1209" t="s">
        <v>95</v>
      </c>
      <c r="L1209">
        <v>157.77000000000001</v>
      </c>
      <c r="M1209" t="s">
        <v>33</v>
      </c>
      <c r="N1209">
        <f t="shared" si="163"/>
        <v>0</v>
      </c>
      <c r="O1209" t="s">
        <v>34</v>
      </c>
      <c r="P1209" t="s">
        <v>4693</v>
      </c>
      <c r="Q1209">
        <v>0</v>
      </c>
      <c r="R1209">
        <v>368</v>
      </c>
      <c r="S1209">
        <f t="shared" si="164"/>
        <v>-0.2331937321160038</v>
      </c>
      <c r="T1209">
        <f t="shared" si="165"/>
        <v>0</v>
      </c>
      <c r="U1209">
        <f t="shared" si="166"/>
        <v>0</v>
      </c>
      <c r="V1209">
        <f t="shared" si="167"/>
        <v>0</v>
      </c>
      <c r="W1209">
        <f t="shared" si="168"/>
        <v>0</v>
      </c>
      <c r="X1209">
        <f t="shared" si="169"/>
        <v>0</v>
      </c>
      <c r="Y1209">
        <f t="shared" si="170"/>
        <v>0</v>
      </c>
    </row>
    <row r="1210" spans="1:25" x14ac:dyDescent="0.3">
      <c r="A1210" t="s">
        <v>5660</v>
      </c>
      <c r="B1210" t="s">
        <v>5661</v>
      </c>
      <c r="C1210" s="1">
        <v>45706</v>
      </c>
      <c r="D1210" s="3">
        <v>0.52274305555555556</v>
      </c>
      <c r="E1210">
        <f t="shared" si="171"/>
        <v>12</v>
      </c>
      <c r="F1210">
        <v>25</v>
      </c>
      <c r="G1210" t="s">
        <v>60</v>
      </c>
      <c r="H1210" t="s">
        <v>232</v>
      </c>
      <c r="I1210" t="s">
        <v>110</v>
      </c>
      <c r="J1210" t="s">
        <v>21</v>
      </c>
      <c r="K1210" t="s">
        <v>50</v>
      </c>
      <c r="L1210">
        <v>157.72999999999999</v>
      </c>
      <c r="M1210" t="s">
        <v>42</v>
      </c>
      <c r="N1210">
        <f t="shared" si="163"/>
        <v>0</v>
      </c>
      <c r="O1210" t="s">
        <v>34</v>
      </c>
      <c r="P1210" t="s">
        <v>5662</v>
      </c>
      <c r="Q1210">
        <v>0</v>
      </c>
      <c r="R1210">
        <v>55</v>
      </c>
      <c r="S1210">
        <f t="shared" si="164"/>
        <v>-0.23374750249504778</v>
      </c>
      <c r="T1210">
        <f t="shared" si="165"/>
        <v>0</v>
      </c>
      <c r="U1210">
        <f t="shared" si="166"/>
        <v>0</v>
      </c>
      <c r="V1210">
        <f t="shared" si="167"/>
        <v>1</v>
      </c>
      <c r="W1210">
        <f t="shared" si="168"/>
        <v>1</v>
      </c>
      <c r="X1210">
        <f t="shared" si="169"/>
        <v>0</v>
      </c>
      <c r="Y1210">
        <f t="shared" si="170"/>
        <v>0</v>
      </c>
    </row>
    <row r="1211" spans="1:25" x14ac:dyDescent="0.3">
      <c r="A1211" t="s">
        <v>6197</v>
      </c>
      <c r="B1211" t="s">
        <v>6198</v>
      </c>
      <c r="C1211" s="1">
        <v>45792</v>
      </c>
      <c r="D1211" s="3">
        <v>7.885416666666667E-2</v>
      </c>
      <c r="E1211">
        <f t="shared" si="171"/>
        <v>1</v>
      </c>
      <c r="F1211">
        <v>22</v>
      </c>
      <c r="G1211" t="s">
        <v>46</v>
      </c>
      <c r="H1211" t="s">
        <v>239</v>
      </c>
      <c r="I1211" t="s">
        <v>85</v>
      </c>
      <c r="J1211" t="s">
        <v>94</v>
      </c>
      <c r="K1211" t="s">
        <v>32</v>
      </c>
      <c r="L1211">
        <v>157.69999999999999</v>
      </c>
      <c r="M1211" t="s">
        <v>42</v>
      </c>
      <c r="N1211">
        <f t="shared" si="163"/>
        <v>0</v>
      </c>
      <c r="O1211" t="s">
        <v>34</v>
      </c>
      <c r="P1211" t="s">
        <v>6199</v>
      </c>
      <c r="Q1211">
        <v>0</v>
      </c>
      <c r="R1211">
        <v>231</v>
      </c>
      <c r="S1211">
        <f t="shared" si="164"/>
        <v>-0.23416283027933057</v>
      </c>
      <c r="T1211">
        <f t="shared" si="165"/>
        <v>0</v>
      </c>
      <c r="U1211">
        <f t="shared" si="166"/>
        <v>1</v>
      </c>
      <c r="V1211">
        <f t="shared" si="167"/>
        <v>1</v>
      </c>
      <c r="W1211">
        <f t="shared" si="168"/>
        <v>3</v>
      </c>
      <c r="X1211">
        <f t="shared" si="169"/>
        <v>0</v>
      </c>
      <c r="Y1211">
        <f t="shared" si="170"/>
        <v>0</v>
      </c>
    </row>
    <row r="1212" spans="1:25" x14ac:dyDescent="0.3">
      <c r="A1212" t="s">
        <v>3128</v>
      </c>
      <c r="B1212" t="s">
        <v>3129</v>
      </c>
      <c r="C1212" s="1">
        <v>45855</v>
      </c>
      <c r="D1212" s="3">
        <v>0.99674768518518519</v>
      </c>
      <c r="E1212">
        <f t="shared" si="171"/>
        <v>23</v>
      </c>
      <c r="F1212">
        <v>27</v>
      </c>
      <c r="G1212" t="s">
        <v>46</v>
      </c>
      <c r="H1212" t="s">
        <v>100</v>
      </c>
      <c r="I1212" t="s">
        <v>66</v>
      </c>
      <c r="J1212" t="s">
        <v>49</v>
      </c>
      <c r="K1212" t="s">
        <v>62</v>
      </c>
      <c r="L1212">
        <v>157.69</v>
      </c>
      <c r="M1212" t="s">
        <v>42</v>
      </c>
      <c r="N1212">
        <f t="shared" si="163"/>
        <v>0</v>
      </c>
      <c r="O1212" t="s">
        <v>24</v>
      </c>
      <c r="P1212" t="s">
        <v>3130</v>
      </c>
      <c r="Q1212">
        <v>0</v>
      </c>
      <c r="R1212">
        <v>488</v>
      </c>
      <c r="S1212">
        <f t="shared" si="164"/>
        <v>-0.23430127287409136</v>
      </c>
      <c r="T1212">
        <f t="shared" si="165"/>
        <v>0</v>
      </c>
      <c r="U1212">
        <f t="shared" si="166"/>
        <v>0</v>
      </c>
      <c r="V1212">
        <f t="shared" si="167"/>
        <v>0</v>
      </c>
      <c r="W1212">
        <f t="shared" si="168"/>
        <v>0</v>
      </c>
      <c r="X1212">
        <f t="shared" si="169"/>
        <v>0</v>
      </c>
      <c r="Y1212">
        <f t="shared" si="170"/>
        <v>0</v>
      </c>
    </row>
    <row r="1213" spans="1:25" x14ac:dyDescent="0.3">
      <c r="A1213" t="s">
        <v>4229</v>
      </c>
      <c r="B1213" t="s">
        <v>4230</v>
      </c>
      <c r="C1213" s="1">
        <v>45818</v>
      </c>
      <c r="D1213" s="3">
        <v>0.54043981481481485</v>
      </c>
      <c r="E1213">
        <f t="shared" si="171"/>
        <v>12</v>
      </c>
      <c r="F1213">
        <v>39</v>
      </c>
      <c r="G1213" t="s">
        <v>46</v>
      </c>
      <c r="H1213" t="s">
        <v>38</v>
      </c>
      <c r="I1213" t="s">
        <v>20</v>
      </c>
      <c r="J1213" t="s">
        <v>127</v>
      </c>
      <c r="K1213" t="s">
        <v>32</v>
      </c>
      <c r="L1213">
        <v>157.55000000000001</v>
      </c>
      <c r="M1213" t="s">
        <v>42</v>
      </c>
      <c r="N1213">
        <f t="shared" si="163"/>
        <v>0</v>
      </c>
      <c r="O1213" t="s">
        <v>34</v>
      </c>
      <c r="P1213" t="s">
        <v>4231</v>
      </c>
      <c r="Q1213">
        <v>0</v>
      </c>
      <c r="R1213">
        <v>435</v>
      </c>
      <c r="S1213">
        <f t="shared" si="164"/>
        <v>-0.23623946920074412</v>
      </c>
      <c r="T1213">
        <f t="shared" si="165"/>
        <v>0</v>
      </c>
      <c r="U1213">
        <f t="shared" si="166"/>
        <v>0</v>
      </c>
      <c r="V1213">
        <f t="shared" si="167"/>
        <v>0</v>
      </c>
      <c r="W1213">
        <f t="shared" si="168"/>
        <v>0</v>
      </c>
      <c r="X1213">
        <f t="shared" si="169"/>
        <v>0</v>
      </c>
      <c r="Y1213">
        <f t="shared" si="170"/>
        <v>0</v>
      </c>
    </row>
    <row r="1214" spans="1:25" x14ac:dyDescent="0.3">
      <c r="A1214" t="s">
        <v>3731</v>
      </c>
      <c r="B1214" s="2" t="s">
        <v>3732</v>
      </c>
      <c r="C1214" s="1">
        <v>45785</v>
      </c>
      <c r="D1214" s="3">
        <v>0.34019675925925924</v>
      </c>
      <c r="E1214">
        <f t="shared" si="171"/>
        <v>8</v>
      </c>
      <c r="F1214" s="4">
        <v>41</v>
      </c>
      <c r="G1214" t="s">
        <v>60</v>
      </c>
      <c r="H1214" t="s">
        <v>80</v>
      </c>
      <c r="I1214" t="s">
        <v>119</v>
      </c>
      <c r="J1214" t="s">
        <v>132</v>
      </c>
      <c r="K1214" t="s">
        <v>168</v>
      </c>
      <c r="L1214">
        <v>157.33000000000001</v>
      </c>
      <c r="M1214" t="s">
        <v>6479</v>
      </c>
      <c r="N1214">
        <f t="shared" si="163"/>
        <v>1</v>
      </c>
      <c r="O1214" t="s">
        <v>86</v>
      </c>
      <c r="P1214" t="s">
        <v>3733</v>
      </c>
      <c r="Q1214">
        <v>0</v>
      </c>
      <c r="R1214">
        <v>362</v>
      </c>
      <c r="S1214">
        <f t="shared" si="164"/>
        <v>-0.23928520628548444</v>
      </c>
      <c r="T1214">
        <f t="shared" si="165"/>
        <v>0</v>
      </c>
      <c r="U1214">
        <f t="shared" si="166"/>
        <v>0</v>
      </c>
      <c r="V1214">
        <f t="shared" si="167"/>
        <v>0</v>
      </c>
      <c r="W1214">
        <f t="shared" si="168"/>
        <v>2</v>
      </c>
      <c r="X1214">
        <f t="shared" si="169"/>
        <v>0</v>
      </c>
      <c r="Y1214">
        <f t="shared" si="170"/>
        <v>1</v>
      </c>
    </row>
    <row r="1215" spans="1:25" x14ac:dyDescent="0.3">
      <c r="A1215" t="s">
        <v>4022</v>
      </c>
      <c r="B1215" t="s">
        <v>4023</v>
      </c>
      <c r="C1215" s="1">
        <v>45808</v>
      </c>
      <c r="D1215" s="3">
        <v>0.28318287037037038</v>
      </c>
      <c r="E1215">
        <f t="shared" si="171"/>
        <v>6</v>
      </c>
      <c r="F1215">
        <v>36</v>
      </c>
      <c r="G1215" t="s">
        <v>99</v>
      </c>
      <c r="H1215" t="s">
        <v>189</v>
      </c>
      <c r="I1215" t="s">
        <v>110</v>
      </c>
      <c r="J1215" t="s">
        <v>56</v>
      </c>
      <c r="K1215" t="s">
        <v>101</v>
      </c>
      <c r="L1215">
        <v>157.33000000000001</v>
      </c>
      <c r="M1215" t="s">
        <v>115</v>
      </c>
      <c r="N1215">
        <f t="shared" si="163"/>
        <v>0</v>
      </c>
      <c r="O1215" t="s">
        <v>24</v>
      </c>
      <c r="P1215" t="s">
        <v>4024</v>
      </c>
      <c r="Q1215">
        <v>0</v>
      </c>
      <c r="R1215">
        <v>459</v>
      </c>
      <c r="S1215">
        <f t="shared" si="164"/>
        <v>-0.23928520628548444</v>
      </c>
      <c r="T1215">
        <f t="shared" si="165"/>
        <v>0</v>
      </c>
      <c r="U1215">
        <f t="shared" si="166"/>
        <v>0</v>
      </c>
      <c r="V1215">
        <f t="shared" si="167"/>
        <v>0</v>
      </c>
      <c r="W1215">
        <f t="shared" si="168"/>
        <v>0</v>
      </c>
      <c r="X1215">
        <f t="shared" si="169"/>
        <v>0</v>
      </c>
      <c r="Y1215">
        <f t="shared" si="170"/>
        <v>0</v>
      </c>
    </row>
    <row r="1216" spans="1:25" x14ac:dyDescent="0.3">
      <c r="A1216" t="s">
        <v>4721</v>
      </c>
      <c r="B1216" t="s">
        <v>4722</v>
      </c>
      <c r="C1216" s="1">
        <v>45845</v>
      </c>
      <c r="D1216" s="3">
        <v>3.0011574074074072E-2</v>
      </c>
      <c r="E1216">
        <f t="shared" si="171"/>
        <v>0</v>
      </c>
      <c r="F1216">
        <v>52</v>
      </c>
      <c r="G1216" t="s">
        <v>46</v>
      </c>
      <c r="H1216" t="s">
        <v>80</v>
      </c>
      <c r="I1216" t="s">
        <v>119</v>
      </c>
      <c r="J1216" t="s">
        <v>132</v>
      </c>
      <c r="K1216" t="s">
        <v>95</v>
      </c>
      <c r="L1216">
        <v>157.27000000000001</v>
      </c>
      <c r="M1216" t="s">
        <v>115</v>
      </c>
      <c r="N1216">
        <f t="shared" si="163"/>
        <v>0</v>
      </c>
      <c r="O1216" t="s">
        <v>34</v>
      </c>
      <c r="P1216" t="s">
        <v>4723</v>
      </c>
      <c r="Q1216">
        <v>0</v>
      </c>
      <c r="R1216">
        <v>102</v>
      </c>
      <c r="S1216">
        <f t="shared" si="164"/>
        <v>-0.24011586185405004</v>
      </c>
      <c r="T1216">
        <f t="shared" si="165"/>
        <v>0</v>
      </c>
      <c r="U1216">
        <f t="shared" si="166"/>
        <v>1</v>
      </c>
      <c r="V1216">
        <f t="shared" si="167"/>
        <v>1</v>
      </c>
      <c r="W1216">
        <f t="shared" si="168"/>
        <v>3</v>
      </c>
      <c r="X1216">
        <f t="shared" si="169"/>
        <v>0</v>
      </c>
      <c r="Y1216">
        <f t="shared" si="170"/>
        <v>0</v>
      </c>
    </row>
    <row r="1217" spans="1:25" x14ac:dyDescent="0.3">
      <c r="A1217" t="s">
        <v>2420</v>
      </c>
      <c r="B1217" t="s">
        <v>2421</v>
      </c>
      <c r="C1217" s="1">
        <v>45838</v>
      </c>
      <c r="D1217" s="3">
        <v>0.62714120370370374</v>
      </c>
      <c r="E1217">
        <f t="shared" si="171"/>
        <v>15</v>
      </c>
      <c r="F1217">
        <v>57</v>
      </c>
      <c r="G1217" t="s">
        <v>46</v>
      </c>
      <c r="H1217" t="s">
        <v>142</v>
      </c>
      <c r="I1217" t="s">
        <v>105</v>
      </c>
      <c r="J1217" t="s">
        <v>94</v>
      </c>
      <c r="K1217" t="s">
        <v>50</v>
      </c>
      <c r="L1217">
        <v>156.86000000000001</v>
      </c>
      <c r="M1217" t="s">
        <v>6479</v>
      </c>
      <c r="N1217">
        <f t="shared" si="163"/>
        <v>1</v>
      </c>
      <c r="O1217" t="s">
        <v>51</v>
      </c>
      <c r="P1217" t="s">
        <v>2422</v>
      </c>
      <c r="Q1217">
        <v>0</v>
      </c>
      <c r="R1217">
        <v>271</v>
      </c>
      <c r="S1217">
        <f t="shared" si="164"/>
        <v>-0.24579200823924788</v>
      </c>
      <c r="T1217">
        <f t="shared" si="165"/>
        <v>0</v>
      </c>
      <c r="U1217">
        <f t="shared" si="166"/>
        <v>0</v>
      </c>
      <c r="V1217">
        <f t="shared" si="167"/>
        <v>1</v>
      </c>
      <c r="W1217">
        <f t="shared" si="168"/>
        <v>3</v>
      </c>
      <c r="X1217">
        <f t="shared" si="169"/>
        <v>0</v>
      </c>
      <c r="Y1217">
        <f t="shared" si="170"/>
        <v>1</v>
      </c>
    </row>
    <row r="1218" spans="1:25" x14ac:dyDescent="0.3">
      <c r="A1218" t="s">
        <v>2429</v>
      </c>
      <c r="B1218" t="s">
        <v>2430</v>
      </c>
      <c r="C1218" s="1">
        <v>45796</v>
      </c>
      <c r="D1218" s="3">
        <v>0.67754629629629626</v>
      </c>
      <c r="E1218">
        <f t="shared" si="171"/>
        <v>16</v>
      </c>
      <c r="F1218">
        <v>45</v>
      </c>
      <c r="G1218" t="s">
        <v>6479</v>
      </c>
      <c r="H1218" t="s">
        <v>84</v>
      </c>
      <c r="I1218" t="s">
        <v>71</v>
      </c>
      <c r="J1218" t="s">
        <v>56</v>
      </c>
      <c r="K1218" t="s">
        <v>101</v>
      </c>
      <c r="L1218">
        <v>156.79</v>
      </c>
      <c r="M1218" t="s">
        <v>42</v>
      </c>
      <c r="N1218">
        <f t="shared" ref="N1218:N1281" si="172">IF(M1218="Unknown",1,0)</f>
        <v>0</v>
      </c>
      <c r="O1218" t="s">
        <v>86</v>
      </c>
      <c r="P1218" t="s">
        <v>2431</v>
      </c>
      <c r="Q1218">
        <v>0</v>
      </c>
      <c r="R1218">
        <v>447</v>
      </c>
      <c r="S1218">
        <f t="shared" ref="S1218:S1281" si="173">(L1218-$P$2137)/$P$2138</f>
        <v>-0.24676110640257465</v>
      </c>
      <c r="T1218">
        <f t="shared" ref="T1218:T1281" si="174">IF(ABS(Z1218)&gt;3,1,0)</f>
        <v>0</v>
      </c>
      <c r="U1218">
        <f t="shared" ref="U1218:U1281" si="175">IF(AND(E1218&gt;=0,E1218&lt;=5),1,0)</f>
        <v>0</v>
      </c>
      <c r="V1218">
        <f t="shared" ref="V1218:V1281" si="176">IF(R1218&lt;AVERAGE($R:$R),1,0)</f>
        <v>0</v>
      </c>
      <c r="W1218">
        <f t="shared" ref="W1218:W1281" si="177">T1218*3+U1218*2+V1218*1+N1218*2</f>
        <v>0</v>
      </c>
      <c r="X1218">
        <f t="shared" ref="X1218:X1281" si="178">IF(W1218&gt;=5,1,0)</f>
        <v>0</v>
      </c>
      <c r="Y1218">
        <f t="shared" ref="Y1218:Y1281" si="179">IF(M1218="Unknown",1,0)</f>
        <v>0</v>
      </c>
    </row>
    <row r="1219" spans="1:25" x14ac:dyDescent="0.3">
      <c r="A1219" t="s">
        <v>4295</v>
      </c>
      <c r="B1219" t="s">
        <v>4296</v>
      </c>
      <c r="C1219" s="1">
        <v>45794</v>
      </c>
      <c r="D1219" s="3">
        <v>0.23153935185185184</v>
      </c>
      <c r="E1219">
        <f t="shared" si="171"/>
        <v>5</v>
      </c>
      <c r="F1219">
        <v>43</v>
      </c>
      <c r="G1219" t="s">
        <v>46</v>
      </c>
      <c r="H1219" t="s">
        <v>100</v>
      </c>
      <c r="I1219" t="s">
        <v>30</v>
      </c>
      <c r="J1219" t="s">
        <v>94</v>
      </c>
      <c r="K1219" t="s">
        <v>22</v>
      </c>
      <c r="L1219">
        <v>156.61000000000001</v>
      </c>
      <c r="M1219" t="s">
        <v>42</v>
      </c>
      <c r="N1219">
        <f t="shared" si="172"/>
        <v>0</v>
      </c>
      <c r="O1219" t="s">
        <v>34</v>
      </c>
      <c r="P1219" t="s">
        <v>4297</v>
      </c>
      <c r="Q1219">
        <v>0</v>
      </c>
      <c r="R1219">
        <v>56</v>
      </c>
      <c r="S1219">
        <f t="shared" si="173"/>
        <v>-0.24925307310827099</v>
      </c>
      <c r="T1219">
        <f t="shared" si="174"/>
        <v>0</v>
      </c>
      <c r="U1219">
        <f t="shared" si="175"/>
        <v>1</v>
      </c>
      <c r="V1219">
        <f t="shared" si="176"/>
        <v>1</v>
      </c>
      <c r="W1219">
        <f t="shared" si="177"/>
        <v>3</v>
      </c>
      <c r="X1219">
        <f t="shared" si="178"/>
        <v>0</v>
      </c>
      <c r="Y1219">
        <f t="shared" si="179"/>
        <v>0</v>
      </c>
    </row>
    <row r="1220" spans="1:25" x14ac:dyDescent="0.3">
      <c r="A1220" t="s">
        <v>3077</v>
      </c>
      <c r="B1220" t="s">
        <v>3078</v>
      </c>
      <c r="C1220" s="1">
        <v>45780</v>
      </c>
      <c r="D1220" s="3">
        <v>0.63768518518518513</v>
      </c>
      <c r="E1220">
        <f t="shared" si="171"/>
        <v>15</v>
      </c>
      <c r="F1220">
        <v>37</v>
      </c>
      <c r="G1220" t="s">
        <v>46</v>
      </c>
      <c r="H1220" t="s">
        <v>70</v>
      </c>
      <c r="I1220" t="s">
        <v>39</v>
      </c>
      <c r="J1220" t="s">
        <v>76</v>
      </c>
      <c r="K1220" t="s">
        <v>101</v>
      </c>
      <c r="L1220">
        <v>156.56</v>
      </c>
      <c r="M1220" t="s">
        <v>33</v>
      </c>
      <c r="N1220">
        <f t="shared" si="172"/>
        <v>0</v>
      </c>
      <c r="O1220" t="s">
        <v>24</v>
      </c>
      <c r="P1220" t="s">
        <v>3079</v>
      </c>
      <c r="Q1220">
        <v>0</v>
      </c>
      <c r="R1220">
        <v>486</v>
      </c>
      <c r="S1220">
        <f t="shared" si="173"/>
        <v>-0.24994528608207578</v>
      </c>
      <c r="T1220">
        <f t="shared" si="174"/>
        <v>0</v>
      </c>
      <c r="U1220">
        <f t="shared" si="175"/>
        <v>0</v>
      </c>
      <c r="V1220">
        <f t="shared" si="176"/>
        <v>0</v>
      </c>
      <c r="W1220">
        <f t="shared" si="177"/>
        <v>0</v>
      </c>
      <c r="X1220">
        <f t="shared" si="178"/>
        <v>0</v>
      </c>
      <c r="Y1220">
        <f t="shared" si="179"/>
        <v>0</v>
      </c>
    </row>
    <row r="1221" spans="1:25" x14ac:dyDescent="0.3">
      <c r="A1221" t="s">
        <v>137</v>
      </c>
      <c r="B1221" t="s">
        <v>138</v>
      </c>
      <c r="C1221" s="1">
        <v>45752</v>
      </c>
      <c r="D1221" s="3">
        <v>0.41480324074074076</v>
      </c>
      <c r="E1221">
        <f t="shared" si="171"/>
        <v>9</v>
      </c>
      <c r="F1221">
        <v>19</v>
      </c>
      <c r="G1221" t="s">
        <v>18</v>
      </c>
      <c r="H1221" t="s">
        <v>61</v>
      </c>
      <c r="I1221" t="s">
        <v>20</v>
      </c>
      <c r="J1221" t="s">
        <v>127</v>
      </c>
      <c r="K1221" t="s">
        <v>41</v>
      </c>
      <c r="L1221">
        <v>156.16</v>
      </c>
      <c r="M1221" t="s">
        <v>23</v>
      </c>
      <c r="N1221">
        <f t="shared" si="172"/>
        <v>0</v>
      </c>
      <c r="O1221" t="s">
        <v>24</v>
      </c>
      <c r="P1221" t="s">
        <v>139</v>
      </c>
      <c r="Q1221">
        <v>0</v>
      </c>
      <c r="R1221">
        <v>290</v>
      </c>
      <c r="S1221">
        <f t="shared" si="173"/>
        <v>-0.25548298987251283</v>
      </c>
      <c r="T1221">
        <f t="shared" si="174"/>
        <v>0</v>
      </c>
      <c r="U1221">
        <f t="shared" si="175"/>
        <v>0</v>
      </c>
      <c r="V1221">
        <f t="shared" si="176"/>
        <v>0</v>
      </c>
      <c r="W1221">
        <f t="shared" si="177"/>
        <v>0</v>
      </c>
      <c r="X1221">
        <f t="shared" si="178"/>
        <v>0</v>
      </c>
      <c r="Y1221">
        <f t="shared" si="179"/>
        <v>0</v>
      </c>
    </row>
    <row r="1222" spans="1:25" x14ac:dyDescent="0.3">
      <c r="A1222" t="s">
        <v>5294</v>
      </c>
      <c r="B1222" t="s">
        <v>5295</v>
      </c>
      <c r="C1222" s="1">
        <v>45828</v>
      </c>
      <c r="D1222" s="3">
        <v>0.9194444444444444</v>
      </c>
      <c r="E1222">
        <f t="shared" si="171"/>
        <v>22</v>
      </c>
      <c r="F1222">
        <v>47</v>
      </c>
      <c r="G1222" t="s">
        <v>60</v>
      </c>
      <c r="H1222" t="s">
        <v>90</v>
      </c>
      <c r="I1222" t="s">
        <v>20</v>
      </c>
      <c r="J1222" t="s">
        <v>40</v>
      </c>
      <c r="K1222" t="s">
        <v>22</v>
      </c>
      <c r="L1222">
        <v>156.16</v>
      </c>
      <c r="M1222" t="s">
        <v>33</v>
      </c>
      <c r="N1222">
        <f t="shared" si="172"/>
        <v>0</v>
      </c>
      <c r="O1222" t="s">
        <v>24</v>
      </c>
      <c r="P1222" t="s">
        <v>5296</v>
      </c>
      <c r="Q1222">
        <v>0</v>
      </c>
      <c r="R1222">
        <v>487</v>
      </c>
      <c r="S1222">
        <f t="shared" si="173"/>
        <v>-0.25548298987251283</v>
      </c>
      <c r="T1222">
        <f t="shared" si="174"/>
        <v>0</v>
      </c>
      <c r="U1222">
        <f t="shared" si="175"/>
        <v>0</v>
      </c>
      <c r="V1222">
        <f t="shared" si="176"/>
        <v>0</v>
      </c>
      <c r="W1222">
        <f t="shared" si="177"/>
        <v>0</v>
      </c>
      <c r="X1222">
        <f t="shared" si="178"/>
        <v>0</v>
      </c>
      <c r="Y1222">
        <f t="shared" si="179"/>
        <v>0</v>
      </c>
    </row>
    <row r="1223" spans="1:25" x14ac:dyDescent="0.3">
      <c r="A1223" t="s">
        <v>2972</v>
      </c>
      <c r="B1223" t="s">
        <v>2973</v>
      </c>
      <c r="C1223" s="1">
        <v>45843</v>
      </c>
      <c r="D1223" s="3">
        <v>0.65109953703703705</v>
      </c>
      <c r="E1223">
        <f t="shared" si="171"/>
        <v>15</v>
      </c>
      <c r="F1223">
        <v>47</v>
      </c>
      <c r="G1223" t="s">
        <v>99</v>
      </c>
      <c r="H1223" t="s">
        <v>84</v>
      </c>
      <c r="I1223" t="s">
        <v>48</v>
      </c>
      <c r="J1223" t="s">
        <v>76</v>
      </c>
      <c r="K1223" t="s">
        <v>168</v>
      </c>
      <c r="L1223">
        <v>156.13999999999999</v>
      </c>
      <c r="M1223" t="s">
        <v>23</v>
      </c>
      <c r="N1223">
        <f t="shared" si="172"/>
        <v>0</v>
      </c>
      <c r="O1223" t="s">
        <v>24</v>
      </c>
      <c r="P1223" t="s">
        <v>2974</v>
      </c>
      <c r="Q1223">
        <v>0</v>
      </c>
      <c r="R1223">
        <v>391</v>
      </c>
      <c r="S1223">
        <f t="shared" si="173"/>
        <v>-0.25575987506203485</v>
      </c>
      <c r="T1223">
        <f t="shared" si="174"/>
        <v>0</v>
      </c>
      <c r="U1223">
        <f t="shared" si="175"/>
        <v>0</v>
      </c>
      <c r="V1223">
        <f t="shared" si="176"/>
        <v>0</v>
      </c>
      <c r="W1223">
        <f t="shared" si="177"/>
        <v>0</v>
      </c>
      <c r="X1223">
        <f t="shared" si="178"/>
        <v>0</v>
      </c>
      <c r="Y1223">
        <f t="shared" si="179"/>
        <v>0</v>
      </c>
    </row>
    <row r="1224" spans="1:25" x14ac:dyDescent="0.3">
      <c r="A1224" t="s">
        <v>5120</v>
      </c>
      <c r="B1224" t="s">
        <v>5121</v>
      </c>
      <c r="C1224" s="1">
        <v>45706</v>
      </c>
      <c r="D1224" s="3">
        <v>0.73133101851851856</v>
      </c>
      <c r="E1224">
        <f t="shared" si="171"/>
        <v>17</v>
      </c>
      <c r="F1224">
        <v>57</v>
      </c>
      <c r="G1224" t="s">
        <v>60</v>
      </c>
      <c r="H1224" t="s">
        <v>29</v>
      </c>
      <c r="I1224" t="s">
        <v>30</v>
      </c>
      <c r="J1224" t="s">
        <v>56</v>
      </c>
      <c r="K1224" t="s">
        <v>120</v>
      </c>
      <c r="L1224">
        <v>156.13999999999999</v>
      </c>
      <c r="M1224" t="s">
        <v>115</v>
      </c>
      <c r="N1224">
        <f t="shared" si="172"/>
        <v>0</v>
      </c>
      <c r="O1224" t="s">
        <v>34</v>
      </c>
      <c r="P1224" t="s">
        <v>5122</v>
      </c>
      <c r="Q1224">
        <v>0</v>
      </c>
      <c r="R1224">
        <v>107</v>
      </c>
      <c r="S1224">
        <f t="shared" si="173"/>
        <v>-0.25575987506203485</v>
      </c>
      <c r="T1224">
        <f t="shared" si="174"/>
        <v>0</v>
      </c>
      <c r="U1224">
        <f t="shared" si="175"/>
        <v>0</v>
      </c>
      <c r="V1224">
        <f t="shared" si="176"/>
        <v>1</v>
      </c>
      <c r="W1224">
        <f t="shared" si="177"/>
        <v>1</v>
      </c>
      <c r="X1224">
        <f t="shared" si="178"/>
        <v>0</v>
      </c>
      <c r="Y1224">
        <f t="shared" si="179"/>
        <v>0</v>
      </c>
    </row>
    <row r="1225" spans="1:25" x14ac:dyDescent="0.3">
      <c r="A1225" t="s">
        <v>6065</v>
      </c>
      <c r="B1225" t="s">
        <v>6066</v>
      </c>
      <c r="C1225" s="1">
        <v>45833</v>
      </c>
      <c r="D1225" s="3">
        <v>0.53615740740740736</v>
      </c>
      <c r="E1225">
        <f t="shared" si="171"/>
        <v>12</v>
      </c>
      <c r="F1225">
        <v>51</v>
      </c>
      <c r="G1225" t="s">
        <v>60</v>
      </c>
      <c r="H1225" t="s">
        <v>47</v>
      </c>
      <c r="I1225" t="s">
        <v>30</v>
      </c>
      <c r="J1225" t="s">
        <v>76</v>
      </c>
      <c r="K1225" t="s">
        <v>62</v>
      </c>
      <c r="L1225">
        <v>156.09</v>
      </c>
      <c r="M1225" t="s">
        <v>6479</v>
      </c>
      <c r="N1225">
        <f t="shared" si="172"/>
        <v>1</v>
      </c>
      <c r="O1225" t="s">
        <v>86</v>
      </c>
      <c r="P1225" t="s">
        <v>6067</v>
      </c>
      <c r="Q1225">
        <v>0</v>
      </c>
      <c r="R1225">
        <v>65</v>
      </c>
      <c r="S1225">
        <f t="shared" si="173"/>
        <v>-0.25645208803583924</v>
      </c>
      <c r="T1225">
        <f t="shared" si="174"/>
        <v>0</v>
      </c>
      <c r="U1225">
        <f t="shared" si="175"/>
        <v>0</v>
      </c>
      <c r="V1225">
        <f t="shared" si="176"/>
        <v>1</v>
      </c>
      <c r="W1225">
        <f t="shared" si="177"/>
        <v>3</v>
      </c>
      <c r="X1225">
        <f t="shared" si="178"/>
        <v>0</v>
      </c>
      <c r="Y1225">
        <f t="shared" si="179"/>
        <v>1</v>
      </c>
    </row>
    <row r="1226" spans="1:25" x14ac:dyDescent="0.3">
      <c r="A1226" t="s">
        <v>2108</v>
      </c>
      <c r="B1226" t="s">
        <v>2109</v>
      </c>
      <c r="C1226" s="1">
        <v>45778</v>
      </c>
      <c r="D1226" s="3">
        <v>0.96956018518518516</v>
      </c>
      <c r="E1226">
        <f t="shared" si="171"/>
        <v>23</v>
      </c>
      <c r="F1226">
        <v>38</v>
      </c>
      <c r="G1226" t="s">
        <v>46</v>
      </c>
      <c r="H1226" t="s">
        <v>175</v>
      </c>
      <c r="I1226" t="s">
        <v>71</v>
      </c>
      <c r="J1226" t="s">
        <v>132</v>
      </c>
      <c r="K1226" t="s">
        <v>41</v>
      </c>
      <c r="L1226">
        <v>155.86000000000001</v>
      </c>
      <c r="M1226" t="s">
        <v>6479</v>
      </c>
      <c r="N1226">
        <f t="shared" si="172"/>
        <v>1</v>
      </c>
      <c r="O1226" t="s">
        <v>24</v>
      </c>
      <c r="P1226" t="s">
        <v>2110</v>
      </c>
      <c r="Q1226">
        <v>0</v>
      </c>
      <c r="R1226">
        <v>412</v>
      </c>
      <c r="S1226">
        <f t="shared" si="173"/>
        <v>-0.25963626771534032</v>
      </c>
      <c r="T1226">
        <f t="shared" si="174"/>
        <v>0</v>
      </c>
      <c r="U1226">
        <f t="shared" si="175"/>
        <v>0</v>
      </c>
      <c r="V1226">
        <f t="shared" si="176"/>
        <v>0</v>
      </c>
      <c r="W1226">
        <f t="shared" si="177"/>
        <v>2</v>
      </c>
      <c r="X1226">
        <f t="shared" si="178"/>
        <v>0</v>
      </c>
      <c r="Y1226">
        <f t="shared" si="179"/>
        <v>1</v>
      </c>
    </row>
    <row r="1227" spans="1:25" x14ac:dyDescent="0.3">
      <c r="A1227" t="s">
        <v>5219</v>
      </c>
      <c r="B1227" t="s">
        <v>5220</v>
      </c>
      <c r="C1227" s="1">
        <v>45787</v>
      </c>
      <c r="D1227" s="3">
        <v>0.6732407407407407</v>
      </c>
      <c r="E1227">
        <f t="shared" si="171"/>
        <v>16</v>
      </c>
      <c r="F1227">
        <v>56</v>
      </c>
      <c r="G1227" t="s">
        <v>46</v>
      </c>
      <c r="H1227" t="s">
        <v>239</v>
      </c>
      <c r="I1227" t="s">
        <v>85</v>
      </c>
      <c r="J1227" t="s">
        <v>21</v>
      </c>
      <c r="K1227" t="s">
        <v>95</v>
      </c>
      <c r="L1227">
        <v>155.83000000000001</v>
      </c>
      <c r="M1227" t="s">
        <v>115</v>
      </c>
      <c r="N1227">
        <f t="shared" si="172"/>
        <v>0</v>
      </c>
      <c r="O1227" t="s">
        <v>34</v>
      </c>
      <c r="P1227" t="s">
        <v>5221</v>
      </c>
      <c r="Q1227">
        <v>0</v>
      </c>
      <c r="R1227">
        <v>408</v>
      </c>
      <c r="S1227">
        <f t="shared" si="173"/>
        <v>-0.26005159549962314</v>
      </c>
      <c r="T1227">
        <f t="shared" si="174"/>
        <v>0</v>
      </c>
      <c r="U1227">
        <f t="shared" si="175"/>
        <v>0</v>
      </c>
      <c r="V1227">
        <f t="shared" si="176"/>
        <v>0</v>
      </c>
      <c r="W1227">
        <f t="shared" si="177"/>
        <v>0</v>
      </c>
      <c r="X1227">
        <f t="shared" si="178"/>
        <v>0</v>
      </c>
      <c r="Y1227">
        <f t="shared" si="179"/>
        <v>0</v>
      </c>
    </row>
    <row r="1228" spans="1:25" x14ac:dyDescent="0.3">
      <c r="A1228" t="s">
        <v>4136</v>
      </c>
      <c r="B1228" t="s">
        <v>4137</v>
      </c>
      <c r="C1228" s="1">
        <v>45797</v>
      </c>
      <c r="D1228" s="3">
        <v>0.75969907407407411</v>
      </c>
      <c r="E1228">
        <f t="shared" si="171"/>
        <v>18</v>
      </c>
      <c r="F1228">
        <v>19</v>
      </c>
      <c r="G1228" t="s">
        <v>99</v>
      </c>
      <c r="H1228" t="s">
        <v>142</v>
      </c>
      <c r="I1228" t="s">
        <v>20</v>
      </c>
      <c r="J1228" t="s">
        <v>76</v>
      </c>
      <c r="K1228" t="s">
        <v>41</v>
      </c>
      <c r="L1228">
        <v>155.76</v>
      </c>
      <c r="M1228" t="s">
        <v>33</v>
      </c>
      <c r="N1228">
        <f t="shared" si="172"/>
        <v>0</v>
      </c>
      <c r="O1228" t="s">
        <v>24</v>
      </c>
      <c r="P1228" t="s">
        <v>4138</v>
      </c>
      <c r="Q1228">
        <v>0</v>
      </c>
      <c r="R1228">
        <v>140</v>
      </c>
      <c r="S1228">
        <f t="shared" si="173"/>
        <v>-0.26102069366294989</v>
      </c>
      <c r="T1228">
        <f t="shared" si="174"/>
        <v>0</v>
      </c>
      <c r="U1228">
        <f t="shared" si="175"/>
        <v>0</v>
      </c>
      <c r="V1228">
        <f t="shared" si="176"/>
        <v>1</v>
      </c>
      <c r="W1228">
        <f t="shared" si="177"/>
        <v>1</v>
      </c>
      <c r="X1228">
        <f t="shared" si="178"/>
        <v>0</v>
      </c>
      <c r="Y1228">
        <f t="shared" si="179"/>
        <v>0</v>
      </c>
    </row>
    <row r="1229" spans="1:25" x14ac:dyDescent="0.3">
      <c r="A1229" t="s">
        <v>5690</v>
      </c>
      <c r="B1229" t="s">
        <v>5691</v>
      </c>
      <c r="C1229" s="1">
        <v>45741</v>
      </c>
      <c r="D1229" s="3">
        <v>0.89053240740740736</v>
      </c>
      <c r="E1229">
        <f t="shared" si="171"/>
        <v>21</v>
      </c>
      <c r="F1229">
        <v>28</v>
      </c>
      <c r="G1229" t="s">
        <v>46</v>
      </c>
      <c r="H1229" t="s">
        <v>175</v>
      </c>
      <c r="I1229" t="s">
        <v>105</v>
      </c>
      <c r="J1229" t="s">
        <v>72</v>
      </c>
      <c r="K1229" t="s">
        <v>41</v>
      </c>
      <c r="L1229">
        <v>155.72</v>
      </c>
      <c r="M1229" t="s">
        <v>115</v>
      </c>
      <c r="N1229">
        <f t="shared" si="172"/>
        <v>0</v>
      </c>
      <c r="O1229" t="s">
        <v>86</v>
      </c>
      <c r="P1229" t="s">
        <v>5692</v>
      </c>
      <c r="Q1229">
        <v>0</v>
      </c>
      <c r="R1229">
        <v>380</v>
      </c>
      <c r="S1229">
        <f t="shared" si="173"/>
        <v>-0.26157446404199347</v>
      </c>
      <c r="T1229">
        <f t="shared" si="174"/>
        <v>0</v>
      </c>
      <c r="U1229">
        <f t="shared" si="175"/>
        <v>0</v>
      </c>
      <c r="V1229">
        <f t="shared" si="176"/>
        <v>0</v>
      </c>
      <c r="W1229">
        <f t="shared" si="177"/>
        <v>0</v>
      </c>
      <c r="X1229">
        <f t="shared" si="178"/>
        <v>0</v>
      </c>
      <c r="Y1229">
        <f t="shared" si="179"/>
        <v>0</v>
      </c>
    </row>
    <row r="1230" spans="1:25" x14ac:dyDescent="0.3">
      <c r="A1230" t="s">
        <v>761</v>
      </c>
      <c r="B1230" t="s">
        <v>762</v>
      </c>
      <c r="C1230" s="1">
        <v>45758</v>
      </c>
      <c r="D1230" s="3">
        <v>0.12402777777777778</v>
      </c>
      <c r="E1230">
        <f t="shared" si="171"/>
        <v>2</v>
      </c>
      <c r="F1230">
        <v>22</v>
      </c>
      <c r="G1230" t="s">
        <v>46</v>
      </c>
      <c r="H1230" t="s">
        <v>19</v>
      </c>
      <c r="I1230" t="s">
        <v>39</v>
      </c>
      <c r="J1230" t="s">
        <v>127</v>
      </c>
      <c r="K1230" t="s">
        <v>114</v>
      </c>
      <c r="L1230">
        <v>155.66999999999999</v>
      </c>
      <c r="M1230" t="s">
        <v>23</v>
      </c>
      <c r="N1230">
        <f t="shared" si="172"/>
        <v>0</v>
      </c>
      <c r="O1230" t="s">
        <v>24</v>
      </c>
      <c r="P1230" t="s">
        <v>763</v>
      </c>
      <c r="Q1230">
        <v>0</v>
      </c>
      <c r="R1230">
        <v>81</v>
      </c>
      <c r="S1230">
        <f t="shared" si="173"/>
        <v>-0.26226667701579826</v>
      </c>
      <c r="T1230">
        <f t="shared" si="174"/>
        <v>0</v>
      </c>
      <c r="U1230">
        <f t="shared" si="175"/>
        <v>1</v>
      </c>
      <c r="V1230">
        <f t="shared" si="176"/>
        <v>1</v>
      </c>
      <c r="W1230">
        <f t="shared" si="177"/>
        <v>3</v>
      </c>
      <c r="X1230">
        <f t="shared" si="178"/>
        <v>0</v>
      </c>
      <c r="Y1230">
        <f t="shared" si="179"/>
        <v>0</v>
      </c>
    </row>
    <row r="1231" spans="1:25" x14ac:dyDescent="0.3">
      <c r="A1231" t="s">
        <v>1937</v>
      </c>
      <c r="B1231" t="s">
        <v>1938</v>
      </c>
      <c r="C1231" s="1">
        <v>45837</v>
      </c>
      <c r="D1231" s="3">
        <v>0.19563657407407409</v>
      </c>
      <c r="E1231">
        <f t="shared" si="171"/>
        <v>4</v>
      </c>
      <c r="F1231">
        <v>55</v>
      </c>
      <c r="G1231" t="s">
        <v>60</v>
      </c>
      <c r="H1231" t="s">
        <v>29</v>
      </c>
      <c r="I1231" t="s">
        <v>48</v>
      </c>
      <c r="J1231" t="s">
        <v>127</v>
      </c>
      <c r="K1231" t="s">
        <v>62</v>
      </c>
      <c r="L1231">
        <v>155.57</v>
      </c>
      <c r="M1231" t="s">
        <v>42</v>
      </c>
      <c r="N1231">
        <f t="shared" si="172"/>
        <v>0</v>
      </c>
      <c r="O1231" t="s">
        <v>34</v>
      </c>
      <c r="P1231" t="s">
        <v>1939</v>
      </c>
      <c r="Q1231">
        <v>0</v>
      </c>
      <c r="R1231">
        <v>112</v>
      </c>
      <c r="S1231">
        <f t="shared" si="173"/>
        <v>-0.26365110296340744</v>
      </c>
      <c r="T1231">
        <f t="shared" si="174"/>
        <v>0</v>
      </c>
      <c r="U1231">
        <f t="shared" si="175"/>
        <v>1</v>
      </c>
      <c r="V1231">
        <f t="shared" si="176"/>
        <v>1</v>
      </c>
      <c r="W1231">
        <f t="shared" si="177"/>
        <v>3</v>
      </c>
      <c r="X1231">
        <f t="shared" si="178"/>
        <v>0</v>
      </c>
      <c r="Y1231">
        <f t="shared" si="179"/>
        <v>0</v>
      </c>
    </row>
    <row r="1232" spans="1:25" x14ac:dyDescent="0.3">
      <c r="A1232" t="s">
        <v>4667</v>
      </c>
      <c r="B1232" t="s">
        <v>4668</v>
      </c>
      <c r="C1232" s="1">
        <v>45782</v>
      </c>
      <c r="D1232" s="3">
        <v>0.46515046296296297</v>
      </c>
      <c r="E1232">
        <f t="shared" si="171"/>
        <v>11</v>
      </c>
      <c r="F1232">
        <v>42</v>
      </c>
      <c r="G1232" t="s">
        <v>18</v>
      </c>
      <c r="H1232" t="s">
        <v>189</v>
      </c>
      <c r="I1232" t="s">
        <v>48</v>
      </c>
      <c r="J1232" t="s">
        <v>132</v>
      </c>
      <c r="K1232" t="s">
        <v>114</v>
      </c>
      <c r="L1232">
        <v>155.54</v>
      </c>
      <c r="M1232" t="s">
        <v>115</v>
      </c>
      <c r="N1232">
        <f t="shared" si="172"/>
        <v>0</v>
      </c>
      <c r="O1232" t="s">
        <v>24</v>
      </c>
      <c r="P1232" t="s">
        <v>4669</v>
      </c>
      <c r="Q1232">
        <v>0</v>
      </c>
      <c r="R1232">
        <v>371</v>
      </c>
      <c r="S1232">
        <f t="shared" si="173"/>
        <v>-0.26406643074769021</v>
      </c>
      <c r="T1232">
        <f t="shared" si="174"/>
        <v>0</v>
      </c>
      <c r="U1232">
        <f t="shared" si="175"/>
        <v>0</v>
      </c>
      <c r="V1232">
        <f t="shared" si="176"/>
        <v>0</v>
      </c>
      <c r="W1232">
        <f t="shared" si="177"/>
        <v>0</v>
      </c>
      <c r="X1232">
        <f t="shared" si="178"/>
        <v>0</v>
      </c>
      <c r="Y1232">
        <f t="shared" si="179"/>
        <v>0</v>
      </c>
    </row>
    <row r="1233" spans="1:25" x14ac:dyDescent="0.3">
      <c r="A1233" t="s">
        <v>1568</v>
      </c>
      <c r="B1233" s="2" t="s">
        <v>1569</v>
      </c>
      <c r="C1233" s="1">
        <v>45747</v>
      </c>
      <c r="D1233" s="3">
        <v>0.59364583333333332</v>
      </c>
      <c r="E1233">
        <f t="shared" si="171"/>
        <v>14</v>
      </c>
      <c r="F1233">
        <v>49</v>
      </c>
      <c r="G1233" t="s">
        <v>46</v>
      </c>
      <c r="H1233" t="s">
        <v>80</v>
      </c>
      <c r="I1233" t="s">
        <v>48</v>
      </c>
      <c r="J1233" t="s">
        <v>40</v>
      </c>
      <c r="K1233" t="s">
        <v>50</v>
      </c>
      <c r="L1233">
        <v>155.21</v>
      </c>
      <c r="M1233" t="s">
        <v>115</v>
      </c>
      <c r="N1233">
        <f t="shared" si="172"/>
        <v>0</v>
      </c>
      <c r="O1233" t="s">
        <v>24</v>
      </c>
      <c r="P1233" t="s">
        <v>1570</v>
      </c>
      <c r="Q1233">
        <v>0</v>
      </c>
      <c r="R1233">
        <v>485</v>
      </c>
      <c r="S1233">
        <f t="shared" si="173"/>
        <v>-0.26863503637480052</v>
      </c>
      <c r="T1233">
        <f t="shared" si="174"/>
        <v>0</v>
      </c>
      <c r="U1233">
        <f t="shared" si="175"/>
        <v>0</v>
      </c>
      <c r="V1233">
        <f t="shared" si="176"/>
        <v>0</v>
      </c>
      <c r="W1233">
        <f t="shared" si="177"/>
        <v>0</v>
      </c>
      <c r="X1233">
        <f t="shared" si="178"/>
        <v>0</v>
      </c>
      <c r="Y1233">
        <f t="shared" si="179"/>
        <v>0</v>
      </c>
    </row>
    <row r="1234" spans="1:25" x14ac:dyDescent="0.3">
      <c r="A1234" t="s">
        <v>5870</v>
      </c>
      <c r="B1234" t="s">
        <v>5871</v>
      </c>
      <c r="C1234" s="1">
        <v>45723</v>
      </c>
      <c r="D1234" s="3">
        <v>0.62009259259259264</v>
      </c>
      <c r="E1234">
        <f t="shared" si="171"/>
        <v>14</v>
      </c>
      <c r="F1234">
        <v>37</v>
      </c>
      <c r="G1234" t="s">
        <v>18</v>
      </c>
      <c r="H1234" t="s">
        <v>239</v>
      </c>
      <c r="I1234" t="s">
        <v>48</v>
      </c>
      <c r="J1234" t="s">
        <v>40</v>
      </c>
      <c r="K1234" t="s">
        <v>168</v>
      </c>
      <c r="L1234">
        <v>155.15</v>
      </c>
      <c r="M1234" t="s">
        <v>33</v>
      </c>
      <c r="N1234">
        <f t="shared" si="172"/>
        <v>0</v>
      </c>
      <c r="O1234" t="s">
        <v>86</v>
      </c>
      <c r="P1234" t="s">
        <v>5872</v>
      </c>
      <c r="Q1234">
        <v>0</v>
      </c>
      <c r="R1234">
        <v>245</v>
      </c>
      <c r="S1234">
        <f t="shared" si="173"/>
        <v>-0.26946569194336611</v>
      </c>
      <c r="T1234">
        <f t="shared" si="174"/>
        <v>0</v>
      </c>
      <c r="U1234">
        <f t="shared" si="175"/>
        <v>0</v>
      </c>
      <c r="V1234">
        <f t="shared" si="176"/>
        <v>1</v>
      </c>
      <c r="W1234">
        <f t="shared" si="177"/>
        <v>1</v>
      </c>
      <c r="X1234">
        <f t="shared" si="178"/>
        <v>0</v>
      </c>
      <c r="Y1234">
        <f t="shared" si="179"/>
        <v>0</v>
      </c>
    </row>
    <row r="1235" spans="1:25" x14ac:dyDescent="0.3">
      <c r="A1235" t="s">
        <v>6113</v>
      </c>
      <c r="B1235" t="s">
        <v>6114</v>
      </c>
      <c r="C1235" s="1">
        <v>45836</v>
      </c>
      <c r="D1235" s="3">
        <v>0.64844907407407404</v>
      </c>
      <c r="E1235">
        <f t="shared" si="171"/>
        <v>15</v>
      </c>
      <c r="F1235" s="4">
        <v>41</v>
      </c>
      <c r="G1235" t="s">
        <v>18</v>
      </c>
      <c r="H1235" t="s">
        <v>19</v>
      </c>
      <c r="I1235" t="s">
        <v>119</v>
      </c>
      <c r="J1235" t="s">
        <v>21</v>
      </c>
      <c r="K1235" t="s">
        <v>101</v>
      </c>
      <c r="L1235">
        <v>154.94</v>
      </c>
      <c r="M1235" t="s">
        <v>23</v>
      </c>
      <c r="N1235">
        <f t="shared" si="172"/>
        <v>0</v>
      </c>
      <c r="O1235" t="s">
        <v>34</v>
      </c>
      <c r="P1235" t="s">
        <v>6115</v>
      </c>
      <c r="Q1235">
        <v>0</v>
      </c>
      <c r="R1235">
        <v>176</v>
      </c>
      <c r="S1235">
        <f t="shared" si="173"/>
        <v>-0.27237298643334562</v>
      </c>
      <c r="T1235">
        <f t="shared" si="174"/>
        <v>0</v>
      </c>
      <c r="U1235">
        <f t="shared" si="175"/>
        <v>0</v>
      </c>
      <c r="V1235">
        <f t="shared" si="176"/>
        <v>1</v>
      </c>
      <c r="W1235">
        <f t="shared" si="177"/>
        <v>1</v>
      </c>
      <c r="X1235">
        <f t="shared" si="178"/>
        <v>0</v>
      </c>
      <c r="Y1235">
        <f t="shared" si="179"/>
        <v>0</v>
      </c>
    </row>
    <row r="1236" spans="1:25" x14ac:dyDescent="0.3">
      <c r="A1236" t="s">
        <v>689</v>
      </c>
      <c r="B1236" t="s">
        <v>690</v>
      </c>
      <c r="C1236" s="1">
        <v>45857</v>
      </c>
      <c r="D1236" s="3">
        <v>0.13273148148148148</v>
      </c>
      <c r="E1236">
        <f t="shared" si="171"/>
        <v>3</v>
      </c>
      <c r="F1236">
        <v>19</v>
      </c>
      <c r="G1236" t="s">
        <v>46</v>
      </c>
      <c r="H1236" t="s">
        <v>29</v>
      </c>
      <c r="I1236" t="s">
        <v>110</v>
      </c>
      <c r="J1236" t="s">
        <v>31</v>
      </c>
      <c r="K1236" t="s">
        <v>95</v>
      </c>
      <c r="L1236">
        <v>154.88</v>
      </c>
      <c r="M1236" t="s">
        <v>115</v>
      </c>
      <c r="N1236">
        <f t="shared" si="172"/>
        <v>0</v>
      </c>
      <c r="O1236" t="s">
        <v>86</v>
      </c>
      <c r="P1236" t="s">
        <v>691</v>
      </c>
      <c r="Q1236">
        <v>0</v>
      </c>
      <c r="R1236">
        <v>320</v>
      </c>
      <c r="S1236">
        <f t="shared" si="173"/>
        <v>-0.27320364200191122</v>
      </c>
      <c r="T1236">
        <f t="shared" si="174"/>
        <v>0</v>
      </c>
      <c r="U1236">
        <f t="shared" si="175"/>
        <v>1</v>
      </c>
      <c r="V1236">
        <f t="shared" si="176"/>
        <v>0</v>
      </c>
      <c r="W1236">
        <f t="shared" si="177"/>
        <v>2</v>
      </c>
      <c r="X1236">
        <f t="shared" si="178"/>
        <v>0</v>
      </c>
      <c r="Y1236">
        <f t="shared" si="179"/>
        <v>0</v>
      </c>
    </row>
    <row r="1237" spans="1:25" x14ac:dyDescent="0.3">
      <c r="A1237" t="s">
        <v>1865</v>
      </c>
      <c r="B1237" t="s">
        <v>1866</v>
      </c>
      <c r="C1237" s="1">
        <v>45880</v>
      </c>
      <c r="D1237" s="3">
        <v>0.22811342592592593</v>
      </c>
      <c r="E1237">
        <f t="shared" si="171"/>
        <v>5</v>
      </c>
      <c r="F1237">
        <v>42</v>
      </c>
      <c r="G1237" t="s">
        <v>46</v>
      </c>
      <c r="H1237" t="s">
        <v>131</v>
      </c>
      <c r="I1237" t="s">
        <v>39</v>
      </c>
      <c r="J1237" t="s">
        <v>31</v>
      </c>
      <c r="K1237" t="s">
        <v>168</v>
      </c>
      <c r="L1237">
        <v>154.5</v>
      </c>
      <c r="M1237" t="s">
        <v>23</v>
      </c>
      <c r="N1237">
        <f t="shared" si="172"/>
        <v>0</v>
      </c>
      <c r="O1237" t="s">
        <v>24</v>
      </c>
      <c r="P1237" t="s">
        <v>1867</v>
      </c>
      <c r="Q1237">
        <v>0</v>
      </c>
      <c r="R1237">
        <v>177</v>
      </c>
      <c r="S1237">
        <f t="shared" si="173"/>
        <v>-0.27846446060282626</v>
      </c>
      <c r="T1237">
        <f t="shared" si="174"/>
        <v>0</v>
      </c>
      <c r="U1237">
        <f t="shared" si="175"/>
        <v>1</v>
      </c>
      <c r="V1237">
        <f t="shared" si="176"/>
        <v>1</v>
      </c>
      <c r="W1237">
        <f t="shared" si="177"/>
        <v>3</v>
      </c>
      <c r="X1237">
        <f t="shared" si="178"/>
        <v>0</v>
      </c>
      <c r="Y1237">
        <f t="shared" si="179"/>
        <v>0</v>
      </c>
    </row>
    <row r="1238" spans="1:25" x14ac:dyDescent="0.3">
      <c r="A1238" t="s">
        <v>4982</v>
      </c>
      <c r="B1238" t="s">
        <v>4983</v>
      </c>
      <c r="C1238" s="1">
        <v>45808</v>
      </c>
      <c r="D1238" s="3">
        <v>0.95799768518518513</v>
      </c>
      <c r="E1238">
        <f t="shared" si="171"/>
        <v>22</v>
      </c>
      <c r="F1238">
        <v>46</v>
      </c>
      <c r="G1238" t="s">
        <v>60</v>
      </c>
      <c r="H1238" t="s">
        <v>47</v>
      </c>
      <c r="I1238" t="s">
        <v>30</v>
      </c>
      <c r="J1238" t="s">
        <v>76</v>
      </c>
      <c r="K1238" t="s">
        <v>41</v>
      </c>
      <c r="L1238">
        <v>154.47999999999999</v>
      </c>
      <c r="M1238" t="s">
        <v>115</v>
      </c>
      <c r="N1238">
        <f t="shared" si="172"/>
        <v>0</v>
      </c>
      <c r="O1238" t="s">
        <v>34</v>
      </c>
      <c r="P1238" t="s">
        <v>4984</v>
      </c>
      <c r="Q1238">
        <v>0</v>
      </c>
      <c r="R1238">
        <v>178</v>
      </c>
      <c r="S1238">
        <f t="shared" si="173"/>
        <v>-0.27874134579234827</v>
      </c>
      <c r="T1238">
        <f t="shared" si="174"/>
        <v>0</v>
      </c>
      <c r="U1238">
        <f t="shared" si="175"/>
        <v>0</v>
      </c>
      <c r="V1238">
        <f t="shared" si="176"/>
        <v>1</v>
      </c>
      <c r="W1238">
        <f t="shared" si="177"/>
        <v>1</v>
      </c>
      <c r="X1238">
        <f t="shared" si="178"/>
        <v>0</v>
      </c>
      <c r="Y1238">
        <f t="shared" si="179"/>
        <v>0</v>
      </c>
    </row>
    <row r="1239" spans="1:25" x14ac:dyDescent="0.3">
      <c r="A1239" t="s">
        <v>3209</v>
      </c>
      <c r="B1239" t="s">
        <v>3210</v>
      </c>
      <c r="C1239" s="1">
        <v>45827</v>
      </c>
      <c r="D1239" s="3">
        <v>0.67501157407407408</v>
      </c>
      <c r="E1239">
        <f t="shared" si="171"/>
        <v>16</v>
      </c>
      <c r="F1239">
        <v>51</v>
      </c>
      <c r="G1239" t="s">
        <v>18</v>
      </c>
      <c r="H1239" t="s">
        <v>61</v>
      </c>
      <c r="I1239" t="s">
        <v>39</v>
      </c>
      <c r="J1239" t="s">
        <v>76</v>
      </c>
      <c r="K1239" t="s">
        <v>41</v>
      </c>
      <c r="L1239">
        <v>154.44999999999999</v>
      </c>
      <c r="M1239" t="s">
        <v>33</v>
      </c>
      <c r="N1239">
        <f t="shared" si="172"/>
        <v>0</v>
      </c>
      <c r="O1239" t="s">
        <v>34</v>
      </c>
      <c r="P1239" t="s">
        <v>3211</v>
      </c>
      <c r="Q1239">
        <v>0</v>
      </c>
      <c r="R1239">
        <v>73</v>
      </c>
      <c r="S1239">
        <f t="shared" si="173"/>
        <v>-0.27915667357663104</v>
      </c>
      <c r="T1239">
        <f t="shared" si="174"/>
        <v>0</v>
      </c>
      <c r="U1239">
        <f t="shared" si="175"/>
        <v>0</v>
      </c>
      <c r="V1239">
        <f t="shared" si="176"/>
        <v>1</v>
      </c>
      <c r="W1239">
        <f t="shared" si="177"/>
        <v>1</v>
      </c>
      <c r="X1239">
        <f t="shared" si="178"/>
        <v>0</v>
      </c>
      <c r="Y1239">
        <f t="shared" si="179"/>
        <v>0</v>
      </c>
    </row>
    <row r="1240" spans="1:25" x14ac:dyDescent="0.3">
      <c r="A1240" t="s">
        <v>6419</v>
      </c>
      <c r="B1240" t="s">
        <v>6420</v>
      </c>
      <c r="C1240" s="1">
        <v>45792</v>
      </c>
      <c r="D1240" s="3">
        <v>0.43716435185185187</v>
      </c>
      <c r="E1240">
        <f t="shared" si="171"/>
        <v>10</v>
      </c>
      <c r="F1240">
        <v>33</v>
      </c>
      <c r="G1240" t="s">
        <v>18</v>
      </c>
      <c r="H1240" t="s">
        <v>19</v>
      </c>
      <c r="I1240" t="s">
        <v>48</v>
      </c>
      <c r="J1240" t="s">
        <v>40</v>
      </c>
      <c r="K1240" t="s">
        <v>168</v>
      </c>
      <c r="L1240">
        <v>154.43</v>
      </c>
      <c r="M1240" t="s">
        <v>42</v>
      </c>
      <c r="N1240">
        <f t="shared" si="172"/>
        <v>0</v>
      </c>
      <c r="O1240" t="s">
        <v>34</v>
      </c>
      <c r="P1240" t="s">
        <v>6421</v>
      </c>
      <c r="Q1240">
        <v>0</v>
      </c>
      <c r="R1240">
        <v>491</v>
      </c>
      <c r="S1240">
        <f t="shared" si="173"/>
        <v>-0.27943355876615267</v>
      </c>
      <c r="T1240">
        <f t="shared" si="174"/>
        <v>0</v>
      </c>
      <c r="U1240">
        <f t="shared" si="175"/>
        <v>0</v>
      </c>
      <c r="V1240">
        <f t="shared" si="176"/>
        <v>0</v>
      </c>
      <c r="W1240">
        <f t="shared" si="177"/>
        <v>0</v>
      </c>
      <c r="X1240">
        <f t="shared" si="178"/>
        <v>0</v>
      </c>
      <c r="Y1240">
        <f t="shared" si="179"/>
        <v>0</v>
      </c>
    </row>
    <row r="1241" spans="1:25" x14ac:dyDescent="0.3">
      <c r="A1241" t="s">
        <v>3107</v>
      </c>
      <c r="B1241" t="s">
        <v>3108</v>
      </c>
      <c r="C1241" s="1">
        <v>45805</v>
      </c>
      <c r="D1241" s="3">
        <v>0.7161805555555556</v>
      </c>
      <c r="E1241">
        <f t="shared" si="171"/>
        <v>17</v>
      </c>
      <c r="F1241">
        <v>28</v>
      </c>
      <c r="G1241" t="s">
        <v>99</v>
      </c>
      <c r="H1241" t="s">
        <v>84</v>
      </c>
      <c r="I1241" t="s">
        <v>66</v>
      </c>
      <c r="J1241" t="s">
        <v>94</v>
      </c>
      <c r="K1241" t="s">
        <v>41</v>
      </c>
      <c r="L1241">
        <v>154.37</v>
      </c>
      <c r="M1241" t="s">
        <v>23</v>
      </c>
      <c r="N1241">
        <f t="shared" si="172"/>
        <v>0</v>
      </c>
      <c r="O1241" t="s">
        <v>24</v>
      </c>
      <c r="P1241" t="s">
        <v>3109</v>
      </c>
      <c r="Q1241">
        <v>0</v>
      </c>
      <c r="R1241">
        <v>401</v>
      </c>
      <c r="S1241">
        <f t="shared" si="173"/>
        <v>-0.28026421433471821</v>
      </c>
      <c r="T1241">
        <f t="shared" si="174"/>
        <v>0</v>
      </c>
      <c r="U1241">
        <f t="shared" si="175"/>
        <v>0</v>
      </c>
      <c r="V1241">
        <f t="shared" si="176"/>
        <v>0</v>
      </c>
      <c r="W1241">
        <f t="shared" si="177"/>
        <v>0</v>
      </c>
      <c r="X1241">
        <f t="shared" si="178"/>
        <v>0</v>
      </c>
      <c r="Y1241">
        <f t="shared" si="179"/>
        <v>0</v>
      </c>
    </row>
    <row r="1242" spans="1:25" x14ac:dyDescent="0.3">
      <c r="A1242" t="s">
        <v>584</v>
      </c>
      <c r="B1242" t="s">
        <v>585</v>
      </c>
      <c r="C1242" s="1">
        <v>45778</v>
      </c>
      <c r="D1242" s="3">
        <v>0.29381944444444447</v>
      </c>
      <c r="E1242">
        <f t="shared" si="171"/>
        <v>7</v>
      </c>
      <c r="F1242">
        <v>62</v>
      </c>
      <c r="G1242" t="s">
        <v>60</v>
      </c>
      <c r="H1242" t="s">
        <v>29</v>
      </c>
      <c r="I1242" t="s">
        <v>48</v>
      </c>
      <c r="J1242" t="s">
        <v>94</v>
      </c>
      <c r="K1242" t="s">
        <v>168</v>
      </c>
      <c r="L1242">
        <v>154.34</v>
      </c>
      <c r="M1242" t="s">
        <v>115</v>
      </c>
      <c r="N1242">
        <f t="shared" si="172"/>
        <v>0</v>
      </c>
      <c r="O1242" t="s">
        <v>86</v>
      </c>
      <c r="P1242" t="s">
        <v>586</v>
      </c>
      <c r="Q1242">
        <v>0</v>
      </c>
      <c r="R1242">
        <v>391</v>
      </c>
      <c r="S1242">
        <f t="shared" si="173"/>
        <v>-0.28067954211900104</v>
      </c>
      <c r="T1242">
        <f t="shared" si="174"/>
        <v>0</v>
      </c>
      <c r="U1242">
        <f t="shared" si="175"/>
        <v>0</v>
      </c>
      <c r="V1242">
        <f t="shared" si="176"/>
        <v>0</v>
      </c>
      <c r="W1242">
        <f t="shared" si="177"/>
        <v>0</v>
      </c>
      <c r="X1242">
        <f t="shared" si="178"/>
        <v>0</v>
      </c>
      <c r="Y1242">
        <f t="shared" si="179"/>
        <v>0</v>
      </c>
    </row>
    <row r="1243" spans="1:25" x14ac:dyDescent="0.3">
      <c r="A1243" t="s">
        <v>2276</v>
      </c>
      <c r="B1243" t="s">
        <v>2277</v>
      </c>
      <c r="C1243" s="1">
        <v>45868</v>
      </c>
      <c r="D1243" s="3">
        <v>0.75239583333333337</v>
      </c>
      <c r="E1243">
        <f t="shared" si="171"/>
        <v>18</v>
      </c>
      <c r="F1243">
        <v>19</v>
      </c>
      <c r="G1243" t="s">
        <v>46</v>
      </c>
      <c r="H1243" t="s">
        <v>55</v>
      </c>
      <c r="I1243" t="s">
        <v>20</v>
      </c>
      <c r="J1243" t="s">
        <v>49</v>
      </c>
      <c r="K1243" t="s">
        <v>114</v>
      </c>
      <c r="L1243">
        <v>154.21</v>
      </c>
      <c r="M1243" t="s">
        <v>33</v>
      </c>
      <c r="N1243">
        <f t="shared" si="172"/>
        <v>0</v>
      </c>
      <c r="O1243" t="s">
        <v>34</v>
      </c>
      <c r="P1243" t="s">
        <v>2278</v>
      </c>
      <c r="Q1243">
        <v>0</v>
      </c>
      <c r="R1243">
        <v>141</v>
      </c>
      <c r="S1243">
        <f t="shared" si="173"/>
        <v>-0.28247929585089299</v>
      </c>
      <c r="T1243">
        <f t="shared" si="174"/>
        <v>0</v>
      </c>
      <c r="U1243">
        <f t="shared" si="175"/>
        <v>0</v>
      </c>
      <c r="V1243">
        <f t="shared" si="176"/>
        <v>1</v>
      </c>
      <c r="W1243">
        <f t="shared" si="177"/>
        <v>1</v>
      </c>
      <c r="X1243">
        <f t="shared" si="178"/>
        <v>0</v>
      </c>
      <c r="Y1243">
        <f t="shared" si="179"/>
        <v>0</v>
      </c>
    </row>
    <row r="1244" spans="1:25" x14ac:dyDescent="0.3">
      <c r="A1244" t="s">
        <v>3791</v>
      </c>
      <c r="B1244" t="s">
        <v>3792</v>
      </c>
      <c r="C1244" s="1">
        <v>45763</v>
      </c>
      <c r="D1244" s="3">
        <v>0.96687500000000004</v>
      </c>
      <c r="E1244">
        <f t="shared" si="171"/>
        <v>23</v>
      </c>
      <c r="F1244">
        <v>49</v>
      </c>
      <c r="G1244" t="s">
        <v>18</v>
      </c>
      <c r="H1244" t="s">
        <v>167</v>
      </c>
      <c r="I1244" t="s">
        <v>85</v>
      </c>
      <c r="J1244" t="s">
        <v>127</v>
      </c>
      <c r="K1244" t="s">
        <v>114</v>
      </c>
      <c r="L1244">
        <v>154.01</v>
      </c>
      <c r="M1244" t="s">
        <v>23</v>
      </c>
      <c r="N1244">
        <f t="shared" si="172"/>
        <v>0</v>
      </c>
      <c r="O1244" t="s">
        <v>86</v>
      </c>
      <c r="P1244" t="s">
        <v>3793</v>
      </c>
      <c r="Q1244">
        <v>0</v>
      </c>
      <c r="R1244">
        <v>438</v>
      </c>
      <c r="S1244">
        <f t="shared" si="173"/>
        <v>-0.28524814774611168</v>
      </c>
      <c r="T1244">
        <f t="shared" si="174"/>
        <v>0</v>
      </c>
      <c r="U1244">
        <f t="shared" si="175"/>
        <v>0</v>
      </c>
      <c r="V1244">
        <f t="shared" si="176"/>
        <v>0</v>
      </c>
      <c r="W1244">
        <f t="shared" si="177"/>
        <v>0</v>
      </c>
      <c r="X1244">
        <f t="shared" si="178"/>
        <v>0</v>
      </c>
      <c r="Y1244">
        <f t="shared" si="179"/>
        <v>0</v>
      </c>
    </row>
    <row r="1245" spans="1:25" x14ac:dyDescent="0.3">
      <c r="A1245" t="s">
        <v>6401</v>
      </c>
      <c r="B1245" t="s">
        <v>6402</v>
      </c>
      <c r="C1245" s="1">
        <v>45744</v>
      </c>
      <c r="D1245" s="3">
        <v>0.60432870370370373</v>
      </c>
      <c r="E1245">
        <f t="shared" si="171"/>
        <v>14</v>
      </c>
      <c r="F1245">
        <v>40</v>
      </c>
      <c r="G1245" t="s">
        <v>6479</v>
      </c>
      <c r="H1245" t="s">
        <v>185</v>
      </c>
      <c r="I1245" t="s">
        <v>71</v>
      </c>
      <c r="J1245" t="s">
        <v>72</v>
      </c>
      <c r="K1245" t="s">
        <v>62</v>
      </c>
      <c r="L1245">
        <v>153.79</v>
      </c>
      <c r="M1245" t="s">
        <v>23</v>
      </c>
      <c r="N1245">
        <f t="shared" si="172"/>
        <v>0</v>
      </c>
      <c r="O1245" t="s">
        <v>24</v>
      </c>
      <c r="P1245" t="s">
        <v>6403</v>
      </c>
      <c r="Q1245">
        <v>0</v>
      </c>
      <c r="R1245">
        <v>462</v>
      </c>
      <c r="S1245">
        <f t="shared" si="173"/>
        <v>-0.288293884830852</v>
      </c>
      <c r="T1245">
        <f t="shared" si="174"/>
        <v>0</v>
      </c>
      <c r="U1245">
        <f t="shared" si="175"/>
        <v>0</v>
      </c>
      <c r="V1245">
        <f t="shared" si="176"/>
        <v>0</v>
      </c>
      <c r="W1245">
        <f t="shared" si="177"/>
        <v>0</v>
      </c>
      <c r="X1245">
        <f t="shared" si="178"/>
        <v>0</v>
      </c>
      <c r="Y1245">
        <f t="shared" si="179"/>
        <v>0</v>
      </c>
    </row>
    <row r="1246" spans="1:25" x14ac:dyDescent="0.3">
      <c r="A1246" t="s">
        <v>4496</v>
      </c>
      <c r="B1246" t="s">
        <v>4497</v>
      </c>
      <c r="C1246" s="1">
        <v>45830</v>
      </c>
      <c r="D1246" s="3">
        <v>0.34332175925925928</v>
      </c>
      <c r="E1246">
        <f t="shared" si="171"/>
        <v>8</v>
      </c>
      <c r="F1246">
        <v>25</v>
      </c>
      <c r="G1246" t="s">
        <v>46</v>
      </c>
      <c r="H1246" t="s">
        <v>312</v>
      </c>
      <c r="I1246" t="s">
        <v>85</v>
      </c>
      <c r="J1246" t="s">
        <v>31</v>
      </c>
      <c r="K1246" t="s">
        <v>32</v>
      </c>
      <c r="L1246">
        <v>153.69</v>
      </c>
      <c r="M1246" t="s">
        <v>115</v>
      </c>
      <c r="N1246">
        <f t="shared" si="172"/>
        <v>0</v>
      </c>
      <c r="O1246" t="s">
        <v>34</v>
      </c>
      <c r="P1246" t="s">
        <v>4498</v>
      </c>
      <c r="Q1246">
        <v>0</v>
      </c>
      <c r="R1246">
        <v>357</v>
      </c>
      <c r="S1246">
        <f t="shared" si="173"/>
        <v>-0.28967831077846118</v>
      </c>
      <c r="T1246">
        <f t="shared" si="174"/>
        <v>0</v>
      </c>
      <c r="U1246">
        <f t="shared" si="175"/>
        <v>0</v>
      </c>
      <c r="V1246">
        <f t="shared" si="176"/>
        <v>0</v>
      </c>
      <c r="W1246">
        <f t="shared" si="177"/>
        <v>0</v>
      </c>
      <c r="X1246">
        <f t="shared" si="178"/>
        <v>0</v>
      </c>
      <c r="Y1246">
        <f t="shared" si="179"/>
        <v>0</v>
      </c>
    </row>
    <row r="1247" spans="1:25" x14ac:dyDescent="0.3">
      <c r="A1247" t="s">
        <v>212</v>
      </c>
      <c r="B1247" t="s">
        <v>213</v>
      </c>
      <c r="C1247" s="1">
        <v>45790</v>
      </c>
      <c r="D1247" s="3">
        <v>0.21550925925925926</v>
      </c>
      <c r="E1247">
        <f t="shared" si="171"/>
        <v>5</v>
      </c>
      <c r="F1247">
        <v>31</v>
      </c>
      <c r="G1247" t="s">
        <v>18</v>
      </c>
      <c r="H1247" t="s">
        <v>70</v>
      </c>
      <c r="I1247" t="s">
        <v>105</v>
      </c>
      <c r="J1247" t="s">
        <v>94</v>
      </c>
      <c r="K1247" t="s">
        <v>62</v>
      </c>
      <c r="L1247">
        <v>153.66999999999999</v>
      </c>
      <c r="M1247" t="s">
        <v>115</v>
      </c>
      <c r="N1247">
        <f t="shared" si="172"/>
        <v>0</v>
      </c>
      <c r="O1247" t="s">
        <v>34</v>
      </c>
      <c r="P1247" t="s">
        <v>214</v>
      </c>
      <c r="Q1247">
        <v>0</v>
      </c>
      <c r="R1247">
        <v>67</v>
      </c>
      <c r="S1247">
        <f t="shared" si="173"/>
        <v>-0.28995519596798319</v>
      </c>
      <c r="T1247">
        <f t="shared" si="174"/>
        <v>0</v>
      </c>
      <c r="U1247">
        <f t="shared" si="175"/>
        <v>1</v>
      </c>
      <c r="V1247">
        <f t="shared" si="176"/>
        <v>1</v>
      </c>
      <c r="W1247">
        <f t="shared" si="177"/>
        <v>3</v>
      </c>
      <c r="X1247">
        <f t="shared" si="178"/>
        <v>0</v>
      </c>
      <c r="Y1247">
        <f t="shared" si="179"/>
        <v>0</v>
      </c>
    </row>
    <row r="1248" spans="1:25" x14ac:dyDescent="0.3">
      <c r="A1248" t="s">
        <v>1541</v>
      </c>
      <c r="B1248" t="s">
        <v>1542</v>
      </c>
      <c r="C1248" s="1">
        <v>45866</v>
      </c>
      <c r="D1248" s="3">
        <v>0.61578703703703708</v>
      </c>
      <c r="E1248">
        <f t="shared" si="171"/>
        <v>14</v>
      </c>
      <c r="F1248">
        <v>54</v>
      </c>
      <c r="G1248" t="s">
        <v>18</v>
      </c>
      <c r="H1248" t="s">
        <v>239</v>
      </c>
      <c r="I1248" t="s">
        <v>66</v>
      </c>
      <c r="J1248" t="s">
        <v>72</v>
      </c>
      <c r="K1248" t="s">
        <v>114</v>
      </c>
      <c r="L1248">
        <v>153.61000000000001</v>
      </c>
      <c r="M1248" t="s">
        <v>33</v>
      </c>
      <c r="N1248">
        <f t="shared" si="172"/>
        <v>0</v>
      </c>
      <c r="O1248" t="s">
        <v>34</v>
      </c>
      <c r="P1248" t="s">
        <v>1543</v>
      </c>
      <c r="Q1248">
        <v>0</v>
      </c>
      <c r="R1248">
        <v>84</v>
      </c>
      <c r="S1248">
        <f t="shared" si="173"/>
        <v>-0.29078585153654835</v>
      </c>
      <c r="T1248">
        <f t="shared" si="174"/>
        <v>0</v>
      </c>
      <c r="U1248">
        <f t="shared" si="175"/>
        <v>0</v>
      </c>
      <c r="V1248">
        <f t="shared" si="176"/>
        <v>1</v>
      </c>
      <c r="W1248">
        <f t="shared" si="177"/>
        <v>1</v>
      </c>
      <c r="X1248">
        <f t="shared" si="178"/>
        <v>0</v>
      </c>
      <c r="Y1248">
        <f t="shared" si="179"/>
        <v>0</v>
      </c>
    </row>
    <row r="1249" spans="1:25" x14ac:dyDescent="0.3">
      <c r="A1249" t="s">
        <v>773</v>
      </c>
      <c r="B1249" t="s">
        <v>774</v>
      </c>
      <c r="C1249" s="1">
        <v>45717</v>
      </c>
      <c r="D1249" s="3">
        <v>0.1738425925925926</v>
      </c>
      <c r="E1249">
        <f t="shared" si="171"/>
        <v>4</v>
      </c>
      <c r="F1249">
        <v>28</v>
      </c>
      <c r="G1249" t="s">
        <v>18</v>
      </c>
      <c r="H1249" t="s">
        <v>55</v>
      </c>
      <c r="I1249" t="s">
        <v>105</v>
      </c>
      <c r="J1249" t="s">
        <v>56</v>
      </c>
      <c r="K1249" t="s">
        <v>32</v>
      </c>
      <c r="L1249">
        <v>153.37</v>
      </c>
      <c r="M1249" t="s">
        <v>42</v>
      </c>
      <c r="N1249">
        <f t="shared" si="172"/>
        <v>0</v>
      </c>
      <c r="O1249" t="s">
        <v>24</v>
      </c>
      <c r="P1249" t="s">
        <v>775</v>
      </c>
      <c r="Q1249">
        <v>0</v>
      </c>
      <c r="R1249">
        <v>52</v>
      </c>
      <c r="S1249">
        <f t="shared" si="173"/>
        <v>-0.29410847381081068</v>
      </c>
      <c r="T1249">
        <f t="shared" si="174"/>
        <v>0</v>
      </c>
      <c r="U1249">
        <f t="shared" si="175"/>
        <v>1</v>
      </c>
      <c r="V1249">
        <f t="shared" si="176"/>
        <v>1</v>
      </c>
      <c r="W1249">
        <f t="shared" si="177"/>
        <v>3</v>
      </c>
      <c r="X1249">
        <f t="shared" si="178"/>
        <v>0</v>
      </c>
      <c r="Y1249">
        <f t="shared" si="179"/>
        <v>0</v>
      </c>
    </row>
    <row r="1250" spans="1:25" x14ac:dyDescent="0.3">
      <c r="A1250" t="s">
        <v>4730</v>
      </c>
      <c r="B1250" t="s">
        <v>4731</v>
      </c>
      <c r="C1250" s="1">
        <v>45873</v>
      </c>
      <c r="D1250" s="3">
        <v>0.34137731481481481</v>
      </c>
      <c r="E1250">
        <f t="shared" si="171"/>
        <v>8</v>
      </c>
      <c r="F1250">
        <v>46</v>
      </c>
      <c r="G1250" t="s">
        <v>60</v>
      </c>
      <c r="H1250" t="s">
        <v>29</v>
      </c>
      <c r="I1250" t="s">
        <v>66</v>
      </c>
      <c r="J1250" t="s">
        <v>40</v>
      </c>
      <c r="K1250" t="s">
        <v>50</v>
      </c>
      <c r="L1250">
        <v>152.94999999999999</v>
      </c>
      <c r="M1250" t="s">
        <v>33</v>
      </c>
      <c r="N1250">
        <f t="shared" si="172"/>
        <v>0</v>
      </c>
      <c r="O1250" t="s">
        <v>86</v>
      </c>
      <c r="P1250" t="s">
        <v>4732</v>
      </c>
      <c r="Q1250">
        <v>0</v>
      </c>
      <c r="R1250">
        <v>116</v>
      </c>
      <c r="S1250">
        <f t="shared" si="173"/>
        <v>-0.29992306279076975</v>
      </c>
      <c r="T1250">
        <f t="shared" si="174"/>
        <v>0</v>
      </c>
      <c r="U1250">
        <f t="shared" si="175"/>
        <v>0</v>
      </c>
      <c r="V1250">
        <f t="shared" si="176"/>
        <v>1</v>
      </c>
      <c r="W1250">
        <f t="shared" si="177"/>
        <v>1</v>
      </c>
      <c r="X1250">
        <f t="shared" si="178"/>
        <v>0</v>
      </c>
      <c r="Y1250">
        <f t="shared" si="179"/>
        <v>0</v>
      </c>
    </row>
    <row r="1251" spans="1:25" x14ac:dyDescent="0.3">
      <c r="A1251" t="s">
        <v>1682</v>
      </c>
      <c r="B1251" t="s">
        <v>1683</v>
      </c>
      <c r="C1251" s="1">
        <v>45806</v>
      </c>
      <c r="D1251" s="3">
        <v>0.89682870370370371</v>
      </c>
      <c r="E1251">
        <f t="shared" si="171"/>
        <v>21</v>
      </c>
      <c r="F1251">
        <v>25</v>
      </c>
      <c r="G1251" t="s">
        <v>46</v>
      </c>
      <c r="H1251" t="s">
        <v>239</v>
      </c>
      <c r="I1251" t="s">
        <v>20</v>
      </c>
      <c r="J1251" t="s">
        <v>127</v>
      </c>
      <c r="K1251" t="s">
        <v>32</v>
      </c>
      <c r="L1251">
        <v>152.88999999999999</v>
      </c>
      <c r="M1251" t="s">
        <v>23</v>
      </c>
      <c r="N1251">
        <f t="shared" si="172"/>
        <v>0</v>
      </c>
      <c r="O1251" t="s">
        <v>86</v>
      </c>
      <c r="P1251" t="s">
        <v>1684</v>
      </c>
      <c r="Q1251">
        <v>0</v>
      </c>
      <c r="R1251">
        <v>436</v>
      </c>
      <c r="S1251">
        <f t="shared" si="173"/>
        <v>-0.30075371835933529</v>
      </c>
      <c r="T1251">
        <f t="shared" si="174"/>
        <v>0</v>
      </c>
      <c r="U1251">
        <f t="shared" si="175"/>
        <v>0</v>
      </c>
      <c r="V1251">
        <f t="shared" si="176"/>
        <v>0</v>
      </c>
      <c r="W1251">
        <f t="shared" si="177"/>
        <v>0</v>
      </c>
      <c r="X1251">
        <f t="shared" si="178"/>
        <v>0</v>
      </c>
      <c r="Y1251">
        <f t="shared" si="179"/>
        <v>0</v>
      </c>
    </row>
    <row r="1252" spans="1:25" x14ac:dyDescent="0.3">
      <c r="A1252" t="s">
        <v>1346</v>
      </c>
      <c r="B1252" t="s">
        <v>1347</v>
      </c>
      <c r="C1252" s="1">
        <v>45815</v>
      </c>
      <c r="D1252" s="3">
        <v>0.1159375</v>
      </c>
      <c r="E1252">
        <f t="shared" si="171"/>
        <v>2</v>
      </c>
      <c r="F1252">
        <v>61</v>
      </c>
      <c r="G1252" t="s">
        <v>60</v>
      </c>
      <c r="H1252" t="s">
        <v>90</v>
      </c>
      <c r="I1252" t="s">
        <v>30</v>
      </c>
      <c r="J1252" t="s">
        <v>40</v>
      </c>
      <c r="K1252" t="s">
        <v>32</v>
      </c>
      <c r="L1252">
        <v>152.81</v>
      </c>
      <c r="M1252" t="s">
        <v>33</v>
      </c>
      <c r="N1252">
        <f t="shared" si="172"/>
        <v>0</v>
      </c>
      <c r="O1252" t="s">
        <v>86</v>
      </c>
      <c r="P1252" t="s">
        <v>1348</v>
      </c>
      <c r="Q1252">
        <v>0</v>
      </c>
      <c r="R1252">
        <v>353</v>
      </c>
      <c r="S1252">
        <f t="shared" si="173"/>
        <v>-0.30186125911742251</v>
      </c>
      <c r="T1252">
        <f t="shared" si="174"/>
        <v>0</v>
      </c>
      <c r="U1252">
        <f t="shared" si="175"/>
        <v>1</v>
      </c>
      <c r="V1252">
        <f t="shared" si="176"/>
        <v>0</v>
      </c>
      <c r="W1252">
        <f t="shared" si="177"/>
        <v>2</v>
      </c>
      <c r="X1252">
        <f t="shared" si="178"/>
        <v>0</v>
      </c>
      <c r="Y1252">
        <f t="shared" si="179"/>
        <v>0</v>
      </c>
    </row>
    <row r="1253" spans="1:25" x14ac:dyDescent="0.3">
      <c r="A1253" t="s">
        <v>6452</v>
      </c>
      <c r="B1253" t="s">
        <v>6453</v>
      </c>
      <c r="C1253" s="1">
        <v>45833</v>
      </c>
      <c r="D1253" s="3">
        <v>0.76822916666666663</v>
      </c>
      <c r="E1253">
        <f t="shared" si="171"/>
        <v>18</v>
      </c>
      <c r="F1253">
        <v>39</v>
      </c>
      <c r="G1253" t="s">
        <v>46</v>
      </c>
      <c r="H1253" t="s">
        <v>232</v>
      </c>
      <c r="I1253" t="s">
        <v>48</v>
      </c>
      <c r="J1253" t="s">
        <v>40</v>
      </c>
      <c r="K1253" t="s">
        <v>114</v>
      </c>
      <c r="L1253">
        <v>152.79</v>
      </c>
      <c r="M1253" t="s">
        <v>23</v>
      </c>
      <c r="N1253">
        <f t="shared" si="172"/>
        <v>0</v>
      </c>
      <c r="O1253" t="s">
        <v>86</v>
      </c>
      <c r="P1253" t="s">
        <v>6454</v>
      </c>
      <c r="Q1253">
        <v>0</v>
      </c>
      <c r="R1253">
        <v>304</v>
      </c>
      <c r="S1253">
        <f t="shared" si="173"/>
        <v>-0.30213814430694447</v>
      </c>
      <c r="T1253">
        <f t="shared" si="174"/>
        <v>0</v>
      </c>
      <c r="U1253">
        <f t="shared" si="175"/>
        <v>0</v>
      </c>
      <c r="V1253">
        <f t="shared" si="176"/>
        <v>0</v>
      </c>
      <c r="W1253">
        <f t="shared" si="177"/>
        <v>0</v>
      </c>
      <c r="X1253">
        <f t="shared" si="178"/>
        <v>0</v>
      </c>
      <c r="Y1253">
        <f t="shared" si="179"/>
        <v>0</v>
      </c>
    </row>
    <row r="1254" spans="1:25" x14ac:dyDescent="0.3">
      <c r="A1254" t="s">
        <v>1169</v>
      </c>
      <c r="B1254" t="s">
        <v>1170</v>
      </c>
      <c r="C1254" s="1">
        <v>45704</v>
      </c>
      <c r="D1254" s="3">
        <v>0.4707175925925926</v>
      </c>
      <c r="E1254">
        <f t="shared" si="171"/>
        <v>11</v>
      </c>
      <c r="F1254">
        <v>35</v>
      </c>
      <c r="G1254" t="s">
        <v>46</v>
      </c>
      <c r="H1254" t="s">
        <v>90</v>
      </c>
      <c r="I1254" t="s">
        <v>110</v>
      </c>
      <c r="J1254" t="s">
        <v>21</v>
      </c>
      <c r="K1254" t="s">
        <v>41</v>
      </c>
      <c r="L1254">
        <v>152.69999999999999</v>
      </c>
      <c r="M1254" t="s">
        <v>42</v>
      </c>
      <c r="N1254">
        <f t="shared" si="172"/>
        <v>0</v>
      </c>
      <c r="O1254" t="s">
        <v>24</v>
      </c>
      <c r="P1254" t="s">
        <v>1171</v>
      </c>
      <c r="Q1254">
        <v>0</v>
      </c>
      <c r="R1254">
        <v>50</v>
      </c>
      <c r="S1254">
        <f t="shared" si="173"/>
        <v>-0.30338412765979283</v>
      </c>
      <c r="T1254">
        <f t="shared" si="174"/>
        <v>0</v>
      </c>
      <c r="U1254">
        <f t="shared" si="175"/>
        <v>0</v>
      </c>
      <c r="V1254">
        <f t="shared" si="176"/>
        <v>1</v>
      </c>
      <c r="W1254">
        <f t="shared" si="177"/>
        <v>1</v>
      </c>
      <c r="X1254">
        <f t="shared" si="178"/>
        <v>0</v>
      </c>
      <c r="Y1254">
        <f t="shared" si="179"/>
        <v>0</v>
      </c>
    </row>
    <row r="1255" spans="1:25" x14ac:dyDescent="0.3">
      <c r="A1255" t="s">
        <v>2156</v>
      </c>
      <c r="B1255" t="s">
        <v>2157</v>
      </c>
      <c r="C1255" s="1">
        <v>45875</v>
      </c>
      <c r="D1255" s="3">
        <v>1.0439814814814815E-2</v>
      </c>
      <c r="E1255">
        <f t="shared" si="171"/>
        <v>0</v>
      </c>
      <c r="F1255">
        <v>20</v>
      </c>
      <c r="G1255" t="s">
        <v>46</v>
      </c>
      <c r="H1255" t="s">
        <v>185</v>
      </c>
      <c r="I1255" t="s">
        <v>66</v>
      </c>
      <c r="J1255" t="s">
        <v>72</v>
      </c>
      <c r="K1255" t="s">
        <v>41</v>
      </c>
      <c r="L1255">
        <v>152.63</v>
      </c>
      <c r="M1255" t="s">
        <v>23</v>
      </c>
      <c r="N1255">
        <f t="shared" si="172"/>
        <v>0</v>
      </c>
      <c r="O1255" t="s">
        <v>86</v>
      </c>
      <c r="P1255" t="s">
        <v>2158</v>
      </c>
      <c r="Q1255">
        <v>0</v>
      </c>
      <c r="R1255">
        <v>483</v>
      </c>
      <c r="S1255">
        <f t="shared" si="173"/>
        <v>-0.30435322582311924</v>
      </c>
      <c r="T1255">
        <f t="shared" si="174"/>
        <v>0</v>
      </c>
      <c r="U1255">
        <f t="shared" si="175"/>
        <v>1</v>
      </c>
      <c r="V1255">
        <f t="shared" si="176"/>
        <v>0</v>
      </c>
      <c r="W1255">
        <f t="shared" si="177"/>
        <v>2</v>
      </c>
      <c r="X1255">
        <f t="shared" si="178"/>
        <v>0</v>
      </c>
      <c r="Y1255">
        <f t="shared" si="179"/>
        <v>0</v>
      </c>
    </row>
    <row r="1256" spans="1:25" x14ac:dyDescent="0.3">
      <c r="A1256" t="s">
        <v>2663</v>
      </c>
      <c r="B1256" t="s">
        <v>2664</v>
      </c>
      <c r="C1256" s="1">
        <v>45843</v>
      </c>
      <c r="D1256" s="3">
        <v>0.10829861111111111</v>
      </c>
      <c r="E1256">
        <f t="shared" si="171"/>
        <v>2</v>
      </c>
      <c r="F1256">
        <v>35</v>
      </c>
      <c r="G1256" t="s">
        <v>18</v>
      </c>
      <c r="H1256" t="s">
        <v>312</v>
      </c>
      <c r="I1256" t="s">
        <v>39</v>
      </c>
      <c r="J1256" t="s">
        <v>31</v>
      </c>
      <c r="K1256" t="s">
        <v>114</v>
      </c>
      <c r="L1256">
        <v>152.54</v>
      </c>
      <c r="M1256" t="s">
        <v>6479</v>
      </c>
      <c r="N1256">
        <f t="shared" si="172"/>
        <v>1</v>
      </c>
      <c r="O1256" t="s">
        <v>34</v>
      </c>
      <c r="P1256" t="s">
        <v>2665</v>
      </c>
      <c r="Q1256">
        <v>0</v>
      </c>
      <c r="R1256">
        <v>79</v>
      </c>
      <c r="S1256">
        <f t="shared" si="173"/>
        <v>-0.30559920917596761</v>
      </c>
      <c r="T1256">
        <f t="shared" si="174"/>
        <v>0</v>
      </c>
      <c r="U1256">
        <f t="shared" si="175"/>
        <v>1</v>
      </c>
      <c r="V1256">
        <f t="shared" si="176"/>
        <v>1</v>
      </c>
      <c r="W1256">
        <f t="shared" si="177"/>
        <v>5</v>
      </c>
      <c r="X1256">
        <f t="shared" si="178"/>
        <v>1</v>
      </c>
      <c r="Y1256">
        <f t="shared" si="179"/>
        <v>1</v>
      </c>
    </row>
    <row r="1257" spans="1:25" x14ac:dyDescent="0.3">
      <c r="A1257" t="s">
        <v>2084</v>
      </c>
      <c r="B1257" t="s">
        <v>2085</v>
      </c>
      <c r="C1257" s="1">
        <v>45851</v>
      </c>
      <c r="D1257" s="3">
        <v>0.14559027777777778</v>
      </c>
      <c r="E1257">
        <f t="shared" si="171"/>
        <v>3</v>
      </c>
      <c r="F1257">
        <v>50</v>
      </c>
      <c r="G1257" t="s">
        <v>28</v>
      </c>
      <c r="H1257" t="s">
        <v>80</v>
      </c>
      <c r="I1257" t="s">
        <v>119</v>
      </c>
      <c r="J1257" t="s">
        <v>72</v>
      </c>
      <c r="K1257" t="s">
        <v>168</v>
      </c>
      <c r="L1257">
        <v>152.47</v>
      </c>
      <c r="M1257" t="s">
        <v>23</v>
      </c>
      <c r="N1257">
        <f t="shared" si="172"/>
        <v>0</v>
      </c>
      <c r="O1257" t="s">
        <v>34</v>
      </c>
      <c r="P1257" t="s">
        <v>2086</v>
      </c>
      <c r="Q1257">
        <v>0</v>
      </c>
      <c r="R1257">
        <v>406</v>
      </c>
      <c r="S1257">
        <f t="shared" si="173"/>
        <v>-0.30656830733929397</v>
      </c>
      <c r="T1257">
        <f t="shared" si="174"/>
        <v>0</v>
      </c>
      <c r="U1257">
        <f t="shared" si="175"/>
        <v>1</v>
      </c>
      <c r="V1257">
        <f t="shared" si="176"/>
        <v>0</v>
      </c>
      <c r="W1257">
        <f t="shared" si="177"/>
        <v>2</v>
      </c>
      <c r="X1257">
        <f t="shared" si="178"/>
        <v>0</v>
      </c>
      <c r="Y1257">
        <f t="shared" si="179"/>
        <v>0</v>
      </c>
    </row>
    <row r="1258" spans="1:25" x14ac:dyDescent="0.3">
      <c r="A1258" t="s">
        <v>5777</v>
      </c>
      <c r="B1258" t="s">
        <v>5778</v>
      </c>
      <c r="C1258" s="1">
        <v>45816</v>
      </c>
      <c r="D1258" s="3">
        <v>0.99990740740740736</v>
      </c>
      <c r="E1258">
        <f t="shared" si="171"/>
        <v>23</v>
      </c>
      <c r="F1258">
        <v>30</v>
      </c>
      <c r="G1258" t="s">
        <v>46</v>
      </c>
      <c r="H1258" t="s">
        <v>175</v>
      </c>
      <c r="I1258" t="s">
        <v>30</v>
      </c>
      <c r="J1258" t="s">
        <v>56</v>
      </c>
      <c r="K1258" t="s">
        <v>101</v>
      </c>
      <c r="L1258">
        <v>152.19999999999999</v>
      </c>
      <c r="M1258" t="s">
        <v>23</v>
      </c>
      <c r="N1258">
        <f t="shared" si="172"/>
        <v>0</v>
      </c>
      <c r="O1258" t="s">
        <v>24</v>
      </c>
      <c r="P1258" t="s">
        <v>5779</v>
      </c>
      <c r="Q1258">
        <v>0</v>
      </c>
      <c r="R1258">
        <v>178</v>
      </c>
      <c r="S1258">
        <f t="shared" si="173"/>
        <v>-0.31030625739783907</v>
      </c>
      <c r="T1258">
        <f t="shared" si="174"/>
        <v>0</v>
      </c>
      <c r="U1258">
        <f t="shared" si="175"/>
        <v>0</v>
      </c>
      <c r="V1258">
        <f t="shared" si="176"/>
        <v>1</v>
      </c>
      <c r="W1258">
        <f t="shared" si="177"/>
        <v>1</v>
      </c>
      <c r="X1258">
        <f t="shared" si="178"/>
        <v>0</v>
      </c>
      <c r="Y1258">
        <f t="shared" si="179"/>
        <v>0</v>
      </c>
    </row>
    <row r="1259" spans="1:25" x14ac:dyDescent="0.3">
      <c r="A1259" t="s">
        <v>1232</v>
      </c>
      <c r="B1259" t="s">
        <v>1233</v>
      </c>
      <c r="C1259" s="1">
        <v>45869</v>
      </c>
      <c r="D1259" s="3">
        <v>0.24993055555555554</v>
      </c>
      <c r="E1259">
        <f t="shared" si="171"/>
        <v>5</v>
      </c>
      <c r="F1259">
        <v>60</v>
      </c>
      <c r="G1259" t="s">
        <v>60</v>
      </c>
      <c r="H1259" t="s">
        <v>19</v>
      </c>
      <c r="I1259" t="s">
        <v>71</v>
      </c>
      <c r="J1259" t="s">
        <v>94</v>
      </c>
      <c r="K1259" t="s">
        <v>168</v>
      </c>
      <c r="L1259">
        <v>152</v>
      </c>
      <c r="M1259" t="s">
        <v>33</v>
      </c>
      <c r="N1259">
        <f t="shared" si="172"/>
        <v>0</v>
      </c>
      <c r="O1259" t="s">
        <v>34</v>
      </c>
      <c r="P1259" t="s">
        <v>1234</v>
      </c>
      <c r="Q1259">
        <v>0</v>
      </c>
      <c r="R1259">
        <v>280</v>
      </c>
      <c r="S1259">
        <f t="shared" si="173"/>
        <v>-0.31307510929305743</v>
      </c>
      <c r="T1259">
        <f t="shared" si="174"/>
        <v>0</v>
      </c>
      <c r="U1259">
        <f t="shared" si="175"/>
        <v>1</v>
      </c>
      <c r="V1259">
        <f t="shared" si="176"/>
        <v>0</v>
      </c>
      <c r="W1259">
        <f t="shared" si="177"/>
        <v>2</v>
      </c>
      <c r="X1259">
        <f t="shared" si="178"/>
        <v>0</v>
      </c>
      <c r="Y1259">
        <f t="shared" si="179"/>
        <v>0</v>
      </c>
    </row>
    <row r="1260" spans="1:25" x14ac:dyDescent="0.3">
      <c r="A1260" t="s">
        <v>1640</v>
      </c>
      <c r="B1260" t="s">
        <v>1641</v>
      </c>
      <c r="C1260" s="1">
        <v>45752</v>
      </c>
      <c r="D1260" s="3">
        <v>0.18916666666666668</v>
      </c>
      <c r="E1260">
        <f t="shared" si="171"/>
        <v>4</v>
      </c>
      <c r="F1260">
        <v>57</v>
      </c>
      <c r="G1260" t="s">
        <v>60</v>
      </c>
      <c r="H1260" t="s">
        <v>312</v>
      </c>
      <c r="I1260" t="s">
        <v>85</v>
      </c>
      <c r="J1260" t="s">
        <v>31</v>
      </c>
      <c r="K1260" t="s">
        <v>62</v>
      </c>
      <c r="L1260">
        <v>151.94</v>
      </c>
      <c r="M1260" t="s">
        <v>42</v>
      </c>
      <c r="N1260">
        <f t="shared" si="172"/>
        <v>0</v>
      </c>
      <c r="O1260" t="s">
        <v>86</v>
      </c>
      <c r="P1260" t="s">
        <v>1642</v>
      </c>
      <c r="Q1260">
        <v>0</v>
      </c>
      <c r="R1260">
        <v>70</v>
      </c>
      <c r="S1260">
        <f t="shared" si="173"/>
        <v>-0.31390576486162297</v>
      </c>
      <c r="T1260">
        <f t="shared" si="174"/>
        <v>0</v>
      </c>
      <c r="U1260">
        <f t="shared" si="175"/>
        <v>1</v>
      </c>
      <c r="V1260">
        <f t="shared" si="176"/>
        <v>1</v>
      </c>
      <c r="W1260">
        <f t="shared" si="177"/>
        <v>3</v>
      </c>
      <c r="X1260">
        <f t="shared" si="178"/>
        <v>0</v>
      </c>
      <c r="Y1260">
        <f t="shared" si="179"/>
        <v>0</v>
      </c>
    </row>
    <row r="1261" spans="1:25" x14ac:dyDescent="0.3">
      <c r="A1261" t="s">
        <v>3962</v>
      </c>
      <c r="B1261" t="s">
        <v>3963</v>
      </c>
      <c r="C1261" s="1">
        <v>45860</v>
      </c>
      <c r="D1261" s="3">
        <v>2.900462962962963E-2</v>
      </c>
      <c r="E1261">
        <f t="shared" si="171"/>
        <v>0</v>
      </c>
      <c r="F1261">
        <v>31</v>
      </c>
      <c r="G1261" t="s">
        <v>6479</v>
      </c>
      <c r="H1261" t="s">
        <v>55</v>
      </c>
      <c r="I1261" t="s">
        <v>48</v>
      </c>
      <c r="J1261" t="s">
        <v>127</v>
      </c>
      <c r="K1261" t="s">
        <v>95</v>
      </c>
      <c r="L1261">
        <v>151.84</v>
      </c>
      <c r="M1261" t="s">
        <v>115</v>
      </c>
      <c r="N1261">
        <f t="shared" si="172"/>
        <v>0</v>
      </c>
      <c r="O1261" t="s">
        <v>24</v>
      </c>
      <c r="P1261" t="s">
        <v>3964</v>
      </c>
      <c r="Q1261">
        <v>0</v>
      </c>
      <c r="R1261">
        <v>192</v>
      </c>
      <c r="S1261">
        <f t="shared" si="173"/>
        <v>-0.31529019080923215</v>
      </c>
      <c r="T1261">
        <f t="shared" si="174"/>
        <v>0</v>
      </c>
      <c r="U1261">
        <f t="shared" si="175"/>
        <v>1</v>
      </c>
      <c r="V1261">
        <f t="shared" si="176"/>
        <v>1</v>
      </c>
      <c r="W1261">
        <f t="shared" si="177"/>
        <v>3</v>
      </c>
      <c r="X1261">
        <f t="shared" si="178"/>
        <v>0</v>
      </c>
      <c r="Y1261">
        <f t="shared" si="179"/>
        <v>0</v>
      </c>
    </row>
    <row r="1262" spans="1:25" x14ac:dyDescent="0.3">
      <c r="A1262" t="s">
        <v>4334</v>
      </c>
      <c r="B1262" t="s">
        <v>4335</v>
      </c>
      <c r="C1262" s="1">
        <v>45725</v>
      </c>
      <c r="D1262" s="3">
        <v>9.3333333333333338E-2</v>
      </c>
      <c r="E1262">
        <f t="shared" si="171"/>
        <v>2</v>
      </c>
      <c r="F1262">
        <v>39</v>
      </c>
      <c r="G1262" t="s">
        <v>46</v>
      </c>
      <c r="H1262" t="s">
        <v>189</v>
      </c>
      <c r="I1262" t="s">
        <v>110</v>
      </c>
      <c r="J1262" t="s">
        <v>76</v>
      </c>
      <c r="K1262" t="s">
        <v>22</v>
      </c>
      <c r="L1262">
        <v>151.83000000000001</v>
      </c>
      <c r="M1262" t="s">
        <v>115</v>
      </c>
      <c r="N1262">
        <f t="shared" si="172"/>
        <v>0</v>
      </c>
      <c r="O1262" t="s">
        <v>86</v>
      </c>
      <c r="P1262" t="s">
        <v>4336</v>
      </c>
      <c r="Q1262">
        <v>0</v>
      </c>
      <c r="R1262">
        <v>330</v>
      </c>
      <c r="S1262">
        <f t="shared" si="173"/>
        <v>-0.31542863340399296</v>
      </c>
      <c r="T1262">
        <f t="shared" si="174"/>
        <v>0</v>
      </c>
      <c r="U1262">
        <f t="shared" si="175"/>
        <v>1</v>
      </c>
      <c r="V1262">
        <f t="shared" si="176"/>
        <v>0</v>
      </c>
      <c r="W1262">
        <f t="shared" si="177"/>
        <v>2</v>
      </c>
      <c r="X1262">
        <f t="shared" si="178"/>
        <v>0</v>
      </c>
      <c r="Y1262">
        <f t="shared" si="179"/>
        <v>0</v>
      </c>
    </row>
    <row r="1263" spans="1:25" x14ac:dyDescent="0.3">
      <c r="A1263" t="s">
        <v>3194</v>
      </c>
      <c r="B1263" t="s">
        <v>3195</v>
      </c>
      <c r="C1263" s="1">
        <v>45773</v>
      </c>
      <c r="D1263" s="3">
        <v>0.51909722222222221</v>
      </c>
      <c r="E1263">
        <f t="shared" si="171"/>
        <v>12</v>
      </c>
      <c r="F1263" s="4">
        <v>41</v>
      </c>
      <c r="G1263" t="s">
        <v>46</v>
      </c>
      <c r="H1263" t="s">
        <v>19</v>
      </c>
      <c r="I1263" t="s">
        <v>39</v>
      </c>
      <c r="J1263" t="s">
        <v>40</v>
      </c>
      <c r="K1263" t="s">
        <v>101</v>
      </c>
      <c r="L1263">
        <v>151.79</v>
      </c>
      <c r="M1263" t="s">
        <v>23</v>
      </c>
      <c r="N1263">
        <f t="shared" si="172"/>
        <v>0</v>
      </c>
      <c r="O1263" t="s">
        <v>34</v>
      </c>
      <c r="P1263" t="s">
        <v>3196</v>
      </c>
      <c r="Q1263">
        <v>0</v>
      </c>
      <c r="R1263">
        <v>452</v>
      </c>
      <c r="S1263">
        <f t="shared" si="173"/>
        <v>-0.31598240378303694</v>
      </c>
      <c r="T1263">
        <f t="shared" si="174"/>
        <v>0</v>
      </c>
      <c r="U1263">
        <f t="shared" si="175"/>
        <v>0</v>
      </c>
      <c r="V1263">
        <f t="shared" si="176"/>
        <v>0</v>
      </c>
      <c r="W1263">
        <f t="shared" si="177"/>
        <v>0</v>
      </c>
      <c r="X1263">
        <f t="shared" si="178"/>
        <v>0</v>
      </c>
      <c r="Y1263">
        <f t="shared" si="179"/>
        <v>0</v>
      </c>
    </row>
    <row r="1264" spans="1:25" x14ac:dyDescent="0.3">
      <c r="A1264" t="s">
        <v>4748</v>
      </c>
      <c r="B1264" t="s">
        <v>4749</v>
      </c>
      <c r="C1264" s="1">
        <v>45715</v>
      </c>
      <c r="D1264" s="3">
        <v>0.49612268518518521</v>
      </c>
      <c r="E1264">
        <f t="shared" si="171"/>
        <v>11</v>
      </c>
      <c r="F1264">
        <v>27</v>
      </c>
      <c r="G1264" t="s">
        <v>46</v>
      </c>
      <c r="H1264" t="s">
        <v>131</v>
      </c>
      <c r="I1264" t="s">
        <v>30</v>
      </c>
      <c r="J1264" t="s">
        <v>49</v>
      </c>
      <c r="K1264" t="s">
        <v>120</v>
      </c>
      <c r="L1264">
        <v>151.47</v>
      </c>
      <c r="M1264" t="s">
        <v>42</v>
      </c>
      <c r="N1264">
        <f t="shared" si="172"/>
        <v>0</v>
      </c>
      <c r="O1264" t="s">
        <v>34</v>
      </c>
      <c r="P1264" t="s">
        <v>4750</v>
      </c>
      <c r="Q1264">
        <v>0</v>
      </c>
      <c r="R1264">
        <v>231</v>
      </c>
      <c r="S1264">
        <f t="shared" si="173"/>
        <v>-0.32041256681538643</v>
      </c>
      <c r="T1264">
        <f t="shared" si="174"/>
        <v>0</v>
      </c>
      <c r="U1264">
        <f t="shared" si="175"/>
        <v>0</v>
      </c>
      <c r="V1264">
        <f t="shared" si="176"/>
        <v>1</v>
      </c>
      <c r="W1264">
        <f t="shared" si="177"/>
        <v>1</v>
      </c>
      <c r="X1264">
        <f t="shared" si="178"/>
        <v>0</v>
      </c>
      <c r="Y1264">
        <f t="shared" si="179"/>
        <v>0</v>
      </c>
    </row>
    <row r="1265" spans="1:25" x14ac:dyDescent="0.3">
      <c r="A1265" t="s">
        <v>662</v>
      </c>
      <c r="B1265" t="s">
        <v>663</v>
      </c>
      <c r="C1265" s="1">
        <v>45838</v>
      </c>
      <c r="D1265" s="3">
        <v>0.4241435185185185</v>
      </c>
      <c r="E1265">
        <f t="shared" si="171"/>
        <v>10</v>
      </c>
      <c r="F1265">
        <v>61</v>
      </c>
      <c r="G1265" t="s">
        <v>60</v>
      </c>
      <c r="H1265" t="s">
        <v>175</v>
      </c>
      <c r="I1265" t="s">
        <v>48</v>
      </c>
      <c r="J1265" t="s">
        <v>40</v>
      </c>
      <c r="K1265" t="s">
        <v>50</v>
      </c>
      <c r="L1265">
        <v>151.29</v>
      </c>
      <c r="M1265" t="s">
        <v>33</v>
      </c>
      <c r="N1265">
        <f t="shared" si="172"/>
        <v>0</v>
      </c>
      <c r="O1265" t="s">
        <v>24</v>
      </c>
      <c r="P1265" t="s">
        <v>664</v>
      </c>
      <c r="Q1265">
        <v>0</v>
      </c>
      <c r="R1265">
        <v>134</v>
      </c>
      <c r="S1265">
        <f t="shared" si="173"/>
        <v>-0.32290453352108317</v>
      </c>
      <c r="T1265">
        <f t="shared" si="174"/>
        <v>0</v>
      </c>
      <c r="U1265">
        <f t="shared" si="175"/>
        <v>0</v>
      </c>
      <c r="V1265">
        <f t="shared" si="176"/>
        <v>1</v>
      </c>
      <c r="W1265">
        <f t="shared" si="177"/>
        <v>1</v>
      </c>
      <c r="X1265">
        <f t="shared" si="178"/>
        <v>0</v>
      </c>
      <c r="Y1265">
        <f t="shared" si="179"/>
        <v>0</v>
      </c>
    </row>
    <row r="1266" spans="1:25" x14ac:dyDescent="0.3">
      <c r="A1266" t="s">
        <v>1415</v>
      </c>
      <c r="B1266" t="s">
        <v>1416</v>
      </c>
      <c r="C1266" s="1">
        <v>45876</v>
      </c>
      <c r="D1266" s="3">
        <v>0.94480324074074074</v>
      </c>
      <c r="E1266">
        <f t="shared" si="171"/>
        <v>22</v>
      </c>
      <c r="F1266">
        <v>40</v>
      </c>
      <c r="G1266" t="s">
        <v>6479</v>
      </c>
      <c r="H1266" t="s">
        <v>61</v>
      </c>
      <c r="I1266" t="s">
        <v>119</v>
      </c>
      <c r="J1266" t="s">
        <v>21</v>
      </c>
      <c r="K1266" t="s">
        <v>41</v>
      </c>
      <c r="L1266">
        <v>151.29</v>
      </c>
      <c r="M1266" t="s">
        <v>33</v>
      </c>
      <c r="N1266">
        <f t="shared" si="172"/>
        <v>0</v>
      </c>
      <c r="O1266" t="s">
        <v>34</v>
      </c>
      <c r="P1266" t="s">
        <v>1417</v>
      </c>
      <c r="Q1266">
        <v>0</v>
      </c>
      <c r="R1266">
        <v>378</v>
      </c>
      <c r="S1266">
        <f t="shared" si="173"/>
        <v>-0.32290453352108317</v>
      </c>
      <c r="T1266">
        <f t="shared" si="174"/>
        <v>0</v>
      </c>
      <c r="U1266">
        <f t="shared" si="175"/>
        <v>0</v>
      </c>
      <c r="V1266">
        <f t="shared" si="176"/>
        <v>0</v>
      </c>
      <c r="W1266">
        <f t="shared" si="177"/>
        <v>0</v>
      </c>
      <c r="X1266">
        <f t="shared" si="178"/>
        <v>0</v>
      </c>
      <c r="Y1266">
        <f t="shared" si="179"/>
        <v>0</v>
      </c>
    </row>
    <row r="1267" spans="1:25" x14ac:dyDescent="0.3">
      <c r="A1267" t="s">
        <v>1400</v>
      </c>
      <c r="B1267" t="s">
        <v>1401</v>
      </c>
      <c r="C1267" s="1">
        <v>45780</v>
      </c>
      <c r="D1267" s="3">
        <v>0.85981481481481481</v>
      </c>
      <c r="E1267">
        <f t="shared" si="171"/>
        <v>20</v>
      </c>
      <c r="F1267">
        <v>36</v>
      </c>
      <c r="G1267" t="s">
        <v>18</v>
      </c>
      <c r="H1267" t="s">
        <v>142</v>
      </c>
      <c r="I1267" t="s">
        <v>119</v>
      </c>
      <c r="J1267" t="s">
        <v>132</v>
      </c>
      <c r="K1267" t="s">
        <v>62</v>
      </c>
      <c r="L1267">
        <v>151.28</v>
      </c>
      <c r="M1267" t="s">
        <v>33</v>
      </c>
      <c r="N1267">
        <f t="shared" si="172"/>
        <v>0</v>
      </c>
      <c r="O1267" t="s">
        <v>34</v>
      </c>
      <c r="P1267" t="s">
        <v>1402</v>
      </c>
      <c r="Q1267">
        <v>0</v>
      </c>
      <c r="R1267">
        <v>322</v>
      </c>
      <c r="S1267">
        <f t="shared" si="173"/>
        <v>-0.32304297611584398</v>
      </c>
      <c r="T1267">
        <f t="shared" si="174"/>
        <v>0</v>
      </c>
      <c r="U1267">
        <f t="shared" si="175"/>
        <v>0</v>
      </c>
      <c r="V1267">
        <f t="shared" si="176"/>
        <v>0</v>
      </c>
      <c r="W1267">
        <f t="shared" si="177"/>
        <v>0</v>
      </c>
      <c r="X1267">
        <f t="shared" si="178"/>
        <v>0</v>
      </c>
      <c r="Y1267">
        <f t="shared" si="179"/>
        <v>0</v>
      </c>
    </row>
    <row r="1268" spans="1:25" x14ac:dyDescent="0.3">
      <c r="A1268" t="s">
        <v>4937</v>
      </c>
      <c r="B1268" t="s">
        <v>4938</v>
      </c>
      <c r="C1268" s="1">
        <v>45723</v>
      </c>
      <c r="D1268" s="3">
        <v>0.35796296296296298</v>
      </c>
      <c r="E1268">
        <f t="shared" si="171"/>
        <v>8</v>
      </c>
      <c r="F1268">
        <v>49</v>
      </c>
      <c r="G1268" t="s">
        <v>60</v>
      </c>
      <c r="H1268" t="s">
        <v>19</v>
      </c>
      <c r="I1268" t="s">
        <v>71</v>
      </c>
      <c r="J1268" t="s">
        <v>76</v>
      </c>
      <c r="K1268" t="s">
        <v>32</v>
      </c>
      <c r="L1268">
        <v>151.09</v>
      </c>
      <c r="M1268" t="s">
        <v>42</v>
      </c>
      <c r="N1268">
        <f t="shared" si="172"/>
        <v>0</v>
      </c>
      <c r="O1268" t="s">
        <v>24</v>
      </c>
      <c r="P1268" t="s">
        <v>4939</v>
      </c>
      <c r="Q1268">
        <v>0</v>
      </c>
      <c r="R1268">
        <v>293</v>
      </c>
      <c r="S1268">
        <f t="shared" si="173"/>
        <v>-0.32567338541630148</v>
      </c>
      <c r="T1268">
        <f t="shared" si="174"/>
        <v>0</v>
      </c>
      <c r="U1268">
        <f t="shared" si="175"/>
        <v>0</v>
      </c>
      <c r="V1268">
        <f t="shared" si="176"/>
        <v>0</v>
      </c>
      <c r="W1268">
        <f t="shared" si="177"/>
        <v>0</v>
      </c>
      <c r="X1268">
        <f t="shared" si="178"/>
        <v>0</v>
      </c>
      <c r="Y1268">
        <f t="shared" si="179"/>
        <v>0</v>
      </c>
    </row>
    <row r="1269" spans="1:25" x14ac:dyDescent="0.3">
      <c r="A1269" t="s">
        <v>5639</v>
      </c>
      <c r="B1269" t="s">
        <v>5640</v>
      </c>
      <c r="C1269" s="1">
        <v>45836</v>
      </c>
      <c r="D1269" s="3">
        <v>0.9439467592592593</v>
      </c>
      <c r="E1269">
        <f t="shared" ref="E1269:E1332" si="180">HOUR(D1269)</f>
        <v>22</v>
      </c>
      <c r="F1269">
        <v>39</v>
      </c>
      <c r="G1269" t="s">
        <v>46</v>
      </c>
      <c r="H1269" t="s">
        <v>55</v>
      </c>
      <c r="I1269" t="s">
        <v>110</v>
      </c>
      <c r="J1269" t="s">
        <v>132</v>
      </c>
      <c r="K1269" t="s">
        <v>41</v>
      </c>
      <c r="L1269">
        <v>151.05000000000001</v>
      </c>
      <c r="M1269" t="s">
        <v>6479</v>
      </c>
      <c r="N1269">
        <f t="shared" si="172"/>
        <v>1</v>
      </c>
      <c r="O1269" t="s">
        <v>86</v>
      </c>
      <c r="P1269" t="s">
        <v>5641</v>
      </c>
      <c r="Q1269">
        <v>0</v>
      </c>
      <c r="R1269">
        <v>294</v>
      </c>
      <c r="S1269">
        <f t="shared" si="173"/>
        <v>-0.32622715579534506</v>
      </c>
      <c r="T1269">
        <f t="shared" si="174"/>
        <v>0</v>
      </c>
      <c r="U1269">
        <f t="shared" si="175"/>
        <v>0</v>
      </c>
      <c r="V1269">
        <f t="shared" si="176"/>
        <v>0</v>
      </c>
      <c r="W1269">
        <f t="shared" si="177"/>
        <v>2</v>
      </c>
      <c r="X1269">
        <f t="shared" si="178"/>
        <v>0</v>
      </c>
      <c r="Y1269">
        <f t="shared" si="179"/>
        <v>1</v>
      </c>
    </row>
    <row r="1270" spans="1:25" x14ac:dyDescent="0.3">
      <c r="A1270" t="s">
        <v>2825</v>
      </c>
      <c r="B1270" t="s">
        <v>2826</v>
      </c>
      <c r="C1270" s="1">
        <v>45789</v>
      </c>
      <c r="D1270" s="3">
        <v>0.726099537037037</v>
      </c>
      <c r="E1270">
        <f t="shared" si="180"/>
        <v>17</v>
      </c>
      <c r="F1270">
        <v>52</v>
      </c>
      <c r="G1270" t="s">
        <v>46</v>
      </c>
      <c r="H1270" t="s">
        <v>312</v>
      </c>
      <c r="I1270" t="s">
        <v>30</v>
      </c>
      <c r="J1270" t="s">
        <v>76</v>
      </c>
      <c r="K1270" t="s">
        <v>120</v>
      </c>
      <c r="L1270">
        <v>151.02000000000001</v>
      </c>
      <c r="M1270" t="s">
        <v>115</v>
      </c>
      <c r="N1270">
        <f t="shared" si="172"/>
        <v>0</v>
      </c>
      <c r="O1270" t="s">
        <v>24</v>
      </c>
      <c r="P1270" t="s">
        <v>2827</v>
      </c>
      <c r="Q1270">
        <v>0</v>
      </c>
      <c r="R1270">
        <v>109</v>
      </c>
      <c r="S1270">
        <f t="shared" si="173"/>
        <v>-0.32664248357962788</v>
      </c>
      <c r="T1270">
        <f t="shared" si="174"/>
        <v>0</v>
      </c>
      <c r="U1270">
        <f t="shared" si="175"/>
        <v>0</v>
      </c>
      <c r="V1270">
        <f t="shared" si="176"/>
        <v>1</v>
      </c>
      <c r="W1270">
        <f t="shared" si="177"/>
        <v>1</v>
      </c>
      <c r="X1270">
        <f t="shared" si="178"/>
        <v>0</v>
      </c>
      <c r="Y1270">
        <f t="shared" si="179"/>
        <v>0</v>
      </c>
    </row>
    <row r="1271" spans="1:25" x14ac:dyDescent="0.3">
      <c r="A1271" t="s">
        <v>6368</v>
      </c>
      <c r="B1271" t="s">
        <v>6369</v>
      </c>
      <c r="C1271" s="1">
        <v>45777</v>
      </c>
      <c r="D1271" s="3">
        <v>0.77839120370370374</v>
      </c>
      <c r="E1271">
        <f t="shared" si="180"/>
        <v>18</v>
      </c>
      <c r="F1271">
        <v>59</v>
      </c>
      <c r="G1271" t="s">
        <v>18</v>
      </c>
      <c r="H1271" t="s">
        <v>84</v>
      </c>
      <c r="I1271" t="s">
        <v>39</v>
      </c>
      <c r="J1271" t="s">
        <v>76</v>
      </c>
      <c r="K1271" t="s">
        <v>50</v>
      </c>
      <c r="L1271">
        <v>150.91999999999999</v>
      </c>
      <c r="M1271" t="s">
        <v>42</v>
      </c>
      <c r="N1271">
        <f t="shared" si="172"/>
        <v>0</v>
      </c>
      <c r="O1271" t="s">
        <v>34</v>
      </c>
      <c r="P1271" t="s">
        <v>6370</v>
      </c>
      <c r="Q1271">
        <v>0</v>
      </c>
      <c r="R1271">
        <v>481</v>
      </c>
      <c r="S1271">
        <f t="shared" si="173"/>
        <v>-0.32802690952723745</v>
      </c>
      <c r="T1271">
        <f t="shared" si="174"/>
        <v>0</v>
      </c>
      <c r="U1271">
        <f t="shared" si="175"/>
        <v>0</v>
      </c>
      <c r="V1271">
        <f t="shared" si="176"/>
        <v>0</v>
      </c>
      <c r="W1271">
        <f t="shared" si="177"/>
        <v>0</v>
      </c>
      <c r="X1271">
        <f t="shared" si="178"/>
        <v>0</v>
      </c>
      <c r="Y1271">
        <f t="shared" si="179"/>
        <v>0</v>
      </c>
    </row>
    <row r="1272" spans="1:25" x14ac:dyDescent="0.3">
      <c r="A1272" t="s">
        <v>4934</v>
      </c>
      <c r="B1272" t="s">
        <v>4935</v>
      </c>
      <c r="C1272" s="1">
        <v>45854</v>
      </c>
      <c r="D1272" s="3">
        <v>0.62192129629629633</v>
      </c>
      <c r="E1272">
        <f t="shared" si="180"/>
        <v>14</v>
      </c>
      <c r="F1272">
        <v>20</v>
      </c>
      <c r="G1272" t="s">
        <v>60</v>
      </c>
      <c r="H1272" t="s">
        <v>312</v>
      </c>
      <c r="I1272" t="s">
        <v>48</v>
      </c>
      <c r="J1272" t="s">
        <v>49</v>
      </c>
      <c r="K1272" t="s">
        <v>32</v>
      </c>
      <c r="L1272">
        <v>150.9</v>
      </c>
      <c r="M1272" t="s">
        <v>33</v>
      </c>
      <c r="N1272">
        <f t="shared" si="172"/>
        <v>0</v>
      </c>
      <c r="O1272" t="s">
        <v>86</v>
      </c>
      <c r="P1272" t="s">
        <v>4936</v>
      </c>
      <c r="Q1272">
        <v>0</v>
      </c>
      <c r="R1272">
        <v>352</v>
      </c>
      <c r="S1272">
        <f t="shared" si="173"/>
        <v>-0.32830379471675902</v>
      </c>
      <c r="T1272">
        <f t="shared" si="174"/>
        <v>0</v>
      </c>
      <c r="U1272">
        <f t="shared" si="175"/>
        <v>0</v>
      </c>
      <c r="V1272">
        <f t="shared" si="176"/>
        <v>0</v>
      </c>
      <c r="W1272">
        <f t="shared" si="177"/>
        <v>0</v>
      </c>
      <c r="X1272">
        <f t="shared" si="178"/>
        <v>0</v>
      </c>
      <c r="Y1272">
        <f t="shared" si="179"/>
        <v>0</v>
      </c>
    </row>
    <row r="1273" spans="1:25" x14ac:dyDescent="0.3">
      <c r="A1273" t="s">
        <v>2117</v>
      </c>
      <c r="B1273" t="s">
        <v>2118</v>
      </c>
      <c r="C1273" s="1">
        <v>45839</v>
      </c>
      <c r="D1273" s="3">
        <v>0.15968750000000001</v>
      </c>
      <c r="E1273">
        <f t="shared" si="180"/>
        <v>3</v>
      </c>
      <c r="F1273">
        <v>28</v>
      </c>
      <c r="G1273" t="s">
        <v>46</v>
      </c>
      <c r="H1273" t="s">
        <v>61</v>
      </c>
      <c r="I1273" t="s">
        <v>119</v>
      </c>
      <c r="J1273" t="s">
        <v>132</v>
      </c>
      <c r="K1273" t="s">
        <v>41</v>
      </c>
      <c r="L1273">
        <v>150.82</v>
      </c>
      <c r="M1273" t="s">
        <v>33</v>
      </c>
      <c r="N1273">
        <f t="shared" si="172"/>
        <v>0</v>
      </c>
      <c r="O1273" t="s">
        <v>34</v>
      </c>
      <c r="P1273" t="s">
        <v>2119</v>
      </c>
      <c r="Q1273">
        <v>0</v>
      </c>
      <c r="R1273">
        <v>305</v>
      </c>
      <c r="S1273">
        <f t="shared" si="173"/>
        <v>-0.32941133547484658</v>
      </c>
      <c r="T1273">
        <f t="shared" si="174"/>
        <v>0</v>
      </c>
      <c r="U1273">
        <f t="shared" si="175"/>
        <v>1</v>
      </c>
      <c r="V1273">
        <f t="shared" si="176"/>
        <v>0</v>
      </c>
      <c r="W1273">
        <f t="shared" si="177"/>
        <v>2</v>
      </c>
      <c r="X1273">
        <f t="shared" si="178"/>
        <v>0</v>
      </c>
      <c r="Y1273">
        <f t="shared" si="179"/>
        <v>0</v>
      </c>
    </row>
    <row r="1274" spans="1:25" x14ac:dyDescent="0.3">
      <c r="A1274" t="s">
        <v>3326</v>
      </c>
      <c r="B1274" t="s">
        <v>3327</v>
      </c>
      <c r="C1274" s="1">
        <v>45815</v>
      </c>
      <c r="D1274" s="3">
        <v>0.28421296296296295</v>
      </c>
      <c r="E1274">
        <f t="shared" si="180"/>
        <v>6</v>
      </c>
      <c r="F1274">
        <v>34</v>
      </c>
      <c r="G1274" t="s">
        <v>46</v>
      </c>
      <c r="H1274" t="s">
        <v>100</v>
      </c>
      <c r="I1274" t="s">
        <v>119</v>
      </c>
      <c r="J1274" t="s">
        <v>127</v>
      </c>
      <c r="K1274" t="s">
        <v>32</v>
      </c>
      <c r="L1274">
        <v>150.81</v>
      </c>
      <c r="M1274" t="s">
        <v>115</v>
      </c>
      <c r="N1274">
        <f t="shared" si="172"/>
        <v>0</v>
      </c>
      <c r="O1274" t="s">
        <v>86</v>
      </c>
      <c r="P1274" t="s">
        <v>3328</v>
      </c>
      <c r="Q1274">
        <v>0</v>
      </c>
      <c r="R1274">
        <v>122</v>
      </c>
      <c r="S1274">
        <f t="shared" si="173"/>
        <v>-0.32954977806960739</v>
      </c>
      <c r="T1274">
        <f t="shared" si="174"/>
        <v>0</v>
      </c>
      <c r="U1274">
        <f t="shared" si="175"/>
        <v>0</v>
      </c>
      <c r="V1274">
        <f t="shared" si="176"/>
        <v>1</v>
      </c>
      <c r="W1274">
        <f t="shared" si="177"/>
        <v>1</v>
      </c>
      <c r="X1274">
        <f t="shared" si="178"/>
        <v>0</v>
      </c>
      <c r="Y1274">
        <f t="shared" si="179"/>
        <v>0</v>
      </c>
    </row>
    <row r="1275" spans="1:25" x14ac:dyDescent="0.3">
      <c r="A1275" t="s">
        <v>6296</v>
      </c>
      <c r="B1275" t="s">
        <v>6297</v>
      </c>
      <c r="C1275" s="1">
        <v>45869</v>
      </c>
      <c r="D1275" s="3">
        <v>9.825231481481482E-2</v>
      </c>
      <c r="E1275">
        <f t="shared" si="180"/>
        <v>2</v>
      </c>
      <c r="F1275">
        <v>29</v>
      </c>
      <c r="G1275" t="s">
        <v>6479</v>
      </c>
      <c r="H1275" t="s">
        <v>61</v>
      </c>
      <c r="I1275" t="s">
        <v>110</v>
      </c>
      <c r="J1275" t="s">
        <v>127</v>
      </c>
      <c r="K1275" t="s">
        <v>114</v>
      </c>
      <c r="L1275">
        <v>150.81</v>
      </c>
      <c r="M1275" t="s">
        <v>33</v>
      </c>
      <c r="N1275">
        <f t="shared" si="172"/>
        <v>0</v>
      </c>
      <c r="O1275" t="s">
        <v>51</v>
      </c>
      <c r="P1275" t="s">
        <v>6298</v>
      </c>
      <c r="Q1275">
        <v>0</v>
      </c>
      <c r="R1275">
        <v>270</v>
      </c>
      <c r="S1275">
        <f t="shared" si="173"/>
        <v>-0.32954977806960739</v>
      </c>
      <c r="T1275">
        <f t="shared" si="174"/>
        <v>0</v>
      </c>
      <c r="U1275">
        <f t="shared" si="175"/>
        <v>1</v>
      </c>
      <c r="V1275">
        <f t="shared" si="176"/>
        <v>1</v>
      </c>
      <c r="W1275">
        <f t="shared" si="177"/>
        <v>3</v>
      </c>
      <c r="X1275">
        <f t="shared" si="178"/>
        <v>0</v>
      </c>
      <c r="Y1275">
        <f t="shared" si="179"/>
        <v>0</v>
      </c>
    </row>
    <row r="1276" spans="1:25" x14ac:dyDescent="0.3">
      <c r="A1276" t="s">
        <v>5249</v>
      </c>
      <c r="B1276" t="s">
        <v>5250</v>
      </c>
      <c r="C1276" s="1">
        <v>45791</v>
      </c>
      <c r="D1276" s="3">
        <v>0.27341435185185187</v>
      </c>
      <c r="E1276">
        <f t="shared" si="180"/>
        <v>6</v>
      </c>
      <c r="F1276">
        <v>51</v>
      </c>
      <c r="G1276" t="s">
        <v>6479</v>
      </c>
      <c r="H1276" t="s">
        <v>55</v>
      </c>
      <c r="I1276" t="s">
        <v>20</v>
      </c>
      <c r="J1276" t="s">
        <v>132</v>
      </c>
      <c r="K1276" t="s">
        <v>32</v>
      </c>
      <c r="L1276">
        <v>150.76</v>
      </c>
      <c r="M1276" t="s">
        <v>33</v>
      </c>
      <c r="N1276">
        <f t="shared" si="172"/>
        <v>0</v>
      </c>
      <c r="O1276" t="s">
        <v>86</v>
      </c>
      <c r="P1276" t="s">
        <v>5251</v>
      </c>
      <c r="Q1276">
        <v>0</v>
      </c>
      <c r="R1276">
        <v>75</v>
      </c>
      <c r="S1276">
        <f t="shared" si="173"/>
        <v>-0.33024199104341218</v>
      </c>
      <c r="T1276">
        <f t="shared" si="174"/>
        <v>0</v>
      </c>
      <c r="U1276">
        <f t="shared" si="175"/>
        <v>0</v>
      </c>
      <c r="V1276">
        <f t="shared" si="176"/>
        <v>1</v>
      </c>
      <c r="W1276">
        <f t="shared" si="177"/>
        <v>1</v>
      </c>
      <c r="X1276">
        <f t="shared" si="178"/>
        <v>0</v>
      </c>
      <c r="Y1276">
        <f t="shared" si="179"/>
        <v>0</v>
      </c>
    </row>
    <row r="1277" spans="1:25" x14ac:dyDescent="0.3">
      <c r="A1277" t="s">
        <v>4478</v>
      </c>
      <c r="B1277" t="s">
        <v>4479</v>
      </c>
      <c r="C1277" s="1">
        <v>45816</v>
      </c>
      <c r="D1277" s="3">
        <v>0.82271990740740741</v>
      </c>
      <c r="E1277">
        <f t="shared" si="180"/>
        <v>19</v>
      </c>
      <c r="F1277">
        <v>38</v>
      </c>
      <c r="G1277" t="s">
        <v>60</v>
      </c>
      <c r="H1277" t="s">
        <v>70</v>
      </c>
      <c r="I1277" t="s">
        <v>71</v>
      </c>
      <c r="J1277" t="s">
        <v>31</v>
      </c>
      <c r="K1277" t="s">
        <v>50</v>
      </c>
      <c r="L1277">
        <v>150.5</v>
      </c>
      <c r="M1277" t="s">
        <v>6479</v>
      </c>
      <c r="N1277">
        <f t="shared" si="172"/>
        <v>1</v>
      </c>
      <c r="O1277" t="s">
        <v>24</v>
      </c>
      <c r="P1277" t="s">
        <v>4480</v>
      </c>
      <c r="Q1277">
        <v>0</v>
      </c>
      <c r="R1277">
        <v>118</v>
      </c>
      <c r="S1277">
        <f t="shared" si="173"/>
        <v>-0.33384149850719608</v>
      </c>
      <c r="T1277">
        <f t="shared" si="174"/>
        <v>0</v>
      </c>
      <c r="U1277">
        <f t="shared" si="175"/>
        <v>0</v>
      </c>
      <c r="V1277">
        <f t="shared" si="176"/>
        <v>1</v>
      </c>
      <c r="W1277">
        <f t="shared" si="177"/>
        <v>3</v>
      </c>
      <c r="X1277">
        <f t="shared" si="178"/>
        <v>0</v>
      </c>
      <c r="Y1277">
        <f t="shared" si="179"/>
        <v>1</v>
      </c>
    </row>
    <row r="1278" spans="1:25" x14ac:dyDescent="0.3">
      <c r="A1278" s="2" t="s">
        <v>1289</v>
      </c>
      <c r="B1278" t="s">
        <v>1290</v>
      </c>
      <c r="C1278" s="1">
        <v>45754</v>
      </c>
      <c r="D1278" s="3">
        <v>0.23862268518518517</v>
      </c>
      <c r="E1278">
        <f t="shared" si="180"/>
        <v>5</v>
      </c>
      <c r="F1278">
        <v>29</v>
      </c>
      <c r="G1278" t="s">
        <v>28</v>
      </c>
      <c r="H1278" t="s">
        <v>80</v>
      </c>
      <c r="I1278" t="s">
        <v>85</v>
      </c>
      <c r="J1278" t="s">
        <v>56</v>
      </c>
      <c r="K1278" t="s">
        <v>120</v>
      </c>
      <c r="L1278">
        <v>150.41999999999999</v>
      </c>
      <c r="M1278" t="s">
        <v>33</v>
      </c>
      <c r="N1278">
        <f t="shared" si="172"/>
        <v>0</v>
      </c>
      <c r="O1278" t="s">
        <v>86</v>
      </c>
      <c r="P1278" t="s">
        <v>1291</v>
      </c>
      <c r="Q1278">
        <v>0</v>
      </c>
      <c r="R1278">
        <v>83</v>
      </c>
      <c r="S1278">
        <f t="shared" si="173"/>
        <v>-0.33494903926528363</v>
      </c>
      <c r="T1278">
        <f t="shared" si="174"/>
        <v>0</v>
      </c>
      <c r="U1278">
        <f t="shared" si="175"/>
        <v>1</v>
      </c>
      <c r="V1278">
        <f t="shared" si="176"/>
        <v>1</v>
      </c>
      <c r="W1278">
        <f t="shared" si="177"/>
        <v>3</v>
      </c>
      <c r="X1278">
        <f t="shared" si="178"/>
        <v>0</v>
      </c>
      <c r="Y1278">
        <f t="shared" si="179"/>
        <v>0</v>
      </c>
    </row>
    <row r="1279" spans="1:25" x14ac:dyDescent="0.3">
      <c r="A1279" t="s">
        <v>3176</v>
      </c>
      <c r="B1279" t="s">
        <v>3177</v>
      </c>
      <c r="C1279" s="1">
        <v>45712</v>
      </c>
      <c r="D1279" s="3">
        <v>0.8354166666666667</v>
      </c>
      <c r="E1279">
        <f t="shared" si="180"/>
        <v>20</v>
      </c>
      <c r="F1279">
        <v>32</v>
      </c>
      <c r="G1279" t="s">
        <v>46</v>
      </c>
      <c r="H1279" t="s">
        <v>29</v>
      </c>
      <c r="I1279" t="s">
        <v>110</v>
      </c>
      <c r="J1279" t="s">
        <v>56</v>
      </c>
      <c r="K1279" t="s">
        <v>62</v>
      </c>
      <c r="L1279">
        <v>150.41</v>
      </c>
      <c r="M1279" t="s">
        <v>115</v>
      </c>
      <c r="N1279">
        <f t="shared" si="172"/>
        <v>0</v>
      </c>
      <c r="O1279" t="s">
        <v>51</v>
      </c>
      <c r="P1279" t="s">
        <v>3178</v>
      </c>
      <c r="Q1279">
        <v>0</v>
      </c>
      <c r="R1279">
        <v>479</v>
      </c>
      <c r="S1279">
        <f t="shared" si="173"/>
        <v>-0.33508748186004444</v>
      </c>
      <c r="T1279">
        <f t="shared" si="174"/>
        <v>0</v>
      </c>
      <c r="U1279">
        <f t="shared" si="175"/>
        <v>0</v>
      </c>
      <c r="V1279">
        <f t="shared" si="176"/>
        <v>0</v>
      </c>
      <c r="W1279">
        <f t="shared" si="177"/>
        <v>0</v>
      </c>
      <c r="X1279">
        <f t="shared" si="178"/>
        <v>0</v>
      </c>
      <c r="Y1279">
        <f t="shared" si="179"/>
        <v>0</v>
      </c>
    </row>
    <row r="1280" spans="1:25" x14ac:dyDescent="0.3">
      <c r="A1280" s="2" t="s">
        <v>4718</v>
      </c>
      <c r="B1280" t="s">
        <v>4719</v>
      </c>
      <c r="C1280" s="1">
        <v>45852</v>
      </c>
      <c r="D1280" s="3">
        <v>0.44722222222222224</v>
      </c>
      <c r="E1280">
        <f t="shared" si="180"/>
        <v>10</v>
      </c>
      <c r="F1280">
        <v>49</v>
      </c>
      <c r="G1280" t="s">
        <v>46</v>
      </c>
      <c r="H1280" t="s">
        <v>61</v>
      </c>
      <c r="I1280" t="s">
        <v>105</v>
      </c>
      <c r="J1280" t="s">
        <v>94</v>
      </c>
      <c r="K1280" t="s">
        <v>168</v>
      </c>
      <c r="L1280">
        <v>150.38</v>
      </c>
      <c r="M1280" t="s">
        <v>42</v>
      </c>
      <c r="N1280">
        <f t="shared" si="172"/>
        <v>0</v>
      </c>
      <c r="O1280" t="s">
        <v>86</v>
      </c>
      <c r="P1280" t="s">
        <v>4720</v>
      </c>
      <c r="Q1280">
        <v>0</v>
      </c>
      <c r="R1280">
        <v>434</v>
      </c>
      <c r="S1280">
        <f t="shared" si="173"/>
        <v>-0.33550280964432727</v>
      </c>
      <c r="T1280">
        <f t="shared" si="174"/>
        <v>0</v>
      </c>
      <c r="U1280">
        <f t="shared" si="175"/>
        <v>0</v>
      </c>
      <c r="V1280">
        <f t="shared" si="176"/>
        <v>0</v>
      </c>
      <c r="W1280">
        <f t="shared" si="177"/>
        <v>0</v>
      </c>
      <c r="X1280">
        <f t="shared" si="178"/>
        <v>0</v>
      </c>
      <c r="Y1280">
        <f t="shared" si="179"/>
        <v>0</v>
      </c>
    </row>
    <row r="1281" spans="1:25" x14ac:dyDescent="0.3">
      <c r="A1281" t="s">
        <v>4967</v>
      </c>
      <c r="B1281" t="s">
        <v>4968</v>
      </c>
      <c r="C1281" s="1">
        <v>45871</v>
      </c>
      <c r="D1281" s="3">
        <v>0.5528819444444445</v>
      </c>
      <c r="E1281">
        <f t="shared" si="180"/>
        <v>13</v>
      </c>
      <c r="F1281">
        <v>51</v>
      </c>
      <c r="G1281" t="s">
        <v>60</v>
      </c>
      <c r="H1281" t="s">
        <v>19</v>
      </c>
      <c r="I1281" t="s">
        <v>48</v>
      </c>
      <c r="J1281" t="s">
        <v>31</v>
      </c>
      <c r="K1281" t="s">
        <v>41</v>
      </c>
      <c r="L1281">
        <v>150.35</v>
      </c>
      <c r="M1281" t="s">
        <v>23</v>
      </c>
      <c r="N1281">
        <f t="shared" si="172"/>
        <v>0</v>
      </c>
      <c r="O1281" t="s">
        <v>51</v>
      </c>
      <c r="P1281" t="s">
        <v>4969</v>
      </c>
      <c r="Q1281">
        <v>0</v>
      </c>
      <c r="R1281">
        <v>214</v>
      </c>
      <c r="S1281">
        <f t="shared" si="173"/>
        <v>-0.33591813742861004</v>
      </c>
      <c r="T1281">
        <f t="shared" si="174"/>
        <v>0</v>
      </c>
      <c r="U1281">
        <f t="shared" si="175"/>
        <v>0</v>
      </c>
      <c r="V1281">
        <f t="shared" si="176"/>
        <v>1</v>
      </c>
      <c r="W1281">
        <f t="shared" si="177"/>
        <v>1</v>
      </c>
      <c r="X1281">
        <f t="shared" si="178"/>
        <v>0</v>
      </c>
      <c r="Y1281">
        <f t="shared" si="179"/>
        <v>0</v>
      </c>
    </row>
    <row r="1282" spans="1:25" x14ac:dyDescent="0.3">
      <c r="A1282" t="s">
        <v>4694</v>
      </c>
      <c r="B1282" t="s">
        <v>4695</v>
      </c>
      <c r="C1282" s="1">
        <v>45723</v>
      </c>
      <c r="D1282" s="3">
        <v>0.67876157407407411</v>
      </c>
      <c r="E1282">
        <f t="shared" si="180"/>
        <v>16</v>
      </c>
      <c r="F1282">
        <v>52</v>
      </c>
      <c r="G1282" t="s">
        <v>28</v>
      </c>
      <c r="H1282" t="s">
        <v>232</v>
      </c>
      <c r="I1282" t="s">
        <v>85</v>
      </c>
      <c r="J1282" t="s">
        <v>132</v>
      </c>
      <c r="K1282" t="s">
        <v>22</v>
      </c>
      <c r="L1282">
        <v>150.33000000000001</v>
      </c>
      <c r="M1282" t="s">
        <v>115</v>
      </c>
      <c r="N1282">
        <f t="shared" ref="N1282:N1345" si="181">IF(M1282="Unknown",1,0)</f>
        <v>0</v>
      </c>
      <c r="O1282" t="s">
        <v>24</v>
      </c>
      <c r="P1282" t="s">
        <v>4696</v>
      </c>
      <c r="Q1282">
        <v>0</v>
      </c>
      <c r="R1282">
        <v>238</v>
      </c>
      <c r="S1282">
        <f t="shared" ref="S1282:S1345" si="182">(L1282-$P$2137)/$P$2138</f>
        <v>-0.33619502261813161</v>
      </c>
      <c r="T1282">
        <f t="shared" ref="T1282:T1345" si="183">IF(ABS(Z1282)&gt;3,1,0)</f>
        <v>0</v>
      </c>
      <c r="U1282">
        <f t="shared" ref="U1282:U1345" si="184">IF(AND(E1282&gt;=0,E1282&lt;=5),1,0)</f>
        <v>0</v>
      </c>
      <c r="V1282">
        <f t="shared" ref="V1282:V1345" si="185">IF(R1282&lt;AVERAGE($R:$R),1,0)</f>
        <v>1</v>
      </c>
      <c r="W1282">
        <f t="shared" ref="W1282:W1345" si="186">T1282*3+U1282*2+V1282*1+N1282*2</f>
        <v>1</v>
      </c>
      <c r="X1282">
        <f t="shared" ref="X1282:X1345" si="187">IF(W1282&gt;=5,1,0)</f>
        <v>0</v>
      </c>
      <c r="Y1282">
        <f t="shared" ref="Y1282:Y1345" si="188">IF(M1282="Unknown",1,0)</f>
        <v>0</v>
      </c>
    </row>
    <row r="1283" spans="1:25" x14ac:dyDescent="0.3">
      <c r="A1283" t="s">
        <v>6194</v>
      </c>
      <c r="B1283" t="s">
        <v>6195</v>
      </c>
      <c r="C1283" s="1">
        <v>45713</v>
      </c>
      <c r="D1283" s="3">
        <v>0.58318287037037042</v>
      </c>
      <c r="E1283">
        <f t="shared" si="180"/>
        <v>13</v>
      </c>
      <c r="F1283">
        <v>54</v>
      </c>
      <c r="G1283" t="s">
        <v>18</v>
      </c>
      <c r="H1283" t="s">
        <v>239</v>
      </c>
      <c r="I1283" t="s">
        <v>110</v>
      </c>
      <c r="J1283" t="s">
        <v>94</v>
      </c>
      <c r="K1283" t="s">
        <v>32</v>
      </c>
      <c r="L1283">
        <v>150.22999999999999</v>
      </c>
      <c r="M1283" t="s">
        <v>115</v>
      </c>
      <c r="N1283">
        <f t="shared" si="181"/>
        <v>0</v>
      </c>
      <c r="O1283" t="s">
        <v>86</v>
      </c>
      <c r="P1283" t="s">
        <v>6196</v>
      </c>
      <c r="Q1283">
        <v>0</v>
      </c>
      <c r="R1283">
        <v>258</v>
      </c>
      <c r="S1283">
        <f t="shared" si="182"/>
        <v>-0.33757944856574118</v>
      </c>
      <c r="T1283">
        <f t="shared" si="183"/>
        <v>0</v>
      </c>
      <c r="U1283">
        <f t="shared" si="184"/>
        <v>0</v>
      </c>
      <c r="V1283">
        <f t="shared" si="185"/>
        <v>1</v>
      </c>
      <c r="W1283">
        <f t="shared" si="186"/>
        <v>1</v>
      </c>
      <c r="X1283">
        <f t="shared" si="187"/>
        <v>0</v>
      </c>
      <c r="Y1283">
        <f t="shared" si="188"/>
        <v>0</v>
      </c>
    </row>
    <row r="1284" spans="1:25" x14ac:dyDescent="0.3">
      <c r="A1284" t="s">
        <v>6008</v>
      </c>
      <c r="B1284" t="s">
        <v>6009</v>
      </c>
      <c r="C1284" s="1">
        <v>45810</v>
      </c>
      <c r="D1284" s="3">
        <v>0.60171296296296295</v>
      </c>
      <c r="E1284">
        <f t="shared" si="180"/>
        <v>14</v>
      </c>
      <c r="F1284">
        <v>29</v>
      </c>
      <c r="G1284" t="s">
        <v>18</v>
      </c>
      <c r="H1284" t="s">
        <v>38</v>
      </c>
      <c r="I1284" t="s">
        <v>110</v>
      </c>
      <c r="J1284" t="s">
        <v>76</v>
      </c>
      <c r="K1284" t="s">
        <v>101</v>
      </c>
      <c r="L1284">
        <v>150.19</v>
      </c>
      <c r="M1284" t="s">
        <v>42</v>
      </c>
      <c r="N1284">
        <f t="shared" si="181"/>
        <v>0</v>
      </c>
      <c r="O1284" t="s">
        <v>51</v>
      </c>
      <c r="P1284" t="s">
        <v>6010</v>
      </c>
      <c r="Q1284">
        <v>0</v>
      </c>
      <c r="R1284">
        <v>291</v>
      </c>
      <c r="S1284">
        <f t="shared" si="182"/>
        <v>-0.33813321894478476</v>
      </c>
      <c r="T1284">
        <f t="shared" si="183"/>
        <v>0</v>
      </c>
      <c r="U1284">
        <f t="shared" si="184"/>
        <v>0</v>
      </c>
      <c r="V1284">
        <f t="shared" si="185"/>
        <v>0</v>
      </c>
      <c r="W1284">
        <f t="shared" si="186"/>
        <v>0</v>
      </c>
      <c r="X1284">
        <f t="shared" si="187"/>
        <v>0</v>
      </c>
      <c r="Y1284">
        <f t="shared" si="188"/>
        <v>0</v>
      </c>
    </row>
    <row r="1285" spans="1:25" x14ac:dyDescent="0.3">
      <c r="A1285" t="s">
        <v>1718</v>
      </c>
      <c r="B1285" t="s">
        <v>1719</v>
      </c>
      <c r="C1285" s="1">
        <v>45746</v>
      </c>
      <c r="D1285" s="3">
        <v>7.5532407407407409E-2</v>
      </c>
      <c r="E1285">
        <f t="shared" si="180"/>
        <v>1</v>
      </c>
      <c r="F1285">
        <v>53</v>
      </c>
      <c r="G1285" t="s">
        <v>46</v>
      </c>
      <c r="H1285" t="s">
        <v>142</v>
      </c>
      <c r="I1285" t="s">
        <v>48</v>
      </c>
      <c r="J1285" t="s">
        <v>40</v>
      </c>
      <c r="K1285" t="s">
        <v>114</v>
      </c>
      <c r="L1285">
        <v>150.06</v>
      </c>
      <c r="M1285" t="s">
        <v>23</v>
      </c>
      <c r="N1285">
        <f t="shared" si="181"/>
        <v>0</v>
      </c>
      <c r="O1285" t="s">
        <v>24</v>
      </c>
      <c r="P1285" t="s">
        <v>1720</v>
      </c>
      <c r="Q1285">
        <v>0</v>
      </c>
      <c r="R1285">
        <v>89</v>
      </c>
      <c r="S1285">
        <f t="shared" si="182"/>
        <v>-0.33993297267667671</v>
      </c>
      <c r="T1285">
        <f t="shared" si="183"/>
        <v>0</v>
      </c>
      <c r="U1285">
        <f t="shared" si="184"/>
        <v>1</v>
      </c>
      <c r="V1285">
        <f t="shared" si="185"/>
        <v>1</v>
      </c>
      <c r="W1285">
        <f t="shared" si="186"/>
        <v>3</v>
      </c>
      <c r="X1285">
        <f t="shared" si="187"/>
        <v>0</v>
      </c>
      <c r="Y1285">
        <f t="shared" si="188"/>
        <v>0</v>
      </c>
    </row>
    <row r="1286" spans="1:25" x14ac:dyDescent="0.3">
      <c r="A1286" t="s">
        <v>2543</v>
      </c>
      <c r="B1286" t="s">
        <v>2544</v>
      </c>
      <c r="C1286" s="1">
        <v>45709</v>
      </c>
      <c r="D1286" s="3">
        <v>0.13980324074074074</v>
      </c>
      <c r="E1286">
        <f t="shared" si="180"/>
        <v>3</v>
      </c>
      <c r="F1286">
        <v>59</v>
      </c>
      <c r="G1286" t="s">
        <v>18</v>
      </c>
      <c r="H1286" t="s">
        <v>90</v>
      </c>
      <c r="I1286" t="s">
        <v>66</v>
      </c>
      <c r="J1286" t="s">
        <v>49</v>
      </c>
      <c r="K1286" t="s">
        <v>32</v>
      </c>
      <c r="L1286">
        <v>149.96</v>
      </c>
      <c r="M1286" t="s">
        <v>42</v>
      </c>
      <c r="N1286">
        <f t="shared" si="181"/>
        <v>0</v>
      </c>
      <c r="O1286" t="s">
        <v>51</v>
      </c>
      <c r="P1286" t="s">
        <v>2545</v>
      </c>
      <c r="Q1286">
        <v>0</v>
      </c>
      <c r="R1286">
        <v>56</v>
      </c>
      <c r="S1286">
        <f t="shared" si="182"/>
        <v>-0.34131739862428589</v>
      </c>
      <c r="T1286">
        <f t="shared" si="183"/>
        <v>0</v>
      </c>
      <c r="U1286">
        <f t="shared" si="184"/>
        <v>1</v>
      </c>
      <c r="V1286">
        <f t="shared" si="185"/>
        <v>1</v>
      </c>
      <c r="W1286">
        <f t="shared" si="186"/>
        <v>3</v>
      </c>
      <c r="X1286">
        <f t="shared" si="187"/>
        <v>0</v>
      </c>
      <c r="Y1286">
        <f t="shared" si="188"/>
        <v>0</v>
      </c>
    </row>
    <row r="1287" spans="1:25" x14ac:dyDescent="0.3">
      <c r="A1287" t="s">
        <v>5717</v>
      </c>
      <c r="B1287" t="s">
        <v>5718</v>
      </c>
      <c r="C1287" s="1">
        <v>45788</v>
      </c>
      <c r="D1287" s="3">
        <v>0.69697916666666671</v>
      </c>
      <c r="E1287">
        <f t="shared" si="180"/>
        <v>16</v>
      </c>
      <c r="F1287">
        <v>41</v>
      </c>
      <c r="G1287" t="s">
        <v>18</v>
      </c>
      <c r="H1287" t="s">
        <v>61</v>
      </c>
      <c r="I1287" t="s">
        <v>105</v>
      </c>
      <c r="J1287" t="s">
        <v>40</v>
      </c>
      <c r="K1287" t="s">
        <v>32</v>
      </c>
      <c r="L1287">
        <v>149.85</v>
      </c>
      <c r="M1287" t="s">
        <v>115</v>
      </c>
      <c r="N1287">
        <f t="shared" si="181"/>
        <v>0</v>
      </c>
      <c r="O1287" t="s">
        <v>34</v>
      </c>
      <c r="P1287" t="s">
        <v>5719</v>
      </c>
      <c r="Q1287">
        <v>0</v>
      </c>
      <c r="R1287">
        <v>404</v>
      </c>
      <c r="S1287">
        <f t="shared" si="182"/>
        <v>-0.34284026716665628</v>
      </c>
      <c r="T1287">
        <f t="shared" si="183"/>
        <v>0</v>
      </c>
      <c r="U1287">
        <f t="shared" si="184"/>
        <v>0</v>
      </c>
      <c r="V1287">
        <f t="shared" si="185"/>
        <v>0</v>
      </c>
      <c r="W1287">
        <f t="shared" si="186"/>
        <v>0</v>
      </c>
      <c r="X1287">
        <f t="shared" si="187"/>
        <v>0</v>
      </c>
      <c r="Y1287">
        <f t="shared" si="188"/>
        <v>0</v>
      </c>
    </row>
    <row r="1288" spans="1:25" x14ac:dyDescent="0.3">
      <c r="A1288" t="s">
        <v>3620</v>
      </c>
      <c r="B1288" t="s">
        <v>3621</v>
      </c>
      <c r="C1288" s="1">
        <v>45741</v>
      </c>
      <c r="D1288" s="3">
        <v>0.62538194444444439</v>
      </c>
      <c r="E1288">
        <f t="shared" si="180"/>
        <v>15</v>
      </c>
      <c r="F1288">
        <v>39</v>
      </c>
      <c r="G1288" t="s">
        <v>60</v>
      </c>
      <c r="H1288" t="s">
        <v>47</v>
      </c>
      <c r="I1288" t="s">
        <v>105</v>
      </c>
      <c r="J1288" t="s">
        <v>21</v>
      </c>
      <c r="K1288" t="s">
        <v>120</v>
      </c>
      <c r="L1288">
        <v>149.6</v>
      </c>
      <c r="M1288" t="s">
        <v>115</v>
      </c>
      <c r="N1288">
        <f t="shared" si="181"/>
        <v>0</v>
      </c>
      <c r="O1288" t="s">
        <v>24</v>
      </c>
      <c r="P1288" t="s">
        <v>3622</v>
      </c>
      <c r="Q1288">
        <v>0</v>
      </c>
      <c r="R1288">
        <v>310</v>
      </c>
      <c r="S1288">
        <f t="shared" si="182"/>
        <v>-0.34630133203567937</v>
      </c>
      <c r="T1288">
        <f t="shared" si="183"/>
        <v>0</v>
      </c>
      <c r="U1288">
        <f t="shared" si="184"/>
        <v>0</v>
      </c>
      <c r="V1288">
        <f t="shared" si="185"/>
        <v>0</v>
      </c>
      <c r="W1288">
        <f t="shared" si="186"/>
        <v>0</v>
      </c>
      <c r="X1288">
        <f t="shared" si="187"/>
        <v>0</v>
      </c>
      <c r="Y1288">
        <f t="shared" si="188"/>
        <v>0</v>
      </c>
    </row>
    <row r="1289" spans="1:25" x14ac:dyDescent="0.3">
      <c r="A1289" t="s">
        <v>1280</v>
      </c>
      <c r="B1289" t="s">
        <v>1281</v>
      </c>
      <c r="C1289" s="1">
        <v>45856</v>
      </c>
      <c r="D1289" s="3">
        <v>0.36837962962962961</v>
      </c>
      <c r="E1289">
        <f t="shared" si="180"/>
        <v>8</v>
      </c>
      <c r="F1289">
        <v>63</v>
      </c>
      <c r="G1289" t="s">
        <v>60</v>
      </c>
      <c r="H1289" t="s">
        <v>70</v>
      </c>
      <c r="I1289" t="s">
        <v>105</v>
      </c>
      <c r="J1289" t="s">
        <v>76</v>
      </c>
      <c r="K1289" t="s">
        <v>168</v>
      </c>
      <c r="L1289">
        <v>149.55000000000001</v>
      </c>
      <c r="M1289" t="s">
        <v>33</v>
      </c>
      <c r="N1289">
        <f t="shared" si="181"/>
        <v>0</v>
      </c>
      <c r="O1289" t="s">
        <v>51</v>
      </c>
      <c r="P1289" t="s">
        <v>1282</v>
      </c>
      <c r="Q1289">
        <v>0</v>
      </c>
      <c r="R1289">
        <v>351</v>
      </c>
      <c r="S1289">
        <f t="shared" si="182"/>
        <v>-0.34699354500948376</v>
      </c>
      <c r="T1289">
        <f t="shared" si="183"/>
        <v>0</v>
      </c>
      <c r="U1289">
        <f t="shared" si="184"/>
        <v>0</v>
      </c>
      <c r="V1289">
        <f t="shared" si="185"/>
        <v>0</v>
      </c>
      <c r="W1289">
        <f t="shared" si="186"/>
        <v>0</v>
      </c>
      <c r="X1289">
        <f t="shared" si="187"/>
        <v>0</v>
      </c>
      <c r="Y1289">
        <f t="shared" si="188"/>
        <v>0</v>
      </c>
    </row>
    <row r="1290" spans="1:25" x14ac:dyDescent="0.3">
      <c r="A1290" t="s">
        <v>365</v>
      </c>
      <c r="B1290" t="s">
        <v>366</v>
      </c>
      <c r="C1290" s="1">
        <v>45844</v>
      </c>
      <c r="D1290" s="3">
        <v>0.51599537037037035</v>
      </c>
      <c r="E1290">
        <f t="shared" si="180"/>
        <v>12</v>
      </c>
      <c r="F1290">
        <v>42</v>
      </c>
      <c r="G1290" t="s">
        <v>60</v>
      </c>
      <c r="H1290" t="s">
        <v>131</v>
      </c>
      <c r="I1290" t="s">
        <v>20</v>
      </c>
      <c r="J1290" t="s">
        <v>31</v>
      </c>
      <c r="K1290" t="s">
        <v>168</v>
      </c>
      <c r="L1290">
        <v>149.54</v>
      </c>
      <c r="M1290" t="s">
        <v>23</v>
      </c>
      <c r="N1290">
        <f t="shared" si="181"/>
        <v>0</v>
      </c>
      <c r="O1290" t="s">
        <v>24</v>
      </c>
      <c r="P1290" t="s">
        <v>367</v>
      </c>
      <c r="Q1290">
        <v>0</v>
      </c>
      <c r="R1290">
        <v>475</v>
      </c>
      <c r="S1290">
        <f t="shared" si="182"/>
        <v>-0.34713198760424496</v>
      </c>
      <c r="T1290">
        <f t="shared" si="183"/>
        <v>0</v>
      </c>
      <c r="U1290">
        <f t="shared" si="184"/>
        <v>0</v>
      </c>
      <c r="V1290">
        <f t="shared" si="185"/>
        <v>0</v>
      </c>
      <c r="W1290">
        <f t="shared" si="186"/>
        <v>0</v>
      </c>
      <c r="X1290">
        <f t="shared" si="187"/>
        <v>0</v>
      </c>
      <c r="Y1290">
        <f t="shared" si="188"/>
        <v>0</v>
      </c>
    </row>
    <row r="1291" spans="1:25" x14ac:dyDescent="0.3">
      <c r="A1291" t="s">
        <v>614</v>
      </c>
      <c r="B1291" t="s">
        <v>615</v>
      </c>
      <c r="C1291" s="1">
        <v>45702</v>
      </c>
      <c r="D1291" s="3">
        <v>0.31582175925925926</v>
      </c>
      <c r="E1291">
        <f t="shared" si="180"/>
        <v>7</v>
      </c>
      <c r="F1291">
        <v>42</v>
      </c>
      <c r="G1291" t="s">
        <v>18</v>
      </c>
      <c r="H1291" t="s">
        <v>61</v>
      </c>
      <c r="I1291" t="s">
        <v>20</v>
      </c>
      <c r="J1291" t="s">
        <v>40</v>
      </c>
      <c r="K1291" t="s">
        <v>62</v>
      </c>
      <c r="L1291">
        <v>149.30000000000001</v>
      </c>
      <c r="M1291" t="s">
        <v>115</v>
      </c>
      <c r="N1291">
        <f t="shared" si="181"/>
        <v>0</v>
      </c>
      <c r="O1291" t="s">
        <v>34</v>
      </c>
      <c r="P1291" t="s">
        <v>616</v>
      </c>
      <c r="Q1291">
        <v>0</v>
      </c>
      <c r="R1291">
        <v>214</v>
      </c>
      <c r="S1291">
        <f t="shared" si="182"/>
        <v>-0.35045460987850685</v>
      </c>
      <c r="T1291">
        <f t="shared" si="183"/>
        <v>0</v>
      </c>
      <c r="U1291">
        <f t="shared" si="184"/>
        <v>0</v>
      </c>
      <c r="V1291">
        <f t="shared" si="185"/>
        <v>1</v>
      </c>
      <c r="W1291">
        <f t="shared" si="186"/>
        <v>1</v>
      </c>
      <c r="X1291">
        <f t="shared" si="187"/>
        <v>0</v>
      </c>
      <c r="Y1291">
        <f t="shared" si="188"/>
        <v>0</v>
      </c>
    </row>
    <row r="1292" spans="1:25" x14ac:dyDescent="0.3">
      <c r="A1292" t="s">
        <v>641</v>
      </c>
      <c r="B1292" t="s">
        <v>642</v>
      </c>
      <c r="C1292" s="1">
        <v>45716</v>
      </c>
      <c r="D1292" s="3">
        <v>1.361111111111111E-2</v>
      </c>
      <c r="E1292">
        <f t="shared" si="180"/>
        <v>0</v>
      </c>
      <c r="F1292">
        <v>23</v>
      </c>
      <c r="G1292" t="s">
        <v>99</v>
      </c>
      <c r="H1292" t="s">
        <v>131</v>
      </c>
      <c r="I1292" t="s">
        <v>20</v>
      </c>
      <c r="J1292" t="s">
        <v>94</v>
      </c>
      <c r="K1292" t="s">
        <v>168</v>
      </c>
      <c r="L1292">
        <v>149.22999999999999</v>
      </c>
      <c r="M1292" t="s">
        <v>33</v>
      </c>
      <c r="N1292">
        <f t="shared" si="181"/>
        <v>0</v>
      </c>
      <c r="O1292" t="s">
        <v>51</v>
      </c>
      <c r="P1292" t="s">
        <v>643</v>
      </c>
      <c r="Q1292">
        <v>0</v>
      </c>
      <c r="R1292">
        <v>296</v>
      </c>
      <c r="S1292">
        <f t="shared" si="182"/>
        <v>-0.35142370804183365</v>
      </c>
      <c r="T1292">
        <f t="shared" si="183"/>
        <v>0</v>
      </c>
      <c r="U1292">
        <f t="shared" si="184"/>
        <v>1</v>
      </c>
      <c r="V1292">
        <f t="shared" si="185"/>
        <v>0</v>
      </c>
      <c r="W1292">
        <f t="shared" si="186"/>
        <v>2</v>
      </c>
      <c r="X1292">
        <f t="shared" si="187"/>
        <v>0</v>
      </c>
      <c r="Y1292">
        <f t="shared" si="188"/>
        <v>0</v>
      </c>
    </row>
    <row r="1293" spans="1:25" x14ac:dyDescent="0.3">
      <c r="A1293" t="s">
        <v>3308</v>
      </c>
      <c r="B1293" t="s">
        <v>3309</v>
      </c>
      <c r="C1293" s="1">
        <v>45750</v>
      </c>
      <c r="D1293" s="3">
        <v>0.8185648148148148</v>
      </c>
      <c r="E1293">
        <f t="shared" si="180"/>
        <v>19</v>
      </c>
      <c r="F1293">
        <v>55</v>
      </c>
      <c r="G1293" t="s">
        <v>99</v>
      </c>
      <c r="H1293" t="s">
        <v>84</v>
      </c>
      <c r="I1293" t="s">
        <v>71</v>
      </c>
      <c r="J1293" t="s">
        <v>94</v>
      </c>
      <c r="K1293" t="s">
        <v>32</v>
      </c>
      <c r="L1293">
        <v>149.22999999999999</v>
      </c>
      <c r="M1293" t="s">
        <v>33</v>
      </c>
      <c r="N1293">
        <f t="shared" si="181"/>
        <v>0</v>
      </c>
      <c r="O1293" t="s">
        <v>34</v>
      </c>
      <c r="P1293" t="s">
        <v>3310</v>
      </c>
      <c r="Q1293">
        <v>0</v>
      </c>
      <c r="R1293">
        <v>223</v>
      </c>
      <c r="S1293">
        <f t="shared" si="182"/>
        <v>-0.35142370804183365</v>
      </c>
      <c r="T1293">
        <f t="shared" si="183"/>
        <v>0</v>
      </c>
      <c r="U1293">
        <f t="shared" si="184"/>
        <v>0</v>
      </c>
      <c r="V1293">
        <f t="shared" si="185"/>
        <v>1</v>
      </c>
      <c r="W1293">
        <f t="shared" si="186"/>
        <v>1</v>
      </c>
      <c r="X1293">
        <f t="shared" si="187"/>
        <v>0</v>
      </c>
      <c r="Y1293">
        <f t="shared" si="188"/>
        <v>0</v>
      </c>
    </row>
    <row r="1294" spans="1:25" x14ac:dyDescent="0.3">
      <c r="A1294" t="s">
        <v>3788</v>
      </c>
      <c r="B1294" t="s">
        <v>3789</v>
      </c>
      <c r="C1294" s="1">
        <v>45876</v>
      </c>
      <c r="D1294" s="3">
        <v>0.80056712962962961</v>
      </c>
      <c r="E1294">
        <f t="shared" si="180"/>
        <v>19</v>
      </c>
      <c r="F1294">
        <v>18</v>
      </c>
      <c r="G1294" t="s">
        <v>18</v>
      </c>
      <c r="H1294" t="s">
        <v>38</v>
      </c>
      <c r="I1294" t="s">
        <v>48</v>
      </c>
      <c r="J1294" t="s">
        <v>76</v>
      </c>
      <c r="K1294" t="s">
        <v>120</v>
      </c>
      <c r="L1294">
        <v>149.19999999999999</v>
      </c>
      <c r="M1294" t="s">
        <v>6479</v>
      </c>
      <c r="N1294">
        <f t="shared" si="181"/>
        <v>1</v>
      </c>
      <c r="O1294" t="s">
        <v>86</v>
      </c>
      <c r="P1294" t="s">
        <v>3790</v>
      </c>
      <c r="Q1294">
        <v>0</v>
      </c>
      <c r="R1294">
        <v>268</v>
      </c>
      <c r="S1294">
        <f t="shared" si="182"/>
        <v>-0.35183903582611642</v>
      </c>
      <c r="T1294">
        <f t="shared" si="183"/>
        <v>0</v>
      </c>
      <c r="U1294">
        <f t="shared" si="184"/>
        <v>0</v>
      </c>
      <c r="V1294">
        <f t="shared" si="185"/>
        <v>1</v>
      </c>
      <c r="W1294">
        <f t="shared" si="186"/>
        <v>3</v>
      </c>
      <c r="X1294">
        <f t="shared" si="187"/>
        <v>0</v>
      </c>
      <c r="Y1294">
        <f t="shared" si="188"/>
        <v>1</v>
      </c>
    </row>
    <row r="1295" spans="1:25" x14ac:dyDescent="0.3">
      <c r="A1295" t="s">
        <v>6371</v>
      </c>
      <c r="B1295" t="s">
        <v>6372</v>
      </c>
      <c r="C1295" s="1">
        <v>45784</v>
      </c>
      <c r="D1295" s="3">
        <v>0.94754629629629628</v>
      </c>
      <c r="E1295">
        <f t="shared" si="180"/>
        <v>22</v>
      </c>
      <c r="F1295">
        <v>37</v>
      </c>
      <c r="G1295" t="s">
        <v>46</v>
      </c>
      <c r="H1295" t="s">
        <v>90</v>
      </c>
      <c r="I1295" t="s">
        <v>119</v>
      </c>
      <c r="J1295" t="s">
        <v>31</v>
      </c>
      <c r="K1295" t="s">
        <v>22</v>
      </c>
      <c r="L1295">
        <v>149.06</v>
      </c>
      <c r="M1295" t="s">
        <v>115</v>
      </c>
      <c r="N1295">
        <f t="shared" si="181"/>
        <v>0</v>
      </c>
      <c r="O1295" t="s">
        <v>34</v>
      </c>
      <c r="P1295" t="s">
        <v>6373</v>
      </c>
      <c r="Q1295">
        <v>0</v>
      </c>
      <c r="R1295">
        <v>104</v>
      </c>
      <c r="S1295">
        <f t="shared" si="182"/>
        <v>-0.35377723215276918</v>
      </c>
      <c r="T1295">
        <f t="shared" si="183"/>
        <v>0</v>
      </c>
      <c r="U1295">
        <f t="shared" si="184"/>
        <v>0</v>
      </c>
      <c r="V1295">
        <f t="shared" si="185"/>
        <v>1</v>
      </c>
      <c r="W1295">
        <f t="shared" si="186"/>
        <v>1</v>
      </c>
      <c r="X1295">
        <f t="shared" si="187"/>
        <v>0</v>
      </c>
      <c r="Y1295">
        <f t="shared" si="188"/>
        <v>0</v>
      </c>
    </row>
    <row r="1296" spans="1:25" x14ac:dyDescent="0.3">
      <c r="A1296" t="s">
        <v>1805</v>
      </c>
      <c r="B1296" t="s">
        <v>1806</v>
      </c>
      <c r="C1296" s="1">
        <v>45860</v>
      </c>
      <c r="D1296" s="3">
        <v>0.36141203703703706</v>
      </c>
      <c r="E1296">
        <f t="shared" si="180"/>
        <v>8</v>
      </c>
      <c r="F1296">
        <v>42</v>
      </c>
      <c r="G1296" t="s">
        <v>60</v>
      </c>
      <c r="H1296" t="s">
        <v>70</v>
      </c>
      <c r="I1296" t="s">
        <v>30</v>
      </c>
      <c r="J1296" t="s">
        <v>72</v>
      </c>
      <c r="K1296" t="s">
        <v>32</v>
      </c>
      <c r="L1296">
        <v>148.81</v>
      </c>
      <c r="M1296" t="s">
        <v>23</v>
      </c>
      <c r="N1296">
        <f t="shared" si="181"/>
        <v>0</v>
      </c>
      <c r="O1296" t="s">
        <v>24</v>
      </c>
      <c r="P1296" t="s">
        <v>1807</v>
      </c>
      <c r="Q1296">
        <v>0</v>
      </c>
      <c r="R1296">
        <v>356</v>
      </c>
      <c r="S1296">
        <f t="shared" si="182"/>
        <v>-0.35723829702179233</v>
      </c>
      <c r="T1296">
        <f t="shared" si="183"/>
        <v>0</v>
      </c>
      <c r="U1296">
        <f t="shared" si="184"/>
        <v>0</v>
      </c>
      <c r="V1296">
        <f t="shared" si="185"/>
        <v>0</v>
      </c>
      <c r="W1296">
        <f t="shared" si="186"/>
        <v>0</v>
      </c>
      <c r="X1296">
        <f t="shared" si="187"/>
        <v>0</v>
      </c>
      <c r="Y1296">
        <f t="shared" si="188"/>
        <v>0</v>
      </c>
    </row>
    <row r="1297" spans="1:25" x14ac:dyDescent="0.3">
      <c r="A1297" t="s">
        <v>1649</v>
      </c>
      <c r="B1297" t="s">
        <v>1650</v>
      </c>
      <c r="C1297" s="1">
        <v>45719</v>
      </c>
      <c r="D1297" s="3">
        <v>0.23032407407407407</v>
      </c>
      <c r="E1297">
        <f t="shared" si="180"/>
        <v>5</v>
      </c>
      <c r="F1297">
        <v>61</v>
      </c>
      <c r="G1297" t="s">
        <v>46</v>
      </c>
      <c r="H1297" t="s">
        <v>185</v>
      </c>
      <c r="I1297" t="s">
        <v>71</v>
      </c>
      <c r="J1297" t="s">
        <v>127</v>
      </c>
      <c r="K1297" t="s">
        <v>32</v>
      </c>
      <c r="L1297">
        <v>148.69999999999999</v>
      </c>
      <c r="M1297" t="s">
        <v>115</v>
      </c>
      <c r="N1297">
        <f t="shared" si="181"/>
        <v>0</v>
      </c>
      <c r="O1297" t="s">
        <v>24</v>
      </c>
      <c r="P1297" t="s">
        <v>1651</v>
      </c>
      <c r="Q1297">
        <v>0</v>
      </c>
      <c r="R1297">
        <v>332</v>
      </c>
      <c r="S1297">
        <f t="shared" si="182"/>
        <v>-0.35876116556416265</v>
      </c>
      <c r="T1297">
        <f t="shared" si="183"/>
        <v>0</v>
      </c>
      <c r="U1297">
        <f t="shared" si="184"/>
        <v>1</v>
      </c>
      <c r="V1297">
        <f t="shared" si="185"/>
        <v>0</v>
      </c>
      <c r="W1297">
        <f t="shared" si="186"/>
        <v>2</v>
      </c>
      <c r="X1297">
        <f t="shared" si="187"/>
        <v>0</v>
      </c>
      <c r="Y1297">
        <f t="shared" si="188"/>
        <v>0</v>
      </c>
    </row>
    <row r="1298" spans="1:25" x14ac:dyDescent="0.3">
      <c r="A1298" t="s">
        <v>986</v>
      </c>
      <c r="B1298" t="s">
        <v>987</v>
      </c>
      <c r="C1298" s="1">
        <v>45818</v>
      </c>
      <c r="D1298" s="3">
        <v>0.99527777777777782</v>
      </c>
      <c r="E1298">
        <f t="shared" si="180"/>
        <v>23</v>
      </c>
      <c r="F1298">
        <v>52</v>
      </c>
      <c r="G1298" t="s">
        <v>46</v>
      </c>
      <c r="H1298" t="s">
        <v>80</v>
      </c>
      <c r="I1298" t="s">
        <v>71</v>
      </c>
      <c r="J1298" t="s">
        <v>127</v>
      </c>
      <c r="K1298" t="s">
        <v>22</v>
      </c>
      <c r="L1298">
        <v>148.49</v>
      </c>
      <c r="M1298" t="s">
        <v>6479</v>
      </c>
      <c r="N1298">
        <f t="shared" si="181"/>
        <v>1</v>
      </c>
      <c r="O1298" t="s">
        <v>51</v>
      </c>
      <c r="P1298" t="s">
        <v>988</v>
      </c>
      <c r="Q1298">
        <v>0</v>
      </c>
      <c r="R1298">
        <v>383</v>
      </c>
      <c r="S1298">
        <f t="shared" si="182"/>
        <v>-0.36166846005414177</v>
      </c>
      <c r="T1298">
        <f t="shared" si="183"/>
        <v>0</v>
      </c>
      <c r="U1298">
        <f t="shared" si="184"/>
        <v>0</v>
      </c>
      <c r="V1298">
        <f t="shared" si="185"/>
        <v>0</v>
      </c>
      <c r="W1298">
        <f t="shared" si="186"/>
        <v>2</v>
      </c>
      <c r="X1298">
        <f t="shared" si="187"/>
        <v>0</v>
      </c>
      <c r="Y1298">
        <f t="shared" si="188"/>
        <v>1</v>
      </c>
    </row>
    <row r="1299" spans="1:25" x14ac:dyDescent="0.3">
      <c r="A1299" t="s">
        <v>2456</v>
      </c>
      <c r="B1299" t="s">
        <v>2457</v>
      </c>
      <c r="C1299" s="1">
        <v>45812</v>
      </c>
      <c r="D1299" s="3">
        <v>0.33600694444444446</v>
      </c>
      <c r="E1299">
        <f t="shared" si="180"/>
        <v>8</v>
      </c>
      <c r="F1299">
        <v>61</v>
      </c>
      <c r="G1299" t="s">
        <v>99</v>
      </c>
      <c r="H1299" t="s">
        <v>55</v>
      </c>
      <c r="I1299" t="s">
        <v>71</v>
      </c>
      <c r="J1299" t="s">
        <v>94</v>
      </c>
      <c r="K1299" t="s">
        <v>62</v>
      </c>
      <c r="L1299">
        <v>148.47</v>
      </c>
      <c r="M1299" t="s">
        <v>23</v>
      </c>
      <c r="N1299">
        <f t="shared" si="181"/>
        <v>0</v>
      </c>
      <c r="O1299" t="s">
        <v>24</v>
      </c>
      <c r="P1299" t="s">
        <v>2458</v>
      </c>
      <c r="Q1299">
        <v>0</v>
      </c>
      <c r="R1299">
        <v>389</v>
      </c>
      <c r="S1299">
        <f t="shared" si="182"/>
        <v>-0.36194534524366379</v>
      </c>
      <c r="T1299">
        <f t="shared" si="183"/>
        <v>0</v>
      </c>
      <c r="U1299">
        <f t="shared" si="184"/>
        <v>0</v>
      </c>
      <c r="V1299">
        <f t="shared" si="185"/>
        <v>0</v>
      </c>
      <c r="W1299">
        <f t="shared" si="186"/>
        <v>0</v>
      </c>
      <c r="X1299">
        <f t="shared" si="187"/>
        <v>0</v>
      </c>
      <c r="Y1299">
        <f t="shared" si="188"/>
        <v>0</v>
      </c>
    </row>
    <row r="1300" spans="1:25" x14ac:dyDescent="0.3">
      <c r="A1300" t="s">
        <v>5834</v>
      </c>
      <c r="B1300" t="s">
        <v>5835</v>
      </c>
      <c r="C1300" s="1">
        <v>45856</v>
      </c>
      <c r="D1300" s="3">
        <v>0.25290509259259258</v>
      </c>
      <c r="E1300">
        <f t="shared" si="180"/>
        <v>6</v>
      </c>
      <c r="F1300">
        <v>23</v>
      </c>
      <c r="G1300" t="s">
        <v>60</v>
      </c>
      <c r="H1300" t="s">
        <v>312</v>
      </c>
      <c r="I1300" t="s">
        <v>30</v>
      </c>
      <c r="J1300" t="s">
        <v>76</v>
      </c>
      <c r="K1300" t="s">
        <v>62</v>
      </c>
      <c r="L1300">
        <v>148.38999999999999</v>
      </c>
      <c r="M1300" t="s">
        <v>115</v>
      </c>
      <c r="N1300">
        <f t="shared" si="181"/>
        <v>0</v>
      </c>
      <c r="O1300" t="s">
        <v>24</v>
      </c>
      <c r="P1300" t="s">
        <v>5836</v>
      </c>
      <c r="Q1300">
        <v>0</v>
      </c>
      <c r="R1300">
        <v>196</v>
      </c>
      <c r="S1300">
        <f t="shared" si="182"/>
        <v>-0.36305288600175134</v>
      </c>
      <c r="T1300">
        <f t="shared" si="183"/>
        <v>0</v>
      </c>
      <c r="U1300">
        <f t="shared" si="184"/>
        <v>0</v>
      </c>
      <c r="V1300">
        <f t="shared" si="185"/>
        <v>1</v>
      </c>
      <c r="W1300">
        <f t="shared" si="186"/>
        <v>1</v>
      </c>
      <c r="X1300">
        <f t="shared" si="187"/>
        <v>0</v>
      </c>
      <c r="Y1300">
        <f t="shared" si="188"/>
        <v>0</v>
      </c>
    </row>
    <row r="1301" spans="1:25" x14ac:dyDescent="0.3">
      <c r="A1301" t="s">
        <v>3113</v>
      </c>
      <c r="B1301" t="s">
        <v>3114</v>
      </c>
      <c r="C1301" s="1">
        <v>45830</v>
      </c>
      <c r="D1301" s="3">
        <v>0.9699768518518519</v>
      </c>
      <c r="E1301">
        <f t="shared" si="180"/>
        <v>23</v>
      </c>
      <c r="F1301">
        <v>30</v>
      </c>
      <c r="G1301" t="s">
        <v>18</v>
      </c>
      <c r="H1301" t="s">
        <v>80</v>
      </c>
      <c r="I1301" t="s">
        <v>66</v>
      </c>
      <c r="J1301" t="s">
        <v>72</v>
      </c>
      <c r="K1301" t="s">
        <v>32</v>
      </c>
      <c r="L1301">
        <v>148.31</v>
      </c>
      <c r="M1301" t="s">
        <v>6479</v>
      </c>
      <c r="N1301">
        <f t="shared" si="181"/>
        <v>1</v>
      </c>
      <c r="O1301" t="s">
        <v>51</v>
      </c>
      <c r="P1301" t="s">
        <v>3115</v>
      </c>
      <c r="Q1301">
        <v>0</v>
      </c>
      <c r="R1301">
        <v>189</v>
      </c>
      <c r="S1301">
        <f t="shared" si="182"/>
        <v>-0.36416042675983851</v>
      </c>
      <c r="T1301">
        <f t="shared" si="183"/>
        <v>0</v>
      </c>
      <c r="U1301">
        <f t="shared" si="184"/>
        <v>0</v>
      </c>
      <c r="V1301">
        <f t="shared" si="185"/>
        <v>1</v>
      </c>
      <c r="W1301">
        <f t="shared" si="186"/>
        <v>3</v>
      </c>
      <c r="X1301">
        <f t="shared" si="187"/>
        <v>0</v>
      </c>
      <c r="Y1301">
        <f t="shared" si="188"/>
        <v>1</v>
      </c>
    </row>
    <row r="1302" spans="1:25" x14ac:dyDescent="0.3">
      <c r="A1302" t="s">
        <v>716</v>
      </c>
      <c r="B1302" t="s">
        <v>717</v>
      </c>
      <c r="C1302" s="1">
        <v>45868</v>
      </c>
      <c r="D1302" s="3">
        <v>0.59664351851851849</v>
      </c>
      <c r="E1302">
        <f t="shared" si="180"/>
        <v>14</v>
      </c>
      <c r="F1302">
        <v>49</v>
      </c>
      <c r="G1302" t="s">
        <v>18</v>
      </c>
      <c r="H1302" t="s">
        <v>185</v>
      </c>
      <c r="I1302" t="s">
        <v>85</v>
      </c>
      <c r="J1302" t="s">
        <v>56</v>
      </c>
      <c r="K1302" t="s">
        <v>168</v>
      </c>
      <c r="L1302">
        <v>148.11000000000001</v>
      </c>
      <c r="M1302" t="s">
        <v>42</v>
      </c>
      <c r="N1302">
        <f t="shared" si="181"/>
        <v>0</v>
      </c>
      <c r="O1302" t="s">
        <v>51</v>
      </c>
      <c r="P1302" t="s">
        <v>718</v>
      </c>
      <c r="Q1302">
        <v>0</v>
      </c>
      <c r="R1302">
        <v>182</v>
      </c>
      <c r="S1302">
        <f t="shared" si="182"/>
        <v>-0.36692927865505687</v>
      </c>
      <c r="T1302">
        <f t="shared" si="183"/>
        <v>0</v>
      </c>
      <c r="U1302">
        <f t="shared" si="184"/>
        <v>0</v>
      </c>
      <c r="V1302">
        <f t="shared" si="185"/>
        <v>1</v>
      </c>
      <c r="W1302">
        <f t="shared" si="186"/>
        <v>1</v>
      </c>
      <c r="X1302">
        <f t="shared" si="187"/>
        <v>0</v>
      </c>
      <c r="Y1302">
        <f t="shared" si="188"/>
        <v>0</v>
      </c>
    </row>
    <row r="1303" spans="1:25" x14ac:dyDescent="0.3">
      <c r="A1303" t="s">
        <v>3155</v>
      </c>
      <c r="B1303" t="s">
        <v>3156</v>
      </c>
      <c r="C1303" s="1">
        <v>45874</v>
      </c>
      <c r="D1303" s="3">
        <v>0.39309027777777777</v>
      </c>
      <c r="E1303">
        <f t="shared" si="180"/>
        <v>9</v>
      </c>
      <c r="F1303">
        <v>37</v>
      </c>
      <c r="G1303" t="s">
        <v>46</v>
      </c>
      <c r="H1303" t="s">
        <v>100</v>
      </c>
      <c r="I1303" t="s">
        <v>119</v>
      </c>
      <c r="J1303" t="s">
        <v>31</v>
      </c>
      <c r="K1303" t="s">
        <v>168</v>
      </c>
      <c r="L1303">
        <v>148.11000000000001</v>
      </c>
      <c r="M1303" t="s">
        <v>23</v>
      </c>
      <c r="N1303">
        <f t="shared" si="181"/>
        <v>0</v>
      </c>
      <c r="O1303" t="s">
        <v>86</v>
      </c>
      <c r="P1303" t="s">
        <v>3157</v>
      </c>
      <c r="Q1303">
        <v>0</v>
      </c>
      <c r="R1303">
        <v>324</v>
      </c>
      <c r="S1303">
        <f t="shared" si="182"/>
        <v>-0.36692927865505687</v>
      </c>
      <c r="T1303">
        <f t="shared" si="183"/>
        <v>0</v>
      </c>
      <c r="U1303">
        <f t="shared" si="184"/>
        <v>0</v>
      </c>
      <c r="V1303">
        <f t="shared" si="185"/>
        <v>0</v>
      </c>
      <c r="W1303">
        <f t="shared" si="186"/>
        <v>0</v>
      </c>
      <c r="X1303">
        <f t="shared" si="187"/>
        <v>0</v>
      </c>
      <c r="Y1303">
        <f t="shared" si="188"/>
        <v>0</v>
      </c>
    </row>
    <row r="1304" spans="1:25" x14ac:dyDescent="0.3">
      <c r="A1304" t="s">
        <v>6005</v>
      </c>
      <c r="B1304" t="s">
        <v>6006</v>
      </c>
      <c r="C1304" s="1">
        <v>45837</v>
      </c>
      <c r="D1304" s="3">
        <v>0.77951388888888884</v>
      </c>
      <c r="E1304">
        <f t="shared" si="180"/>
        <v>18</v>
      </c>
      <c r="F1304">
        <v>24</v>
      </c>
      <c r="G1304" t="s">
        <v>18</v>
      </c>
      <c r="H1304" t="s">
        <v>232</v>
      </c>
      <c r="I1304" t="s">
        <v>30</v>
      </c>
      <c r="J1304" t="s">
        <v>31</v>
      </c>
      <c r="K1304" t="s">
        <v>50</v>
      </c>
      <c r="L1304">
        <v>148.1</v>
      </c>
      <c r="M1304" t="s">
        <v>42</v>
      </c>
      <c r="N1304">
        <f t="shared" si="181"/>
        <v>0</v>
      </c>
      <c r="O1304" t="s">
        <v>24</v>
      </c>
      <c r="P1304" t="s">
        <v>6007</v>
      </c>
      <c r="Q1304">
        <v>0</v>
      </c>
      <c r="R1304">
        <v>329</v>
      </c>
      <c r="S1304">
        <f t="shared" si="182"/>
        <v>-0.36706772124981807</v>
      </c>
      <c r="T1304">
        <f t="shared" si="183"/>
        <v>0</v>
      </c>
      <c r="U1304">
        <f t="shared" si="184"/>
        <v>0</v>
      </c>
      <c r="V1304">
        <f t="shared" si="185"/>
        <v>0</v>
      </c>
      <c r="W1304">
        <f t="shared" si="186"/>
        <v>0</v>
      </c>
      <c r="X1304">
        <f t="shared" si="187"/>
        <v>0</v>
      </c>
      <c r="Y1304">
        <f t="shared" si="188"/>
        <v>0</v>
      </c>
    </row>
    <row r="1305" spans="1:25" x14ac:dyDescent="0.3">
      <c r="A1305" t="s">
        <v>5297</v>
      </c>
      <c r="B1305" t="s">
        <v>5298</v>
      </c>
      <c r="C1305" s="1">
        <v>45820</v>
      </c>
      <c r="D1305" s="3">
        <v>0.27883101851851849</v>
      </c>
      <c r="E1305">
        <f t="shared" si="180"/>
        <v>6</v>
      </c>
      <c r="F1305">
        <v>54</v>
      </c>
      <c r="G1305" t="s">
        <v>46</v>
      </c>
      <c r="H1305" t="s">
        <v>55</v>
      </c>
      <c r="I1305" t="s">
        <v>48</v>
      </c>
      <c r="J1305" t="s">
        <v>40</v>
      </c>
      <c r="K1305" t="s">
        <v>41</v>
      </c>
      <c r="L1305">
        <v>147.99</v>
      </c>
      <c r="M1305" t="s">
        <v>23</v>
      </c>
      <c r="N1305">
        <f t="shared" si="181"/>
        <v>0</v>
      </c>
      <c r="O1305" t="s">
        <v>34</v>
      </c>
      <c r="P1305" t="s">
        <v>5299</v>
      </c>
      <c r="Q1305">
        <v>0</v>
      </c>
      <c r="R1305">
        <v>307</v>
      </c>
      <c r="S1305">
        <f t="shared" si="182"/>
        <v>-0.36859058979218801</v>
      </c>
      <c r="T1305">
        <f t="shared" si="183"/>
        <v>0</v>
      </c>
      <c r="U1305">
        <f t="shared" si="184"/>
        <v>0</v>
      </c>
      <c r="V1305">
        <f t="shared" si="185"/>
        <v>0</v>
      </c>
      <c r="W1305">
        <f t="shared" si="186"/>
        <v>0</v>
      </c>
      <c r="X1305">
        <f t="shared" si="187"/>
        <v>0</v>
      </c>
      <c r="Y1305">
        <f t="shared" si="188"/>
        <v>0</v>
      </c>
    </row>
    <row r="1306" spans="1:25" x14ac:dyDescent="0.3">
      <c r="A1306" t="s">
        <v>470</v>
      </c>
      <c r="B1306" t="s">
        <v>471</v>
      </c>
      <c r="C1306" s="1">
        <v>45828</v>
      </c>
      <c r="D1306" s="3">
        <v>0.78063657407407405</v>
      </c>
      <c r="E1306">
        <f t="shared" si="180"/>
        <v>18</v>
      </c>
      <c r="F1306">
        <v>18</v>
      </c>
      <c r="G1306" t="s">
        <v>6479</v>
      </c>
      <c r="H1306" t="s">
        <v>312</v>
      </c>
      <c r="I1306" t="s">
        <v>119</v>
      </c>
      <c r="J1306" t="s">
        <v>40</v>
      </c>
      <c r="K1306" t="s">
        <v>101</v>
      </c>
      <c r="L1306">
        <v>147.96</v>
      </c>
      <c r="M1306" t="s">
        <v>115</v>
      </c>
      <c r="N1306">
        <f t="shared" si="181"/>
        <v>0</v>
      </c>
      <c r="O1306" t="s">
        <v>51</v>
      </c>
      <c r="P1306" t="s">
        <v>472</v>
      </c>
      <c r="Q1306">
        <v>0</v>
      </c>
      <c r="R1306">
        <v>201</v>
      </c>
      <c r="S1306">
        <f t="shared" si="182"/>
        <v>-0.36900591757647083</v>
      </c>
      <c r="T1306">
        <f t="shared" si="183"/>
        <v>0</v>
      </c>
      <c r="U1306">
        <f t="shared" si="184"/>
        <v>0</v>
      </c>
      <c r="V1306">
        <f t="shared" si="185"/>
        <v>1</v>
      </c>
      <c r="W1306">
        <f t="shared" si="186"/>
        <v>1</v>
      </c>
      <c r="X1306">
        <f t="shared" si="187"/>
        <v>0</v>
      </c>
      <c r="Y1306">
        <f t="shared" si="188"/>
        <v>0</v>
      </c>
    </row>
    <row r="1307" spans="1:25" x14ac:dyDescent="0.3">
      <c r="A1307" t="s">
        <v>1679</v>
      </c>
      <c r="B1307" s="2" t="s">
        <v>1680</v>
      </c>
      <c r="C1307" s="1">
        <v>45872</v>
      </c>
      <c r="D1307" s="3">
        <v>0.85516203703703708</v>
      </c>
      <c r="E1307">
        <f t="shared" si="180"/>
        <v>20</v>
      </c>
      <c r="F1307">
        <v>43</v>
      </c>
      <c r="G1307" t="s">
        <v>46</v>
      </c>
      <c r="H1307" t="s">
        <v>239</v>
      </c>
      <c r="I1307" t="s">
        <v>119</v>
      </c>
      <c r="J1307" t="s">
        <v>56</v>
      </c>
      <c r="K1307" t="s">
        <v>62</v>
      </c>
      <c r="L1307">
        <v>147.35</v>
      </c>
      <c r="M1307" t="s">
        <v>115</v>
      </c>
      <c r="N1307">
        <f t="shared" si="181"/>
        <v>0</v>
      </c>
      <c r="O1307" t="s">
        <v>51</v>
      </c>
      <c r="P1307" t="s">
        <v>1681</v>
      </c>
      <c r="Q1307">
        <v>1</v>
      </c>
      <c r="R1307">
        <v>294</v>
      </c>
      <c r="S1307">
        <f t="shared" si="182"/>
        <v>-0.37745091585688739</v>
      </c>
      <c r="T1307">
        <f t="shared" si="183"/>
        <v>0</v>
      </c>
      <c r="U1307">
        <f t="shared" si="184"/>
        <v>0</v>
      </c>
      <c r="V1307">
        <f t="shared" si="185"/>
        <v>0</v>
      </c>
      <c r="W1307">
        <f t="shared" si="186"/>
        <v>0</v>
      </c>
      <c r="X1307">
        <f t="shared" si="187"/>
        <v>0</v>
      </c>
      <c r="Y1307">
        <f t="shared" si="188"/>
        <v>0</v>
      </c>
    </row>
    <row r="1308" spans="1:25" x14ac:dyDescent="0.3">
      <c r="A1308" t="s">
        <v>6209</v>
      </c>
      <c r="B1308" t="s">
        <v>6210</v>
      </c>
      <c r="C1308" s="1">
        <v>45746</v>
      </c>
      <c r="D1308" s="3">
        <v>0.78010416666666671</v>
      </c>
      <c r="E1308">
        <f t="shared" si="180"/>
        <v>18</v>
      </c>
      <c r="F1308">
        <v>53</v>
      </c>
      <c r="G1308" t="s">
        <v>60</v>
      </c>
      <c r="H1308" t="s">
        <v>312</v>
      </c>
      <c r="I1308" t="s">
        <v>110</v>
      </c>
      <c r="J1308" t="s">
        <v>49</v>
      </c>
      <c r="K1308" t="s">
        <v>41</v>
      </c>
      <c r="L1308">
        <v>147</v>
      </c>
      <c r="M1308" t="s">
        <v>115</v>
      </c>
      <c r="N1308">
        <f t="shared" si="181"/>
        <v>0</v>
      </c>
      <c r="O1308" t="s">
        <v>34</v>
      </c>
      <c r="P1308" t="s">
        <v>6211</v>
      </c>
      <c r="Q1308">
        <v>0</v>
      </c>
      <c r="R1308">
        <v>499</v>
      </c>
      <c r="S1308">
        <f t="shared" si="182"/>
        <v>-0.38229640667351966</v>
      </c>
      <c r="T1308">
        <f t="shared" si="183"/>
        <v>0</v>
      </c>
      <c r="U1308">
        <f t="shared" si="184"/>
        <v>0</v>
      </c>
      <c r="V1308">
        <f t="shared" si="185"/>
        <v>0</v>
      </c>
      <c r="W1308">
        <f t="shared" si="186"/>
        <v>0</v>
      </c>
      <c r="X1308">
        <f t="shared" si="187"/>
        <v>0</v>
      </c>
      <c r="Y1308">
        <f t="shared" si="188"/>
        <v>0</v>
      </c>
    </row>
    <row r="1309" spans="1:25" x14ac:dyDescent="0.3">
      <c r="A1309" t="s">
        <v>824</v>
      </c>
      <c r="B1309" t="s">
        <v>825</v>
      </c>
      <c r="C1309" s="1">
        <v>45764</v>
      </c>
      <c r="D1309" s="3">
        <v>0.2424537037037037</v>
      </c>
      <c r="E1309">
        <f t="shared" si="180"/>
        <v>5</v>
      </c>
      <c r="F1309" s="4">
        <v>41</v>
      </c>
      <c r="G1309" t="s">
        <v>18</v>
      </c>
      <c r="H1309" t="s">
        <v>55</v>
      </c>
      <c r="I1309" t="s">
        <v>30</v>
      </c>
      <c r="J1309" t="s">
        <v>49</v>
      </c>
      <c r="K1309" t="s">
        <v>32</v>
      </c>
      <c r="L1309">
        <v>146.93</v>
      </c>
      <c r="M1309" t="s">
        <v>42</v>
      </c>
      <c r="N1309">
        <f t="shared" si="181"/>
        <v>0</v>
      </c>
      <c r="O1309" t="s">
        <v>34</v>
      </c>
      <c r="P1309" t="s">
        <v>826</v>
      </c>
      <c r="Q1309">
        <v>0</v>
      </c>
      <c r="R1309">
        <v>129</v>
      </c>
      <c r="S1309">
        <f t="shared" si="182"/>
        <v>-0.38326550483684607</v>
      </c>
      <c r="T1309">
        <f t="shared" si="183"/>
        <v>0</v>
      </c>
      <c r="U1309">
        <f t="shared" si="184"/>
        <v>1</v>
      </c>
      <c r="V1309">
        <f t="shared" si="185"/>
        <v>1</v>
      </c>
      <c r="W1309">
        <f t="shared" si="186"/>
        <v>3</v>
      </c>
      <c r="X1309">
        <f t="shared" si="187"/>
        <v>0</v>
      </c>
      <c r="Y1309">
        <f t="shared" si="188"/>
        <v>0</v>
      </c>
    </row>
    <row r="1310" spans="1:25" x14ac:dyDescent="0.3">
      <c r="A1310" t="s">
        <v>4103</v>
      </c>
      <c r="B1310" t="s">
        <v>4104</v>
      </c>
      <c r="C1310" s="1">
        <v>45769</v>
      </c>
      <c r="D1310" s="3">
        <v>0.64546296296296302</v>
      </c>
      <c r="E1310">
        <f t="shared" si="180"/>
        <v>15</v>
      </c>
      <c r="F1310">
        <v>34</v>
      </c>
      <c r="G1310" t="s">
        <v>18</v>
      </c>
      <c r="H1310" t="s">
        <v>239</v>
      </c>
      <c r="I1310" t="s">
        <v>110</v>
      </c>
      <c r="J1310" t="s">
        <v>49</v>
      </c>
      <c r="K1310" t="s">
        <v>101</v>
      </c>
      <c r="L1310">
        <v>146.03</v>
      </c>
      <c r="M1310" t="s">
        <v>23</v>
      </c>
      <c r="N1310">
        <f t="shared" si="181"/>
        <v>0</v>
      </c>
      <c r="O1310" t="s">
        <v>24</v>
      </c>
      <c r="P1310" t="s">
        <v>4105</v>
      </c>
      <c r="Q1310">
        <v>0</v>
      </c>
      <c r="R1310">
        <v>266</v>
      </c>
      <c r="S1310">
        <f t="shared" si="182"/>
        <v>-0.39572533836532936</v>
      </c>
      <c r="T1310">
        <f t="shared" si="183"/>
        <v>0</v>
      </c>
      <c r="U1310">
        <f t="shared" si="184"/>
        <v>0</v>
      </c>
      <c r="V1310">
        <f t="shared" si="185"/>
        <v>1</v>
      </c>
      <c r="W1310">
        <f t="shared" si="186"/>
        <v>1</v>
      </c>
      <c r="X1310">
        <f t="shared" si="187"/>
        <v>0</v>
      </c>
      <c r="Y1310">
        <f t="shared" si="188"/>
        <v>0</v>
      </c>
    </row>
    <row r="1311" spans="1:25" x14ac:dyDescent="0.3">
      <c r="A1311" t="s">
        <v>3908</v>
      </c>
      <c r="B1311" t="s">
        <v>3909</v>
      </c>
      <c r="C1311" s="1">
        <v>45777</v>
      </c>
      <c r="D1311" s="3">
        <v>0.70879629629629626</v>
      </c>
      <c r="E1311">
        <f t="shared" si="180"/>
        <v>17</v>
      </c>
      <c r="F1311">
        <v>46</v>
      </c>
      <c r="G1311" t="s">
        <v>46</v>
      </c>
      <c r="H1311" t="s">
        <v>167</v>
      </c>
      <c r="I1311" t="s">
        <v>71</v>
      </c>
      <c r="J1311" t="s">
        <v>94</v>
      </c>
      <c r="K1311" t="s">
        <v>50</v>
      </c>
      <c r="L1311">
        <v>145.97999999999999</v>
      </c>
      <c r="M1311" t="s">
        <v>115</v>
      </c>
      <c r="N1311">
        <f t="shared" si="181"/>
        <v>0</v>
      </c>
      <c r="O1311" t="s">
        <v>34</v>
      </c>
      <c r="P1311" t="s">
        <v>3910</v>
      </c>
      <c r="Q1311">
        <v>0</v>
      </c>
      <c r="R1311">
        <v>50</v>
      </c>
      <c r="S1311">
        <f t="shared" si="182"/>
        <v>-0.39641755133913414</v>
      </c>
      <c r="T1311">
        <f t="shared" si="183"/>
        <v>0</v>
      </c>
      <c r="U1311">
        <f t="shared" si="184"/>
        <v>0</v>
      </c>
      <c r="V1311">
        <f t="shared" si="185"/>
        <v>1</v>
      </c>
      <c r="W1311">
        <f t="shared" si="186"/>
        <v>1</v>
      </c>
      <c r="X1311">
        <f t="shared" si="187"/>
        <v>0</v>
      </c>
      <c r="Y1311">
        <f t="shared" si="188"/>
        <v>0</v>
      </c>
    </row>
    <row r="1312" spans="1:25" x14ac:dyDescent="0.3">
      <c r="A1312" t="s">
        <v>6212</v>
      </c>
      <c r="B1312" t="s">
        <v>6213</v>
      </c>
      <c r="C1312" s="1">
        <v>45877</v>
      </c>
      <c r="D1312" s="3">
        <v>0.46121527777777777</v>
      </c>
      <c r="E1312">
        <f t="shared" si="180"/>
        <v>11</v>
      </c>
      <c r="F1312">
        <v>62</v>
      </c>
      <c r="G1312" t="s">
        <v>46</v>
      </c>
      <c r="H1312" t="s">
        <v>142</v>
      </c>
      <c r="I1312" t="s">
        <v>110</v>
      </c>
      <c r="J1312" t="s">
        <v>76</v>
      </c>
      <c r="K1312" t="s">
        <v>168</v>
      </c>
      <c r="L1312">
        <v>145.9</v>
      </c>
      <c r="M1312" t="s">
        <v>23</v>
      </c>
      <c r="N1312">
        <f t="shared" si="181"/>
        <v>0</v>
      </c>
      <c r="O1312" t="s">
        <v>86</v>
      </c>
      <c r="P1312" t="s">
        <v>6214</v>
      </c>
      <c r="Q1312">
        <v>0</v>
      </c>
      <c r="R1312">
        <v>204</v>
      </c>
      <c r="S1312">
        <f t="shared" si="182"/>
        <v>-0.39752509209722131</v>
      </c>
      <c r="T1312">
        <f t="shared" si="183"/>
        <v>0</v>
      </c>
      <c r="U1312">
        <f t="shared" si="184"/>
        <v>0</v>
      </c>
      <c r="V1312">
        <f t="shared" si="185"/>
        <v>1</v>
      </c>
      <c r="W1312">
        <f t="shared" si="186"/>
        <v>1</v>
      </c>
      <c r="X1312">
        <f t="shared" si="187"/>
        <v>0</v>
      </c>
      <c r="Y1312">
        <f t="shared" si="188"/>
        <v>0</v>
      </c>
    </row>
    <row r="1313" spans="1:25" x14ac:dyDescent="0.3">
      <c r="A1313" t="s">
        <v>2906</v>
      </c>
      <c r="B1313" t="s">
        <v>2907</v>
      </c>
      <c r="C1313" s="1">
        <v>45835</v>
      </c>
      <c r="D1313" s="3">
        <v>0.97834490740740743</v>
      </c>
      <c r="E1313">
        <f t="shared" si="180"/>
        <v>23</v>
      </c>
      <c r="F1313">
        <v>51</v>
      </c>
      <c r="G1313" t="s">
        <v>46</v>
      </c>
      <c r="H1313" t="s">
        <v>100</v>
      </c>
      <c r="I1313" t="s">
        <v>48</v>
      </c>
      <c r="J1313" t="s">
        <v>94</v>
      </c>
      <c r="K1313" t="s">
        <v>101</v>
      </c>
      <c r="L1313">
        <v>145.87</v>
      </c>
      <c r="M1313" t="s">
        <v>33</v>
      </c>
      <c r="N1313">
        <f t="shared" si="181"/>
        <v>0</v>
      </c>
      <c r="O1313" t="s">
        <v>34</v>
      </c>
      <c r="P1313" t="s">
        <v>2908</v>
      </c>
      <c r="Q1313">
        <v>0</v>
      </c>
      <c r="R1313">
        <v>424</v>
      </c>
      <c r="S1313">
        <f t="shared" si="182"/>
        <v>-0.39794041988150408</v>
      </c>
      <c r="T1313">
        <f t="shared" si="183"/>
        <v>0</v>
      </c>
      <c r="U1313">
        <f t="shared" si="184"/>
        <v>0</v>
      </c>
      <c r="V1313">
        <f t="shared" si="185"/>
        <v>0</v>
      </c>
      <c r="W1313">
        <f t="shared" si="186"/>
        <v>0</v>
      </c>
      <c r="X1313">
        <f t="shared" si="187"/>
        <v>0</v>
      </c>
      <c r="Y1313">
        <f t="shared" si="188"/>
        <v>0</v>
      </c>
    </row>
    <row r="1314" spans="1:25" x14ac:dyDescent="0.3">
      <c r="A1314" t="s">
        <v>3704</v>
      </c>
      <c r="B1314" t="s">
        <v>3705</v>
      </c>
      <c r="C1314" s="1">
        <v>45727</v>
      </c>
      <c r="D1314" s="3">
        <v>0.93521990740740746</v>
      </c>
      <c r="E1314">
        <f t="shared" si="180"/>
        <v>22</v>
      </c>
      <c r="F1314">
        <v>35</v>
      </c>
      <c r="G1314" t="s">
        <v>60</v>
      </c>
      <c r="H1314" t="s">
        <v>189</v>
      </c>
      <c r="I1314" t="s">
        <v>20</v>
      </c>
      <c r="J1314" t="s">
        <v>72</v>
      </c>
      <c r="K1314" t="s">
        <v>101</v>
      </c>
      <c r="L1314">
        <v>145.72</v>
      </c>
      <c r="M1314" t="s">
        <v>33</v>
      </c>
      <c r="N1314">
        <f t="shared" si="181"/>
        <v>0</v>
      </c>
      <c r="O1314" t="s">
        <v>34</v>
      </c>
      <c r="P1314" t="s">
        <v>3706</v>
      </c>
      <c r="Q1314">
        <v>0</v>
      </c>
      <c r="R1314">
        <v>418</v>
      </c>
      <c r="S1314">
        <f t="shared" si="182"/>
        <v>-0.40001705880291805</v>
      </c>
      <c r="T1314">
        <f t="shared" si="183"/>
        <v>0</v>
      </c>
      <c r="U1314">
        <f t="shared" si="184"/>
        <v>0</v>
      </c>
      <c r="V1314">
        <f t="shared" si="185"/>
        <v>0</v>
      </c>
      <c r="W1314">
        <f t="shared" si="186"/>
        <v>0</v>
      </c>
      <c r="X1314">
        <f t="shared" si="187"/>
        <v>0</v>
      </c>
      <c r="Y1314">
        <f t="shared" si="188"/>
        <v>0</v>
      </c>
    </row>
    <row r="1315" spans="1:25" x14ac:dyDescent="0.3">
      <c r="A1315" t="s">
        <v>2318</v>
      </c>
      <c r="B1315" t="s">
        <v>2319</v>
      </c>
      <c r="C1315" s="1">
        <v>45757</v>
      </c>
      <c r="D1315" s="3">
        <v>0.12858796296296296</v>
      </c>
      <c r="E1315">
        <f t="shared" si="180"/>
        <v>3</v>
      </c>
      <c r="F1315" s="4">
        <v>41</v>
      </c>
      <c r="G1315" t="s">
        <v>28</v>
      </c>
      <c r="H1315" t="s">
        <v>47</v>
      </c>
      <c r="I1315" t="s">
        <v>66</v>
      </c>
      <c r="J1315" t="s">
        <v>49</v>
      </c>
      <c r="K1315" t="s">
        <v>32</v>
      </c>
      <c r="L1315">
        <v>145.65</v>
      </c>
      <c r="M1315" t="s">
        <v>42</v>
      </c>
      <c r="N1315">
        <f t="shared" si="181"/>
        <v>0</v>
      </c>
      <c r="O1315" t="s">
        <v>51</v>
      </c>
      <c r="P1315" t="s">
        <v>2320</v>
      </c>
      <c r="Q1315">
        <v>0</v>
      </c>
      <c r="R1315">
        <v>153</v>
      </c>
      <c r="S1315">
        <f t="shared" si="182"/>
        <v>-0.4009861569662444</v>
      </c>
      <c r="T1315">
        <f t="shared" si="183"/>
        <v>0</v>
      </c>
      <c r="U1315">
        <f t="shared" si="184"/>
        <v>1</v>
      </c>
      <c r="V1315">
        <f t="shared" si="185"/>
        <v>1</v>
      </c>
      <c r="W1315">
        <f t="shared" si="186"/>
        <v>3</v>
      </c>
      <c r="X1315">
        <f t="shared" si="187"/>
        <v>0</v>
      </c>
      <c r="Y1315">
        <f t="shared" si="188"/>
        <v>0</v>
      </c>
    </row>
    <row r="1316" spans="1:25" x14ac:dyDescent="0.3">
      <c r="A1316" t="s">
        <v>6449</v>
      </c>
      <c r="B1316" t="s">
        <v>6450</v>
      </c>
      <c r="C1316" s="1">
        <v>45795</v>
      </c>
      <c r="D1316" s="3">
        <v>0.72876157407407405</v>
      </c>
      <c r="E1316">
        <f t="shared" si="180"/>
        <v>17</v>
      </c>
      <c r="F1316">
        <v>64</v>
      </c>
      <c r="G1316" t="s">
        <v>28</v>
      </c>
      <c r="H1316" t="s">
        <v>84</v>
      </c>
      <c r="I1316" t="s">
        <v>66</v>
      </c>
      <c r="J1316" t="s">
        <v>127</v>
      </c>
      <c r="K1316" t="s">
        <v>41</v>
      </c>
      <c r="L1316">
        <v>145.63</v>
      </c>
      <c r="M1316" t="s">
        <v>33</v>
      </c>
      <c r="N1316">
        <f t="shared" si="181"/>
        <v>0</v>
      </c>
      <c r="O1316" t="s">
        <v>24</v>
      </c>
      <c r="P1316" t="s">
        <v>6451</v>
      </c>
      <c r="Q1316">
        <v>0</v>
      </c>
      <c r="R1316">
        <v>353</v>
      </c>
      <c r="S1316">
        <f t="shared" si="182"/>
        <v>-0.40126304215576641</v>
      </c>
      <c r="T1316">
        <f t="shared" si="183"/>
        <v>0</v>
      </c>
      <c r="U1316">
        <f t="shared" si="184"/>
        <v>0</v>
      </c>
      <c r="V1316">
        <f t="shared" si="185"/>
        <v>0</v>
      </c>
      <c r="W1316">
        <f t="shared" si="186"/>
        <v>0</v>
      </c>
      <c r="X1316">
        <f t="shared" si="187"/>
        <v>0</v>
      </c>
      <c r="Y1316">
        <f t="shared" si="188"/>
        <v>0</v>
      </c>
    </row>
    <row r="1317" spans="1:25" x14ac:dyDescent="0.3">
      <c r="A1317" t="s">
        <v>2171</v>
      </c>
      <c r="B1317" t="s">
        <v>2172</v>
      </c>
      <c r="C1317" s="1">
        <v>45861</v>
      </c>
      <c r="D1317" s="3">
        <v>0.55162037037037037</v>
      </c>
      <c r="E1317">
        <f t="shared" si="180"/>
        <v>13</v>
      </c>
      <c r="F1317">
        <v>27</v>
      </c>
      <c r="G1317" t="s">
        <v>18</v>
      </c>
      <c r="H1317" t="s">
        <v>232</v>
      </c>
      <c r="I1317" t="s">
        <v>30</v>
      </c>
      <c r="J1317" t="s">
        <v>21</v>
      </c>
      <c r="K1317" t="s">
        <v>114</v>
      </c>
      <c r="L1317">
        <v>145.58000000000001</v>
      </c>
      <c r="M1317" t="s">
        <v>23</v>
      </c>
      <c r="N1317">
        <f t="shared" si="181"/>
        <v>0</v>
      </c>
      <c r="O1317" t="s">
        <v>34</v>
      </c>
      <c r="P1317" t="s">
        <v>2173</v>
      </c>
      <c r="Q1317">
        <v>0</v>
      </c>
      <c r="R1317">
        <v>190</v>
      </c>
      <c r="S1317">
        <f t="shared" si="182"/>
        <v>-0.40195525512957081</v>
      </c>
      <c r="T1317">
        <f t="shared" si="183"/>
        <v>0</v>
      </c>
      <c r="U1317">
        <f t="shared" si="184"/>
        <v>0</v>
      </c>
      <c r="V1317">
        <f t="shared" si="185"/>
        <v>1</v>
      </c>
      <c r="W1317">
        <f t="shared" si="186"/>
        <v>1</v>
      </c>
      <c r="X1317">
        <f t="shared" si="187"/>
        <v>0</v>
      </c>
      <c r="Y1317">
        <f t="shared" si="188"/>
        <v>0</v>
      </c>
    </row>
    <row r="1318" spans="1:25" x14ac:dyDescent="0.3">
      <c r="A1318" t="s">
        <v>3884</v>
      </c>
      <c r="B1318" t="s">
        <v>3885</v>
      </c>
      <c r="C1318" s="1">
        <v>45729</v>
      </c>
      <c r="D1318" s="3">
        <v>0.74048611111111107</v>
      </c>
      <c r="E1318">
        <f t="shared" si="180"/>
        <v>17</v>
      </c>
      <c r="F1318">
        <v>36</v>
      </c>
      <c r="G1318" t="s">
        <v>46</v>
      </c>
      <c r="H1318" t="s">
        <v>29</v>
      </c>
      <c r="I1318" t="s">
        <v>48</v>
      </c>
      <c r="J1318" t="s">
        <v>56</v>
      </c>
      <c r="K1318" t="s">
        <v>22</v>
      </c>
      <c r="L1318">
        <v>145.53</v>
      </c>
      <c r="M1318" t="s">
        <v>23</v>
      </c>
      <c r="N1318">
        <f t="shared" si="181"/>
        <v>0</v>
      </c>
      <c r="O1318" t="s">
        <v>24</v>
      </c>
      <c r="P1318" t="s">
        <v>3886</v>
      </c>
      <c r="Q1318">
        <v>0</v>
      </c>
      <c r="R1318">
        <v>52</v>
      </c>
      <c r="S1318">
        <f t="shared" si="182"/>
        <v>-0.40264746810337559</v>
      </c>
      <c r="T1318">
        <f t="shared" si="183"/>
        <v>0</v>
      </c>
      <c r="U1318">
        <f t="shared" si="184"/>
        <v>0</v>
      </c>
      <c r="V1318">
        <f t="shared" si="185"/>
        <v>1</v>
      </c>
      <c r="W1318">
        <f t="shared" si="186"/>
        <v>1</v>
      </c>
      <c r="X1318">
        <f t="shared" si="187"/>
        <v>0</v>
      </c>
      <c r="Y1318">
        <f t="shared" si="188"/>
        <v>0</v>
      </c>
    </row>
    <row r="1319" spans="1:25" x14ac:dyDescent="0.3">
      <c r="A1319" t="s">
        <v>416</v>
      </c>
      <c r="B1319" t="s">
        <v>417</v>
      </c>
      <c r="C1319" s="1">
        <v>45803</v>
      </c>
      <c r="D1319" s="3">
        <v>0.8056712962962963</v>
      </c>
      <c r="E1319">
        <f t="shared" si="180"/>
        <v>19</v>
      </c>
      <c r="F1319">
        <v>58</v>
      </c>
      <c r="G1319" t="s">
        <v>46</v>
      </c>
      <c r="H1319" t="s">
        <v>90</v>
      </c>
      <c r="I1319" t="s">
        <v>119</v>
      </c>
      <c r="J1319" t="s">
        <v>21</v>
      </c>
      <c r="K1319" t="s">
        <v>120</v>
      </c>
      <c r="L1319">
        <v>145.5</v>
      </c>
      <c r="M1319" t="s">
        <v>115</v>
      </c>
      <c r="N1319">
        <f t="shared" si="181"/>
        <v>0</v>
      </c>
      <c r="O1319" t="s">
        <v>24</v>
      </c>
      <c r="P1319" t="s">
        <v>418</v>
      </c>
      <c r="Q1319">
        <v>0</v>
      </c>
      <c r="R1319">
        <v>444</v>
      </c>
      <c r="S1319">
        <f t="shared" si="182"/>
        <v>-0.40306279588765836</v>
      </c>
      <c r="T1319">
        <f t="shared" si="183"/>
        <v>0</v>
      </c>
      <c r="U1319">
        <f t="shared" si="184"/>
        <v>0</v>
      </c>
      <c r="V1319">
        <f t="shared" si="185"/>
        <v>0</v>
      </c>
      <c r="W1319">
        <f t="shared" si="186"/>
        <v>0</v>
      </c>
      <c r="X1319">
        <f t="shared" si="187"/>
        <v>0</v>
      </c>
      <c r="Y1319">
        <f t="shared" si="188"/>
        <v>0</v>
      </c>
    </row>
    <row r="1320" spans="1:25" x14ac:dyDescent="0.3">
      <c r="A1320" t="s">
        <v>5951</v>
      </c>
      <c r="B1320" t="s">
        <v>5952</v>
      </c>
      <c r="C1320" s="1">
        <v>45739</v>
      </c>
      <c r="D1320" s="3">
        <v>0.53252314814814816</v>
      </c>
      <c r="E1320">
        <f t="shared" si="180"/>
        <v>12</v>
      </c>
      <c r="F1320">
        <v>46</v>
      </c>
      <c r="G1320" t="s">
        <v>46</v>
      </c>
      <c r="H1320" t="s">
        <v>175</v>
      </c>
      <c r="I1320" t="s">
        <v>110</v>
      </c>
      <c r="J1320" t="s">
        <v>49</v>
      </c>
      <c r="K1320" t="s">
        <v>95</v>
      </c>
      <c r="L1320">
        <v>145.46</v>
      </c>
      <c r="M1320" t="s">
        <v>23</v>
      </c>
      <c r="N1320">
        <f t="shared" si="181"/>
        <v>0</v>
      </c>
      <c r="O1320" t="s">
        <v>34</v>
      </c>
      <c r="P1320" t="s">
        <v>5953</v>
      </c>
      <c r="Q1320">
        <v>0</v>
      </c>
      <c r="R1320">
        <v>139</v>
      </c>
      <c r="S1320">
        <f t="shared" si="182"/>
        <v>-0.40361656626670195</v>
      </c>
      <c r="T1320">
        <f t="shared" si="183"/>
        <v>0</v>
      </c>
      <c r="U1320">
        <f t="shared" si="184"/>
        <v>0</v>
      </c>
      <c r="V1320">
        <f t="shared" si="185"/>
        <v>1</v>
      </c>
      <c r="W1320">
        <f t="shared" si="186"/>
        <v>1</v>
      </c>
      <c r="X1320">
        <f t="shared" si="187"/>
        <v>0</v>
      </c>
      <c r="Y1320">
        <f t="shared" si="188"/>
        <v>0</v>
      </c>
    </row>
    <row r="1321" spans="1:25" x14ac:dyDescent="0.3">
      <c r="A1321" t="s">
        <v>3719</v>
      </c>
      <c r="B1321" t="s">
        <v>3720</v>
      </c>
      <c r="C1321" s="1">
        <v>45879</v>
      </c>
      <c r="D1321" s="3">
        <v>0.50628472222222221</v>
      </c>
      <c r="E1321">
        <f t="shared" si="180"/>
        <v>12</v>
      </c>
      <c r="F1321">
        <v>60</v>
      </c>
      <c r="G1321" t="s">
        <v>18</v>
      </c>
      <c r="H1321" t="s">
        <v>61</v>
      </c>
      <c r="I1321" t="s">
        <v>119</v>
      </c>
      <c r="J1321" t="s">
        <v>21</v>
      </c>
      <c r="K1321" t="s">
        <v>50</v>
      </c>
      <c r="L1321">
        <v>145.32</v>
      </c>
      <c r="M1321" t="s">
        <v>6479</v>
      </c>
      <c r="N1321">
        <f t="shared" si="181"/>
        <v>1</v>
      </c>
      <c r="O1321" t="s">
        <v>51</v>
      </c>
      <c r="P1321" t="s">
        <v>3721</v>
      </c>
      <c r="Q1321">
        <v>0</v>
      </c>
      <c r="R1321">
        <v>330</v>
      </c>
      <c r="S1321">
        <f t="shared" si="182"/>
        <v>-0.4055547625933551</v>
      </c>
      <c r="T1321">
        <f t="shared" si="183"/>
        <v>0</v>
      </c>
      <c r="U1321">
        <f t="shared" si="184"/>
        <v>0</v>
      </c>
      <c r="V1321">
        <f t="shared" si="185"/>
        <v>0</v>
      </c>
      <c r="W1321">
        <f t="shared" si="186"/>
        <v>2</v>
      </c>
      <c r="X1321">
        <f t="shared" si="187"/>
        <v>0</v>
      </c>
      <c r="Y1321">
        <f t="shared" si="188"/>
        <v>1</v>
      </c>
    </row>
    <row r="1322" spans="1:25" x14ac:dyDescent="0.3">
      <c r="A1322" t="s">
        <v>2018</v>
      </c>
      <c r="B1322" t="s">
        <v>2019</v>
      </c>
      <c r="C1322" s="1">
        <v>45787</v>
      </c>
      <c r="D1322" s="3">
        <v>0.1839699074074074</v>
      </c>
      <c r="E1322">
        <f t="shared" si="180"/>
        <v>4</v>
      </c>
      <c r="F1322">
        <v>36</v>
      </c>
      <c r="G1322" t="s">
        <v>18</v>
      </c>
      <c r="H1322" t="s">
        <v>100</v>
      </c>
      <c r="I1322" t="s">
        <v>85</v>
      </c>
      <c r="J1322" t="s">
        <v>94</v>
      </c>
      <c r="K1322" t="s">
        <v>120</v>
      </c>
      <c r="L1322">
        <v>145.22</v>
      </c>
      <c r="M1322" t="s">
        <v>42</v>
      </c>
      <c r="N1322">
        <f t="shared" si="181"/>
        <v>0</v>
      </c>
      <c r="O1322" t="s">
        <v>34</v>
      </c>
      <c r="P1322" t="s">
        <v>2020</v>
      </c>
      <c r="Q1322">
        <v>0</v>
      </c>
      <c r="R1322">
        <v>258</v>
      </c>
      <c r="S1322">
        <f t="shared" si="182"/>
        <v>-0.40693918854096428</v>
      </c>
      <c r="T1322">
        <f t="shared" si="183"/>
        <v>0</v>
      </c>
      <c r="U1322">
        <f t="shared" si="184"/>
        <v>1</v>
      </c>
      <c r="V1322">
        <f t="shared" si="185"/>
        <v>1</v>
      </c>
      <c r="W1322">
        <f t="shared" si="186"/>
        <v>3</v>
      </c>
      <c r="X1322">
        <f t="shared" si="187"/>
        <v>0</v>
      </c>
      <c r="Y1322">
        <f t="shared" si="188"/>
        <v>0</v>
      </c>
    </row>
    <row r="1323" spans="1:25" x14ac:dyDescent="0.3">
      <c r="A1323" t="s">
        <v>3746</v>
      </c>
      <c r="B1323" t="s">
        <v>3747</v>
      </c>
      <c r="C1323" s="1">
        <v>45812</v>
      </c>
      <c r="D1323" s="3">
        <v>0.90804398148148147</v>
      </c>
      <c r="E1323">
        <f t="shared" si="180"/>
        <v>21</v>
      </c>
      <c r="F1323">
        <v>60</v>
      </c>
      <c r="G1323" t="s">
        <v>46</v>
      </c>
      <c r="H1323" t="s">
        <v>142</v>
      </c>
      <c r="I1323" t="s">
        <v>119</v>
      </c>
      <c r="J1323" t="s">
        <v>94</v>
      </c>
      <c r="K1323" t="s">
        <v>41</v>
      </c>
      <c r="L1323">
        <v>145.16999999999999</v>
      </c>
      <c r="M1323" t="s">
        <v>33</v>
      </c>
      <c r="N1323">
        <f t="shared" si="181"/>
        <v>0</v>
      </c>
      <c r="O1323" t="s">
        <v>34</v>
      </c>
      <c r="P1323" t="s">
        <v>3748</v>
      </c>
      <c r="Q1323">
        <v>0</v>
      </c>
      <c r="R1323">
        <v>414</v>
      </c>
      <c r="S1323">
        <f t="shared" si="182"/>
        <v>-0.40763140151476907</v>
      </c>
      <c r="T1323">
        <f t="shared" si="183"/>
        <v>0</v>
      </c>
      <c r="U1323">
        <f t="shared" si="184"/>
        <v>0</v>
      </c>
      <c r="V1323">
        <f t="shared" si="185"/>
        <v>0</v>
      </c>
      <c r="W1323">
        <f t="shared" si="186"/>
        <v>0</v>
      </c>
      <c r="X1323">
        <f t="shared" si="187"/>
        <v>0</v>
      </c>
      <c r="Y1323">
        <f t="shared" si="188"/>
        <v>0</v>
      </c>
    </row>
    <row r="1324" spans="1:25" x14ac:dyDescent="0.3">
      <c r="A1324" t="s">
        <v>2912</v>
      </c>
      <c r="B1324" t="s">
        <v>2913</v>
      </c>
      <c r="C1324" s="1">
        <v>45817</v>
      </c>
      <c r="D1324" s="3">
        <v>0.56853009259259257</v>
      </c>
      <c r="E1324">
        <f t="shared" si="180"/>
        <v>13</v>
      </c>
      <c r="F1324">
        <v>25</v>
      </c>
      <c r="G1324" t="s">
        <v>46</v>
      </c>
      <c r="H1324" t="s">
        <v>90</v>
      </c>
      <c r="I1324" t="s">
        <v>71</v>
      </c>
      <c r="J1324" t="s">
        <v>94</v>
      </c>
      <c r="K1324" t="s">
        <v>32</v>
      </c>
      <c r="L1324">
        <v>145.15</v>
      </c>
      <c r="M1324" t="s">
        <v>115</v>
      </c>
      <c r="N1324">
        <f t="shared" si="181"/>
        <v>0</v>
      </c>
      <c r="O1324" t="s">
        <v>24</v>
      </c>
      <c r="P1324" t="s">
        <v>2914</v>
      </c>
      <c r="Q1324">
        <v>0</v>
      </c>
      <c r="R1324">
        <v>297</v>
      </c>
      <c r="S1324">
        <f t="shared" si="182"/>
        <v>-0.40790828670429063</v>
      </c>
      <c r="T1324">
        <f t="shared" si="183"/>
        <v>0</v>
      </c>
      <c r="U1324">
        <f t="shared" si="184"/>
        <v>0</v>
      </c>
      <c r="V1324">
        <f t="shared" si="185"/>
        <v>0</v>
      </c>
      <c r="W1324">
        <f t="shared" si="186"/>
        <v>0</v>
      </c>
      <c r="X1324">
        <f t="shared" si="187"/>
        <v>0</v>
      </c>
      <c r="Y1324">
        <f t="shared" si="188"/>
        <v>0</v>
      </c>
    </row>
    <row r="1325" spans="1:25" x14ac:dyDescent="0.3">
      <c r="A1325" t="s">
        <v>5633</v>
      </c>
      <c r="B1325" t="s">
        <v>5634</v>
      </c>
      <c r="C1325" s="1">
        <v>45881</v>
      </c>
      <c r="D1325" s="3">
        <v>0.34031250000000002</v>
      </c>
      <c r="E1325">
        <f t="shared" si="180"/>
        <v>8</v>
      </c>
      <c r="F1325">
        <v>55</v>
      </c>
      <c r="G1325" t="s">
        <v>18</v>
      </c>
      <c r="H1325" t="s">
        <v>142</v>
      </c>
      <c r="I1325" t="s">
        <v>30</v>
      </c>
      <c r="J1325" t="s">
        <v>31</v>
      </c>
      <c r="K1325" t="s">
        <v>168</v>
      </c>
      <c r="L1325">
        <v>144.91999999999999</v>
      </c>
      <c r="M1325" t="s">
        <v>42</v>
      </c>
      <c r="N1325">
        <f t="shared" si="181"/>
        <v>0</v>
      </c>
      <c r="O1325" t="s">
        <v>24</v>
      </c>
      <c r="P1325" t="s">
        <v>5635</v>
      </c>
      <c r="Q1325">
        <v>0</v>
      </c>
      <c r="R1325">
        <v>491</v>
      </c>
      <c r="S1325">
        <f t="shared" si="182"/>
        <v>-0.41109246638379215</v>
      </c>
      <c r="T1325">
        <f t="shared" si="183"/>
        <v>0</v>
      </c>
      <c r="U1325">
        <f t="shared" si="184"/>
        <v>0</v>
      </c>
      <c r="V1325">
        <f t="shared" si="185"/>
        <v>0</v>
      </c>
      <c r="W1325">
        <f t="shared" si="186"/>
        <v>0</v>
      </c>
      <c r="X1325">
        <f t="shared" si="187"/>
        <v>0</v>
      </c>
      <c r="Y1325">
        <f t="shared" si="188"/>
        <v>0</v>
      </c>
    </row>
    <row r="1326" spans="1:25" x14ac:dyDescent="0.3">
      <c r="A1326" t="s">
        <v>4571</v>
      </c>
      <c r="B1326" t="s">
        <v>4572</v>
      </c>
      <c r="C1326" s="1">
        <v>45772</v>
      </c>
      <c r="D1326" s="3">
        <v>0.52500000000000002</v>
      </c>
      <c r="E1326">
        <f t="shared" si="180"/>
        <v>12</v>
      </c>
      <c r="F1326" s="4">
        <v>41</v>
      </c>
      <c r="G1326" t="s">
        <v>46</v>
      </c>
      <c r="H1326" t="s">
        <v>90</v>
      </c>
      <c r="I1326" t="s">
        <v>30</v>
      </c>
      <c r="J1326" t="s">
        <v>40</v>
      </c>
      <c r="K1326" t="s">
        <v>41</v>
      </c>
      <c r="L1326">
        <v>144.82</v>
      </c>
      <c r="M1326" t="s">
        <v>42</v>
      </c>
      <c r="N1326">
        <f t="shared" si="181"/>
        <v>0</v>
      </c>
      <c r="O1326" t="s">
        <v>34</v>
      </c>
      <c r="P1326" t="s">
        <v>4573</v>
      </c>
      <c r="Q1326">
        <v>0</v>
      </c>
      <c r="R1326">
        <v>298</v>
      </c>
      <c r="S1326">
        <f t="shared" si="182"/>
        <v>-0.41247689233140133</v>
      </c>
      <c r="T1326">
        <f t="shared" si="183"/>
        <v>0</v>
      </c>
      <c r="U1326">
        <f t="shared" si="184"/>
        <v>0</v>
      </c>
      <c r="V1326">
        <f t="shared" si="185"/>
        <v>0</v>
      </c>
      <c r="W1326">
        <f t="shared" si="186"/>
        <v>0</v>
      </c>
      <c r="X1326">
        <f t="shared" si="187"/>
        <v>0</v>
      </c>
      <c r="Y1326">
        <f t="shared" si="188"/>
        <v>0</v>
      </c>
    </row>
    <row r="1327" spans="1:25" x14ac:dyDescent="0.3">
      <c r="A1327" t="s">
        <v>5441</v>
      </c>
      <c r="B1327" t="s">
        <v>5442</v>
      </c>
      <c r="C1327" s="1">
        <v>45856</v>
      </c>
      <c r="D1327" s="3">
        <v>0.7904282407407407</v>
      </c>
      <c r="E1327">
        <f t="shared" si="180"/>
        <v>18</v>
      </c>
      <c r="F1327">
        <v>46</v>
      </c>
      <c r="G1327" t="s">
        <v>18</v>
      </c>
      <c r="H1327" t="s">
        <v>167</v>
      </c>
      <c r="I1327" t="s">
        <v>39</v>
      </c>
      <c r="J1327" t="s">
        <v>21</v>
      </c>
      <c r="K1327" t="s">
        <v>120</v>
      </c>
      <c r="L1327">
        <v>144.80000000000001</v>
      </c>
      <c r="M1327" t="s">
        <v>23</v>
      </c>
      <c r="N1327">
        <f t="shared" si="181"/>
        <v>0</v>
      </c>
      <c r="O1327" t="s">
        <v>51</v>
      </c>
      <c r="P1327" t="s">
        <v>5443</v>
      </c>
      <c r="Q1327">
        <v>0</v>
      </c>
      <c r="R1327">
        <v>349</v>
      </c>
      <c r="S1327">
        <f t="shared" si="182"/>
        <v>-0.4127537775209229</v>
      </c>
      <c r="T1327">
        <f t="shared" si="183"/>
        <v>0</v>
      </c>
      <c r="U1327">
        <f t="shared" si="184"/>
        <v>0</v>
      </c>
      <c r="V1327">
        <f t="shared" si="185"/>
        <v>0</v>
      </c>
      <c r="W1327">
        <f t="shared" si="186"/>
        <v>0</v>
      </c>
      <c r="X1327">
        <f t="shared" si="187"/>
        <v>0</v>
      </c>
      <c r="Y1327">
        <f t="shared" si="188"/>
        <v>0</v>
      </c>
    </row>
    <row r="1328" spans="1:25" x14ac:dyDescent="0.3">
      <c r="A1328" t="s">
        <v>509</v>
      </c>
      <c r="B1328" t="s">
        <v>510</v>
      </c>
      <c r="C1328" s="1">
        <v>45854</v>
      </c>
      <c r="D1328" s="3">
        <v>0.9096643518518519</v>
      </c>
      <c r="E1328">
        <f t="shared" si="180"/>
        <v>21</v>
      </c>
      <c r="F1328">
        <v>32</v>
      </c>
      <c r="G1328" t="s">
        <v>60</v>
      </c>
      <c r="H1328" t="s">
        <v>80</v>
      </c>
      <c r="I1328" t="s">
        <v>20</v>
      </c>
      <c r="J1328" t="s">
        <v>127</v>
      </c>
      <c r="K1328" t="s">
        <v>41</v>
      </c>
      <c r="L1328">
        <v>144.71</v>
      </c>
      <c r="M1328" t="s">
        <v>42</v>
      </c>
      <c r="N1328">
        <f t="shared" si="181"/>
        <v>0</v>
      </c>
      <c r="O1328" t="s">
        <v>34</v>
      </c>
      <c r="P1328" t="s">
        <v>511</v>
      </c>
      <c r="Q1328">
        <v>0</v>
      </c>
      <c r="R1328">
        <v>188</v>
      </c>
      <c r="S1328">
        <f t="shared" si="182"/>
        <v>-0.41399976087377127</v>
      </c>
      <c r="T1328">
        <f t="shared" si="183"/>
        <v>0</v>
      </c>
      <c r="U1328">
        <f t="shared" si="184"/>
        <v>0</v>
      </c>
      <c r="V1328">
        <f t="shared" si="185"/>
        <v>1</v>
      </c>
      <c r="W1328">
        <f t="shared" si="186"/>
        <v>1</v>
      </c>
      <c r="X1328">
        <f t="shared" si="187"/>
        <v>0</v>
      </c>
      <c r="Y1328">
        <f t="shared" si="188"/>
        <v>0</v>
      </c>
    </row>
    <row r="1329" spans="1:25" x14ac:dyDescent="0.3">
      <c r="A1329" t="s">
        <v>1661</v>
      </c>
      <c r="B1329" t="s">
        <v>1662</v>
      </c>
      <c r="C1329" s="1">
        <v>45782</v>
      </c>
      <c r="D1329" s="3">
        <v>0.38068287037037035</v>
      </c>
      <c r="E1329">
        <f t="shared" si="180"/>
        <v>9</v>
      </c>
      <c r="F1329">
        <v>48</v>
      </c>
      <c r="G1329" t="s">
        <v>28</v>
      </c>
      <c r="H1329" t="s">
        <v>38</v>
      </c>
      <c r="I1329" t="s">
        <v>110</v>
      </c>
      <c r="J1329" t="s">
        <v>31</v>
      </c>
      <c r="K1329" t="s">
        <v>168</v>
      </c>
      <c r="L1329">
        <v>144.71</v>
      </c>
      <c r="M1329" t="s">
        <v>42</v>
      </c>
      <c r="N1329">
        <f t="shared" si="181"/>
        <v>0</v>
      </c>
      <c r="O1329" t="s">
        <v>51</v>
      </c>
      <c r="P1329" t="s">
        <v>1663</v>
      </c>
      <c r="Q1329">
        <v>0</v>
      </c>
      <c r="R1329">
        <v>281</v>
      </c>
      <c r="S1329">
        <f t="shared" si="182"/>
        <v>-0.41399976087377127</v>
      </c>
      <c r="T1329">
        <f t="shared" si="183"/>
        <v>0</v>
      </c>
      <c r="U1329">
        <f t="shared" si="184"/>
        <v>0</v>
      </c>
      <c r="V1329">
        <f t="shared" si="185"/>
        <v>0</v>
      </c>
      <c r="W1329">
        <f t="shared" si="186"/>
        <v>0</v>
      </c>
      <c r="X1329">
        <f t="shared" si="187"/>
        <v>0</v>
      </c>
      <c r="Y1329">
        <f t="shared" si="188"/>
        <v>0</v>
      </c>
    </row>
    <row r="1330" spans="1:25" x14ac:dyDescent="0.3">
      <c r="A1330" s="2" t="s">
        <v>434</v>
      </c>
      <c r="B1330" t="s">
        <v>435</v>
      </c>
      <c r="C1330" s="1">
        <v>45765</v>
      </c>
      <c r="D1330" s="3">
        <v>1.6215277777777776E-2</v>
      </c>
      <c r="E1330">
        <f t="shared" si="180"/>
        <v>0</v>
      </c>
      <c r="F1330">
        <v>51</v>
      </c>
      <c r="G1330" t="s">
        <v>18</v>
      </c>
      <c r="H1330" t="s">
        <v>55</v>
      </c>
      <c r="I1330" t="s">
        <v>110</v>
      </c>
      <c r="J1330" t="s">
        <v>49</v>
      </c>
      <c r="K1330" t="s">
        <v>50</v>
      </c>
      <c r="L1330">
        <v>144.55000000000001</v>
      </c>
      <c r="M1330" t="s">
        <v>23</v>
      </c>
      <c r="N1330">
        <f t="shared" si="181"/>
        <v>0</v>
      </c>
      <c r="O1330" t="s">
        <v>24</v>
      </c>
      <c r="P1330" t="s">
        <v>436</v>
      </c>
      <c r="Q1330">
        <v>0</v>
      </c>
      <c r="R1330">
        <v>226</v>
      </c>
      <c r="S1330">
        <f t="shared" si="182"/>
        <v>-0.41621484238994605</v>
      </c>
      <c r="T1330">
        <f t="shared" si="183"/>
        <v>0</v>
      </c>
      <c r="U1330">
        <f t="shared" si="184"/>
        <v>1</v>
      </c>
      <c r="V1330">
        <f t="shared" si="185"/>
        <v>1</v>
      </c>
      <c r="W1330">
        <f t="shared" si="186"/>
        <v>3</v>
      </c>
      <c r="X1330">
        <f t="shared" si="187"/>
        <v>0</v>
      </c>
      <c r="Y1330">
        <f t="shared" si="188"/>
        <v>0</v>
      </c>
    </row>
    <row r="1331" spans="1:25" x14ac:dyDescent="0.3">
      <c r="A1331" t="s">
        <v>3314</v>
      </c>
      <c r="B1331" t="s">
        <v>3315</v>
      </c>
      <c r="C1331" s="1">
        <v>45794</v>
      </c>
      <c r="D1331" s="3">
        <v>0.14775462962962962</v>
      </c>
      <c r="E1331">
        <f t="shared" si="180"/>
        <v>3</v>
      </c>
      <c r="F1331">
        <v>40</v>
      </c>
      <c r="G1331" t="s">
        <v>99</v>
      </c>
      <c r="H1331" t="s">
        <v>29</v>
      </c>
      <c r="I1331" t="s">
        <v>39</v>
      </c>
      <c r="J1331" t="s">
        <v>49</v>
      </c>
      <c r="K1331" t="s">
        <v>114</v>
      </c>
      <c r="L1331">
        <v>144.54</v>
      </c>
      <c r="M1331" t="s">
        <v>33</v>
      </c>
      <c r="N1331">
        <f t="shared" si="181"/>
        <v>0</v>
      </c>
      <c r="O1331" t="s">
        <v>51</v>
      </c>
      <c r="P1331" t="s">
        <v>3316</v>
      </c>
      <c r="Q1331">
        <v>0</v>
      </c>
      <c r="R1331">
        <v>365</v>
      </c>
      <c r="S1331">
        <f t="shared" si="182"/>
        <v>-0.41635328498470725</v>
      </c>
      <c r="T1331">
        <f t="shared" si="183"/>
        <v>0</v>
      </c>
      <c r="U1331">
        <f t="shared" si="184"/>
        <v>1</v>
      </c>
      <c r="V1331">
        <f t="shared" si="185"/>
        <v>0</v>
      </c>
      <c r="W1331">
        <f t="shared" si="186"/>
        <v>2</v>
      </c>
      <c r="X1331">
        <f t="shared" si="187"/>
        <v>0</v>
      </c>
      <c r="Y1331">
        <f t="shared" si="188"/>
        <v>0</v>
      </c>
    </row>
    <row r="1332" spans="1:25" x14ac:dyDescent="0.3">
      <c r="A1332" t="s">
        <v>5264</v>
      </c>
      <c r="B1332" t="s">
        <v>5265</v>
      </c>
      <c r="C1332" s="1">
        <v>45739</v>
      </c>
      <c r="D1332" s="3">
        <v>0.69587962962962968</v>
      </c>
      <c r="E1332">
        <f t="shared" si="180"/>
        <v>16</v>
      </c>
      <c r="F1332">
        <v>23</v>
      </c>
      <c r="G1332" t="s">
        <v>60</v>
      </c>
      <c r="H1332" t="s">
        <v>90</v>
      </c>
      <c r="I1332" t="s">
        <v>85</v>
      </c>
      <c r="J1332" t="s">
        <v>21</v>
      </c>
      <c r="K1332" t="s">
        <v>101</v>
      </c>
      <c r="L1332">
        <v>144.22</v>
      </c>
      <c r="M1332" t="s">
        <v>115</v>
      </c>
      <c r="N1332">
        <f t="shared" si="181"/>
        <v>0</v>
      </c>
      <c r="O1332" t="s">
        <v>86</v>
      </c>
      <c r="P1332" t="s">
        <v>5266</v>
      </c>
      <c r="Q1332">
        <v>0</v>
      </c>
      <c r="R1332">
        <v>385</v>
      </c>
      <c r="S1332">
        <f t="shared" si="182"/>
        <v>-0.42078344801705669</v>
      </c>
      <c r="T1332">
        <f t="shared" si="183"/>
        <v>0</v>
      </c>
      <c r="U1332">
        <f t="shared" si="184"/>
        <v>0</v>
      </c>
      <c r="V1332">
        <f t="shared" si="185"/>
        <v>0</v>
      </c>
      <c r="W1332">
        <f t="shared" si="186"/>
        <v>0</v>
      </c>
      <c r="X1332">
        <f t="shared" si="187"/>
        <v>0</v>
      </c>
      <c r="Y1332">
        <f t="shared" si="188"/>
        <v>0</v>
      </c>
    </row>
    <row r="1333" spans="1:25" x14ac:dyDescent="0.3">
      <c r="A1333" t="s">
        <v>1142</v>
      </c>
      <c r="B1333" t="s">
        <v>1143</v>
      </c>
      <c r="C1333" s="1">
        <v>45769</v>
      </c>
      <c r="D1333" s="3">
        <v>0.54167824074074078</v>
      </c>
      <c r="E1333">
        <f t="shared" ref="E1333:E1396" si="189">HOUR(D1333)</f>
        <v>13</v>
      </c>
      <c r="F1333">
        <v>63</v>
      </c>
      <c r="G1333" t="s">
        <v>60</v>
      </c>
      <c r="H1333" t="s">
        <v>239</v>
      </c>
      <c r="I1333" t="s">
        <v>71</v>
      </c>
      <c r="J1333" t="s">
        <v>127</v>
      </c>
      <c r="K1333" t="s">
        <v>62</v>
      </c>
      <c r="L1333">
        <v>144.21</v>
      </c>
      <c r="M1333" t="s">
        <v>23</v>
      </c>
      <c r="N1333">
        <f t="shared" si="181"/>
        <v>0</v>
      </c>
      <c r="O1333" t="s">
        <v>86</v>
      </c>
      <c r="P1333" t="s">
        <v>1144</v>
      </c>
      <c r="Q1333">
        <v>0</v>
      </c>
      <c r="R1333">
        <v>199</v>
      </c>
      <c r="S1333">
        <f t="shared" si="182"/>
        <v>-0.42092189061181751</v>
      </c>
      <c r="T1333">
        <f t="shared" si="183"/>
        <v>0</v>
      </c>
      <c r="U1333">
        <f t="shared" si="184"/>
        <v>0</v>
      </c>
      <c r="V1333">
        <f t="shared" si="185"/>
        <v>1</v>
      </c>
      <c r="W1333">
        <f t="shared" si="186"/>
        <v>1</v>
      </c>
      <c r="X1333">
        <f t="shared" si="187"/>
        <v>0</v>
      </c>
      <c r="Y1333">
        <f t="shared" si="188"/>
        <v>0</v>
      </c>
    </row>
    <row r="1334" spans="1:25" x14ac:dyDescent="0.3">
      <c r="A1334" t="s">
        <v>4850</v>
      </c>
      <c r="B1334" t="s">
        <v>4851</v>
      </c>
      <c r="C1334" s="1">
        <v>45748</v>
      </c>
      <c r="D1334" s="3">
        <v>0.81695601851851851</v>
      </c>
      <c r="E1334">
        <f t="shared" si="189"/>
        <v>19</v>
      </c>
      <c r="F1334">
        <v>51</v>
      </c>
      <c r="G1334" t="s">
        <v>99</v>
      </c>
      <c r="H1334" t="s">
        <v>142</v>
      </c>
      <c r="I1334" t="s">
        <v>71</v>
      </c>
      <c r="J1334" t="s">
        <v>72</v>
      </c>
      <c r="K1334" t="s">
        <v>50</v>
      </c>
      <c r="L1334">
        <v>144.18</v>
      </c>
      <c r="M1334" t="s">
        <v>42</v>
      </c>
      <c r="N1334">
        <f t="shared" si="181"/>
        <v>0</v>
      </c>
      <c r="O1334" t="s">
        <v>86</v>
      </c>
      <c r="P1334" t="s">
        <v>4852</v>
      </c>
      <c r="Q1334">
        <v>0</v>
      </c>
      <c r="R1334">
        <v>350</v>
      </c>
      <c r="S1334">
        <f t="shared" si="182"/>
        <v>-0.42133721839610033</v>
      </c>
      <c r="T1334">
        <f t="shared" si="183"/>
        <v>0</v>
      </c>
      <c r="U1334">
        <f t="shared" si="184"/>
        <v>0</v>
      </c>
      <c r="V1334">
        <f t="shared" si="185"/>
        <v>0</v>
      </c>
      <c r="W1334">
        <f t="shared" si="186"/>
        <v>0</v>
      </c>
      <c r="X1334">
        <f t="shared" si="187"/>
        <v>0</v>
      </c>
      <c r="Y1334">
        <f t="shared" si="188"/>
        <v>0</v>
      </c>
    </row>
    <row r="1335" spans="1:25" x14ac:dyDescent="0.3">
      <c r="A1335" t="s">
        <v>6077</v>
      </c>
      <c r="B1335" t="s">
        <v>6078</v>
      </c>
      <c r="C1335" s="1">
        <v>45776</v>
      </c>
      <c r="D1335" s="3">
        <v>0.3482986111111111</v>
      </c>
      <c r="E1335">
        <f t="shared" si="189"/>
        <v>8</v>
      </c>
      <c r="F1335" s="4">
        <v>41</v>
      </c>
      <c r="G1335" t="s">
        <v>18</v>
      </c>
      <c r="H1335" t="s">
        <v>80</v>
      </c>
      <c r="I1335" t="s">
        <v>105</v>
      </c>
      <c r="J1335" t="s">
        <v>76</v>
      </c>
      <c r="K1335" t="s">
        <v>22</v>
      </c>
      <c r="L1335">
        <v>143.9</v>
      </c>
      <c r="M1335" t="s">
        <v>115</v>
      </c>
      <c r="N1335">
        <f t="shared" si="181"/>
        <v>0</v>
      </c>
      <c r="O1335" t="s">
        <v>34</v>
      </c>
      <c r="P1335" t="s">
        <v>6079</v>
      </c>
      <c r="Q1335">
        <v>0</v>
      </c>
      <c r="R1335">
        <v>251</v>
      </c>
      <c r="S1335">
        <f t="shared" si="182"/>
        <v>-0.42521361104940619</v>
      </c>
      <c r="T1335">
        <f t="shared" si="183"/>
        <v>0</v>
      </c>
      <c r="U1335">
        <f t="shared" si="184"/>
        <v>0</v>
      </c>
      <c r="V1335">
        <f t="shared" si="185"/>
        <v>1</v>
      </c>
      <c r="W1335">
        <f t="shared" si="186"/>
        <v>1</v>
      </c>
      <c r="X1335">
        <f t="shared" si="187"/>
        <v>0</v>
      </c>
      <c r="Y1335">
        <f t="shared" si="188"/>
        <v>0</v>
      </c>
    </row>
    <row r="1336" spans="1:25" x14ac:dyDescent="0.3">
      <c r="A1336" t="s">
        <v>5708</v>
      </c>
      <c r="B1336" t="s">
        <v>5709</v>
      </c>
      <c r="C1336" s="1">
        <v>45836</v>
      </c>
      <c r="D1336" s="3">
        <v>0.2981597222222222</v>
      </c>
      <c r="E1336">
        <f t="shared" si="189"/>
        <v>7</v>
      </c>
      <c r="F1336">
        <v>25</v>
      </c>
      <c r="G1336" t="s">
        <v>18</v>
      </c>
      <c r="H1336" t="s">
        <v>47</v>
      </c>
      <c r="I1336" t="s">
        <v>110</v>
      </c>
      <c r="J1336" t="s">
        <v>31</v>
      </c>
      <c r="K1336" t="s">
        <v>120</v>
      </c>
      <c r="L1336">
        <v>143.76</v>
      </c>
      <c r="M1336" t="s">
        <v>23</v>
      </c>
      <c r="N1336">
        <f t="shared" si="181"/>
        <v>0</v>
      </c>
      <c r="O1336" t="s">
        <v>24</v>
      </c>
      <c r="P1336" t="s">
        <v>5710</v>
      </c>
      <c r="Q1336">
        <v>0</v>
      </c>
      <c r="R1336">
        <v>258</v>
      </c>
      <c r="S1336">
        <f t="shared" si="182"/>
        <v>-0.42715180737605934</v>
      </c>
      <c r="T1336">
        <f t="shared" si="183"/>
        <v>0</v>
      </c>
      <c r="U1336">
        <f t="shared" si="184"/>
        <v>0</v>
      </c>
      <c r="V1336">
        <f t="shared" si="185"/>
        <v>1</v>
      </c>
      <c r="W1336">
        <f t="shared" si="186"/>
        <v>1</v>
      </c>
      <c r="X1336">
        <f t="shared" si="187"/>
        <v>0</v>
      </c>
      <c r="Y1336">
        <f t="shared" si="188"/>
        <v>0</v>
      </c>
    </row>
    <row r="1337" spans="1:25" x14ac:dyDescent="0.3">
      <c r="A1337" t="s">
        <v>5525</v>
      </c>
      <c r="B1337" t="s">
        <v>5526</v>
      </c>
      <c r="C1337" s="1">
        <v>45715</v>
      </c>
      <c r="D1337" s="3">
        <v>0.10106481481481482</v>
      </c>
      <c r="E1337">
        <f t="shared" si="189"/>
        <v>2</v>
      </c>
      <c r="F1337">
        <v>52</v>
      </c>
      <c r="G1337" t="s">
        <v>18</v>
      </c>
      <c r="H1337" t="s">
        <v>29</v>
      </c>
      <c r="I1337" t="s">
        <v>119</v>
      </c>
      <c r="J1337" t="s">
        <v>127</v>
      </c>
      <c r="K1337" t="s">
        <v>114</v>
      </c>
      <c r="L1337">
        <v>143.69</v>
      </c>
      <c r="M1337" t="s">
        <v>115</v>
      </c>
      <c r="N1337">
        <f t="shared" si="181"/>
        <v>0</v>
      </c>
      <c r="O1337" t="s">
        <v>24</v>
      </c>
      <c r="P1337" t="s">
        <v>5527</v>
      </c>
      <c r="Q1337">
        <v>0</v>
      </c>
      <c r="R1337">
        <v>200</v>
      </c>
      <c r="S1337">
        <f t="shared" si="182"/>
        <v>-0.42812090553938575</v>
      </c>
      <c r="T1337">
        <f t="shared" si="183"/>
        <v>0</v>
      </c>
      <c r="U1337">
        <f t="shared" si="184"/>
        <v>1</v>
      </c>
      <c r="V1337">
        <f t="shared" si="185"/>
        <v>1</v>
      </c>
      <c r="W1337">
        <f t="shared" si="186"/>
        <v>3</v>
      </c>
      <c r="X1337">
        <f t="shared" si="187"/>
        <v>0</v>
      </c>
      <c r="Y1337">
        <f t="shared" si="188"/>
        <v>0</v>
      </c>
    </row>
    <row r="1338" spans="1:25" x14ac:dyDescent="0.3">
      <c r="A1338" t="s">
        <v>6299</v>
      </c>
      <c r="B1338" t="s">
        <v>6300</v>
      </c>
      <c r="C1338" s="1">
        <v>45786</v>
      </c>
      <c r="D1338" s="3">
        <v>4.6215277777777779E-2</v>
      </c>
      <c r="E1338">
        <f t="shared" si="189"/>
        <v>1</v>
      </c>
      <c r="F1338">
        <v>54</v>
      </c>
      <c r="G1338" t="s">
        <v>46</v>
      </c>
      <c r="H1338" t="s">
        <v>19</v>
      </c>
      <c r="I1338" t="s">
        <v>39</v>
      </c>
      <c r="J1338" t="s">
        <v>31</v>
      </c>
      <c r="K1338" t="s">
        <v>50</v>
      </c>
      <c r="L1338">
        <v>143.52000000000001</v>
      </c>
      <c r="M1338" t="s">
        <v>23</v>
      </c>
      <c r="N1338">
        <f t="shared" si="181"/>
        <v>0</v>
      </c>
      <c r="O1338" t="s">
        <v>34</v>
      </c>
      <c r="P1338" t="s">
        <v>6301</v>
      </c>
      <c r="Q1338">
        <v>0</v>
      </c>
      <c r="R1338">
        <v>159</v>
      </c>
      <c r="S1338">
        <f t="shared" si="182"/>
        <v>-0.43047442965032129</v>
      </c>
      <c r="T1338">
        <f t="shared" si="183"/>
        <v>0</v>
      </c>
      <c r="U1338">
        <f t="shared" si="184"/>
        <v>1</v>
      </c>
      <c r="V1338">
        <f t="shared" si="185"/>
        <v>1</v>
      </c>
      <c r="W1338">
        <f t="shared" si="186"/>
        <v>3</v>
      </c>
      <c r="X1338">
        <f t="shared" si="187"/>
        <v>0</v>
      </c>
      <c r="Y1338">
        <f t="shared" si="188"/>
        <v>0</v>
      </c>
    </row>
    <row r="1339" spans="1:25" x14ac:dyDescent="0.3">
      <c r="A1339" t="s">
        <v>4685</v>
      </c>
      <c r="B1339" t="s">
        <v>4686</v>
      </c>
      <c r="C1339" s="1">
        <v>45823</v>
      </c>
      <c r="D1339" s="3">
        <v>0.43885416666666666</v>
      </c>
      <c r="E1339">
        <f t="shared" si="189"/>
        <v>10</v>
      </c>
      <c r="F1339">
        <v>59</v>
      </c>
      <c r="G1339" t="s">
        <v>46</v>
      </c>
      <c r="H1339" t="s">
        <v>19</v>
      </c>
      <c r="I1339" t="s">
        <v>71</v>
      </c>
      <c r="J1339" t="s">
        <v>40</v>
      </c>
      <c r="K1339" t="s">
        <v>62</v>
      </c>
      <c r="L1339">
        <v>143.22</v>
      </c>
      <c r="M1339" t="s">
        <v>115</v>
      </c>
      <c r="N1339">
        <f t="shared" si="181"/>
        <v>0</v>
      </c>
      <c r="O1339" t="s">
        <v>34</v>
      </c>
      <c r="P1339" t="s">
        <v>4687</v>
      </c>
      <c r="Q1339">
        <v>0</v>
      </c>
      <c r="R1339">
        <v>216</v>
      </c>
      <c r="S1339">
        <f t="shared" si="182"/>
        <v>-0.43462770749314916</v>
      </c>
      <c r="T1339">
        <f t="shared" si="183"/>
        <v>0</v>
      </c>
      <c r="U1339">
        <f t="shared" si="184"/>
        <v>0</v>
      </c>
      <c r="V1339">
        <f t="shared" si="185"/>
        <v>1</v>
      </c>
      <c r="W1339">
        <f t="shared" si="186"/>
        <v>1</v>
      </c>
      <c r="X1339">
        <f t="shared" si="187"/>
        <v>0</v>
      </c>
      <c r="Y1339">
        <f t="shared" si="188"/>
        <v>0</v>
      </c>
    </row>
    <row r="1340" spans="1:25" x14ac:dyDescent="0.3">
      <c r="A1340" t="s">
        <v>2294</v>
      </c>
      <c r="B1340" t="s">
        <v>2295</v>
      </c>
      <c r="C1340" s="1">
        <v>45861</v>
      </c>
      <c r="D1340" s="3">
        <v>0.59530092592592587</v>
      </c>
      <c r="E1340">
        <f t="shared" si="189"/>
        <v>14</v>
      </c>
      <c r="F1340">
        <v>18</v>
      </c>
      <c r="G1340" t="s">
        <v>60</v>
      </c>
      <c r="H1340" t="s">
        <v>80</v>
      </c>
      <c r="I1340" t="s">
        <v>66</v>
      </c>
      <c r="J1340" t="s">
        <v>31</v>
      </c>
      <c r="K1340" t="s">
        <v>41</v>
      </c>
      <c r="L1340">
        <v>143.08000000000001</v>
      </c>
      <c r="M1340" t="s">
        <v>115</v>
      </c>
      <c r="N1340">
        <f t="shared" si="181"/>
        <v>0</v>
      </c>
      <c r="O1340" t="s">
        <v>24</v>
      </c>
      <c r="P1340" t="s">
        <v>2296</v>
      </c>
      <c r="Q1340">
        <v>0</v>
      </c>
      <c r="R1340">
        <v>96</v>
      </c>
      <c r="S1340">
        <f t="shared" si="182"/>
        <v>-0.43656590381980193</v>
      </c>
      <c r="T1340">
        <f t="shared" si="183"/>
        <v>0</v>
      </c>
      <c r="U1340">
        <f t="shared" si="184"/>
        <v>0</v>
      </c>
      <c r="V1340">
        <f t="shared" si="185"/>
        <v>1</v>
      </c>
      <c r="W1340">
        <f t="shared" si="186"/>
        <v>1</v>
      </c>
      <c r="X1340">
        <f t="shared" si="187"/>
        <v>0</v>
      </c>
      <c r="Y1340">
        <f t="shared" si="188"/>
        <v>0</v>
      </c>
    </row>
    <row r="1341" spans="1:25" x14ac:dyDescent="0.3">
      <c r="A1341" t="s">
        <v>1943</v>
      </c>
      <c r="B1341" t="s">
        <v>1944</v>
      </c>
      <c r="C1341" s="1">
        <v>45854</v>
      </c>
      <c r="D1341" s="3">
        <v>0.75045138888888885</v>
      </c>
      <c r="E1341">
        <f t="shared" si="189"/>
        <v>18</v>
      </c>
      <c r="F1341">
        <v>63</v>
      </c>
      <c r="G1341" t="s">
        <v>46</v>
      </c>
      <c r="H1341" t="s">
        <v>142</v>
      </c>
      <c r="I1341" t="s">
        <v>119</v>
      </c>
      <c r="J1341" t="s">
        <v>49</v>
      </c>
      <c r="K1341" t="s">
        <v>50</v>
      </c>
      <c r="L1341">
        <v>143.07</v>
      </c>
      <c r="M1341" t="s">
        <v>115</v>
      </c>
      <c r="N1341">
        <f t="shared" si="181"/>
        <v>0</v>
      </c>
      <c r="O1341" t="s">
        <v>24</v>
      </c>
      <c r="P1341" t="s">
        <v>1945</v>
      </c>
      <c r="Q1341">
        <v>1</v>
      </c>
      <c r="R1341">
        <v>65</v>
      </c>
      <c r="S1341">
        <f t="shared" si="182"/>
        <v>-0.43670434641456313</v>
      </c>
      <c r="T1341">
        <f t="shared" si="183"/>
        <v>0</v>
      </c>
      <c r="U1341">
        <f t="shared" si="184"/>
        <v>0</v>
      </c>
      <c r="V1341">
        <f t="shared" si="185"/>
        <v>1</v>
      </c>
      <c r="W1341">
        <f t="shared" si="186"/>
        <v>1</v>
      </c>
      <c r="X1341">
        <f t="shared" si="187"/>
        <v>0</v>
      </c>
      <c r="Y1341">
        <f t="shared" si="188"/>
        <v>0</v>
      </c>
    </row>
    <row r="1342" spans="1:25" x14ac:dyDescent="0.3">
      <c r="A1342" t="s">
        <v>4601</v>
      </c>
      <c r="B1342" t="s">
        <v>4602</v>
      </c>
      <c r="C1342" s="1">
        <v>45818</v>
      </c>
      <c r="D1342" s="3">
        <v>0.45103009259259258</v>
      </c>
      <c r="E1342">
        <f t="shared" si="189"/>
        <v>10</v>
      </c>
      <c r="F1342">
        <v>59</v>
      </c>
      <c r="G1342" t="s">
        <v>46</v>
      </c>
      <c r="H1342" t="s">
        <v>70</v>
      </c>
      <c r="I1342" t="s">
        <v>39</v>
      </c>
      <c r="J1342" t="s">
        <v>56</v>
      </c>
      <c r="K1342" t="s">
        <v>22</v>
      </c>
      <c r="L1342">
        <v>142.51</v>
      </c>
      <c r="M1342" t="s">
        <v>42</v>
      </c>
      <c r="N1342">
        <f t="shared" si="181"/>
        <v>0</v>
      </c>
      <c r="O1342" t="s">
        <v>86</v>
      </c>
      <c r="P1342" t="s">
        <v>4603</v>
      </c>
      <c r="Q1342">
        <v>0</v>
      </c>
      <c r="R1342">
        <v>480</v>
      </c>
      <c r="S1342">
        <f t="shared" si="182"/>
        <v>-0.4444571317211749</v>
      </c>
      <c r="T1342">
        <f t="shared" si="183"/>
        <v>0</v>
      </c>
      <c r="U1342">
        <f t="shared" si="184"/>
        <v>0</v>
      </c>
      <c r="V1342">
        <f t="shared" si="185"/>
        <v>0</v>
      </c>
      <c r="W1342">
        <f t="shared" si="186"/>
        <v>0</v>
      </c>
      <c r="X1342">
        <f t="shared" si="187"/>
        <v>0</v>
      </c>
      <c r="Y1342">
        <f t="shared" si="188"/>
        <v>0</v>
      </c>
    </row>
    <row r="1343" spans="1:25" x14ac:dyDescent="0.3">
      <c r="A1343" t="s">
        <v>3053</v>
      </c>
      <c r="B1343" t="s">
        <v>3054</v>
      </c>
      <c r="C1343" s="1">
        <v>45759</v>
      </c>
      <c r="D1343" s="3">
        <v>0.34491898148148148</v>
      </c>
      <c r="E1343">
        <f t="shared" si="189"/>
        <v>8</v>
      </c>
      <c r="F1343">
        <v>43</v>
      </c>
      <c r="G1343" t="s">
        <v>60</v>
      </c>
      <c r="H1343" t="s">
        <v>80</v>
      </c>
      <c r="I1343" t="s">
        <v>20</v>
      </c>
      <c r="J1343" t="s">
        <v>132</v>
      </c>
      <c r="K1343" t="s">
        <v>62</v>
      </c>
      <c r="L1343">
        <v>142.47999999999999</v>
      </c>
      <c r="M1343" t="s">
        <v>23</v>
      </c>
      <c r="N1343">
        <f t="shared" si="181"/>
        <v>0</v>
      </c>
      <c r="O1343" t="s">
        <v>51</v>
      </c>
      <c r="P1343" t="s">
        <v>3055</v>
      </c>
      <c r="Q1343">
        <v>0</v>
      </c>
      <c r="R1343">
        <v>438</v>
      </c>
      <c r="S1343">
        <f t="shared" si="182"/>
        <v>-0.44487245950545773</v>
      </c>
      <c r="T1343">
        <f t="shared" si="183"/>
        <v>0</v>
      </c>
      <c r="U1343">
        <f t="shared" si="184"/>
        <v>0</v>
      </c>
      <c r="V1343">
        <f t="shared" si="185"/>
        <v>0</v>
      </c>
      <c r="W1343">
        <f t="shared" si="186"/>
        <v>0</v>
      </c>
      <c r="X1343">
        <f t="shared" si="187"/>
        <v>0</v>
      </c>
      <c r="Y1343">
        <f t="shared" si="188"/>
        <v>0</v>
      </c>
    </row>
    <row r="1344" spans="1:25" x14ac:dyDescent="0.3">
      <c r="A1344" t="s">
        <v>881</v>
      </c>
      <c r="B1344" t="s">
        <v>882</v>
      </c>
      <c r="C1344" s="1">
        <v>45788</v>
      </c>
      <c r="D1344" s="3">
        <v>0.56931712962962966</v>
      </c>
      <c r="E1344">
        <f t="shared" si="189"/>
        <v>13</v>
      </c>
      <c r="F1344">
        <v>65</v>
      </c>
      <c r="G1344" t="s">
        <v>99</v>
      </c>
      <c r="H1344" t="s">
        <v>232</v>
      </c>
      <c r="I1344" t="s">
        <v>119</v>
      </c>
      <c r="J1344" t="s">
        <v>49</v>
      </c>
      <c r="K1344" t="s">
        <v>168</v>
      </c>
      <c r="L1344">
        <v>142.22</v>
      </c>
      <c r="M1344" t="s">
        <v>115</v>
      </c>
      <c r="N1344">
        <f t="shared" si="181"/>
        <v>0</v>
      </c>
      <c r="O1344" t="s">
        <v>51</v>
      </c>
      <c r="P1344" t="s">
        <v>883</v>
      </c>
      <c r="Q1344">
        <v>0</v>
      </c>
      <c r="R1344">
        <v>248</v>
      </c>
      <c r="S1344">
        <f t="shared" si="182"/>
        <v>-0.44847196696924163</v>
      </c>
      <c r="T1344">
        <f t="shared" si="183"/>
        <v>0</v>
      </c>
      <c r="U1344">
        <f t="shared" si="184"/>
        <v>0</v>
      </c>
      <c r="V1344">
        <f t="shared" si="185"/>
        <v>1</v>
      </c>
      <c r="W1344">
        <f t="shared" si="186"/>
        <v>1</v>
      </c>
      <c r="X1344">
        <f t="shared" si="187"/>
        <v>0</v>
      </c>
      <c r="Y1344">
        <f t="shared" si="188"/>
        <v>0</v>
      </c>
    </row>
    <row r="1345" spans="1:25" x14ac:dyDescent="0.3">
      <c r="A1345" t="s">
        <v>2132</v>
      </c>
      <c r="B1345" t="s">
        <v>2133</v>
      </c>
      <c r="C1345" s="1">
        <v>45758</v>
      </c>
      <c r="D1345" s="3">
        <v>0.64550925925925928</v>
      </c>
      <c r="E1345">
        <f t="shared" si="189"/>
        <v>15</v>
      </c>
      <c r="F1345">
        <v>37</v>
      </c>
      <c r="G1345" t="s">
        <v>28</v>
      </c>
      <c r="H1345" t="s">
        <v>175</v>
      </c>
      <c r="I1345" t="s">
        <v>85</v>
      </c>
      <c r="J1345" t="s">
        <v>31</v>
      </c>
      <c r="K1345" t="s">
        <v>168</v>
      </c>
      <c r="L1345">
        <v>142.07</v>
      </c>
      <c r="M1345" t="s">
        <v>42</v>
      </c>
      <c r="N1345">
        <f t="shared" si="181"/>
        <v>0</v>
      </c>
      <c r="O1345" t="s">
        <v>34</v>
      </c>
      <c r="P1345" t="s">
        <v>2134</v>
      </c>
      <c r="Q1345">
        <v>0</v>
      </c>
      <c r="R1345">
        <v>466</v>
      </c>
      <c r="S1345">
        <f t="shared" si="182"/>
        <v>-0.4505486058906556</v>
      </c>
      <c r="T1345">
        <f t="shared" si="183"/>
        <v>0</v>
      </c>
      <c r="U1345">
        <f t="shared" si="184"/>
        <v>0</v>
      </c>
      <c r="V1345">
        <f t="shared" si="185"/>
        <v>0</v>
      </c>
      <c r="W1345">
        <f t="shared" si="186"/>
        <v>0</v>
      </c>
      <c r="X1345">
        <f t="shared" si="187"/>
        <v>0</v>
      </c>
      <c r="Y1345">
        <f t="shared" si="188"/>
        <v>0</v>
      </c>
    </row>
    <row r="1346" spans="1:25" x14ac:dyDescent="0.3">
      <c r="A1346" t="s">
        <v>6074</v>
      </c>
      <c r="B1346" t="s">
        <v>6075</v>
      </c>
      <c r="C1346" s="1">
        <v>45738</v>
      </c>
      <c r="D1346" s="3">
        <v>0.17203703703703704</v>
      </c>
      <c r="E1346">
        <f t="shared" si="189"/>
        <v>4</v>
      </c>
      <c r="F1346">
        <v>56</v>
      </c>
      <c r="G1346" t="s">
        <v>46</v>
      </c>
      <c r="H1346" t="s">
        <v>47</v>
      </c>
      <c r="I1346" t="s">
        <v>66</v>
      </c>
      <c r="J1346" t="s">
        <v>132</v>
      </c>
      <c r="K1346" t="s">
        <v>120</v>
      </c>
      <c r="L1346">
        <v>142.01</v>
      </c>
      <c r="M1346" t="s">
        <v>6479</v>
      </c>
      <c r="N1346">
        <f t="shared" ref="N1346:N1409" si="190">IF(M1346="Unknown",1,0)</f>
        <v>1</v>
      </c>
      <c r="O1346" t="s">
        <v>34</v>
      </c>
      <c r="P1346" t="s">
        <v>6076</v>
      </c>
      <c r="Q1346">
        <v>0</v>
      </c>
      <c r="R1346">
        <v>252</v>
      </c>
      <c r="S1346">
        <f t="shared" ref="S1346:S1409" si="191">(L1346-$P$2137)/$P$2138</f>
        <v>-0.45137926145922114</v>
      </c>
      <c r="T1346">
        <f t="shared" ref="T1346:T1409" si="192">IF(ABS(Z1346)&gt;3,1,0)</f>
        <v>0</v>
      </c>
      <c r="U1346">
        <f t="shared" ref="U1346:U1409" si="193">IF(AND(E1346&gt;=0,E1346&lt;=5),1,0)</f>
        <v>1</v>
      </c>
      <c r="V1346">
        <f t="shared" ref="V1346:V1409" si="194">IF(R1346&lt;AVERAGE($R:$R),1,0)</f>
        <v>1</v>
      </c>
      <c r="W1346">
        <f t="shared" ref="W1346:W1409" si="195">T1346*3+U1346*2+V1346*1+N1346*2</f>
        <v>5</v>
      </c>
      <c r="X1346">
        <f t="shared" ref="X1346:X1409" si="196">IF(W1346&gt;=5,1,0)</f>
        <v>1</v>
      </c>
      <c r="Y1346">
        <f t="shared" ref="Y1346:Y1409" si="197">IF(M1346="Unknown",1,0)</f>
        <v>1</v>
      </c>
    </row>
    <row r="1347" spans="1:25" x14ac:dyDescent="0.3">
      <c r="A1347" t="s">
        <v>3341</v>
      </c>
      <c r="B1347" t="s">
        <v>3342</v>
      </c>
      <c r="C1347" s="1">
        <v>45735</v>
      </c>
      <c r="D1347" s="3">
        <v>0.95798611111111109</v>
      </c>
      <c r="E1347">
        <f t="shared" si="189"/>
        <v>22</v>
      </c>
      <c r="F1347">
        <v>57</v>
      </c>
      <c r="G1347" t="s">
        <v>60</v>
      </c>
      <c r="H1347" t="s">
        <v>232</v>
      </c>
      <c r="I1347" t="s">
        <v>30</v>
      </c>
      <c r="J1347" t="s">
        <v>56</v>
      </c>
      <c r="K1347" t="s">
        <v>50</v>
      </c>
      <c r="L1347">
        <v>141.97999999999999</v>
      </c>
      <c r="M1347" t="s">
        <v>42</v>
      </c>
      <c r="N1347">
        <f t="shared" si="190"/>
        <v>0</v>
      </c>
      <c r="O1347" t="s">
        <v>86</v>
      </c>
      <c r="P1347" t="s">
        <v>3343</v>
      </c>
      <c r="Q1347">
        <v>0</v>
      </c>
      <c r="R1347">
        <v>217</v>
      </c>
      <c r="S1347">
        <f t="shared" si="191"/>
        <v>-0.45179458924350396</v>
      </c>
      <c r="T1347">
        <f t="shared" si="192"/>
        <v>0</v>
      </c>
      <c r="U1347">
        <f t="shared" si="193"/>
        <v>0</v>
      </c>
      <c r="V1347">
        <f t="shared" si="194"/>
        <v>1</v>
      </c>
      <c r="W1347">
        <f t="shared" si="195"/>
        <v>1</v>
      </c>
      <c r="X1347">
        <f t="shared" si="196"/>
        <v>0</v>
      </c>
      <c r="Y1347">
        <f t="shared" si="197"/>
        <v>0</v>
      </c>
    </row>
    <row r="1348" spans="1:25" x14ac:dyDescent="0.3">
      <c r="A1348" t="s">
        <v>3485</v>
      </c>
      <c r="B1348" t="s">
        <v>3486</v>
      </c>
      <c r="C1348" s="1">
        <v>45852</v>
      </c>
      <c r="D1348" s="3">
        <v>0.74836805555555552</v>
      </c>
      <c r="E1348">
        <f t="shared" si="189"/>
        <v>17</v>
      </c>
      <c r="F1348">
        <v>48</v>
      </c>
      <c r="G1348" t="s">
        <v>46</v>
      </c>
      <c r="H1348" t="s">
        <v>131</v>
      </c>
      <c r="I1348" t="s">
        <v>66</v>
      </c>
      <c r="J1348" t="s">
        <v>49</v>
      </c>
      <c r="K1348" t="s">
        <v>62</v>
      </c>
      <c r="L1348">
        <v>141.58000000000001</v>
      </c>
      <c r="M1348" t="s">
        <v>42</v>
      </c>
      <c r="N1348">
        <f t="shared" si="190"/>
        <v>0</v>
      </c>
      <c r="O1348" t="s">
        <v>24</v>
      </c>
      <c r="P1348" t="s">
        <v>3487</v>
      </c>
      <c r="Q1348">
        <v>0</v>
      </c>
      <c r="R1348">
        <v>321</v>
      </c>
      <c r="S1348">
        <f t="shared" si="191"/>
        <v>-0.45733229303394063</v>
      </c>
      <c r="T1348">
        <f t="shared" si="192"/>
        <v>0</v>
      </c>
      <c r="U1348">
        <f t="shared" si="193"/>
        <v>0</v>
      </c>
      <c r="V1348">
        <f t="shared" si="194"/>
        <v>0</v>
      </c>
      <c r="W1348">
        <f t="shared" si="195"/>
        <v>0</v>
      </c>
      <c r="X1348">
        <f t="shared" si="196"/>
        <v>0</v>
      </c>
      <c r="Y1348">
        <f t="shared" si="197"/>
        <v>0</v>
      </c>
    </row>
    <row r="1349" spans="1:25" x14ac:dyDescent="0.3">
      <c r="A1349" t="s">
        <v>2537</v>
      </c>
      <c r="B1349" t="s">
        <v>2538</v>
      </c>
      <c r="C1349" s="1">
        <v>45799</v>
      </c>
      <c r="D1349" s="3">
        <v>9.9826388888888895E-2</v>
      </c>
      <c r="E1349">
        <f t="shared" si="189"/>
        <v>2</v>
      </c>
      <c r="F1349">
        <v>32</v>
      </c>
      <c r="G1349" t="s">
        <v>46</v>
      </c>
      <c r="H1349" t="s">
        <v>312</v>
      </c>
      <c r="I1349" t="s">
        <v>39</v>
      </c>
      <c r="J1349" t="s">
        <v>72</v>
      </c>
      <c r="K1349" t="s">
        <v>32</v>
      </c>
      <c r="L1349">
        <v>141.5</v>
      </c>
      <c r="M1349" t="s">
        <v>115</v>
      </c>
      <c r="N1349">
        <f t="shared" si="190"/>
        <v>0</v>
      </c>
      <c r="O1349" t="s">
        <v>24</v>
      </c>
      <c r="P1349" t="s">
        <v>2539</v>
      </c>
      <c r="Q1349">
        <v>0</v>
      </c>
      <c r="R1349">
        <v>93</v>
      </c>
      <c r="S1349">
        <f t="shared" si="191"/>
        <v>-0.45843983379202818</v>
      </c>
      <c r="T1349">
        <f t="shared" si="192"/>
        <v>0</v>
      </c>
      <c r="U1349">
        <f t="shared" si="193"/>
        <v>1</v>
      </c>
      <c r="V1349">
        <f t="shared" si="194"/>
        <v>1</v>
      </c>
      <c r="W1349">
        <f t="shared" si="195"/>
        <v>3</v>
      </c>
      <c r="X1349">
        <f t="shared" si="196"/>
        <v>0</v>
      </c>
      <c r="Y1349">
        <f t="shared" si="197"/>
        <v>0</v>
      </c>
    </row>
    <row r="1350" spans="1:25" x14ac:dyDescent="0.3">
      <c r="A1350" t="s">
        <v>923</v>
      </c>
      <c r="B1350" t="s">
        <v>924</v>
      </c>
      <c r="C1350" s="1">
        <v>45815</v>
      </c>
      <c r="D1350" s="3">
        <v>0.19621527777777778</v>
      </c>
      <c r="E1350">
        <f t="shared" si="189"/>
        <v>4</v>
      </c>
      <c r="F1350">
        <v>20</v>
      </c>
      <c r="G1350" t="s">
        <v>18</v>
      </c>
      <c r="H1350" t="s">
        <v>70</v>
      </c>
      <c r="I1350" t="s">
        <v>20</v>
      </c>
      <c r="J1350" t="s">
        <v>72</v>
      </c>
      <c r="K1350" t="s">
        <v>22</v>
      </c>
      <c r="L1350">
        <v>141.44</v>
      </c>
      <c r="M1350" t="s">
        <v>115</v>
      </c>
      <c r="N1350">
        <f t="shared" si="190"/>
        <v>0</v>
      </c>
      <c r="O1350" t="s">
        <v>86</v>
      </c>
      <c r="P1350" t="s">
        <v>925</v>
      </c>
      <c r="Q1350">
        <v>0</v>
      </c>
      <c r="R1350">
        <v>485</v>
      </c>
      <c r="S1350">
        <f t="shared" si="191"/>
        <v>-0.45927048936059378</v>
      </c>
      <c r="T1350">
        <f t="shared" si="192"/>
        <v>0</v>
      </c>
      <c r="U1350">
        <f t="shared" si="193"/>
        <v>1</v>
      </c>
      <c r="V1350">
        <f t="shared" si="194"/>
        <v>0</v>
      </c>
      <c r="W1350">
        <f t="shared" si="195"/>
        <v>2</v>
      </c>
      <c r="X1350">
        <f t="shared" si="196"/>
        <v>0</v>
      </c>
      <c r="Y1350">
        <f t="shared" si="197"/>
        <v>0</v>
      </c>
    </row>
    <row r="1351" spans="1:25" x14ac:dyDescent="0.3">
      <c r="A1351" t="s">
        <v>4319</v>
      </c>
      <c r="B1351" t="s">
        <v>4320</v>
      </c>
      <c r="C1351" s="1">
        <v>45803</v>
      </c>
      <c r="D1351" s="3">
        <v>0.78667824074074078</v>
      </c>
      <c r="E1351">
        <f t="shared" si="189"/>
        <v>18</v>
      </c>
      <c r="F1351">
        <v>57</v>
      </c>
      <c r="G1351" t="s">
        <v>18</v>
      </c>
      <c r="H1351" t="s">
        <v>47</v>
      </c>
      <c r="I1351" t="s">
        <v>66</v>
      </c>
      <c r="J1351" t="s">
        <v>40</v>
      </c>
      <c r="K1351" t="s">
        <v>50</v>
      </c>
      <c r="L1351">
        <v>141.25</v>
      </c>
      <c r="M1351" t="s">
        <v>42</v>
      </c>
      <c r="N1351">
        <f t="shared" si="190"/>
        <v>0</v>
      </c>
      <c r="O1351" t="s">
        <v>86</v>
      </c>
      <c r="P1351" t="s">
        <v>4321</v>
      </c>
      <c r="Q1351">
        <v>0</v>
      </c>
      <c r="R1351">
        <v>67</v>
      </c>
      <c r="S1351">
        <f t="shared" si="191"/>
        <v>-0.46190089866105127</v>
      </c>
      <c r="T1351">
        <f t="shared" si="192"/>
        <v>0</v>
      </c>
      <c r="U1351">
        <f t="shared" si="193"/>
        <v>0</v>
      </c>
      <c r="V1351">
        <f t="shared" si="194"/>
        <v>1</v>
      </c>
      <c r="W1351">
        <f t="shared" si="195"/>
        <v>1</v>
      </c>
      <c r="X1351">
        <f t="shared" si="196"/>
        <v>0</v>
      </c>
      <c r="Y1351">
        <f t="shared" si="197"/>
        <v>0</v>
      </c>
    </row>
    <row r="1352" spans="1:25" x14ac:dyDescent="0.3">
      <c r="A1352" t="s">
        <v>2183</v>
      </c>
      <c r="B1352" t="s">
        <v>2184</v>
      </c>
      <c r="C1352" s="1">
        <v>45853</v>
      </c>
      <c r="D1352" s="3">
        <v>0.1477199074074074</v>
      </c>
      <c r="E1352">
        <f t="shared" si="189"/>
        <v>3</v>
      </c>
      <c r="F1352">
        <v>55</v>
      </c>
      <c r="G1352" t="s">
        <v>60</v>
      </c>
      <c r="H1352" t="s">
        <v>100</v>
      </c>
      <c r="I1352" t="s">
        <v>39</v>
      </c>
      <c r="J1352" t="s">
        <v>127</v>
      </c>
      <c r="K1352" t="s">
        <v>32</v>
      </c>
      <c r="L1352">
        <v>141.13999999999999</v>
      </c>
      <c r="M1352" t="s">
        <v>115</v>
      </c>
      <c r="N1352">
        <f t="shared" si="190"/>
        <v>0</v>
      </c>
      <c r="O1352" t="s">
        <v>86</v>
      </c>
      <c r="P1352" t="s">
        <v>2185</v>
      </c>
      <c r="Q1352">
        <v>0</v>
      </c>
      <c r="R1352">
        <v>315</v>
      </c>
      <c r="S1352">
        <f t="shared" si="191"/>
        <v>-0.46342376720342165</v>
      </c>
      <c r="T1352">
        <f t="shared" si="192"/>
        <v>0</v>
      </c>
      <c r="U1352">
        <f t="shared" si="193"/>
        <v>1</v>
      </c>
      <c r="V1352">
        <f t="shared" si="194"/>
        <v>0</v>
      </c>
      <c r="W1352">
        <f t="shared" si="195"/>
        <v>2</v>
      </c>
      <c r="X1352">
        <f t="shared" si="196"/>
        <v>0</v>
      </c>
      <c r="Y1352">
        <f t="shared" si="197"/>
        <v>0</v>
      </c>
    </row>
    <row r="1353" spans="1:25" x14ac:dyDescent="0.3">
      <c r="A1353" t="s">
        <v>3134</v>
      </c>
      <c r="B1353" t="s">
        <v>3135</v>
      </c>
      <c r="C1353" s="1">
        <v>45812</v>
      </c>
      <c r="D1353" s="3">
        <v>0.43282407407407408</v>
      </c>
      <c r="E1353">
        <f t="shared" si="189"/>
        <v>10</v>
      </c>
      <c r="F1353">
        <v>40</v>
      </c>
      <c r="G1353" t="s">
        <v>18</v>
      </c>
      <c r="H1353" t="s">
        <v>90</v>
      </c>
      <c r="I1353" t="s">
        <v>85</v>
      </c>
      <c r="J1353" t="s">
        <v>127</v>
      </c>
      <c r="K1353" t="s">
        <v>50</v>
      </c>
      <c r="L1353">
        <v>141.07</v>
      </c>
      <c r="M1353" t="s">
        <v>23</v>
      </c>
      <c r="N1353">
        <f t="shared" si="190"/>
        <v>0</v>
      </c>
      <c r="O1353" t="s">
        <v>34</v>
      </c>
      <c r="P1353" t="s">
        <v>3136</v>
      </c>
      <c r="Q1353">
        <v>0</v>
      </c>
      <c r="R1353">
        <v>255</v>
      </c>
      <c r="S1353">
        <f t="shared" si="191"/>
        <v>-0.46439286536674801</v>
      </c>
      <c r="T1353">
        <f t="shared" si="192"/>
        <v>0</v>
      </c>
      <c r="U1353">
        <f t="shared" si="193"/>
        <v>0</v>
      </c>
      <c r="V1353">
        <f t="shared" si="194"/>
        <v>1</v>
      </c>
      <c r="W1353">
        <f t="shared" si="195"/>
        <v>1</v>
      </c>
      <c r="X1353">
        <f t="shared" si="196"/>
        <v>0</v>
      </c>
      <c r="Y1353">
        <f t="shared" si="197"/>
        <v>0</v>
      </c>
    </row>
    <row r="1354" spans="1:25" x14ac:dyDescent="0.3">
      <c r="A1354" t="s">
        <v>3803</v>
      </c>
      <c r="B1354" t="s">
        <v>3804</v>
      </c>
      <c r="C1354" s="1">
        <v>45761</v>
      </c>
      <c r="D1354" s="3">
        <v>0.50170138888888893</v>
      </c>
      <c r="E1354">
        <f t="shared" si="189"/>
        <v>12</v>
      </c>
      <c r="F1354">
        <v>36</v>
      </c>
      <c r="G1354" t="s">
        <v>46</v>
      </c>
      <c r="H1354" t="s">
        <v>19</v>
      </c>
      <c r="I1354" t="s">
        <v>30</v>
      </c>
      <c r="J1354" t="s">
        <v>49</v>
      </c>
      <c r="K1354" t="s">
        <v>95</v>
      </c>
      <c r="L1354">
        <v>141.07</v>
      </c>
      <c r="M1354" t="s">
        <v>33</v>
      </c>
      <c r="N1354">
        <f t="shared" si="190"/>
        <v>0</v>
      </c>
      <c r="O1354" t="s">
        <v>24</v>
      </c>
      <c r="P1354" t="s">
        <v>3805</v>
      </c>
      <c r="Q1354">
        <v>0</v>
      </c>
      <c r="R1354">
        <v>400</v>
      </c>
      <c r="S1354">
        <f t="shared" si="191"/>
        <v>-0.46439286536674801</v>
      </c>
      <c r="T1354">
        <f t="shared" si="192"/>
        <v>0</v>
      </c>
      <c r="U1354">
        <f t="shared" si="193"/>
        <v>0</v>
      </c>
      <c r="V1354">
        <f t="shared" si="194"/>
        <v>0</v>
      </c>
      <c r="W1354">
        <f t="shared" si="195"/>
        <v>0</v>
      </c>
      <c r="X1354">
        <f t="shared" si="196"/>
        <v>0</v>
      </c>
      <c r="Y1354">
        <f t="shared" si="197"/>
        <v>0</v>
      </c>
    </row>
    <row r="1355" spans="1:25" x14ac:dyDescent="0.3">
      <c r="A1355" t="s">
        <v>719</v>
      </c>
      <c r="B1355" t="s">
        <v>720</v>
      </c>
      <c r="C1355" s="1">
        <v>45797</v>
      </c>
      <c r="D1355" s="3">
        <v>0.53023148148148147</v>
      </c>
      <c r="E1355">
        <f t="shared" si="189"/>
        <v>12</v>
      </c>
      <c r="F1355">
        <v>50</v>
      </c>
      <c r="G1355" t="s">
        <v>99</v>
      </c>
      <c r="H1355" t="s">
        <v>84</v>
      </c>
      <c r="I1355" t="s">
        <v>71</v>
      </c>
      <c r="J1355" t="s">
        <v>76</v>
      </c>
      <c r="K1355" t="s">
        <v>62</v>
      </c>
      <c r="L1355">
        <v>140.57</v>
      </c>
      <c r="M1355" t="s">
        <v>115</v>
      </c>
      <c r="N1355">
        <f t="shared" si="190"/>
        <v>0</v>
      </c>
      <c r="O1355" t="s">
        <v>34</v>
      </c>
      <c r="P1355" t="s">
        <v>721</v>
      </c>
      <c r="Q1355">
        <v>0</v>
      </c>
      <c r="R1355">
        <v>79</v>
      </c>
      <c r="S1355">
        <f t="shared" si="191"/>
        <v>-0.47131499510479424</v>
      </c>
      <c r="T1355">
        <f t="shared" si="192"/>
        <v>0</v>
      </c>
      <c r="U1355">
        <f t="shared" si="193"/>
        <v>0</v>
      </c>
      <c r="V1355">
        <f t="shared" si="194"/>
        <v>1</v>
      </c>
      <c r="W1355">
        <f t="shared" si="195"/>
        <v>1</v>
      </c>
      <c r="X1355">
        <f t="shared" si="196"/>
        <v>0</v>
      </c>
      <c r="Y1355">
        <f t="shared" si="197"/>
        <v>0</v>
      </c>
    </row>
    <row r="1356" spans="1:25" x14ac:dyDescent="0.3">
      <c r="A1356" t="s">
        <v>3608</v>
      </c>
      <c r="B1356" t="s">
        <v>3609</v>
      </c>
      <c r="C1356" s="1">
        <v>45705</v>
      </c>
      <c r="D1356" s="3">
        <v>8.3101851851851857E-2</v>
      </c>
      <c r="E1356">
        <f t="shared" si="189"/>
        <v>1</v>
      </c>
      <c r="F1356">
        <v>46</v>
      </c>
      <c r="G1356" t="s">
        <v>60</v>
      </c>
      <c r="H1356" t="s">
        <v>19</v>
      </c>
      <c r="I1356" t="s">
        <v>110</v>
      </c>
      <c r="J1356" t="s">
        <v>56</v>
      </c>
      <c r="K1356" t="s">
        <v>120</v>
      </c>
      <c r="L1356">
        <v>140.56</v>
      </c>
      <c r="M1356" t="s">
        <v>23</v>
      </c>
      <c r="N1356">
        <f t="shared" si="190"/>
        <v>0</v>
      </c>
      <c r="O1356" t="s">
        <v>51</v>
      </c>
      <c r="P1356" t="s">
        <v>3610</v>
      </c>
      <c r="Q1356">
        <v>0</v>
      </c>
      <c r="R1356">
        <v>293</v>
      </c>
      <c r="S1356">
        <f t="shared" si="191"/>
        <v>-0.47145343769955506</v>
      </c>
      <c r="T1356">
        <f t="shared" si="192"/>
        <v>0</v>
      </c>
      <c r="U1356">
        <f t="shared" si="193"/>
        <v>1</v>
      </c>
      <c r="V1356">
        <f t="shared" si="194"/>
        <v>0</v>
      </c>
      <c r="W1356">
        <f t="shared" si="195"/>
        <v>2</v>
      </c>
      <c r="X1356">
        <f t="shared" si="196"/>
        <v>0</v>
      </c>
      <c r="Y1356">
        <f t="shared" si="197"/>
        <v>0</v>
      </c>
    </row>
    <row r="1357" spans="1:25" x14ac:dyDescent="0.3">
      <c r="A1357" t="s">
        <v>3305</v>
      </c>
      <c r="B1357" t="s">
        <v>3306</v>
      </c>
      <c r="C1357" s="1">
        <v>45715</v>
      </c>
      <c r="D1357" s="3">
        <v>0.89811342592592591</v>
      </c>
      <c r="E1357">
        <f t="shared" si="189"/>
        <v>21</v>
      </c>
      <c r="F1357">
        <v>49</v>
      </c>
      <c r="G1357" t="s">
        <v>46</v>
      </c>
      <c r="H1357" t="s">
        <v>29</v>
      </c>
      <c r="I1357" t="s">
        <v>30</v>
      </c>
      <c r="J1357" t="s">
        <v>49</v>
      </c>
      <c r="K1357" t="s">
        <v>50</v>
      </c>
      <c r="L1357">
        <v>140.36000000000001</v>
      </c>
      <c r="M1357" t="s">
        <v>23</v>
      </c>
      <c r="N1357">
        <f t="shared" si="190"/>
        <v>0</v>
      </c>
      <c r="O1357" t="s">
        <v>24</v>
      </c>
      <c r="P1357" t="s">
        <v>3307</v>
      </c>
      <c r="Q1357">
        <v>0</v>
      </c>
      <c r="R1357">
        <v>494</v>
      </c>
      <c r="S1357">
        <f t="shared" si="191"/>
        <v>-0.47422228959477342</v>
      </c>
      <c r="T1357">
        <f t="shared" si="192"/>
        <v>0</v>
      </c>
      <c r="U1357">
        <f t="shared" si="193"/>
        <v>0</v>
      </c>
      <c r="V1357">
        <f t="shared" si="194"/>
        <v>0</v>
      </c>
      <c r="W1357">
        <f t="shared" si="195"/>
        <v>0</v>
      </c>
      <c r="X1357">
        <f t="shared" si="196"/>
        <v>0</v>
      </c>
      <c r="Y1357">
        <f t="shared" si="197"/>
        <v>0</v>
      </c>
    </row>
    <row r="1358" spans="1:25" x14ac:dyDescent="0.3">
      <c r="A1358" t="s">
        <v>4301</v>
      </c>
      <c r="B1358" t="s">
        <v>4302</v>
      </c>
      <c r="C1358" s="1">
        <v>45877</v>
      </c>
      <c r="D1358" s="3">
        <v>3.9421296296296295E-2</v>
      </c>
      <c r="E1358">
        <f t="shared" si="189"/>
        <v>0</v>
      </c>
      <c r="F1358">
        <v>38</v>
      </c>
      <c r="G1358" t="s">
        <v>46</v>
      </c>
      <c r="H1358" t="s">
        <v>19</v>
      </c>
      <c r="I1358" t="s">
        <v>119</v>
      </c>
      <c r="J1358" t="s">
        <v>94</v>
      </c>
      <c r="K1358" t="s">
        <v>41</v>
      </c>
      <c r="L1358">
        <v>140.35</v>
      </c>
      <c r="M1358" t="s">
        <v>115</v>
      </c>
      <c r="N1358">
        <f t="shared" si="190"/>
        <v>0</v>
      </c>
      <c r="O1358" t="s">
        <v>86</v>
      </c>
      <c r="P1358" t="s">
        <v>4303</v>
      </c>
      <c r="Q1358">
        <v>0</v>
      </c>
      <c r="R1358">
        <v>390</v>
      </c>
      <c r="S1358">
        <f t="shared" si="191"/>
        <v>-0.47436073218953456</v>
      </c>
      <c r="T1358">
        <f t="shared" si="192"/>
        <v>0</v>
      </c>
      <c r="U1358">
        <f t="shared" si="193"/>
        <v>1</v>
      </c>
      <c r="V1358">
        <f t="shared" si="194"/>
        <v>0</v>
      </c>
      <c r="W1358">
        <f t="shared" si="195"/>
        <v>2</v>
      </c>
      <c r="X1358">
        <f t="shared" si="196"/>
        <v>0</v>
      </c>
      <c r="Y1358">
        <f t="shared" si="197"/>
        <v>0</v>
      </c>
    </row>
    <row r="1359" spans="1:25" x14ac:dyDescent="0.3">
      <c r="A1359" t="s">
        <v>2849</v>
      </c>
      <c r="B1359" t="s">
        <v>2850</v>
      </c>
      <c r="C1359" s="1">
        <v>45827</v>
      </c>
      <c r="D1359" s="3">
        <v>0.16604166666666667</v>
      </c>
      <c r="E1359">
        <f t="shared" si="189"/>
        <v>3</v>
      </c>
      <c r="F1359">
        <v>56</v>
      </c>
      <c r="G1359" t="s">
        <v>60</v>
      </c>
      <c r="H1359" t="s">
        <v>38</v>
      </c>
      <c r="I1359" t="s">
        <v>71</v>
      </c>
      <c r="J1359" t="s">
        <v>31</v>
      </c>
      <c r="K1359" t="s">
        <v>95</v>
      </c>
      <c r="L1359">
        <v>140.22</v>
      </c>
      <c r="M1359" t="s">
        <v>115</v>
      </c>
      <c r="N1359">
        <f t="shared" si="190"/>
        <v>0</v>
      </c>
      <c r="O1359" t="s">
        <v>51</v>
      </c>
      <c r="P1359" t="s">
        <v>2851</v>
      </c>
      <c r="Q1359">
        <v>0</v>
      </c>
      <c r="R1359">
        <v>347</v>
      </c>
      <c r="S1359">
        <f t="shared" si="191"/>
        <v>-0.47616048592142651</v>
      </c>
      <c r="T1359">
        <f t="shared" si="192"/>
        <v>0</v>
      </c>
      <c r="U1359">
        <f t="shared" si="193"/>
        <v>1</v>
      </c>
      <c r="V1359">
        <f t="shared" si="194"/>
        <v>0</v>
      </c>
      <c r="W1359">
        <f t="shared" si="195"/>
        <v>2</v>
      </c>
      <c r="X1359">
        <f t="shared" si="196"/>
        <v>0</v>
      </c>
      <c r="Y1359">
        <f t="shared" si="197"/>
        <v>0</v>
      </c>
    </row>
    <row r="1360" spans="1:25" x14ac:dyDescent="0.3">
      <c r="A1360" t="s">
        <v>1118</v>
      </c>
      <c r="B1360" t="s">
        <v>1119</v>
      </c>
      <c r="C1360" s="1">
        <v>45846</v>
      </c>
      <c r="D1360" s="3">
        <v>0.84310185185185182</v>
      </c>
      <c r="E1360">
        <f t="shared" si="189"/>
        <v>20</v>
      </c>
      <c r="F1360">
        <v>46</v>
      </c>
      <c r="G1360" t="s">
        <v>46</v>
      </c>
      <c r="H1360" t="s">
        <v>29</v>
      </c>
      <c r="I1360" t="s">
        <v>71</v>
      </c>
      <c r="J1360" t="s">
        <v>21</v>
      </c>
      <c r="K1360" t="s">
        <v>62</v>
      </c>
      <c r="L1360">
        <v>140.19</v>
      </c>
      <c r="M1360" t="s">
        <v>33</v>
      </c>
      <c r="N1360">
        <f t="shared" si="190"/>
        <v>0</v>
      </c>
      <c r="O1360" t="s">
        <v>86</v>
      </c>
      <c r="P1360" t="s">
        <v>1120</v>
      </c>
      <c r="Q1360">
        <v>0</v>
      </c>
      <c r="R1360">
        <v>76</v>
      </c>
      <c r="S1360">
        <f t="shared" si="191"/>
        <v>-0.47657581370570934</v>
      </c>
      <c r="T1360">
        <f t="shared" si="192"/>
        <v>0</v>
      </c>
      <c r="U1360">
        <f t="shared" si="193"/>
        <v>0</v>
      </c>
      <c r="V1360">
        <f t="shared" si="194"/>
        <v>1</v>
      </c>
      <c r="W1360">
        <f t="shared" si="195"/>
        <v>1</v>
      </c>
      <c r="X1360">
        <f t="shared" si="196"/>
        <v>0</v>
      </c>
      <c r="Y1360">
        <f t="shared" si="197"/>
        <v>0</v>
      </c>
    </row>
    <row r="1361" spans="1:25" x14ac:dyDescent="0.3">
      <c r="A1361" t="s">
        <v>6308</v>
      </c>
      <c r="B1361" t="s">
        <v>6309</v>
      </c>
      <c r="C1361" s="1">
        <v>45796</v>
      </c>
      <c r="D1361" s="3">
        <v>0.4034375</v>
      </c>
      <c r="E1361">
        <f t="shared" si="189"/>
        <v>9</v>
      </c>
      <c r="F1361">
        <v>64</v>
      </c>
      <c r="G1361" t="s">
        <v>60</v>
      </c>
      <c r="H1361" t="s">
        <v>47</v>
      </c>
      <c r="I1361" t="s">
        <v>48</v>
      </c>
      <c r="J1361" t="s">
        <v>56</v>
      </c>
      <c r="K1361" t="s">
        <v>62</v>
      </c>
      <c r="L1361">
        <v>140.1</v>
      </c>
      <c r="M1361" t="s">
        <v>23</v>
      </c>
      <c r="N1361">
        <f t="shared" si="190"/>
        <v>0</v>
      </c>
      <c r="O1361" t="s">
        <v>86</v>
      </c>
      <c r="P1361" t="s">
        <v>6310</v>
      </c>
      <c r="Q1361">
        <v>0</v>
      </c>
      <c r="R1361">
        <v>107</v>
      </c>
      <c r="S1361">
        <f t="shared" si="191"/>
        <v>-0.47782179705855771</v>
      </c>
      <c r="T1361">
        <f t="shared" si="192"/>
        <v>0</v>
      </c>
      <c r="U1361">
        <f t="shared" si="193"/>
        <v>0</v>
      </c>
      <c r="V1361">
        <f t="shared" si="194"/>
        <v>1</v>
      </c>
      <c r="W1361">
        <f t="shared" si="195"/>
        <v>1</v>
      </c>
      <c r="X1361">
        <f t="shared" si="196"/>
        <v>0</v>
      </c>
      <c r="Y1361">
        <f t="shared" si="197"/>
        <v>0</v>
      </c>
    </row>
    <row r="1362" spans="1:25" x14ac:dyDescent="0.3">
      <c r="A1362" t="s">
        <v>4643</v>
      </c>
      <c r="B1362" t="s">
        <v>4644</v>
      </c>
      <c r="C1362" s="1">
        <v>45807</v>
      </c>
      <c r="D1362" s="3">
        <v>0.46802083333333333</v>
      </c>
      <c r="E1362">
        <f t="shared" si="189"/>
        <v>11</v>
      </c>
      <c r="F1362">
        <v>43</v>
      </c>
      <c r="G1362" t="s">
        <v>60</v>
      </c>
      <c r="H1362" t="s">
        <v>90</v>
      </c>
      <c r="I1362" t="s">
        <v>105</v>
      </c>
      <c r="J1362" t="s">
        <v>49</v>
      </c>
      <c r="K1362" t="s">
        <v>120</v>
      </c>
      <c r="L1362">
        <v>140.03</v>
      </c>
      <c r="M1362" t="s">
        <v>23</v>
      </c>
      <c r="N1362">
        <f t="shared" si="190"/>
        <v>0</v>
      </c>
      <c r="O1362" t="s">
        <v>86</v>
      </c>
      <c r="P1362" t="s">
        <v>4645</v>
      </c>
      <c r="Q1362">
        <v>0</v>
      </c>
      <c r="R1362">
        <v>165</v>
      </c>
      <c r="S1362">
        <f t="shared" si="191"/>
        <v>-0.47879089522188406</v>
      </c>
      <c r="T1362">
        <f t="shared" si="192"/>
        <v>0</v>
      </c>
      <c r="U1362">
        <f t="shared" si="193"/>
        <v>0</v>
      </c>
      <c r="V1362">
        <f t="shared" si="194"/>
        <v>1</v>
      </c>
      <c r="W1362">
        <f t="shared" si="195"/>
        <v>1</v>
      </c>
      <c r="X1362">
        <f t="shared" si="196"/>
        <v>0</v>
      </c>
      <c r="Y1362">
        <f t="shared" si="197"/>
        <v>0</v>
      </c>
    </row>
    <row r="1363" spans="1:25" x14ac:dyDescent="0.3">
      <c r="A1363" t="s">
        <v>6134</v>
      </c>
      <c r="B1363" t="s">
        <v>6135</v>
      </c>
      <c r="C1363" s="1">
        <v>45843</v>
      </c>
      <c r="D1363" s="3">
        <v>0.28586805555555556</v>
      </c>
      <c r="E1363">
        <f t="shared" si="189"/>
        <v>6</v>
      </c>
      <c r="F1363">
        <v>31</v>
      </c>
      <c r="G1363" t="s">
        <v>46</v>
      </c>
      <c r="H1363" t="s">
        <v>142</v>
      </c>
      <c r="I1363" t="s">
        <v>119</v>
      </c>
      <c r="J1363" t="s">
        <v>31</v>
      </c>
      <c r="K1363" t="s">
        <v>95</v>
      </c>
      <c r="L1363">
        <v>139.57</v>
      </c>
      <c r="M1363" t="s">
        <v>42</v>
      </c>
      <c r="N1363">
        <f t="shared" si="190"/>
        <v>0</v>
      </c>
      <c r="O1363" t="s">
        <v>51</v>
      </c>
      <c r="P1363" t="s">
        <v>6136</v>
      </c>
      <c r="Q1363">
        <v>0</v>
      </c>
      <c r="R1363">
        <v>441</v>
      </c>
      <c r="S1363">
        <f t="shared" si="191"/>
        <v>-0.48515925458088671</v>
      </c>
      <c r="T1363">
        <f t="shared" si="192"/>
        <v>0</v>
      </c>
      <c r="U1363">
        <f t="shared" si="193"/>
        <v>0</v>
      </c>
      <c r="V1363">
        <f t="shared" si="194"/>
        <v>0</v>
      </c>
      <c r="W1363">
        <f t="shared" si="195"/>
        <v>0</v>
      </c>
      <c r="X1363">
        <f t="shared" si="196"/>
        <v>0</v>
      </c>
      <c r="Y1363">
        <f t="shared" si="197"/>
        <v>0</v>
      </c>
    </row>
    <row r="1364" spans="1:25" x14ac:dyDescent="0.3">
      <c r="A1364" t="s">
        <v>1979</v>
      </c>
      <c r="B1364" t="s">
        <v>1980</v>
      </c>
      <c r="C1364" s="1">
        <v>45765</v>
      </c>
      <c r="D1364" s="3">
        <v>0.73516203703703709</v>
      </c>
      <c r="E1364">
        <f t="shared" si="189"/>
        <v>17</v>
      </c>
      <c r="F1364">
        <v>25</v>
      </c>
      <c r="G1364" t="s">
        <v>18</v>
      </c>
      <c r="H1364" t="s">
        <v>232</v>
      </c>
      <c r="I1364" t="s">
        <v>39</v>
      </c>
      <c r="J1364" t="s">
        <v>94</v>
      </c>
      <c r="K1364" t="s">
        <v>22</v>
      </c>
      <c r="L1364">
        <v>139.34</v>
      </c>
      <c r="M1364" t="s">
        <v>23</v>
      </c>
      <c r="N1364">
        <f t="shared" si="190"/>
        <v>0</v>
      </c>
      <c r="O1364" t="s">
        <v>34</v>
      </c>
      <c r="P1364" t="s">
        <v>1981</v>
      </c>
      <c r="Q1364">
        <v>0</v>
      </c>
      <c r="R1364">
        <v>468</v>
      </c>
      <c r="S1364">
        <f t="shared" si="191"/>
        <v>-0.48834343426038784</v>
      </c>
      <c r="T1364">
        <f t="shared" si="192"/>
        <v>0</v>
      </c>
      <c r="U1364">
        <f t="shared" si="193"/>
        <v>0</v>
      </c>
      <c r="V1364">
        <f t="shared" si="194"/>
        <v>0</v>
      </c>
      <c r="W1364">
        <f t="shared" si="195"/>
        <v>0</v>
      </c>
      <c r="X1364">
        <f t="shared" si="196"/>
        <v>0</v>
      </c>
      <c r="Y1364">
        <f t="shared" si="197"/>
        <v>0</v>
      </c>
    </row>
    <row r="1365" spans="1:25" x14ac:dyDescent="0.3">
      <c r="A1365" t="s">
        <v>1202</v>
      </c>
      <c r="B1365" t="s">
        <v>1203</v>
      </c>
      <c r="C1365" s="1">
        <v>45791</v>
      </c>
      <c r="D1365" s="3">
        <v>0.66281250000000003</v>
      </c>
      <c r="E1365">
        <f t="shared" si="189"/>
        <v>15</v>
      </c>
      <c r="F1365">
        <v>40</v>
      </c>
      <c r="G1365" t="s">
        <v>18</v>
      </c>
      <c r="H1365" t="s">
        <v>142</v>
      </c>
      <c r="I1365" t="s">
        <v>85</v>
      </c>
      <c r="J1365" t="s">
        <v>127</v>
      </c>
      <c r="K1365" t="s">
        <v>168</v>
      </c>
      <c r="L1365">
        <v>139.1</v>
      </c>
      <c r="M1365" t="s">
        <v>6479</v>
      </c>
      <c r="N1365">
        <f t="shared" si="190"/>
        <v>1</v>
      </c>
      <c r="O1365" t="s">
        <v>86</v>
      </c>
      <c r="P1365" t="s">
        <v>1204</v>
      </c>
      <c r="Q1365">
        <v>0</v>
      </c>
      <c r="R1365">
        <v>351</v>
      </c>
      <c r="S1365">
        <f t="shared" si="191"/>
        <v>-0.49166605653465018</v>
      </c>
      <c r="T1365">
        <f t="shared" si="192"/>
        <v>0</v>
      </c>
      <c r="U1365">
        <f t="shared" si="193"/>
        <v>0</v>
      </c>
      <c r="V1365">
        <f t="shared" si="194"/>
        <v>0</v>
      </c>
      <c r="W1365">
        <f t="shared" si="195"/>
        <v>2</v>
      </c>
      <c r="X1365">
        <f t="shared" si="196"/>
        <v>0</v>
      </c>
      <c r="Y1365">
        <f t="shared" si="197"/>
        <v>1</v>
      </c>
    </row>
    <row r="1366" spans="1:25" x14ac:dyDescent="0.3">
      <c r="A1366" t="s">
        <v>2936</v>
      </c>
      <c r="B1366" t="s">
        <v>2937</v>
      </c>
      <c r="C1366" s="1">
        <v>45717</v>
      </c>
      <c r="D1366" s="3">
        <v>0.20131944444444444</v>
      </c>
      <c r="E1366">
        <f t="shared" si="189"/>
        <v>4</v>
      </c>
      <c r="F1366">
        <v>43</v>
      </c>
      <c r="G1366" t="s">
        <v>46</v>
      </c>
      <c r="H1366" t="s">
        <v>38</v>
      </c>
      <c r="I1366" t="s">
        <v>71</v>
      </c>
      <c r="J1366" t="s">
        <v>132</v>
      </c>
      <c r="K1366" t="s">
        <v>114</v>
      </c>
      <c r="L1366">
        <v>139.06</v>
      </c>
      <c r="M1366" t="s">
        <v>33</v>
      </c>
      <c r="N1366">
        <f t="shared" si="190"/>
        <v>0</v>
      </c>
      <c r="O1366" t="s">
        <v>24</v>
      </c>
      <c r="P1366" t="s">
        <v>2938</v>
      </c>
      <c r="Q1366">
        <v>0</v>
      </c>
      <c r="R1366">
        <v>413</v>
      </c>
      <c r="S1366">
        <f t="shared" si="191"/>
        <v>-0.49221982691369376</v>
      </c>
      <c r="T1366">
        <f t="shared" si="192"/>
        <v>0</v>
      </c>
      <c r="U1366">
        <f t="shared" si="193"/>
        <v>1</v>
      </c>
      <c r="V1366">
        <f t="shared" si="194"/>
        <v>0</v>
      </c>
      <c r="W1366">
        <f t="shared" si="195"/>
        <v>2</v>
      </c>
      <c r="X1366">
        <f t="shared" si="196"/>
        <v>0</v>
      </c>
      <c r="Y1366">
        <f t="shared" si="197"/>
        <v>0</v>
      </c>
    </row>
    <row r="1367" spans="1:25" x14ac:dyDescent="0.3">
      <c r="A1367" t="s">
        <v>5456</v>
      </c>
      <c r="B1367" t="s">
        <v>5457</v>
      </c>
      <c r="C1367" s="1">
        <v>45817</v>
      </c>
      <c r="D1367" s="3">
        <v>0.15186342592592592</v>
      </c>
      <c r="E1367">
        <f t="shared" si="189"/>
        <v>3</v>
      </c>
      <c r="F1367">
        <v>31</v>
      </c>
      <c r="G1367" t="s">
        <v>60</v>
      </c>
      <c r="H1367" t="s">
        <v>142</v>
      </c>
      <c r="I1367" t="s">
        <v>71</v>
      </c>
      <c r="J1367" t="s">
        <v>127</v>
      </c>
      <c r="K1367" t="s">
        <v>114</v>
      </c>
      <c r="L1367">
        <v>138.88999999999999</v>
      </c>
      <c r="M1367" t="s">
        <v>42</v>
      </c>
      <c r="N1367">
        <f t="shared" si="190"/>
        <v>0</v>
      </c>
      <c r="O1367" t="s">
        <v>34</v>
      </c>
      <c r="P1367" t="s">
        <v>5458</v>
      </c>
      <c r="Q1367">
        <v>0</v>
      </c>
      <c r="R1367">
        <v>302</v>
      </c>
      <c r="S1367">
        <f t="shared" si="191"/>
        <v>-0.49457335102462968</v>
      </c>
      <c r="T1367">
        <f t="shared" si="192"/>
        <v>0</v>
      </c>
      <c r="U1367">
        <f t="shared" si="193"/>
        <v>1</v>
      </c>
      <c r="V1367">
        <f t="shared" si="194"/>
        <v>0</v>
      </c>
      <c r="W1367">
        <f t="shared" si="195"/>
        <v>2</v>
      </c>
      <c r="X1367">
        <f t="shared" si="196"/>
        <v>0</v>
      </c>
      <c r="Y1367">
        <f t="shared" si="197"/>
        <v>0</v>
      </c>
    </row>
    <row r="1368" spans="1:25" x14ac:dyDescent="0.3">
      <c r="A1368" t="s">
        <v>3515</v>
      </c>
      <c r="B1368" t="s">
        <v>3516</v>
      </c>
      <c r="C1368" s="1">
        <v>45843</v>
      </c>
      <c r="D1368" s="3">
        <v>0.61916666666666664</v>
      </c>
      <c r="E1368">
        <f t="shared" si="189"/>
        <v>14</v>
      </c>
      <c r="F1368">
        <v>57</v>
      </c>
      <c r="G1368" t="s">
        <v>46</v>
      </c>
      <c r="H1368" t="s">
        <v>61</v>
      </c>
      <c r="I1368" t="s">
        <v>71</v>
      </c>
      <c r="J1368" t="s">
        <v>56</v>
      </c>
      <c r="K1368" t="s">
        <v>168</v>
      </c>
      <c r="L1368">
        <v>138.86000000000001</v>
      </c>
      <c r="M1368" t="s">
        <v>115</v>
      </c>
      <c r="N1368">
        <f t="shared" si="190"/>
        <v>0</v>
      </c>
      <c r="O1368" t="s">
        <v>24</v>
      </c>
      <c r="P1368" t="s">
        <v>3517</v>
      </c>
      <c r="Q1368">
        <v>0</v>
      </c>
      <c r="R1368">
        <v>259</v>
      </c>
      <c r="S1368">
        <f t="shared" si="191"/>
        <v>-0.49498867880891206</v>
      </c>
      <c r="T1368">
        <f t="shared" si="192"/>
        <v>0</v>
      </c>
      <c r="U1368">
        <f t="shared" si="193"/>
        <v>0</v>
      </c>
      <c r="V1368">
        <f t="shared" si="194"/>
        <v>1</v>
      </c>
      <c r="W1368">
        <f t="shared" si="195"/>
        <v>1</v>
      </c>
      <c r="X1368">
        <f t="shared" si="196"/>
        <v>0</v>
      </c>
      <c r="Y1368">
        <f t="shared" si="197"/>
        <v>0</v>
      </c>
    </row>
    <row r="1369" spans="1:25" x14ac:dyDescent="0.3">
      <c r="A1369" t="s">
        <v>3281</v>
      </c>
      <c r="B1369" t="s">
        <v>3282</v>
      </c>
      <c r="C1369" s="1">
        <v>45731</v>
      </c>
      <c r="D1369" s="3">
        <v>0.87015046296296295</v>
      </c>
      <c r="E1369">
        <f t="shared" si="189"/>
        <v>20</v>
      </c>
      <c r="F1369">
        <v>59</v>
      </c>
      <c r="G1369" t="s">
        <v>60</v>
      </c>
      <c r="H1369" t="s">
        <v>90</v>
      </c>
      <c r="I1369" t="s">
        <v>39</v>
      </c>
      <c r="J1369" t="s">
        <v>21</v>
      </c>
      <c r="K1369" t="s">
        <v>114</v>
      </c>
      <c r="L1369">
        <v>138.82</v>
      </c>
      <c r="M1369" t="s">
        <v>42</v>
      </c>
      <c r="N1369">
        <f t="shared" si="190"/>
        <v>0</v>
      </c>
      <c r="O1369" t="s">
        <v>86</v>
      </c>
      <c r="P1369" t="s">
        <v>3283</v>
      </c>
      <c r="Q1369">
        <v>0</v>
      </c>
      <c r="R1369">
        <v>424</v>
      </c>
      <c r="S1369">
        <f t="shared" si="191"/>
        <v>-0.49554244918795604</v>
      </c>
      <c r="T1369">
        <f t="shared" si="192"/>
        <v>0</v>
      </c>
      <c r="U1369">
        <f t="shared" si="193"/>
        <v>0</v>
      </c>
      <c r="V1369">
        <f t="shared" si="194"/>
        <v>0</v>
      </c>
      <c r="W1369">
        <f t="shared" si="195"/>
        <v>0</v>
      </c>
      <c r="X1369">
        <f t="shared" si="196"/>
        <v>0</v>
      </c>
      <c r="Y1369">
        <f t="shared" si="197"/>
        <v>0</v>
      </c>
    </row>
    <row r="1370" spans="1:25" x14ac:dyDescent="0.3">
      <c r="A1370" t="s">
        <v>914</v>
      </c>
      <c r="B1370" t="s">
        <v>915</v>
      </c>
      <c r="C1370" s="1">
        <v>45820</v>
      </c>
      <c r="D1370" s="3">
        <v>0.77695601851851848</v>
      </c>
      <c r="E1370">
        <f t="shared" si="189"/>
        <v>18</v>
      </c>
      <c r="F1370">
        <v>36</v>
      </c>
      <c r="G1370" t="s">
        <v>18</v>
      </c>
      <c r="H1370" t="s">
        <v>70</v>
      </c>
      <c r="I1370" t="s">
        <v>119</v>
      </c>
      <c r="J1370" t="s">
        <v>127</v>
      </c>
      <c r="K1370" t="s">
        <v>22</v>
      </c>
      <c r="L1370">
        <v>138.28</v>
      </c>
      <c r="M1370" t="s">
        <v>42</v>
      </c>
      <c r="N1370">
        <f t="shared" si="190"/>
        <v>0</v>
      </c>
      <c r="O1370" t="s">
        <v>51</v>
      </c>
      <c r="P1370" t="s">
        <v>916</v>
      </c>
      <c r="Q1370">
        <v>0</v>
      </c>
      <c r="R1370">
        <v>187</v>
      </c>
      <c r="S1370">
        <f t="shared" si="191"/>
        <v>-0.50301834930504585</v>
      </c>
      <c r="T1370">
        <f t="shared" si="192"/>
        <v>0</v>
      </c>
      <c r="U1370">
        <f t="shared" si="193"/>
        <v>0</v>
      </c>
      <c r="V1370">
        <f t="shared" si="194"/>
        <v>1</v>
      </c>
      <c r="W1370">
        <f t="shared" si="195"/>
        <v>1</v>
      </c>
      <c r="X1370">
        <f t="shared" si="196"/>
        <v>0</v>
      </c>
      <c r="Y1370">
        <f t="shared" si="197"/>
        <v>0</v>
      </c>
    </row>
    <row r="1371" spans="1:25" x14ac:dyDescent="0.3">
      <c r="A1371" t="s">
        <v>2075</v>
      </c>
      <c r="B1371" s="2" t="s">
        <v>2076</v>
      </c>
      <c r="C1371" s="1">
        <v>45754</v>
      </c>
      <c r="D1371" s="3">
        <v>0.57423611111111106</v>
      </c>
      <c r="E1371">
        <f t="shared" si="189"/>
        <v>13</v>
      </c>
      <c r="F1371">
        <v>30</v>
      </c>
      <c r="G1371" t="s">
        <v>18</v>
      </c>
      <c r="H1371" t="s">
        <v>131</v>
      </c>
      <c r="I1371" t="s">
        <v>110</v>
      </c>
      <c r="J1371" t="s">
        <v>40</v>
      </c>
      <c r="K1371" t="s">
        <v>50</v>
      </c>
      <c r="L1371">
        <v>138.26</v>
      </c>
      <c r="M1371" t="s">
        <v>42</v>
      </c>
      <c r="N1371">
        <f t="shared" si="190"/>
        <v>0</v>
      </c>
      <c r="O1371" t="s">
        <v>24</v>
      </c>
      <c r="P1371" t="s">
        <v>2077</v>
      </c>
      <c r="Q1371">
        <v>0</v>
      </c>
      <c r="R1371">
        <v>371</v>
      </c>
      <c r="S1371">
        <f t="shared" si="191"/>
        <v>-0.50329523449456781</v>
      </c>
      <c r="T1371">
        <f t="shared" si="192"/>
        <v>0</v>
      </c>
      <c r="U1371">
        <f t="shared" si="193"/>
        <v>0</v>
      </c>
      <c r="V1371">
        <f t="shared" si="194"/>
        <v>0</v>
      </c>
      <c r="W1371">
        <f t="shared" si="195"/>
        <v>0</v>
      </c>
      <c r="X1371">
        <f t="shared" si="196"/>
        <v>0</v>
      </c>
      <c r="Y1371">
        <f t="shared" si="197"/>
        <v>0</v>
      </c>
    </row>
    <row r="1372" spans="1:25" x14ac:dyDescent="0.3">
      <c r="A1372" t="s">
        <v>812</v>
      </c>
      <c r="B1372" t="s">
        <v>813</v>
      </c>
      <c r="C1372" s="1">
        <v>45735</v>
      </c>
      <c r="D1372" s="3">
        <v>0.55745370370370373</v>
      </c>
      <c r="E1372">
        <f t="shared" si="189"/>
        <v>13</v>
      </c>
      <c r="F1372">
        <v>20</v>
      </c>
      <c r="G1372" t="s">
        <v>46</v>
      </c>
      <c r="H1372" t="s">
        <v>189</v>
      </c>
      <c r="I1372" t="s">
        <v>110</v>
      </c>
      <c r="J1372" t="s">
        <v>127</v>
      </c>
      <c r="K1372" t="s">
        <v>50</v>
      </c>
      <c r="L1372">
        <v>138.22</v>
      </c>
      <c r="M1372" t="s">
        <v>42</v>
      </c>
      <c r="N1372">
        <f t="shared" si="190"/>
        <v>0</v>
      </c>
      <c r="O1372" t="s">
        <v>34</v>
      </c>
      <c r="P1372" t="s">
        <v>814</v>
      </c>
      <c r="Q1372">
        <v>0</v>
      </c>
      <c r="R1372">
        <v>319</v>
      </c>
      <c r="S1372">
        <f t="shared" si="191"/>
        <v>-0.50384900487361139</v>
      </c>
      <c r="T1372">
        <f t="shared" si="192"/>
        <v>0</v>
      </c>
      <c r="U1372">
        <f t="shared" si="193"/>
        <v>0</v>
      </c>
      <c r="V1372">
        <f t="shared" si="194"/>
        <v>0</v>
      </c>
      <c r="W1372">
        <f t="shared" si="195"/>
        <v>0</v>
      </c>
      <c r="X1372">
        <f t="shared" si="196"/>
        <v>0</v>
      </c>
      <c r="Y1372">
        <f t="shared" si="197"/>
        <v>0</v>
      </c>
    </row>
    <row r="1373" spans="1:25" x14ac:dyDescent="0.3">
      <c r="A1373" t="s">
        <v>3374</v>
      </c>
      <c r="B1373" t="s">
        <v>3375</v>
      </c>
      <c r="C1373" s="1">
        <v>45781</v>
      </c>
      <c r="D1373" s="3">
        <v>0.24655092592592592</v>
      </c>
      <c r="E1373">
        <f t="shared" si="189"/>
        <v>5</v>
      </c>
      <c r="F1373">
        <v>46</v>
      </c>
      <c r="G1373" t="s">
        <v>46</v>
      </c>
      <c r="H1373" t="s">
        <v>61</v>
      </c>
      <c r="I1373" t="s">
        <v>48</v>
      </c>
      <c r="J1373" t="s">
        <v>31</v>
      </c>
      <c r="K1373" t="s">
        <v>41</v>
      </c>
      <c r="L1373">
        <v>138.21</v>
      </c>
      <c r="M1373" t="s">
        <v>23</v>
      </c>
      <c r="N1373">
        <f t="shared" si="190"/>
        <v>0</v>
      </c>
      <c r="O1373" t="s">
        <v>34</v>
      </c>
      <c r="P1373" t="s">
        <v>3376</v>
      </c>
      <c r="Q1373">
        <v>0</v>
      </c>
      <c r="R1373">
        <v>223</v>
      </c>
      <c r="S1373">
        <f t="shared" si="191"/>
        <v>-0.50398744746837221</v>
      </c>
      <c r="T1373">
        <f t="shared" si="192"/>
        <v>0</v>
      </c>
      <c r="U1373">
        <f t="shared" si="193"/>
        <v>1</v>
      </c>
      <c r="V1373">
        <f t="shared" si="194"/>
        <v>1</v>
      </c>
      <c r="W1373">
        <f t="shared" si="195"/>
        <v>3</v>
      </c>
      <c r="X1373">
        <f t="shared" si="196"/>
        <v>0</v>
      </c>
      <c r="Y1373">
        <f t="shared" si="197"/>
        <v>0</v>
      </c>
    </row>
    <row r="1374" spans="1:25" x14ac:dyDescent="0.3">
      <c r="A1374" t="s">
        <v>1607</v>
      </c>
      <c r="B1374" t="s">
        <v>1608</v>
      </c>
      <c r="C1374" s="1">
        <v>45800</v>
      </c>
      <c r="D1374" s="3">
        <v>0.64837962962962958</v>
      </c>
      <c r="E1374">
        <f t="shared" si="189"/>
        <v>15</v>
      </c>
      <c r="F1374">
        <v>41</v>
      </c>
      <c r="G1374" t="s">
        <v>46</v>
      </c>
      <c r="H1374" t="s">
        <v>84</v>
      </c>
      <c r="I1374" t="s">
        <v>20</v>
      </c>
      <c r="J1374" t="s">
        <v>31</v>
      </c>
      <c r="K1374" t="s">
        <v>114</v>
      </c>
      <c r="L1374">
        <v>137.91</v>
      </c>
      <c r="M1374" t="s">
        <v>42</v>
      </c>
      <c r="N1374">
        <f t="shared" si="190"/>
        <v>0</v>
      </c>
      <c r="O1374" t="s">
        <v>24</v>
      </c>
      <c r="P1374" t="s">
        <v>1609</v>
      </c>
      <c r="Q1374">
        <v>0</v>
      </c>
      <c r="R1374">
        <v>240</v>
      </c>
      <c r="S1374">
        <f t="shared" si="191"/>
        <v>-0.50814072531120014</v>
      </c>
      <c r="T1374">
        <f t="shared" si="192"/>
        <v>0</v>
      </c>
      <c r="U1374">
        <f t="shared" si="193"/>
        <v>0</v>
      </c>
      <c r="V1374">
        <f t="shared" si="194"/>
        <v>1</v>
      </c>
      <c r="W1374">
        <f t="shared" si="195"/>
        <v>1</v>
      </c>
      <c r="X1374">
        <f t="shared" si="196"/>
        <v>0</v>
      </c>
      <c r="Y1374">
        <f t="shared" si="197"/>
        <v>0</v>
      </c>
    </row>
    <row r="1375" spans="1:25" x14ac:dyDescent="0.3">
      <c r="A1375" t="s">
        <v>2342</v>
      </c>
      <c r="B1375" t="s">
        <v>2343</v>
      </c>
      <c r="C1375" s="1">
        <v>45731</v>
      </c>
      <c r="D1375" s="3">
        <v>0.20931712962962962</v>
      </c>
      <c r="E1375">
        <f t="shared" si="189"/>
        <v>5</v>
      </c>
      <c r="F1375">
        <v>38</v>
      </c>
      <c r="G1375" t="s">
        <v>28</v>
      </c>
      <c r="H1375" t="s">
        <v>185</v>
      </c>
      <c r="I1375" t="s">
        <v>119</v>
      </c>
      <c r="J1375" t="s">
        <v>72</v>
      </c>
      <c r="K1375" t="s">
        <v>32</v>
      </c>
      <c r="L1375">
        <v>137.91</v>
      </c>
      <c r="M1375" t="s">
        <v>33</v>
      </c>
      <c r="N1375">
        <f t="shared" si="190"/>
        <v>0</v>
      </c>
      <c r="O1375" t="s">
        <v>24</v>
      </c>
      <c r="P1375" t="s">
        <v>2344</v>
      </c>
      <c r="Q1375">
        <v>0</v>
      </c>
      <c r="R1375">
        <v>351</v>
      </c>
      <c r="S1375">
        <f t="shared" si="191"/>
        <v>-0.50814072531120014</v>
      </c>
      <c r="T1375">
        <f t="shared" si="192"/>
        <v>0</v>
      </c>
      <c r="U1375">
        <f t="shared" si="193"/>
        <v>1</v>
      </c>
      <c r="V1375">
        <f t="shared" si="194"/>
        <v>0</v>
      </c>
      <c r="W1375">
        <f t="shared" si="195"/>
        <v>2</v>
      </c>
      <c r="X1375">
        <f t="shared" si="196"/>
        <v>0</v>
      </c>
      <c r="Y1375">
        <f t="shared" si="197"/>
        <v>0</v>
      </c>
    </row>
    <row r="1376" spans="1:25" x14ac:dyDescent="0.3">
      <c r="A1376" t="s">
        <v>5066</v>
      </c>
      <c r="B1376" t="s">
        <v>5067</v>
      </c>
      <c r="C1376" s="1">
        <v>45785</v>
      </c>
      <c r="D1376" s="3">
        <v>0.55543981481481486</v>
      </c>
      <c r="E1376">
        <f t="shared" si="189"/>
        <v>13</v>
      </c>
      <c r="F1376">
        <v>30</v>
      </c>
      <c r="G1376" t="s">
        <v>46</v>
      </c>
      <c r="H1376" t="s">
        <v>70</v>
      </c>
      <c r="I1376" t="s">
        <v>39</v>
      </c>
      <c r="J1376" t="s">
        <v>94</v>
      </c>
      <c r="K1376" t="s">
        <v>168</v>
      </c>
      <c r="L1376">
        <v>137.55000000000001</v>
      </c>
      <c r="M1376" t="s">
        <v>42</v>
      </c>
      <c r="N1376">
        <f t="shared" si="190"/>
        <v>0</v>
      </c>
      <c r="O1376" t="s">
        <v>34</v>
      </c>
      <c r="P1376" t="s">
        <v>5068</v>
      </c>
      <c r="Q1376">
        <v>0</v>
      </c>
      <c r="R1376">
        <v>372</v>
      </c>
      <c r="S1376">
        <f t="shared" si="191"/>
        <v>-0.51312465872259316</v>
      </c>
      <c r="T1376">
        <f t="shared" si="192"/>
        <v>0</v>
      </c>
      <c r="U1376">
        <f t="shared" si="193"/>
        <v>0</v>
      </c>
      <c r="V1376">
        <f t="shared" si="194"/>
        <v>0</v>
      </c>
      <c r="W1376">
        <f t="shared" si="195"/>
        <v>0</v>
      </c>
      <c r="X1376">
        <f t="shared" si="196"/>
        <v>0</v>
      </c>
      <c r="Y1376">
        <f t="shared" si="197"/>
        <v>0</v>
      </c>
    </row>
    <row r="1377" spans="1:25" x14ac:dyDescent="0.3">
      <c r="A1377" t="s">
        <v>3368</v>
      </c>
      <c r="B1377" t="s">
        <v>3369</v>
      </c>
      <c r="C1377" s="1">
        <v>45763</v>
      </c>
      <c r="D1377" s="3">
        <v>0.38644675925925925</v>
      </c>
      <c r="E1377">
        <f t="shared" si="189"/>
        <v>9</v>
      </c>
      <c r="F1377">
        <v>32</v>
      </c>
      <c r="G1377" t="s">
        <v>18</v>
      </c>
      <c r="H1377" t="s">
        <v>232</v>
      </c>
      <c r="I1377" t="s">
        <v>85</v>
      </c>
      <c r="J1377" t="s">
        <v>31</v>
      </c>
      <c r="K1377" t="s">
        <v>168</v>
      </c>
      <c r="L1377">
        <v>137.53</v>
      </c>
      <c r="M1377" t="s">
        <v>23</v>
      </c>
      <c r="N1377">
        <f t="shared" si="190"/>
        <v>0</v>
      </c>
      <c r="O1377" t="s">
        <v>34</v>
      </c>
      <c r="P1377" t="s">
        <v>3370</v>
      </c>
      <c r="Q1377">
        <v>0</v>
      </c>
      <c r="R1377">
        <v>361</v>
      </c>
      <c r="S1377">
        <f t="shared" si="191"/>
        <v>-0.51340154391211523</v>
      </c>
      <c r="T1377">
        <f t="shared" si="192"/>
        <v>0</v>
      </c>
      <c r="U1377">
        <f t="shared" si="193"/>
        <v>0</v>
      </c>
      <c r="V1377">
        <f t="shared" si="194"/>
        <v>0</v>
      </c>
      <c r="W1377">
        <f t="shared" si="195"/>
        <v>0</v>
      </c>
      <c r="X1377">
        <f t="shared" si="196"/>
        <v>0</v>
      </c>
      <c r="Y1377">
        <f t="shared" si="197"/>
        <v>0</v>
      </c>
    </row>
    <row r="1378" spans="1:25" x14ac:dyDescent="0.3">
      <c r="A1378" t="s">
        <v>1616</v>
      </c>
      <c r="B1378" t="s">
        <v>1617</v>
      </c>
      <c r="C1378" s="1">
        <v>45767</v>
      </c>
      <c r="D1378" s="3">
        <v>0.14053240740740741</v>
      </c>
      <c r="E1378">
        <f t="shared" si="189"/>
        <v>3</v>
      </c>
      <c r="F1378">
        <v>50</v>
      </c>
      <c r="G1378" t="s">
        <v>46</v>
      </c>
      <c r="H1378" t="s">
        <v>29</v>
      </c>
      <c r="I1378" t="s">
        <v>105</v>
      </c>
      <c r="J1378" t="s">
        <v>127</v>
      </c>
      <c r="K1378" t="s">
        <v>95</v>
      </c>
      <c r="L1378">
        <v>137.52000000000001</v>
      </c>
      <c r="M1378" t="s">
        <v>115</v>
      </c>
      <c r="N1378">
        <f t="shared" si="190"/>
        <v>0</v>
      </c>
      <c r="O1378" t="s">
        <v>86</v>
      </c>
      <c r="P1378" t="s">
        <v>1618</v>
      </c>
      <c r="Q1378">
        <v>0</v>
      </c>
      <c r="R1378">
        <v>463</v>
      </c>
      <c r="S1378">
        <f t="shared" si="191"/>
        <v>-0.51353998650687604</v>
      </c>
      <c r="T1378">
        <f t="shared" si="192"/>
        <v>0</v>
      </c>
      <c r="U1378">
        <f t="shared" si="193"/>
        <v>1</v>
      </c>
      <c r="V1378">
        <f t="shared" si="194"/>
        <v>0</v>
      </c>
      <c r="W1378">
        <f t="shared" si="195"/>
        <v>2</v>
      </c>
      <c r="X1378">
        <f t="shared" si="196"/>
        <v>0</v>
      </c>
      <c r="Y1378">
        <f t="shared" si="197"/>
        <v>0</v>
      </c>
    </row>
    <row r="1379" spans="1:25" x14ac:dyDescent="0.3">
      <c r="A1379" t="s">
        <v>4439</v>
      </c>
      <c r="B1379" t="s">
        <v>4440</v>
      </c>
      <c r="C1379" s="1">
        <v>45762</v>
      </c>
      <c r="D1379" s="3">
        <v>0.53348379629629628</v>
      </c>
      <c r="E1379">
        <f t="shared" si="189"/>
        <v>12</v>
      </c>
      <c r="F1379">
        <v>29</v>
      </c>
      <c r="G1379" t="s">
        <v>18</v>
      </c>
      <c r="H1379" t="s">
        <v>312</v>
      </c>
      <c r="I1379" t="s">
        <v>66</v>
      </c>
      <c r="J1379" t="s">
        <v>127</v>
      </c>
      <c r="K1379" t="s">
        <v>62</v>
      </c>
      <c r="L1379">
        <v>137.51</v>
      </c>
      <c r="M1379" t="s">
        <v>23</v>
      </c>
      <c r="N1379">
        <f t="shared" si="190"/>
        <v>0</v>
      </c>
      <c r="O1379" t="s">
        <v>24</v>
      </c>
      <c r="P1379" t="s">
        <v>4441</v>
      </c>
      <c r="Q1379">
        <v>0</v>
      </c>
      <c r="R1379">
        <v>141</v>
      </c>
      <c r="S1379">
        <f t="shared" si="191"/>
        <v>-0.51367842910163719</v>
      </c>
      <c r="T1379">
        <f t="shared" si="192"/>
        <v>0</v>
      </c>
      <c r="U1379">
        <f t="shared" si="193"/>
        <v>0</v>
      </c>
      <c r="V1379">
        <f t="shared" si="194"/>
        <v>1</v>
      </c>
      <c r="W1379">
        <f t="shared" si="195"/>
        <v>1</v>
      </c>
      <c r="X1379">
        <f t="shared" si="196"/>
        <v>0</v>
      </c>
      <c r="Y1379">
        <f t="shared" si="197"/>
        <v>0</v>
      </c>
    </row>
    <row r="1380" spans="1:25" x14ac:dyDescent="0.3">
      <c r="A1380" t="s">
        <v>2261</v>
      </c>
      <c r="B1380" t="s">
        <v>2262</v>
      </c>
      <c r="C1380" s="1">
        <v>45715</v>
      </c>
      <c r="D1380" s="3">
        <v>0.6852314814814815</v>
      </c>
      <c r="E1380">
        <f t="shared" si="189"/>
        <v>16</v>
      </c>
      <c r="F1380">
        <v>23</v>
      </c>
      <c r="G1380" t="s">
        <v>60</v>
      </c>
      <c r="H1380" t="s">
        <v>232</v>
      </c>
      <c r="I1380" t="s">
        <v>20</v>
      </c>
      <c r="J1380" t="s">
        <v>94</v>
      </c>
      <c r="K1380" t="s">
        <v>101</v>
      </c>
      <c r="L1380">
        <v>137.5</v>
      </c>
      <c r="M1380" t="s">
        <v>42</v>
      </c>
      <c r="N1380">
        <f t="shared" si="190"/>
        <v>0</v>
      </c>
      <c r="O1380" t="s">
        <v>24</v>
      </c>
      <c r="P1380" t="s">
        <v>2263</v>
      </c>
      <c r="Q1380">
        <v>0</v>
      </c>
      <c r="R1380">
        <v>496</v>
      </c>
      <c r="S1380">
        <f t="shared" si="191"/>
        <v>-0.513816871696398</v>
      </c>
      <c r="T1380">
        <f t="shared" si="192"/>
        <v>0</v>
      </c>
      <c r="U1380">
        <f t="shared" si="193"/>
        <v>0</v>
      </c>
      <c r="V1380">
        <f t="shared" si="194"/>
        <v>0</v>
      </c>
      <c r="W1380">
        <f t="shared" si="195"/>
        <v>0</v>
      </c>
      <c r="X1380">
        <f t="shared" si="196"/>
        <v>0</v>
      </c>
      <c r="Y1380">
        <f t="shared" si="197"/>
        <v>0</v>
      </c>
    </row>
    <row r="1381" spans="1:25" x14ac:dyDescent="0.3">
      <c r="A1381" t="s">
        <v>5789</v>
      </c>
      <c r="B1381" t="s">
        <v>5790</v>
      </c>
      <c r="C1381" s="1">
        <v>45781</v>
      </c>
      <c r="D1381" s="3">
        <v>0.20958333333333334</v>
      </c>
      <c r="E1381">
        <f t="shared" si="189"/>
        <v>5</v>
      </c>
      <c r="F1381">
        <v>43</v>
      </c>
      <c r="G1381" t="s">
        <v>46</v>
      </c>
      <c r="H1381" t="s">
        <v>19</v>
      </c>
      <c r="I1381" t="s">
        <v>119</v>
      </c>
      <c r="J1381" t="s">
        <v>127</v>
      </c>
      <c r="K1381" t="s">
        <v>50</v>
      </c>
      <c r="L1381">
        <v>137.5</v>
      </c>
      <c r="M1381" t="s">
        <v>115</v>
      </c>
      <c r="N1381">
        <f t="shared" si="190"/>
        <v>0</v>
      </c>
      <c r="O1381" t="s">
        <v>24</v>
      </c>
      <c r="P1381" t="s">
        <v>5791</v>
      </c>
      <c r="Q1381">
        <v>0</v>
      </c>
      <c r="R1381">
        <v>480</v>
      </c>
      <c r="S1381">
        <f t="shared" si="191"/>
        <v>-0.513816871696398</v>
      </c>
      <c r="T1381">
        <f t="shared" si="192"/>
        <v>0</v>
      </c>
      <c r="U1381">
        <f t="shared" si="193"/>
        <v>1</v>
      </c>
      <c r="V1381">
        <f t="shared" si="194"/>
        <v>0</v>
      </c>
      <c r="W1381">
        <f t="shared" si="195"/>
        <v>2</v>
      </c>
      <c r="X1381">
        <f t="shared" si="196"/>
        <v>0</v>
      </c>
      <c r="Y1381">
        <f t="shared" si="197"/>
        <v>0</v>
      </c>
    </row>
    <row r="1382" spans="1:25" x14ac:dyDescent="0.3">
      <c r="A1382" t="s">
        <v>2921</v>
      </c>
      <c r="B1382" t="s">
        <v>2922</v>
      </c>
      <c r="C1382" s="1">
        <v>45852</v>
      </c>
      <c r="D1382" s="3">
        <v>0.57466435185185183</v>
      </c>
      <c r="E1382">
        <f t="shared" si="189"/>
        <v>13</v>
      </c>
      <c r="F1382">
        <v>36</v>
      </c>
      <c r="G1382" t="s">
        <v>18</v>
      </c>
      <c r="H1382" t="s">
        <v>61</v>
      </c>
      <c r="I1382" t="s">
        <v>30</v>
      </c>
      <c r="J1382" t="s">
        <v>49</v>
      </c>
      <c r="K1382" t="s">
        <v>95</v>
      </c>
      <c r="L1382">
        <v>137.44</v>
      </c>
      <c r="M1382" t="s">
        <v>33</v>
      </c>
      <c r="N1382">
        <f t="shared" si="190"/>
        <v>0</v>
      </c>
      <c r="O1382" t="s">
        <v>34</v>
      </c>
      <c r="P1382" t="s">
        <v>2923</v>
      </c>
      <c r="Q1382">
        <v>0</v>
      </c>
      <c r="R1382">
        <v>243</v>
      </c>
      <c r="S1382">
        <f t="shared" si="191"/>
        <v>-0.51464752726496354</v>
      </c>
      <c r="T1382">
        <f t="shared" si="192"/>
        <v>0</v>
      </c>
      <c r="U1382">
        <f t="shared" si="193"/>
        <v>0</v>
      </c>
      <c r="V1382">
        <f t="shared" si="194"/>
        <v>1</v>
      </c>
      <c r="W1382">
        <f t="shared" si="195"/>
        <v>1</v>
      </c>
      <c r="X1382">
        <f t="shared" si="196"/>
        <v>0</v>
      </c>
      <c r="Y1382">
        <f t="shared" si="197"/>
        <v>0</v>
      </c>
    </row>
    <row r="1383" spans="1:25" x14ac:dyDescent="0.3">
      <c r="A1383" t="s">
        <v>6167</v>
      </c>
      <c r="B1383" t="s">
        <v>6168</v>
      </c>
      <c r="C1383" s="1">
        <v>45719</v>
      </c>
      <c r="D1383" s="3">
        <v>3.6932870370370373E-2</v>
      </c>
      <c r="E1383">
        <f t="shared" si="189"/>
        <v>0</v>
      </c>
      <c r="F1383">
        <v>37</v>
      </c>
      <c r="G1383" t="s">
        <v>46</v>
      </c>
      <c r="H1383" t="s">
        <v>84</v>
      </c>
      <c r="I1383" t="s">
        <v>39</v>
      </c>
      <c r="J1383" t="s">
        <v>94</v>
      </c>
      <c r="K1383" t="s">
        <v>168</v>
      </c>
      <c r="L1383">
        <v>137.16999999999999</v>
      </c>
      <c r="M1383" t="s">
        <v>33</v>
      </c>
      <c r="N1383">
        <f t="shared" si="190"/>
        <v>0</v>
      </c>
      <c r="O1383" t="s">
        <v>51</v>
      </c>
      <c r="P1383" t="s">
        <v>6169</v>
      </c>
      <c r="Q1383">
        <v>0</v>
      </c>
      <c r="R1383">
        <v>116</v>
      </c>
      <c r="S1383">
        <f t="shared" si="191"/>
        <v>-0.5183854773235087</v>
      </c>
      <c r="T1383">
        <f t="shared" si="192"/>
        <v>0</v>
      </c>
      <c r="U1383">
        <f t="shared" si="193"/>
        <v>1</v>
      </c>
      <c r="V1383">
        <f t="shared" si="194"/>
        <v>1</v>
      </c>
      <c r="W1383">
        <f t="shared" si="195"/>
        <v>3</v>
      </c>
      <c r="X1383">
        <f t="shared" si="196"/>
        <v>0</v>
      </c>
      <c r="Y1383">
        <f t="shared" si="197"/>
        <v>0</v>
      </c>
    </row>
    <row r="1384" spans="1:25" x14ac:dyDescent="0.3">
      <c r="A1384" t="s">
        <v>2510</v>
      </c>
      <c r="B1384" t="s">
        <v>2511</v>
      </c>
      <c r="C1384" s="1">
        <v>45764</v>
      </c>
      <c r="D1384" s="3">
        <v>0.80140046296296297</v>
      </c>
      <c r="E1384">
        <f t="shared" si="189"/>
        <v>19</v>
      </c>
      <c r="F1384" s="4">
        <v>41</v>
      </c>
      <c r="G1384" t="s">
        <v>18</v>
      </c>
      <c r="H1384" t="s">
        <v>47</v>
      </c>
      <c r="I1384" t="s">
        <v>20</v>
      </c>
      <c r="J1384" t="s">
        <v>21</v>
      </c>
      <c r="K1384" t="s">
        <v>168</v>
      </c>
      <c r="L1384">
        <v>137.02000000000001</v>
      </c>
      <c r="M1384" t="s">
        <v>115</v>
      </c>
      <c r="N1384">
        <f t="shared" si="190"/>
        <v>0</v>
      </c>
      <c r="O1384" t="s">
        <v>51</v>
      </c>
      <c r="P1384" t="s">
        <v>2512</v>
      </c>
      <c r="Q1384">
        <v>0</v>
      </c>
      <c r="R1384">
        <v>468</v>
      </c>
      <c r="S1384">
        <f t="shared" si="191"/>
        <v>-0.52046211624492222</v>
      </c>
      <c r="T1384">
        <f t="shared" si="192"/>
        <v>0</v>
      </c>
      <c r="U1384">
        <f t="shared" si="193"/>
        <v>0</v>
      </c>
      <c r="V1384">
        <f t="shared" si="194"/>
        <v>0</v>
      </c>
      <c r="W1384">
        <f t="shared" si="195"/>
        <v>0</v>
      </c>
      <c r="X1384">
        <f t="shared" si="196"/>
        <v>0</v>
      </c>
      <c r="Y1384">
        <f t="shared" si="197"/>
        <v>0</v>
      </c>
    </row>
    <row r="1385" spans="1:25" x14ac:dyDescent="0.3">
      <c r="A1385" t="s">
        <v>2666</v>
      </c>
      <c r="B1385" t="s">
        <v>2667</v>
      </c>
      <c r="C1385" s="1">
        <v>45837</v>
      </c>
      <c r="D1385" s="3">
        <v>9.8356481481481475E-2</v>
      </c>
      <c r="E1385">
        <f t="shared" si="189"/>
        <v>2</v>
      </c>
      <c r="F1385">
        <v>45</v>
      </c>
      <c r="G1385" t="s">
        <v>60</v>
      </c>
      <c r="H1385" t="s">
        <v>47</v>
      </c>
      <c r="I1385" t="s">
        <v>119</v>
      </c>
      <c r="J1385" t="s">
        <v>56</v>
      </c>
      <c r="K1385" t="s">
        <v>41</v>
      </c>
      <c r="L1385">
        <v>136.91999999999999</v>
      </c>
      <c r="M1385" t="s">
        <v>23</v>
      </c>
      <c r="N1385">
        <f t="shared" si="190"/>
        <v>0</v>
      </c>
      <c r="O1385" t="s">
        <v>86</v>
      </c>
      <c r="P1385" t="s">
        <v>2668</v>
      </c>
      <c r="Q1385">
        <v>0</v>
      </c>
      <c r="R1385">
        <v>496</v>
      </c>
      <c r="S1385">
        <f t="shared" si="191"/>
        <v>-0.52184654219253179</v>
      </c>
      <c r="T1385">
        <f t="shared" si="192"/>
        <v>0</v>
      </c>
      <c r="U1385">
        <f t="shared" si="193"/>
        <v>1</v>
      </c>
      <c r="V1385">
        <f t="shared" si="194"/>
        <v>0</v>
      </c>
      <c r="W1385">
        <f t="shared" si="195"/>
        <v>2</v>
      </c>
      <c r="X1385">
        <f t="shared" si="196"/>
        <v>0</v>
      </c>
      <c r="Y1385">
        <f t="shared" si="197"/>
        <v>0</v>
      </c>
    </row>
    <row r="1386" spans="1:25" x14ac:dyDescent="0.3">
      <c r="A1386" t="s">
        <v>3251</v>
      </c>
      <c r="B1386" t="s">
        <v>3252</v>
      </c>
      <c r="C1386" s="1">
        <v>45775</v>
      </c>
      <c r="D1386" s="3">
        <v>0.50085648148148143</v>
      </c>
      <c r="E1386">
        <f t="shared" si="189"/>
        <v>12</v>
      </c>
      <c r="F1386">
        <v>52</v>
      </c>
      <c r="G1386" t="s">
        <v>60</v>
      </c>
      <c r="H1386" t="s">
        <v>61</v>
      </c>
      <c r="I1386" t="s">
        <v>39</v>
      </c>
      <c r="J1386" t="s">
        <v>31</v>
      </c>
      <c r="K1386" t="s">
        <v>62</v>
      </c>
      <c r="L1386">
        <v>136.91</v>
      </c>
      <c r="M1386" t="s">
        <v>23</v>
      </c>
      <c r="N1386">
        <f t="shared" si="190"/>
        <v>0</v>
      </c>
      <c r="O1386" t="s">
        <v>51</v>
      </c>
      <c r="P1386" t="s">
        <v>3253</v>
      </c>
      <c r="Q1386">
        <v>0</v>
      </c>
      <c r="R1386">
        <v>472</v>
      </c>
      <c r="S1386">
        <f t="shared" si="191"/>
        <v>-0.52198498478729261</v>
      </c>
      <c r="T1386">
        <f t="shared" si="192"/>
        <v>0</v>
      </c>
      <c r="U1386">
        <f t="shared" si="193"/>
        <v>0</v>
      </c>
      <c r="V1386">
        <f t="shared" si="194"/>
        <v>0</v>
      </c>
      <c r="W1386">
        <f t="shared" si="195"/>
        <v>0</v>
      </c>
      <c r="X1386">
        <f t="shared" si="196"/>
        <v>0</v>
      </c>
      <c r="Y1386">
        <f t="shared" si="197"/>
        <v>0</v>
      </c>
    </row>
    <row r="1387" spans="1:25" x14ac:dyDescent="0.3">
      <c r="A1387" t="s">
        <v>5282</v>
      </c>
      <c r="B1387" t="s">
        <v>5283</v>
      </c>
      <c r="C1387" s="1">
        <v>45869</v>
      </c>
      <c r="D1387" s="3">
        <v>0.52952546296296299</v>
      </c>
      <c r="E1387">
        <f t="shared" si="189"/>
        <v>12</v>
      </c>
      <c r="F1387">
        <v>49</v>
      </c>
      <c r="G1387" t="s">
        <v>18</v>
      </c>
      <c r="H1387" t="s">
        <v>47</v>
      </c>
      <c r="I1387" t="s">
        <v>85</v>
      </c>
      <c r="J1387" t="s">
        <v>56</v>
      </c>
      <c r="K1387" t="s">
        <v>50</v>
      </c>
      <c r="L1387">
        <v>136.88999999999999</v>
      </c>
      <c r="M1387" t="s">
        <v>115</v>
      </c>
      <c r="N1387">
        <f t="shared" si="190"/>
        <v>0</v>
      </c>
      <c r="O1387" t="s">
        <v>51</v>
      </c>
      <c r="P1387" t="s">
        <v>5284</v>
      </c>
      <c r="Q1387">
        <v>0</v>
      </c>
      <c r="R1387">
        <v>125</v>
      </c>
      <c r="S1387">
        <f t="shared" si="191"/>
        <v>-0.52226186997681456</v>
      </c>
      <c r="T1387">
        <f t="shared" si="192"/>
        <v>0</v>
      </c>
      <c r="U1387">
        <f t="shared" si="193"/>
        <v>0</v>
      </c>
      <c r="V1387">
        <f t="shared" si="194"/>
        <v>1</v>
      </c>
      <c r="W1387">
        <f t="shared" si="195"/>
        <v>1</v>
      </c>
      <c r="X1387">
        <f t="shared" si="196"/>
        <v>0</v>
      </c>
      <c r="Y1387">
        <f t="shared" si="197"/>
        <v>0</v>
      </c>
    </row>
    <row r="1388" spans="1:25" x14ac:dyDescent="0.3">
      <c r="A1388" t="s">
        <v>5015</v>
      </c>
      <c r="B1388" t="s">
        <v>5016</v>
      </c>
      <c r="C1388" s="1">
        <v>45853</v>
      </c>
      <c r="D1388" s="3">
        <v>0.31513888888888891</v>
      </c>
      <c r="E1388">
        <f t="shared" si="189"/>
        <v>7</v>
      </c>
      <c r="F1388">
        <v>22</v>
      </c>
      <c r="G1388" t="s">
        <v>99</v>
      </c>
      <c r="H1388" t="s">
        <v>90</v>
      </c>
      <c r="I1388" t="s">
        <v>30</v>
      </c>
      <c r="J1388" t="s">
        <v>72</v>
      </c>
      <c r="K1388" t="s">
        <v>101</v>
      </c>
      <c r="L1388">
        <v>136.66</v>
      </c>
      <c r="M1388" t="s">
        <v>33</v>
      </c>
      <c r="N1388">
        <f t="shared" si="190"/>
        <v>0</v>
      </c>
      <c r="O1388" t="s">
        <v>34</v>
      </c>
      <c r="P1388" t="s">
        <v>5017</v>
      </c>
      <c r="Q1388">
        <v>0</v>
      </c>
      <c r="R1388">
        <v>352</v>
      </c>
      <c r="S1388">
        <f t="shared" si="191"/>
        <v>-0.52544604965631569</v>
      </c>
      <c r="T1388">
        <f t="shared" si="192"/>
        <v>0</v>
      </c>
      <c r="U1388">
        <f t="shared" si="193"/>
        <v>0</v>
      </c>
      <c r="V1388">
        <f t="shared" si="194"/>
        <v>0</v>
      </c>
      <c r="W1388">
        <f t="shared" si="195"/>
        <v>0</v>
      </c>
      <c r="X1388">
        <f t="shared" si="196"/>
        <v>0</v>
      </c>
      <c r="Y1388">
        <f t="shared" si="197"/>
        <v>0</v>
      </c>
    </row>
    <row r="1389" spans="1:25" x14ac:dyDescent="0.3">
      <c r="A1389" t="s">
        <v>2513</v>
      </c>
      <c r="B1389" t="s">
        <v>2514</v>
      </c>
      <c r="C1389" s="1">
        <v>45724</v>
      </c>
      <c r="D1389" s="3">
        <v>0.6875</v>
      </c>
      <c r="E1389">
        <f t="shared" si="189"/>
        <v>16</v>
      </c>
      <c r="F1389">
        <v>35</v>
      </c>
      <c r="G1389" t="s">
        <v>28</v>
      </c>
      <c r="H1389" t="s">
        <v>312</v>
      </c>
      <c r="I1389" t="s">
        <v>39</v>
      </c>
      <c r="J1389" t="s">
        <v>94</v>
      </c>
      <c r="K1389" t="s">
        <v>32</v>
      </c>
      <c r="L1389">
        <v>136.63</v>
      </c>
      <c r="M1389" t="s">
        <v>6479</v>
      </c>
      <c r="N1389">
        <f t="shared" si="190"/>
        <v>1</v>
      </c>
      <c r="O1389" t="s">
        <v>24</v>
      </c>
      <c r="P1389" t="s">
        <v>2515</v>
      </c>
      <c r="Q1389">
        <v>0</v>
      </c>
      <c r="R1389">
        <v>327</v>
      </c>
      <c r="S1389">
        <f t="shared" si="191"/>
        <v>-0.52586137744059847</v>
      </c>
      <c r="T1389">
        <f t="shared" si="192"/>
        <v>0</v>
      </c>
      <c r="U1389">
        <f t="shared" si="193"/>
        <v>0</v>
      </c>
      <c r="V1389">
        <f t="shared" si="194"/>
        <v>0</v>
      </c>
      <c r="W1389">
        <f t="shared" si="195"/>
        <v>2</v>
      </c>
      <c r="X1389">
        <f t="shared" si="196"/>
        <v>0</v>
      </c>
      <c r="Y1389">
        <f t="shared" si="197"/>
        <v>1</v>
      </c>
    </row>
    <row r="1390" spans="1:25" x14ac:dyDescent="0.3">
      <c r="A1390" t="s">
        <v>5114</v>
      </c>
      <c r="B1390" t="s">
        <v>5115</v>
      </c>
      <c r="C1390" s="1">
        <v>45712</v>
      </c>
      <c r="D1390" s="3">
        <v>0.23664351851851853</v>
      </c>
      <c r="E1390">
        <f t="shared" si="189"/>
        <v>5</v>
      </c>
      <c r="F1390">
        <v>36</v>
      </c>
      <c r="G1390" t="s">
        <v>60</v>
      </c>
      <c r="H1390" t="s">
        <v>38</v>
      </c>
      <c r="I1390" t="s">
        <v>85</v>
      </c>
      <c r="J1390" t="s">
        <v>94</v>
      </c>
      <c r="K1390" t="s">
        <v>101</v>
      </c>
      <c r="L1390">
        <v>136.36000000000001</v>
      </c>
      <c r="M1390" t="s">
        <v>42</v>
      </c>
      <c r="N1390">
        <f t="shared" si="190"/>
        <v>0</v>
      </c>
      <c r="O1390" t="s">
        <v>24</v>
      </c>
      <c r="P1390" t="s">
        <v>5116</v>
      </c>
      <c r="Q1390">
        <v>0</v>
      </c>
      <c r="R1390">
        <v>258</v>
      </c>
      <c r="S1390">
        <f t="shared" si="191"/>
        <v>-0.52959932749914318</v>
      </c>
      <c r="T1390">
        <f t="shared" si="192"/>
        <v>0</v>
      </c>
      <c r="U1390">
        <f t="shared" si="193"/>
        <v>1</v>
      </c>
      <c r="V1390">
        <f t="shared" si="194"/>
        <v>1</v>
      </c>
      <c r="W1390">
        <f t="shared" si="195"/>
        <v>3</v>
      </c>
      <c r="X1390">
        <f t="shared" si="196"/>
        <v>0</v>
      </c>
      <c r="Y1390">
        <f t="shared" si="197"/>
        <v>0</v>
      </c>
    </row>
    <row r="1391" spans="1:25" x14ac:dyDescent="0.3">
      <c r="A1391" t="s">
        <v>5054</v>
      </c>
      <c r="B1391" t="s">
        <v>5055</v>
      </c>
      <c r="C1391" s="1">
        <v>45756</v>
      </c>
      <c r="D1391" s="3">
        <v>0.19824074074074075</v>
      </c>
      <c r="E1391">
        <f t="shared" si="189"/>
        <v>4</v>
      </c>
      <c r="F1391">
        <v>65</v>
      </c>
      <c r="G1391" t="s">
        <v>18</v>
      </c>
      <c r="H1391" t="s">
        <v>175</v>
      </c>
      <c r="I1391" t="s">
        <v>85</v>
      </c>
      <c r="J1391" t="s">
        <v>132</v>
      </c>
      <c r="K1391" t="s">
        <v>62</v>
      </c>
      <c r="L1391">
        <v>136.32</v>
      </c>
      <c r="M1391" t="s">
        <v>42</v>
      </c>
      <c r="N1391">
        <f t="shared" si="190"/>
        <v>0</v>
      </c>
      <c r="O1391" t="s">
        <v>34</v>
      </c>
      <c r="P1391" t="s">
        <v>5056</v>
      </c>
      <c r="Q1391">
        <v>0</v>
      </c>
      <c r="R1391">
        <v>409</v>
      </c>
      <c r="S1391">
        <f t="shared" si="191"/>
        <v>-0.53015309787818721</v>
      </c>
      <c r="T1391">
        <f t="shared" si="192"/>
        <v>0</v>
      </c>
      <c r="U1391">
        <f t="shared" si="193"/>
        <v>1</v>
      </c>
      <c r="V1391">
        <f t="shared" si="194"/>
        <v>0</v>
      </c>
      <c r="W1391">
        <f t="shared" si="195"/>
        <v>2</v>
      </c>
      <c r="X1391">
        <f t="shared" si="196"/>
        <v>0</v>
      </c>
      <c r="Y1391">
        <f t="shared" si="197"/>
        <v>0</v>
      </c>
    </row>
    <row r="1392" spans="1:25" x14ac:dyDescent="0.3">
      <c r="A1392" t="s">
        <v>3464</v>
      </c>
      <c r="B1392" s="2" t="s">
        <v>3465</v>
      </c>
      <c r="C1392" s="1">
        <v>45808</v>
      </c>
      <c r="D1392" s="3">
        <v>0.76020833333333337</v>
      </c>
      <c r="E1392">
        <f t="shared" si="189"/>
        <v>18</v>
      </c>
      <c r="F1392">
        <v>46</v>
      </c>
      <c r="G1392" t="s">
        <v>18</v>
      </c>
      <c r="H1392" t="s">
        <v>84</v>
      </c>
      <c r="I1392" t="s">
        <v>30</v>
      </c>
      <c r="J1392" t="s">
        <v>31</v>
      </c>
      <c r="K1392" t="s">
        <v>32</v>
      </c>
      <c r="L1392">
        <v>135.93</v>
      </c>
      <c r="M1392" t="s">
        <v>6479</v>
      </c>
      <c r="N1392">
        <f t="shared" si="190"/>
        <v>1</v>
      </c>
      <c r="O1392" t="s">
        <v>51</v>
      </c>
      <c r="P1392" t="s">
        <v>3466</v>
      </c>
      <c r="Q1392">
        <v>0</v>
      </c>
      <c r="R1392">
        <v>231</v>
      </c>
      <c r="S1392">
        <f t="shared" si="191"/>
        <v>-0.535552359073863</v>
      </c>
      <c r="T1392">
        <f t="shared" si="192"/>
        <v>0</v>
      </c>
      <c r="U1392">
        <f t="shared" si="193"/>
        <v>0</v>
      </c>
      <c r="V1392">
        <f t="shared" si="194"/>
        <v>1</v>
      </c>
      <c r="W1392">
        <f t="shared" si="195"/>
        <v>3</v>
      </c>
      <c r="X1392">
        <f t="shared" si="196"/>
        <v>0</v>
      </c>
      <c r="Y1392">
        <f t="shared" si="197"/>
        <v>1</v>
      </c>
    </row>
    <row r="1393" spans="1:25" x14ac:dyDescent="0.3">
      <c r="A1393" t="s">
        <v>58</v>
      </c>
      <c r="B1393" t="s">
        <v>59</v>
      </c>
      <c r="C1393" s="1">
        <v>45759</v>
      </c>
      <c r="D1393" s="3">
        <v>0.61671296296296296</v>
      </c>
      <c r="E1393">
        <f t="shared" si="189"/>
        <v>14</v>
      </c>
      <c r="F1393">
        <v>38</v>
      </c>
      <c r="G1393" t="s">
        <v>60</v>
      </c>
      <c r="H1393" t="s">
        <v>61</v>
      </c>
      <c r="I1393" t="s">
        <v>39</v>
      </c>
      <c r="J1393" t="s">
        <v>40</v>
      </c>
      <c r="K1393" t="s">
        <v>62</v>
      </c>
      <c r="L1393">
        <v>135.91</v>
      </c>
      <c r="M1393" t="s">
        <v>23</v>
      </c>
      <c r="N1393">
        <f t="shared" si="190"/>
        <v>0</v>
      </c>
      <c r="O1393" t="s">
        <v>34</v>
      </c>
      <c r="P1393" t="s">
        <v>63</v>
      </c>
      <c r="Q1393">
        <v>0</v>
      </c>
      <c r="R1393">
        <v>244</v>
      </c>
      <c r="S1393">
        <f t="shared" si="191"/>
        <v>-0.53582924426338507</v>
      </c>
      <c r="T1393">
        <f t="shared" si="192"/>
        <v>0</v>
      </c>
      <c r="U1393">
        <f t="shared" si="193"/>
        <v>0</v>
      </c>
      <c r="V1393">
        <f t="shared" si="194"/>
        <v>1</v>
      </c>
      <c r="W1393">
        <f t="shared" si="195"/>
        <v>1</v>
      </c>
      <c r="X1393">
        <f t="shared" si="196"/>
        <v>0</v>
      </c>
      <c r="Y1393">
        <f t="shared" si="197"/>
        <v>0</v>
      </c>
    </row>
    <row r="1394" spans="1:25" x14ac:dyDescent="0.3">
      <c r="A1394" t="s">
        <v>479</v>
      </c>
      <c r="B1394" t="s">
        <v>480</v>
      </c>
      <c r="C1394" s="1">
        <v>45730</v>
      </c>
      <c r="D1394" s="3">
        <v>0.57237268518518514</v>
      </c>
      <c r="E1394">
        <f t="shared" si="189"/>
        <v>13</v>
      </c>
      <c r="F1394">
        <v>64</v>
      </c>
      <c r="G1394" t="s">
        <v>99</v>
      </c>
      <c r="H1394" t="s">
        <v>142</v>
      </c>
      <c r="I1394" t="s">
        <v>66</v>
      </c>
      <c r="J1394" t="s">
        <v>72</v>
      </c>
      <c r="K1394" t="s">
        <v>114</v>
      </c>
      <c r="L1394">
        <v>135.86000000000001</v>
      </c>
      <c r="M1394" t="s">
        <v>33</v>
      </c>
      <c r="N1394">
        <f t="shared" si="190"/>
        <v>0</v>
      </c>
      <c r="O1394" t="s">
        <v>24</v>
      </c>
      <c r="P1394" t="s">
        <v>481</v>
      </c>
      <c r="Q1394">
        <v>0</v>
      </c>
      <c r="R1394">
        <v>492</v>
      </c>
      <c r="S1394">
        <f t="shared" si="191"/>
        <v>-0.53652145723718947</v>
      </c>
      <c r="T1394">
        <f t="shared" si="192"/>
        <v>0</v>
      </c>
      <c r="U1394">
        <f t="shared" si="193"/>
        <v>0</v>
      </c>
      <c r="V1394">
        <f t="shared" si="194"/>
        <v>0</v>
      </c>
      <c r="W1394">
        <f t="shared" si="195"/>
        <v>0</v>
      </c>
      <c r="X1394">
        <f t="shared" si="196"/>
        <v>0</v>
      </c>
      <c r="Y1394">
        <f t="shared" si="197"/>
        <v>0</v>
      </c>
    </row>
    <row r="1395" spans="1:25" x14ac:dyDescent="0.3">
      <c r="A1395" t="s">
        <v>2495</v>
      </c>
      <c r="B1395" t="s">
        <v>2496</v>
      </c>
      <c r="C1395" s="1">
        <v>45821</v>
      </c>
      <c r="D1395" s="3">
        <v>0.75666666666666671</v>
      </c>
      <c r="E1395">
        <f t="shared" si="189"/>
        <v>18</v>
      </c>
      <c r="F1395">
        <v>28</v>
      </c>
      <c r="G1395" t="s">
        <v>18</v>
      </c>
      <c r="H1395" t="s">
        <v>80</v>
      </c>
      <c r="I1395" t="s">
        <v>39</v>
      </c>
      <c r="J1395" t="s">
        <v>56</v>
      </c>
      <c r="K1395" t="s">
        <v>22</v>
      </c>
      <c r="L1395">
        <v>135.84</v>
      </c>
      <c r="M1395" t="s">
        <v>42</v>
      </c>
      <c r="N1395">
        <f t="shared" si="190"/>
        <v>0</v>
      </c>
      <c r="O1395" t="s">
        <v>51</v>
      </c>
      <c r="P1395" t="s">
        <v>2497</v>
      </c>
      <c r="Q1395">
        <v>0</v>
      </c>
      <c r="R1395">
        <v>477</v>
      </c>
      <c r="S1395">
        <f t="shared" si="191"/>
        <v>-0.53679834242671143</v>
      </c>
      <c r="T1395">
        <f t="shared" si="192"/>
        <v>0</v>
      </c>
      <c r="U1395">
        <f t="shared" si="193"/>
        <v>0</v>
      </c>
      <c r="V1395">
        <f t="shared" si="194"/>
        <v>0</v>
      </c>
      <c r="W1395">
        <f t="shared" si="195"/>
        <v>0</v>
      </c>
      <c r="X1395">
        <f t="shared" si="196"/>
        <v>0</v>
      </c>
      <c r="Y1395">
        <f t="shared" si="197"/>
        <v>0</v>
      </c>
    </row>
    <row r="1396" spans="1:25" x14ac:dyDescent="0.3">
      <c r="A1396" t="s">
        <v>1247</v>
      </c>
      <c r="B1396" t="s">
        <v>1248</v>
      </c>
      <c r="C1396" s="1">
        <v>45778</v>
      </c>
      <c r="D1396" s="3">
        <v>0.76083333333333336</v>
      </c>
      <c r="E1396">
        <f t="shared" si="189"/>
        <v>18</v>
      </c>
      <c r="F1396">
        <v>43</v>
      </c>
      <c r="G1396" t="s">
        <v>46</v>
      </c>
      <c r="H1396" t="s">
        <v>167</v>
      </c>
      <c r="I1396" t="s">
        <v>119</v>
      </c>
      <c r="J1396" t="s">
        <v>132</v>
      </c>
      <c r="K1396" t="s">
        <v>101</v>
      </c>
      <c r="L1396">
        <v>135.75</v>
      </c>
      <c r="M1396" t="s">
        <v>42</v>
      </c>
      <c r="N1396">
        <f t="shared" si="190"/>
        <v>0</v>
      </c>
      <c r="O1396" t="s">
        <v>34</v>
      </c>
      <c r="P1396" t="s">
        <v>1249</v>
      </c>
      <c r="Q1396">
        <v>0</v>
      </c>
      <c r="R1396">
        <v>239</v>
      </c>
      <c r="S1396">
        <f t="shared" si="191"/>
        <v>-0.53804432577955974</v>
      </c>
      <c r="T1396">
        <f t="shared" si="192"/>
        <v>0</v>
      </c>
      <c r="U1396">
        <f t="shared" si="193"/>
        <v>0</v>
      </c>
      <c r="V1396">
        <f t="shared" si="194"/>
        <v>1</v>
      </c>
      <c r="W1396">
        <f t="shared" si="195"/>
        <v>1</v>
      </c>
      <c r="X1396">
        <f t="shared" si="196"/>
        <v>0</v>
      </c>
      <c r="Y1396">
        <f t="shared" si="197"/>
        <v>0</v>
      </c>
    </row>
    <row r="1397" spans="1:25" x14ac:dyDescent="0.3">
      <c r="A1397" t="s">
        <v>4217</v>
      </c>
      <c r="B1397" t="s">
        <v>4218</v>
      </c>
      <c r="C1397" s="1">
        <v>45762</v>
      </c>
      <c r="D1397" s="3">
        <v>0.73346064814814815</v>
      </c>
      <c r="E1397">
        <f t="shared" ref="E1397:E1460" si="198">HOUR(D1397)</f>
        <v>17</v>
      </c>
      <c r="F1397">
        <v>55</v>
      </c>
      <c r="G1397" t="s">
        <v>18</v>
      </c>
      <c r="H1397" t="s">
        <v>70</v>
      </c>
      <c r="I1397" t="s">
        <v>39</v>
      </c>
      <c r="J1397" t="s">
        <v>94</v>
      </c>
      <c r="K1397" t="s">
        <v>62</v>
      </c>
      <c r="L1397">
        <v>135.72</v>
      </c>
      <c r="M1397" t="s">
        <v>42</v>
      </c>
      <c r="N1397">
        <f t="shared" si="190"/>
        <v>0</v>
      </c>
      <c r="O1397" t="s">
        <v>51</v>
      </c>
      <c r="P1397" t="s">
        <v>4219</v>
      </c>
      <c r="Q1397">
        <v>0</v>
      </c>
      <c r="R1397">
        <v>193</v>
      </c>
      <c r="S1397">
        <f t="shared" si="191"/>
        <v>-0.53845965356384262</v>
      </c>
      <c r="T1397">
        <f t="shared" si="192"/>
        <v>0</v>
      </c>
      <c r="U1397">
        <f t="shared" si="193"/>
        <v>0</v>
      </c>
      <c r="V1397">
        <f t="shared" si="194"/>
        <v>1</v>
      </c>
      <c r="W1397">
        <f t="shared" si="195"/>
        <v>1</v>
      </c>
      <c r="X1397">
        <f t="shared" si="196"/>
        <v>0</v>
      </c>
      <c r="Y1397">
        <f t="shared" si="197"/>
        <v>0</v>
      </c>
    </row>
    <row r="1398" spans="1:25" x14ac:dyDescent="0.3">
      <c r="A1398" t="s">
        <v>6329</v>
      </c>
      <c r="B1398" t="s">
        <v>6330</v>
      </c>
      <c r="C1398" s="1">
        <v>45829</v>
      </c>
      <c r="D1398" s="3">
        <v>0.81634259259259256</v>
      </c>
      <c r="E1398">
        <f t="shared" si="198"/>
        <v>19</v>
      </c>
      <c r="F1398">
        <v>26</v>
      </c>
      <c r="G1398" t="s">
        <v>46</v>
      </c>
      <c r="H1398" t="s">
        <v>175</v>
      </c>
      <c r="I1398" t="s">
        <v>48</v>
      </c>
      <c r="J1398" t="s">
        <v>132</v>
      </c>
      <c r="K1398" t="s">
        <v>50</v>
      </c>
      <c r="L1398">
        <v>135.43</v>
      </c>
      <c r="M1398" t="s">
        <v>23</v>
      </c>
      <c r="N1398">
        <f t="shared" si="190"/>
        <v>0</v>
      </c>
      <c r="O1398" t="s">
        <v>51</v>
      </c>
      <c r="P1398" t="s">
        <v>6331</v>
      </c>
      <c r="Q1398">
        <v>0</v>
      </c>
      <c r="R1398">
        <v>409</v>
      </c>
      <c r="S1398">
        <f t="shared" si="191"/>
        <v>-0.54247448881190929</v>
      </c>
      <c r="T1398">
        <f t="shared" si="192"/>
        <v>0</v>
      </c>
      <c r="U1398">
        <f t="shared" si="193"/>
        <v>0</v>
      </c>
      <c r="V1398">
        <f t="shared" si="194"/>
        <v>0</v>
      </c>
      <c r="W1398">
        <f t="shared" si="195"/>
        <v>0</v>
      </c>
      <c r="X1398">
        <f t="shared" si="196"/>
        <v>0</v>
      </c>
      <c r="Y1398">
        <f t="shared" si="197"/>
        <v>0</v>
      </c>
    </row>
    <row r="1399" spans="1:25" x14ac:dyDescent="0.3">
      <c r="A1399" t="s">
        <v>5057</v>
      </c>
      <c r="B1399" t="s">
        <v>5058</v>
      </c>
      <c r="C1399" s="1">
        <v>45737</v>
      </c>
      <c r="D1399" s="3">
        <v>0.95849537037037036</v>
      </c>
      <c r="E1399">
        <f t="shared" si="198"/>
        <v>23</v>
      </c>
      <c r="F1399">
        <v>30</v>
      </c>
      <c r="G1399" t="s">
        <v>18</v>
      </c>
      <c r="H1399" t="s">
        <v>70</v>
      </c>
      <c r="I1399" t="s">
        <v>20</v>
      </c>
      <c r="J1399" t="s">
        <v>40</v>
      </c>
      <c r="K1399" t="s">
        <v>168</v>
      </c>
      <c r="L1399">
        <v>134.97</v>
      </c>
      <c r="M1399" t="s">
        <v>23</v>
      </c>
      <c r="N1399">
        <f t="shared" si="190"/>
        <v>0</v>
      </c>
      <c r="O1399" t="s">
        <v>51</v>
      </c>
      <c r="P1399" t="s">
        <v>5059</v>
      </c>
      <c r="Q1399">
        <v>0</v>
      </c>
      <c r="R1399">
        <v>359</v>
      </c>
      <c r="S1399">
        <f t="shared" si="191"/>
        <v>-0.54884284817091189</v>
      </c>
      <c r="T1399">
        <f t="shared" si="192"/>
        <v>0</v>
      </c>
      <c r="U1399">
        <f t="shared" si="193"/>
        <v>0</v>
      </c>
      <c r="V1399">
        <f t="shared" si="194"/>
        <v>0</v>
      </c>
      <c r="W1399">
        <f t="shared" si="195"/>
        <v>0</v>
      </c>
      <c r="X1399">
        <f t="shared" si="196"/>
        <v>0</v>
      </c>
      <c r="Y1399">
        <f t="shared" si="197"/>
        <v>0</v>
      </c>
    </row>
    <row r="1400" spans="1:25" x14ac:dyDescent="0.3">
      <c r="A1400" t="s">
        <v>2768</v>
      </c>
      <c r="B1400" t="s">
        <v>2769</v>
      </c>
      <c r="C1400" s="1">
        <v>45705</v>
      </c>
      <c r="D1400" s="3">
        <v>7.8750000000000001E-2</v>
      </c>
      <c r="E1400">
        <f t="shared" si="198"/>
        <v>1</v>
      </c>
      <c r="F1400">
        <v>43</v>
      </c>
      <c r="G1400" t="s">
        <v>46</v>
      </c>
      <c r="H1400" t="s">
        <v>232</v>
      </c>
      <c r="I1400" t="s">
        <v>20</v>
      </c>
      <c r="J1400" t="s">
        <v>21</v>
      </c>
      <c r="K1400" t="s">
        <v>32</v>
      </c>
      <c r="L1400">
        <v>134.96</v>
      </c>
      <c r="M1400" t="s">
        <v>42</v>
      </c>
      <c r="N1400">
        <f t="shared" si="190"/>
        <v>0</v>
      </c>
      <c r="O1400" t="s">
        <v>86</v>
      </c>
      <c r="P1400" t="s">
        <v>2770</v>
      </c>
      <c r="Q1400">
        <v>0</v>
      </c>
      <c r="R1400">
        <v>130</v>
      </c>
      <c r="S1400">
        <f t="shared" si="191"/>
        <v>-0.5489812907656727</v>
      </c>
      <c r="T1400">
        <f t="shared" si="192"/>
        <v>0</v>
      </c>
      <c r="U1400">
        <f t="shared" si="193"/>
        <v>1</v>
      </c>
      <c r="V1400">
        <f t="shared" si="194"/>
        <v>1</v>
      </c>
      <c r="W1400">
        <f t="shared" si="195"/>
        <v>3</v>
      </c>
      <c r="X1400">
        <f t="shared" si="196"/>
        <v>0</v>
      </c>
      <c r="Y1400">
        <f t="shared" si="197"/>
        <v>0</v>
      </c>
    </row>
    <row r="1401" spans="1:25" x14ac:dyDescent="0.3">
      <c r="A1401" t="s">
        <v>3386</v>
      </c>
      <c r="B1401" t="s">
        <v>3387</v>
      </c>
      <c r="C1401" s="1">
        <v>45806</v>
      </c>
      <c r="D1401" s="3">
        <v>4.2291666666666665E-2</v>
      </c>
      <c r="E1401">
        <f t="shared" si="198"/>
        <v>1</v>
      </c>
      <c r="F1401">
        <v>44</v>
      </c>
      <c r="G1401" t="s">
        <v>28</v>
      </c>
      <c r="H1401" t="s">
        <v>239</v>
      </c>
      <c r="I1401" t="s">
        <v>20</v>
      </c>
      <c r="J1401" t="s">
        <v>72</v>
      </c>
      <c r="K1401" t="s">
        <v>101</v>
      </c>
      <c r="L1401">
        <v>134.77000000000001</v>
      </c>
      <c r="M1401" t="s">
        <v>23</v>
      </c>
      <c r="N1401">
        <f t="shared" si="190"/>
        <v>0</v>
      </c>
      <c r="O1401" t="s">
        <v>51</v>
      </c>
      <c r="P1401" t="s">
        <v>3388</v>
      </c>
      <c r="Q1401">
        <v>0</v>
      </c>
      <c r="R1401">
        <v>234</v>
      </c>
      <c r="S1401">
        <f t="shared" si="191"/>
        <v>-0.55161170006613025</v>
      </c>
      <c r="T1401">
        <f t="shared" si="192"/>
        <v>0</v>
      </c>
      <c r="U1401">
        <f t="shared" si="193"/>
        <v>1</v>
      </c>
      <c r="V1401">
        <f t="shared" si="194"/>
        <v>1</v>
      </c>
      <c r="W1401">
        <f t="shared" si="195"/>
        <v>3</v>
      </c>
      <c r="X1401">
        <f t="shared" si="196"/>
        <v>0</v>
      </c>
      <c r="Y1401">
        <f t="shared" si="197"/>
        <v>0</v>
      </c>
    </row>
    <row r="1402" spans="1:25" x14ac:dyDescent="0.3">
      <c r="A1402" t="s">
        <v>5630</v>
      </c>
      <c r="B1402" t="s">
        <v>5631</v>
      </c>
      <c r="C1402" s="1">
        <v>45873</v>
      </c>
      <c r="D1402" s="3">
        <v>0.89793981481481477</v>
      </c>
      <c r="E1402">
        <f t="shared" si="198"/>
        <v>21</v>
      </c>
      <c r="F1402">
        <v>26</v>
      </c>
      <c r="G1402" t="s">
        <v>99</v>
      </c>
      <c r="H1402" t="s">
        <v>312</v>
      </c>
      <c r="I1402" t="s">
        <v>119</v>
      </c>
      <c r="J1402" t="s">
        <v>72</v>
      </c>
      <c r="K1402" t="s">
        <v>95</v>
      </c>
      <c r="L1402">
        <v>134.75</v>
      </c>
      <c r="M1402" t="s">
        <v>33</v>
      </c>
      <c r="N1402">
        <f t="shared" si="190"/>
        <v>0</v>
      </c>
      <c r="O1402" t="s">
        <v>34</v>
      </c>
      <c r="P1402" t="s">
        <v>5632</v>
      </c>
      <c r="Q1402">
        <v>0</v>
      </c>
      <c r="R1402">
        <v>306</v>
      </c>
      <c r="S1402">
        <f t="shared" si="191"/>
        <v>-0.55188858525565221</v>
      </c>
      <c r="T1402">
        <f t="shared" si="192"/>
        <v>0</v>
      </c>
      <c r="U1402">
        <f t="shared" si="193"/>
        <v>0</v>
      </c>
      <c r="V1402">
        <f t="shared" si="194"/>
        <v>0</v>
      </c>
      <c r="W1402">
        <f t="shared" si="195"/>
        <v>0</v>
      </c>
      <c r="X1402">
        <f t="shared" si="196"/>
        <v>0</v>
      </c>
      <c r="Y1402">
        <f t="shared" si="197"/>
        <v>0</v>
      </c>
    </row>
    <row r="1403" spans="1:25" x14ac:dyDescent="0.3">
      <c r="A1403" t="s">
        <v>2285</v>
      </c>
      <c r="B1403" t="s">
        <v>2286</v>
      </c>
      <c r="C1403" s="1">
        <v>45765</v>
      </c>
      <c r="D1403" s="3">
        <v>0.45822916666666669</v>
      </c>
      <c r="E1403">
        <f t="shared" si="198"/>
        <v>10</v>
      </c>
      <c r="F1403">
        <v>62</v>
      </c>
      <c r="G1403" t="s">
        <v>28</v>
      </c>
      <c r="H1403" t="s">
        <v>232</v>
      </c>
      <c r="I1403" t="s">
        <v>119</v>
      </c>
      <c r="J1403" t="s">
        <v>127</v>
      </c>
      <c r="K1403" t="s">
        <v>168</v>
      </c>
      <c r="L1403">
        <v>134.69</v>
      </c>
      <c r="M1403" t="s">
        <v>115</v>
      </c>
      <c r="N1403">
        <f t="shared" si="190"/>
        <v>0</v>
      </c>
      <c r="O1403" t="s">
        <v>51</v>
      </c>
      <c r="P1403" t="s">
        <v>2287</v>
      </c>
      <c r="Q1403">
        <v>0</v>
      </c>
      <c r="R1403">
        <v>227</v>
      </c>
      <c r="S1403">
        <f t="shared" si="191"/>
        <v>-0.55271924082421786</v>
      </c>
      <c r="T1403">
        <f t="shared" si="192"/>
        <v>0</v>
      </c>
      <c r="U1403">
        <f t="shared" si="193"/>
        <v>0</v>
      </c>
      <c r="V1403">
        <f t="shared" si="194"/>
        <v>1</v>
      </c>
      <c r="W1403">
        <f t="shared" si="195"/>
        <v>1</v>
      </c>
      <c r="X1403">
        <f t="shared" si="196"/>
        <v>0</v>
      </c>
      <c r="Y1403">
        <f t="shared" si="197"/>
        <v>0</v>
      </c>
    </row>
    <row r="1404" spans="1:25" x14ac:dyDescent="0.3">
      <c r="A1404" t="s">
        <v>2555</v>
      </c>
      <c r="B1404" t="s">
        <v>2556</v>
      </c>
      <c r="C1404" s="1">
        <v>45826</v>
      </c>
      <c r="D1404" s="3">
        <v>0.42482638888888891</v>
      </c>
      <c r="E1404">
        <f t="shared" si="198"/>
        <v>10</v>
      </c>
      <c r="F1404">
        <v>21</v>
      </c>
      <c r="G1404" t="s">
        <v>60</v>
      </c>
      <c r="H1404" t="s">
        <v>100</v>
      </c>
      <c r="I1404" t="s">
        <v>105</v>
      </c>
      <c r="J1404" t="s">
        <v>127</v>
      </c>
      <c r="K1404" t="s">
        <v>41</v>
      </c>
      <c r="L1404">
        <v>134.54</v>
      </c>
      <c r="M1404" t="s">
        <v>42</v>
      </c>
      <c r="N1404">
        <f t="shared" si="190"/>
        <v>0</v>
      </c>
      <c r="O1404" t="s">
        <v>34</v>
      </c>
      <c r="P1404" t="s">
        <v>2557</v>
      </c>
      <c r="Q1404">
        <v>1</v>
      </c>
      <c r="R1404">
        <v>111</v>
      </c>
      <c r="S1404">
        <f t="shared" si="191"/>
        <v>-0.55479587974563183</v>
      </c>
      <c r="T1404">
        <f t="shared" si="192"/>
        <v>0</v>
      </c>
      <c r="U1404">
        <f t="shared" si="193"/>
        <v>0</v>
      </c>
      <c r="V1404">
        <f t="shared" si="194"/>
        <v>1</v>
      </c>
      <c r="W1404">
        <f t="shared" si="195"/>
        <v>1</v>
      </c>
      <c r="X1404">
        <f t="shared" si="196"/>
        <v>0</v>
      </c>
      <c r="Y1404">
        <f t="shared" si="197"/>
        <v>0</v>
      </c>
    </row>
    <row r="1405" spans="1:25" x14ac:dyDescent="0.3">
      <c r="A1405" t="s">
        <v>3437</v>
      </c>
      <c r="B1405" t="s">
        <v>3438</v>
      </c>
      <c r="C1405" s="1">
        <v>45843</v>
      </c>
      <c r="D1405" s="3">
        <v>0.91450231481481481</v>
      </c>
      <c r="E1405">
        <f t="shared" si="198"/>
        <v>21</v>
      </c>
      <c r="F1405">
        <v>48</v>
      </c>
      <c r="G1405" t="s">
        <v>18</v>
      </c>
      <c r="H1405" t="s">
        <v>80</v>
      </c>
      <c r="I1405" t="s">
        <v>85</v>
      </c>
      <c r="J1405" t="s">
        <v>49</v>
      </c>
      <c r="K1405" t="s">
        <v>62</v>
      </c>
      <c r="L1405">
        <v>134.41</v>
      </c>
      <c r="M1405" t="s">
        <v>115</v>
      </c>
      <c r="N1405">
        <f t="shared" si="190"/>
        <v>0</v>
      </c>
      <c r="O1405" t="s">
        <v>86</v>
      </c>
      <c r="P1405" t="s">
        <v>3439</v>
      </c>
      <c r="Q1405">
        <v>0</v>
      </c>
      <c r="R1405">
        <v>263</v>
      </c>
      <c r="S1405">
        <f t="shared" si="191"/>
        <v>-0.55659563347752372</v>
      </c>
      <c r="T1405">
        <f t="shared" si="192"/>
        <v>0</v>
      </c>
      <c r="U1405">
        <f t="shared" si="193"/>
        <v>0</v>
      </c>
      <c r="V1405">
        <f t="shared" si="194"/>
        <v>1</v>
      </c>
      <c r="W1405">
        <f t="shared" si="195"/>
        <v>1</v>
      </c>
      <c r="X1405">
        <f t="shared" si="196"/>
        <v>0</v>
      </c>
      <c r="Y1405">
        <f t="shared" si="197"/>
        <v>0</v>
      </c>
    </row>
    <row r="1406" spans="1:25" x14ac:dyDescent="0.3">
      <c r="A1406" t="s">
        <v>3449</v>
      </c>
      <c r="B1406" t="s">
        <v>3450</v>
      </c>
      <c r="C1406" s="1">
        <v>45855</v>
      </c>
      <c r="D1406" s="3">
        <v>0.58476851851851852</v>
      </c>
      <c r="E1406">
        <f t="shared" si="198"/>
        <v>14</v>
      </c>
      <c r="F1406" s="4">
        <v>41</v>
      </c>
      <c r="G1406" t="s">
        <v>46</v>
      </c>
      <c r="H1406" t="s">
        <v>19</v>
      </c>
      <c r="I1406" t="s">
        <v>20</v>
      </c>
      <c r="J1406" t="s">
        <v>72</v>
      </c>
      <c r="K1406" t="s">
        <v>101</v>
      </c>
      <c r="L1406">
        <v>134.35</v>
      </c>
      <c r="M1406" t="s">
        <v>115</v>
      </c>
      <c r="N1406">
        <f t="shared" si="190"/>
        <v>0</v>
      </c>
      <c r="O1406" t="s">
        <v>51</v>
      </c>
      <c r="P1406" t="s">
        <v>3451</v>
      </c>
      <c r="Q1406">
        <v>0</v>
      </c>
      <c r="R1406">
        <v>378</v>
      </c>
      <c r="S1406">
        <f t="shared" si="191"/>
        <v>-0.55742628904608926</v>
      </c>
      <c r="T1406">
        <f t="shared" si="192"/>
        <v>0</v>
      </c>
      <c r="U1406">
        <f t="shared" si="193"/>
        <v>0</v>
      </c>
      <c r="V1406">
        <f t="shared" si="194"/>
        <v>0</v>
      </c>
      <c r="W1406">
        <f t="shared" si="195"/>
        <v>0</v>
      </c>
      <c r="X1406">
        <f t="shared" si="196"/>
        <v>0</v>
      </c>
      <c r="Y1406">
        <f t="shared" si="197"/>
        <v>0</v>
      </c>
    </row>
    <row r="1407" spans="1:25" x14ac:dyDescent="0.3">
      <c r="A1407" t="s">
        <v>3344</v>
      </c>
      <c r="B1407" t="s">
        <v>3345</v>
      </c>
      <c r="C1407" s="1">
        <v>45775</v>
      </c>
      <c r="D1407" s="3">
        <v>0.42708333333333331</v>
      </c>
      <c r="E1407">
        <f t="shared" si="198"/>
        <v>10</v>
      </c>
      <c r="F1407">
        <v>57</v>
      </c>
      <c r="G1407" t="s">
        <v>60</v>
      </c>
      <c r="H1407" t="s">
        <v>84</v>
      </c>
      <c r="I1407" t="s">
        <v>30</v>
      </c>
      <c r="J1407" t="s">
        <v>72</v>
      </c>
      <c r="K1407" t="s">
        <v>95</v>
      </c>
      <c r="L1407">
        <v>134.16999999999999</v>
      </c>
      <c r="M1407" t="s">
        <v>115</v>
      </c>
      <c r="N1407">
        <f t="shared" si="190"/>
        <v>0</v>
      </c>
      <c r="O1407" t="s">
        <v>34</v>
      </c>
      <c r="P1407" t="s">
        <v>3346</v>
      </c>
      <c r="Q1407">
        <v>0</v>
      </c>
      <c r="R1407">
        <v>312</v>
      </c>
      <c r="S1407">
        <f t="shared" si="191"/>
        <v>-0.559918255751786</v>
      </c>
      <c r="T1407">
        <f t="shared" si="192"/>
        <v>0</v>
      </c>
      <c r="U1407">
        <f t="shared" si="193"/>
        <v>0</v>
      </c>
      <c r="V1407">
        <f t="shared" si="194"/>
        <v>0</v>
      </c>
      <c r="W1407">
        <f t="shared" si="195"/>
        <v>0</v>
      </c>
      <c r="X1407">
        <f t="shared" si="196"/>
        <v>0</v>
      </c>
      <c r="Y1407">
        <f t="shared" si="197"/>
        <v>0</v>
      </c>
    </row>
    <row r="1408" spans="1:25" x14ac:dyDescent="0.3">
      <c r="A1408" t="s">
        <v>5438</v>
      </c>
      <c r="B1408" t="s">
        <v>5439</v>
      </c>
      <c r="C1408" s="1">
        <v>45784</v>
      </c>
      <c r="D1408" s="3">
        <v>0.10862268518518518</v>
      </c>
      <c r="E1408">
        <f t="shared" si="198"/>
        <v>2</v>
      </c>
      <c r="F1408">
        <v>46</v>
      </c>
      <c r="G1408" t="s">
        <v>99</v>
      </c>
      <c r="H1408" t="s">
        <v>142</v>
      </c>
      <c r="I1408" t="s">
        <v>20</v>
      </c>
      <c r="J1408" t="s">
        <v>127</v>
      </c>
      <c r="K1408" t="s">
        <v>101</v>
      </c>
      <c r="L1408">
        <v>134.03</v>
      </c>
      <c r="M1408" t="s">
        <v>33</v>
      </c>
      <c r="N1408">
        <f t="shared" si="190"/>
        <v>0</v>
      </c>
      <c r="O1408" t="s">
        <v>86</v>
      </c>
      <c r="P1408" t="s">
        <v>5440</v>
      </c>
      <c r="Q1408">
        <v>0</v>
      </c>
      <c r="R1408">
        <v>407</v>
      </c>
      <c r="S1408">
        <f t="shared" si="191"/>
        <v>-0.56185645207843882</v>
      </c>
      <c r="T1408">
        <f t="shared" si="192"/>
        <v>0</v>
      </c>
      <c r="U1408">
        <f t="shared" si="193"/>
        <v>1</v>
      </c>
      <c r="V1408">
        <f t="shared" si="194"/>
        <v>0</v>
      </c>
      <c r="W1408">
        <f t="shared" si="195"/>
        <v>2</v>
      </c>
      <c r="X1408">
        <f t="shared" si="196"/>
        <v>0</v>
      </c>
      <c r="Y1408">
        <f t="shared" si="197"/>
        <v>0</v>
      </c>
    </row>
    <row r="1409" spans="1:25" x14ac:dyDescent="0.3">
      <c r="A1409" t="s">
        <v>374</v>
      </c>
      <c r="B1409" t="s">
        <v>375</v>
      </c>
      <c r="C1409" s="1">
        <v>45785</v>
      </c>
      <c r="D1409" s="3">
        <v>0.72087962962962959</v>
      </c>
      <c r="E1409">
        <f t="shared" si="198"/>
        <v>17</v>
      </c>
      <c r="F1409">
        <v>41</v>
      </c>
      <c r="G1409" t="s">
        <v>18</v>
      </c>
      <c r="H1409" t="s">
        <v>29</v>
      </c>
      <c r="I1409" t="s">
        <v>110</v>
      </c>
      <c r="J1409" t="s">
        <v>132</v>
      </c>
      <c r="K1409" t="s">
        <v>41</v>
      </c>
      <c r="L1409">
        <v>133.94999999999999</v>
      </c>
      <c r="M1409" t="s">
        <v>42</v>
      </c>
      <c r="N1409">
        <f t="shared" si="190"/>
        <v>0</v>
      </c>
      <c r="O1409" t="s">
        <v>86</v>
      </c>
      <c r="P1409" t="s">
        <v>376</v>
      </c>
      <c r="Q1409">
        <v>0</v>
      </c>
      <c r="R1409">
        <v>66</v>
      </c>
      <c r="S1409">
        <f t="shared" si="191"/>
        <v>-0.56296399283652632</v>
      </c>
      <c r="T1409">
        <f t="shared" si="192"/>
        <v>0</v>
      </c>
      <c r="U1409">
        <f t="shared" si="193"/>
        <v>0</v>
      </c>
      <c r="V1409">
        <f t="shared" si="194"/>
        <v>1</v>
      </c>
      <c r="W1409">
        <f t="shared" si="195"/>
        <v>1</v>
      </c>
      <c r="X1409">
        <f t="shared" si="196"/>
        <v>0</v>
      </c>
      <c r="Y1409">
        <f t="shared" si="197"/>
        <v>0</v>
      </c>
    </row>
    <row r="1410" spans="1:25" x14ac:dyDescent="0.3">
      <c r="A1410" t="s">
        <v>575</v>
      </c>
      <c r="B1410" t="s">
        <v>576</v>
      </c>
      <c r="C1410" s="1">
        <v>45831</v>
      </c>
      <c r="D1410" s="3">
        <v>0.98420138888888886</v>
      </c>
      <c r="E1410">
        <f t="shared" si="198"/>
        <v>23</v>
      </c>
      <c r="F1410">
        <v>45</v>
      </c>
      <c r="G1410" t="s">
        <v>99</v>
      </c>
      <c r="H1410" t="s">
        <v>232</v>
      </c>
      <c r="I1410" t="s">
        <v>66</v>
      </c>
      <c r="J1410" t="s">
        <v>127</v>
      </c>
      <c r="K1410" t="s">
        <v>62</v>
      </c>
      <c r="L1410">
        <v>133.88999999999999</v>
      </c>
      <c r="M1410" t="s">
        <v>33</v>
      </c>
      <c r="N1410">
        <f t="shared" ref="N1410:N1473" si="199">IF(M1410="Unknown",1,0)</f>
        <v>0</v>
      </c>
      <c r="O1410" t="s">
        <v>86</v>
      </c>
      <c r="P1410" t="s">
        <v>577</v>
      </c>
      <c r="Q1410">
        <v>0</v>
      </c>
      <c r="R1410">
        <v>450</v>
      </c>
      <c r="S1410">
        <f t="shared" ref="S1410:S1473" si="200">(L1410-$P$2137)/$P$2138</f>
        <v>-0.56379464840509197</v>
      </c>
      <c r="T1410">
        <f t="shared" ref="T1410:T1473" si="201">IF(ABS(Z1410)&gt;3,1,0)</f>
        <v>0</v>
      </c>
      <c r="U1410">
        <f t="shared" ref="U1410:U1473" si="202">IF(AND(E1410&gt;=0,E1410&lt;=5),1,0)</f>
        <v>0</v>
      </c>
      <c r="V1410">
        <f t="shared" ref="V1410:V1473" si="203">IF(R1410&lt;AVERAGE($R:$R),1,0)</f>
        <v>0</v>
      </c>
      <c r="W1410">
        <f t="shared" ref="W1410:W1473" si="204">T1410*3+U1410*2+V1410*1+N1410*2</f>
        <v>0</v>
      </c>
      <c r="X1410">
        <f t="shared" ref="X1410:X1473" si="205">IF(W1410&gt;=5,1,0)</f>
        <v>0</v>
      </c>
      <c r="Y1410">
        <f t="shared" ref="Y1410:Y1473" si="206">IF(M1410="Unknown",1,0)</f>
        <v>0</v>
      </c>
    </row>
    <row r="1411" spans="1:25" x14ac:dyDescent="0.3">
      <c r="A1411" t="s">
        <v>3446</v>
      </c>
      <c r="B1411" t="s">
        <v>3447</v>
      </c>
      <c r="C1411" s="1">
        <v>45750</v>
      </c>
      <c r="D1411" s="3">
        <v>0.16418981481481482</v>
      </c>
      <c r="E1411">
        <f t="shared" si="198"/>
        <v>3</v>
      </c>
      <c r="F1411" s="4">
        <v>41</v>
      </c>
      <c r="G1411" t="s">
        <v>18</v>
      </c>
      <c r="H1411" t="s">
        <v>142</v>
      </c>
      <c r="I1411" t="s">
        <v>85</v>
      </c>
      <c r="J1411" t="s">
        <v>21</v>
      </c>
      <c r="K1411" t="s">
        <v>168</v>
      </c>
      <c r="L1411">
        <v>133.88</v>
      </c>
      <c r="M1411" t="s">
        <v>42</v>
      </c>
      <c r="N1411">
        <f t="shared" si="199"/>
        <v>0</v>
      </c>
      <c r="O1411" t="s">
        <v>24</v>
      </c>
      <c r="P1411" t="s">
        <v>3448</v>
      </c>
      <c r="Q1411">
        <v>0</v>
      </c>
      <c r="R1411">
        <v>338</v>
      </c>
      <c r="S1411">
        <f t="shared" si="200"/>
        <v>-0.56393309099985278</v>
      </c>
      <c r="T1411">
        <f t="shared" si="201"/>
        <v>0</v>
      </c>
      <c r="U1411">
        <f t="shared" si="202"/>
        <v>1</v>
      </c>
      <c r="V1411">
        <f t="shared" si="203"/>
        <v>0</v>
      </c>
      <c r="W1411">
        <f t="shared" si="204"/>
        <v>2</v>
      </c>
      <c r="X1411">
        <f t="shared" si="205"/>
        <v>0</v>
      </c>
      <c r="Y1411">
        <f t="shared" si="206"/>
        <v>0</v>
      </c>
    </row>
    <row r="1412" spans="1:25" x14ac:dyDescent="0.3">
      <c r="A1412" t="s">
        <v>3527</v>
      </c>
      <c r="B1412" t="s">
        <v>3528</v>
      </c>
      <c r="C1412" s="1">
        <v>45784</v>
      </c>
      <c r="D1412" s="3">
        <v>0.83409722222222227</v>
      </c>
      <c r="E1412">
        <f t="shared" si="198"/>
        <v>20</v>
      </c>
      <c r="F1412">
        <v>40</v>
      </c>
      <c r="G1412" t="s">
        <v>18</v>
      </c>
      <c r="H1412" t="s">
        <v>29</v>
      </c>
      <c r="I1412" t="s">
        <v>71</v>
      </c>
      <c r="J1412" t="s">
        <v>40</v>
      </c>
      <c r="K1412" t="s">
        <v>41</v>
      </c>
      <c r="L1412">
        <v>133.78</v>
      </c>
      <c r="M1412" t="s">
        <v>115</v>
      </c>
      <c r="N1412">
        <f t="shared" si="199"/>
        <v>0</v>
      </c>
      <c r="O1412" t="s">
        <v>86</v>
      </c>
      <c r="P1412" t="s">
        <v>3529</v>
      </c>
      <c r="Q1412">
        <v>0</v>
      </c>
      <c r="R1412">
        <v>207</v>
      </c>
      <c r="S1412">
        <f t="shared" si="200"/>
        <v>-0.56531751694746191</v>
      </c>
      <c r="T1412">
        <f t="shared" si="201"/>
        <v>0</v>
      </c>
      <c r="U1412">
        <f t="shared" si="202"/>
        <v>0</v>
      </c>
      <c r="V1412">
        <f t="shared" si="203"/>
        <v>1</v>
      </c>
      <c r="W1412">
        <f t="shared" si="204"/>
        <v>1</v>
      </c>
      <c r="X1412">
        <f t="shared" si="205"/>
        <v>0</v>
      </c>
      <c r="Y1412">
        <f t="shared" si="206"/>
        <v>0</v>
      </c>
    </row>
    <row r="1413" spans="1:25" x14ac:dyDescent="0.3">
      <c r="A1413" t="s">
        <v>554</v>
      </c>
      <c r="B1413" t="s">
        <v>555</v>
      </c>
      <c r="C1413" s="1">
        <v>45813</v>
      </c>
      <c r="D1413" s="3">
        <v>0.40630787037037036</v>
      </c>
      <c r="E1413">
        <f t="shared" si="198"/>
        <v>9</v>
      </c>
      <c r="F1413">
        <v>60</v>
      </c>
      <c r="G1413" t="s">
        <v>18</v>
      </c>
      <c r="H1413" t="s">
        <v>100</v>
      </c>
      <c r="I1413" t="s">
        <v>39</v>
      </c>
      <c r="J1413" t="s">
        <v>72</v>
      </c>
      <c r="K1413" t="s">
        <v>50</v>
      </c>
      <c r="L1413">
        <v>133.68</v>
      </c>
      <c r="M1413" t="s">
        <v>115</v>
      </c>
      <c r="N1413">
        <f t="shared" si="199"/>
        <v>0</v>
      </c>
      <c r="O1413" t="s">
        <v>86</v>
      </c>
      <c r="P1413" t="s">
        <v>556</v>
      </c>
      <c r="Q1413">
        <v>0</v>
      </c>
      <c r="R1413">
        <v>331</v>
      </c>
      <c r="S1413">
        <f t="shared" si="200"/>
        <v>-0.56670194289507103</v>
      </c>
      <c r="T1413">
        <f t="shared" si="201"/>
        <v>0</v>
      </c>
      <c r="U1413">
        <f t="shared" si="202"/>
        <v>0</v>
      </c>
      <c r="V1413">
        <f t="shared" si="203"/>
        <v>0</v>
      </c>
      <c r="W1413">
        <f t="shared" si="204"/>
        <v>0</v>
      </c>
      <c r="X1413">
        <f t="shared" si="205"/>
        <v>0</v>
      </c>
      <c r="Y1413">
        <f t="shared" si="206"/>
        <v>0</v>
      </c>
    </row>
    <row r="1414" spans="1:25" x14ac:dyDescent="0.3">
      <c r="A1414" t="s">
        <v>446</v>
      </c>
      <c r="B1414" t="s">
        <v>447</v>
      </c>
      <c r="C1414" s="1">
        <v>45851</v>
      </c>
      <c r="D1414" s="3">
        <v>0.83446759259259262</v>
      </c>
      <c r="E1414">
        <f t="shared" si="198"/>
        <v>20</v>
      </c>
      <c r="F1414">
        <v>41</v>
      </c>
      <c r="G1414" t="s">
        <v>28</v>
      </c>
      <c r="H1414" t="s">
        <v>80</v>
      </c>
      <c r="I1414" t="s">
        <v>105</v>
      </c>
      <c r="J1414" t="s">
        <v>76</v>
      </c>
      <c r="K1414" t="s">
        <v>62</v>
      </c>
      <c r="L1414">
        <v>133.63</v>
      </c>
      <c r="M1414" t="s">
        <v>42</v>
      </c>
      <c r="N1414">
        <f t="shared" si="199"/>
        <v>0</v>
      </c>
      <c r="O1414" t="s">
        <v>34</v>
      </c>
      <c r="P1414" t="s">
        <v>448</v>
      </c>
      <c r="Q1414">
        <v>0</v>
      </c>
      <c r="R1414">
        <v>276</v>
      </c>
      <c r="S1414">
        <f t="shared" si="200"/>
        <v>-0.56739415586887587</v>
      </c>
      <c r="T1414">
        <f t="shared" si="201"/>
        <v>0</v>
      </c>
      <c r="U1414">
        <f t="shared" si="202"/>
        <v>0</v>
      </c>
      <c r="V1414">
        <f t="shared" si="203"/>
        <v>0</v>
      </c>
      <c r="W1414">
        <f t="shared" si="204"/>
        <v>0</v>
      </c>
      <c r="X1414">
        <f t="shared" si="205"/>
        <v>0</v>
      </c>
      <c r="Y1414">
        <f t="shared" si="206"/>
        <v>0</v>
      </c>
    </row>
    <row r="1415" spans="1:25" x14ac:dyDescent="0.3">
      <c r="A1415" t="s">
        <v>5138</v>
      </c>
      <c r="B1415" t="s">
        <v>5139</v>
      </c>
      <c r="C1415" s="1">
        <v>45848</v>
      </c>
      <c r="D1415" s="3">
        <v>7.5231481481481477E-3</v>
      </c>
      <c r="E1415">
        <f t="shared" si="198"/>
        <v>0</v>
      </c>
      <c r="F1415">
        <v>60</v>
      </c>
      <c r="G1415" t="s">
        <v>60</v>
      </c>
      <c r="H1415" t="s">
        <v>312</v>
      </c>
      <c r="I1415" t="s">
        <v>39</v>
      </c>
      <c r="J1415" t="s">
        <v>72</v>
      </c>
      <c r="K1415" t="s">
        <v>41</v>
      </c>
      <c r="L1415">
        <v>133.55000000000001</v>
      </c>
      <c r="M1415" t="s">
        <v>33</v>
      </c>
      <c r="N1415">
        <f t="shared" si="199"/>
        <v>0</v>
      </c>
      <c r="O1415" t="s">
        <v>86</v>
      </c>
      <c r="P1415" t="s">
        <v>5140</v>
      </c>
      <c r="Q1415">
        <v>0</v>
      </c>
      <c r="R1415">
        <v>175</v>
      </c>
      <c r="S1415">
        <f t="shared" si="200"/>
        <v>-0.56850169662696304</v>
      </c>
      <c r="T1415">
        <f t="shared" si="201"/>
        <v>0</v>
      </c>
      <c r="U1415">
        <f t="shared" si="202"/>
        <v>1</v>
      </c>
      <c r="V1415">
        <f t="shared" si="203"/>
        <v>1</v>
      </c>
      <c r="W1415">
        <f t="shared" si="204"/>
        <v>3</v>
      </c>
      <c r="X1415">
        <f t="shared" si="205"/>
        <v>0</v>
      </c>
      <c r="Y1415">
        <f t="shared" si="206"/>
        <v>0</v>
      </c>
    </row>
    <row r="1416" spans="1:25" x14ac:dyDescent="0.3">
      <c r="A1416" t="s">
        <v>6362</v>
      </c>
      <c r="B1416" t="s">
        <v>6363</v>
      </c>
      <c r="C1416" s="1">
        <v>45748</v>
      </c>
      <c r="D1416" s="3">
        <v>0.55915509259259255</v>
      </c>
      <c r="E1416">
        <f t="shared" si="198"/>
        <v>13</v>
      </c>
      <c r="F1416">
        <v>31</v>
      </c>
      <c r="G1416" t="s">
        <v>46</v>
      </c>
      <c r="H1416" t="s">
        <v>167</v>
      </c>
      <c r="I1416" t="s">
        <v>85</v>
      </c>
      <c r="J1416" t="s">
        <v>132</v>
      </c>
      <c r="K1416" t="s">
        <v>168</v>
      </c>
      <c r="L1416">
        <v>133.27000000000001</v>
      </c>
      <c r="M1416" t="s">
        <v>33</v>
      </c>
      <c r="N1416">
        <f t="shared" si="199"/>
        <v>0</v>
      </c>
      <c r="O1416" t="s">
        <v>24</v>
      </c>
      <c r="P1416" t="s">
        <v>6364</v>
      </c>
      <c r="Q1416">
        <v>0</v>
      </c>
      <c r="R1416">
        <v>79</v>
      </c>
      <c r="S1416">
        <f t="shared" si="200"/>
        <v>-0.5723780892802689</v>
      </c>
      <c r="T1416">
        <f t="shared" si="201"/>
        <v>0</v>
      </c>
      <c r="U1416">
        <f t="shared" si="202"/>
        <v>0</v>
      </c>
      <c r="V1416">
        <f t="shared" si="203"/>
        <v>1</v>
      </c>
      <c r="W1416">
        <f t="shared" si="204"/>
        <v>1</v>
      </c>
      <c r="X1416">
        <f t="shared" si="205"/>
        <v>0</v>
      </c>
      <c r="Y1416">
        <f t="shared" si="206"/>
        <v>0</v>
      </c>
    </row>
    <row r="1417" spans="1:25" x14ac:dyDescent="0.3">
      <c r="A1417" t="s">
        <v>3881</v>
      </c>
      <c r="B1417" t="s">
        <v>3882</v>
      </c>
      <c r="C1417" s="1">
        <v>45825</v>
      </c>
      <c r="D1417" s="3">
        <v>0.14185185185185184</v>
      </c>
      <c r="E1417">
        <f t="shared" si="198"/>
        <v>3</v>
      </c>
      <c r="F1417">
        <v>27</v>
      </c>
      <c r="G1417" t="s">
        <v>6479</v>
      </c>
      <c r="H1417" t="s">
        <v>19</v>
      </c>
      <c r="I1417" t="s">
        <v>48</v>
      </c>
      <c r="J1417" t="s">
        <v>72</v>
      </c>
      <c r="K1417" t="s">
        <v>22</v>
      </c>
      <c r="L1417">
        <v>133.19</v>
      </c>
      <c r="M1417" t="s">
        <v>115</v>
      </c>
      <c r="N1417">
        <f t="shared" si="199"/>
        <v>0</v>
      </c>
      <c r="O1417" t="s">
        <v>86</v>
      </c>
      <c r="P1417" t="s">
        <v>3883</v>
      </c>
      <c r="Q1417">
        <v>0</v>
      </c>
      <c r="R1417">
        <v>365</v>
      </c>
      <c r="S1417">
        <f t="shared" si="200"/>
        <v>-0.57348563003835651</v>
      </c>
      <c r="T1417">
        <f t="shared" si="201"/>
        <v>0</v>
      </c>
      <c r="U1417">
        <f t="shared" si="202"/>
        <v>1</v>
      </c>
      <c r="V1417">
        <f t="shared" si="203"/>
        <v>0</v>
      </c>
      <c r="W1417">
        <f t="shared" si="204"/>
        <v>2</v>
      </c>
      <c r="X1417">
        <f t="shared" si="205"/>
        <v>0</v>
      </c>
      <c r="Y1417">
        <f t="shared" si="206"/>
        <v>0</v>
      </c>
    </row>
    <row r="1418" spans="1:25" x14ac:dyDescent="0.3">
      <c r="A1418" t="s">
        <v>4037</v>
      </c>
      <c r="B1418" t="s">
        <v>4038</v>
      </c>
      <c r="C1418" s="1">
        <v>45795</v>
      </c>
      <c r="D1418" s="3">
        <v>0.34174768518518517</v>
      </c>
      <c r="E1418">
        <f t="shared" si="198"/>
        <v>8</v>
      </c>
      <c r="F1418">
        <v>18</v>
      </c>
      <c r="G1418" t="s">
        <v>46</v>
      </c>
      <c r="H1418" t="s">
        <v>47</v>
      </c>
      <c r="I1418" t="s">
        <v>48</v>
      </c>
      <c r="J1418" t="s">
        <v>21</v>
      </c>
      <c r="K1418" t="s">
        <v>22</v>
      </c>
      <c r="L1418">
        <v>133.16</v>
      </c>
      <c r="M1418" t="s">
        <v>115</v>
      </c>
      <c r="N1418">
        <f t="shared" si="199"/>
        <v>0</v>
      </c>
      <c r="O1418" t="s">
        <v>51</v>
      </c>
      <c r="P1418" t="s">
        <v>4039</v>
      </c>
      <c r="Q1418">
        <v>0</v>
      </c>
      <c r="R1418">
        <v>151</v>
      </c>
      <c r="S1418">
        <f t="shared" si="200"/>
        <v>-0.57390095782263928</v>
      </c>
      <c r="T1418">
        <f t="shared" si="201"/>
        <v>0</v>
      </c>
      <c r="U1418">
        <f t="shared" si="202"/>
        <v>0</v>
      </c>
      <c r="V1418">
        <f t="shared" si="203"/>
        <v>1</v>
      </c>
      <c r="W1418">
        <f t="shared" si="204"/>
        <v>1</v>
      </c>
      <c r="X1418">
        <f t="shared" si="205"/>
        <v>0</v>
      </c>
      <c r="Y1418">
        <f t="shared" si="206"/>
        <v>0</v>
      </c>
    </row>
    <row r="1419" spans="1:25" x14ac:dyDescent="0.3">
      <c r="A1419" t="s">
        <v>3080</v>
      </c>
      <c r="B1419" t="s">
        <v>3081</v>
      </c>
      <c r="C1419" s="1">
        <v>45854</v>
      </c>
      <c r="D1419" s="3">
        <v>0.5593055555555555</v>
      </c>
      <c r="E1419">
        <f t="shared" si="198"/>
        <v>13</v>
      </c>
      <c r="F1419">
        <v>50</v>
      </c>
      <c r="G1419" t="s">
        <v>99</v>
      </c>
      <c r="H1419" t="s">
        <v>19</v>
      </c>
      <c r="I1419" t="s">
        <v>110</v>
      </c>
      <c r="J1419" t="s">
        <v>40</v>
      </c>
      <c r="K1419" t="s">
        <v>114</v>
      </c>
      <c r="L1419">
        <v>133.07</v>
      </c>
      <c r="M1419" t="s">
        <v>42</v>
      </c>
      <c r="N1419">
        <f t="shared" si="199"/>
        <v>0</v>
      </c>
      <c r="O1419" t="s">
        <v>86</v>
      </c>
      <c r="P1419" t="s">
        <v>3082</v>
      </c>
      <c r="Q1419">
        <v>0</v>
      </c>
      <c r="R1419">
        <v>488</v>
      </c>
      <c r="S1419">
        <f t="shared" si="200"/>
        <v>-0.5751469411754877</v>
      </c>
      <c r="T1419">
        <f t="shared" si="201"/>
        <v>0</v>
      </c>
      <c r="U1419">
        <f t="shared" si="202"/>
        <v>0</v>
      </c>
      <c r="V1419">
        <f t="shared" si="203"/>
        <v>0</v>
      </c>
      <c r="W1419">
        <f t="shared" si="204"/>
        <v>0</v>
      </c>
      <c r="X1419">
        <f t="shared" si="205"/>
        <v>0</v>
      </c>
      <c r="Y1419">
        <f t="shared" si="206"/>
        <v>0</v>
      </c>
    </row>
    <row r="1420" spans="1:25" x14ac:dyDescent="0.3">
      <c r="A1420" t="s">
        <v>5426</v>
      </c>
      <c r="B1420" t="s">
        <v>5427</v>
      </c>
      <c r="C1420" s="1">
        <v>45817</v>
      </c>
      <c r="D1420" s="3">
        <v>0.59871527777777778</v>
      </c>
      <c r="E1420">
        <f t="shared" si="198"/>
        <v>14</v>
      </c>
      <c r="F1420" s="4">
        <v>41</v>
      </c>
      <c r="G1420" t="s">
        <v>46</v>
      </c>
      <c r="H1420" t="s">
        <v>38</v>
      </c>
      <c r="I1420" t="s">
        <v>119</v>
      </c>
      <c r="J1420" t="s">
        <v>40</v>
      </c>
      <c r="K1420" t="s">
        <v>101</v>
      </c>
      <c r="L1420">
        <v>132.74</v>
      </c>
      <c r="M1420" t="s">
        <v>115</v>
      </c>
      <c r="N1420">
        <f t="shared" si="199"/>
        <v>0</v>
      </c>
      <c r="O1420" t="s">
        <v>24</v>
      </c>
      <c r="P1420" t="s">
        <v>5428</v>
      </c>
      <c r="Q1420">
        <v>0</v>
      </c>
      <c r="R1420">
        <v>56</v>
      </c>
      <c r="S1420">
        <f t="shared" si="200"/>
        <v>-0.57971554680259796</v>
      </c>
      <c r="T1420">
        <f t="shared" si="201"/>
        <v>0</v>
      </c>
      <c r="U1420">
        <f t="shared" si="202"/>
        <v>0</v>
      </c>
      <c r="V1420">
        <f t="shared" si="203"/>
        <v>1</v>
      </c>
      <c r="W1420">
        <f t="shared" si="204"/>
        <v>1</v>
      </c>
      <c r="X1420">
        <f t="shared" si="205"/>
        <v>0</v>
      </c>
      <c r="Y1420">
        <f t="shared" si="206"/>
        <v>0</v>
      </c>
    </row>
    <row r="1421" spans="1:25" x14ac:dyDescent="0.3">
      <c r="A1421" t="s">
        <v>6356</v>
      </c>
      <c r="B1421" t="s">
        <v>6357</v>
      </c>
      <c r="C1421" s="1">
        <v>45812</v>
      </c>
      <c r="D1421" s="3">
        <v>0.87715277777777778</v>
      </c>
      <c r="E1421">
        <f t="shared" si="198"/>
        <v>21</v>
      </c>
      <c r="F1421">
        <v>22</v>
      </c>
      <c r="G1421" t="s">
        <v>46</v>
      </c>
      <c r="H1421" t="s">
        <v>38</v>
      </c>
      <c r="I1421" t="s">
        <v>110</v>
      </c>
      <c r="J1421" t="s">
        <v>94</v>
      </c>
      <c r="K1421" t="s">
        <v>101</v>
      </c>
      <c r="L1421">
        <v>132.72</v>
      </c>
      <c r="M1421" t="s">
        <v>42</v>
      </c>
      <c r="N1421">
        <f t="shared" si="199"/>
        <v>0</v>
      </c>
      <c r="O1421" t="s">
        <v>86</v>
      </c>
      <c r="P1421" t="s">
        <v>6358</v>
      </c>
      <c r="Q1421">
        <v>0</v>
      </c>
      <c r="R1421">
        <v>198</v>
      </c>
      <c r="S1421">
        <f t="shared" si="200"/>
        <v>-0.57999243199211992</v>
      </c>
      <c r="T1421">
        <f t="shared" si="201"/>
        <v>0</v>
      </c>
      <c r="U1421">
        <f t="shared" si="202"/>
        <v>0</v>
      </c>
      <c r="V1421">
        <f t="shared" si="203"/>
        <v>1</v>
      </c>
      <c r="W1421">
        <f t="shared" si="204"/>
        <v>1</v>
      </c>
      <c r="X1421">
        <f t="shared" si="205"/>
        <v>0</v>
      </c>
      <c r="Y1421">
        <f t="shared" si="206"/>
        <v>0</v>
      </c>
    </row>
    <row r="1422" spans="1:25" x14ac:dyDescent="0.3">
      <c r="A1422" t="s">
        <v>310</v>
      </c>
      <c r="B1422" t="s">
        <v>311</v>
      </c>
      <c r="C1422" s="1">
        <v>45755</v>
      </c>
      <c r="D1422" s="3">
        <v>0.59385416666666668</v>
      </c>
      <c r="E1422">
        <f t="shared" si="198"/>
        <v>14</v>
      </c>
      <c r="F1422">
        <v>25</v>
      </c>
      <c r="G1422" t="s">
        <v>60</v>
      </c>
      <c r="H1422" t="s">
        <v>312</v>
      </c>
      <c r="I1422" t="s">
        <v>85</v>
      </c>
      <c r="J1422" t="s">
        <v>31</v>
      </c>
      <c r="K1422" t="s">
        <v>62</v>
      </c>
      <c r="L1422">
        <v>132.53</v>
      </c>
      <c r="M1422" t="s">
        <v>42</v>
      </c>
      <c r="N1422">
        <f t="shared" si="199"/>
        <v>0</v>
      </c>
      <c r="O1422" t="s">
        <v>24</v>
      </c>
      <c r="P1422" t="s">
        <v>313</v>
      </c>
      <c r="Q1422">
        <v>0</v>
      </c>
      <c r="R1422">
        <v>280</v>
      </c>
      <c r="S1422">
        <f t="shared" si="200"/>
        <v>-0.58262284129257746</v>
      </c>
      <c r="T1422">
        <f t="shared" si="201"/>
        <v>0</v>
      </c>
      <c r="U1422">
        <f t="shared" si="202"/>
        <v>0</v>
      </c>
      <c r="V1422">
        <f t="shared" si="203"/>
        <v>0</v>
      </c>
      <c r="W1422">
        <f t="shared" si="204"/>
        <v>0</v>
      </c>
      <c r="X1422">
        <f t="shared" si="205"/>
        <v>0</v>
      </c>
      <c r="Y1422">
        <f t="shared" si="206"/>
        <v>0</v>
      </c>
    </row>
    <row r="1423" spans="1:25" x14ac:dyDescent="0.3">
      <c r="A1423" t="s">
        <v>3059</v>
      </c>
      <c r="B1423" s="2" t="s">
        <v>3060</v>
      </c>
      <c r="C1423" s="1">
        <v>45740</v>
      </c>
      <c r="D1423" s="3">
        <v>0.38343749999999999</v>
      </c>
      <c r="E1423">
        <f t="shared" si="198"/>
        <v>9</v>
      </c>
      <c r="F1423">
        <v>61</v>
      </c>
      <c r="G1423" t="s">
        <v>18</v>
      </c>
      <c r="H1423" t="s">
        <v>232</v>
      </c>
      <c r="I1423" t="s">
        <v>110</v>
      </c>
      <c r="J1423" t="s">
        <v>72</v>
      </c>
      <c r="K1423" t="s">
        <v>50</v>
      </c>
      <c r="L1423">
        <v>132.49</v>
      </c>
      <c r="M1423" t="s">
        <v>23</v>
      </c>
      <c r="N1423">
        <f t="shared" si="199"/>
        <v>0</v>
      </c>
      <c r="O1423" t="s">
        <v>24</v>
      </c>
      <c r="P1423" t="s">
        <v>3061</v>
      </c>
      <c r="Q1423">
        <v>0</v>
      </c>
      <c r="R1423">
        <v>91</v>
      </c>
      <c r="S1423">
        <f t="shared" si="200"/>
        <v>-0.58317661167162105</v>
      </c>
      <c r="T1423">
        <f t="shared" si="201"/>
        <v>0</v>
      </c>
      <c r="U1423">
        <f t="shared" si="202"/>
        <v>0</v>
      </c>
      <c r="V1423">
        <f t="shared" si="203"/>
        <v>1</v>
      </c>
      <c r="W1423">
        <f t="shared" si="204"/>
        <v>1</v>
      </c>
      <c r="X1423">
        <f t="shared" si="205"/>
        <v>0</v>
      </c>
      <c r="Y1423">
        <f t="shared" si="206"/>
        <v>0</v>
      </c>
    </row>
    <row r="1424" spans="1:25" x14ac:dyDescent="0.3">
      <c r="A1424" t="s">
        <v>4634</v>
      </c>
      <c r="B1424" t="s">
        <v>4635</v>
      </c>
      <c r="C1424" s="1">
        <v>45812</v>
      </c>
      <c r="D1424" s="3">
        <v>0.99468749999999995</v>
      </c>
      <c r="E1424">
        <f t="shared" si="198"/>
        <v>23</v>
      </c>
      <c r="F1424">
        <v>54</v>
      </c>
      <c r="G1424" t="s">
        <v>18</v>
      </c>
      <c r="H1424" t="s">
        <v>100</v>
      </c>
      <c r="I1424" t="s">
        <v>119</v>
      </c>
      <c r="J1424" t="s">
        <v>76</v>
      </c>
      <c r="K1424" t="s">
        <v>114</v>
      </c>
      <c r="L1424">
        <v>132.31</v>
      </c>
      <c r="M1424" t="s">
        <v>42</v>
      </c>
      <c r="N1424">
        <f t="shared" si="199"/>
        <v>0</v>
      </c>
      <c r="O1424" t="s">
        <v>86</v>
      </c>
      <c r="P1424" t="s">
        <v>4636</v>
      </c>
      <c r="Q1424">
        <v>0</v>
      </c>
      <c r="R1424">
        <v>244</v>
      </c>
      <c r="S1424">
        <f t="shared" si="200"/>
        <v>-0.58566857837731778</v>
      </c>
      <c r="T1424">
        <f t="shared" si="201"/>
        <v>0</v>
      </c>
      <c r="U1424">
        <f t="shared" si="202"/>
        <v>0</v>
      </c>
      <c r="V1424">
        <f t="shared" si="203"/>
        <v>1</v>
      </c>
      <c r="W1424">
        <f t="shared" si="204"/>
        <v>1</v>
      </c>
      <c r="X1424">
        <f t="shared" si="205"/>
        <v>0</v>
      </c>
      <c r="Y1424">
        <f t="shared" si="206"/>
        <v>0</v>
      </c>
    </row>
    <row r="1425" spans="1:25" x14ac:dyDescent="0.3">
      <c r="A1425" t="s">
        <v>929</v>
      </c>
      <c r="B1425" t="s">
        <v>930</v>
      </c>
      <c r="C1425" s="1">
        <v>45727</v>
      </c>
      <c r="D1425" s="3">
        <v>0.33582175925925928</v>
      </c>
      <c r="E1425">
        <f t="shared" si="198"/>
        <v>8</v>
      </c>
      <c r="F1425">
        <v>41</v>
      </c>
      <c r="G1425" t="s">
        <v>6479</v>
      </c>
      <c r="H1425" t="s">
        <v>70</v>
      </c>
      <c r="I1425" t="s">
        <v>39</v>
      </c>
      <c r="J1425" t="s">
        <v>31</v>
      </c>
      <c r="K1425" t="s">
        <v>32</v>
      </c>
      <c r="L1425">
        <v>132.27000000000001</v>
      </c>
      <c r="M1425" t="s">
        <v>115</v>
      </c>
      <c r="N1425">
        <f t="shared" si="199"/>
        <v>0</v>
      </c>
      <c r="O1425" t="s">
        <v>51</v>
      </c>
      <c r="P1425" t="s">
        <v>931</v>
      </c>
      <c r="Q1425">
        <v>0</v>
      </c>
      <c r="R1425">
        <v>192</v>
      </c>
      <c r="S1425">
        <f t="shared" si="200"/>
        <v>-0.58622234875636137</v>
      </c>
      <c r="T1425">
        <f t="shared" si="201"/>
        <v>0</v>
      </c>
      <c r="U1425">
        <f t="shared" si="202"/>
        <v>0</v>
      </c>
      <c r="V1425">
        <f t="shared" si="203"/>
        <v>1</v>
      </c>
      <c r="W1425">
        <f t="shared" si="204"/>
        <v>1</v>
      </c>
      <c r="X1425">
        <f t="shared" si="205"/>
        <v>0</v>
      </c>
      <c r="Y1425">
        <f t="shared" si="206"/>
        <v>0</v>
      </c>
    </row>
    <row r="1426" spans="1:25" x14ac:dyDescent="0.3">
      <c r="A1426" t="s">
        <v>4826</v>
      </c>
      <c r="B1426" t="s">
        <v>4827</v>
      </c>
      <c r="C1426" s="1">
        <v>45866</v>
      </c>
      <c r="D1426" s="3">
        <v>0.39050925925925928</v>
      </c>
      <c r="E1426">
        <f t="shared" si="198"/>
        <v>9</v>
      </c>
      <c r="F1426">
        <v>54</v>
      </c>
      <c r="G1426" t="s">
        <v>46</v>
      </c>
      <c r="H1426" t="s">
        <v>90</v>
      </c>
      <c r="I1426" t="s">
        <v>119</v>
      </c>
      <c r="J1426" t="s">
        <v>49</v>
      </c>
      <c r="K1426" t="s">
        <v>120</v>
      </c>
      <c r="L1426">
        <v>132.25</v>
      </c>
      <c r="M1426" t="s">
        <v>33</v>
      </c>
      <c r="N1426">
        <f t="shared" si="199"/>
        <v>0</v>
      </c>
      <c r="O1426" t="s">
        <v>86</v>
      </c>
      <c r="P1426" t="s">
        <v>4828</v>
      </c>
      <c r="Q1426">
        <v>0</v>
      </c>
      <c r="R1426">
        <v>54</v>
      </c>
      <c r="S1426">
        <f t="shared" si="200"/>
        <v>-0.58649923394588344</v>
      </c>
      <c r="T1426">
        <f t="shared" si="201"/>
        <v>0</v>
      </c>
      <c r="U1426">
        <f t="shared" si="202"/>
        <v>0</v>
      </c>
      <c r="V1426">
        <f t="shared" si="203"/>
        <v>1</v>
      </c>
      <c r="W1426">
        <f t="shared" si="204"/>
        <v>1</v>
      </c>
      <c r="X1426">
        <f t="shared" si="205"/>
        <v>0</v>
      </c>
      <c r="Y1426">
        <f t="shared" si="206"/>
        <v>0</v>
      </c>
    </row>
    <row r="1427" spans="1:25" x14ac:dyDescent="0.3">
      <c r="A1427" t="s">
        <v>5687</v>
      </c>
      <c r="B1427" t="s">
        <v>5688</v>
      </c>
      <c r="C1427" s="1">
        <v>45737</v>
      </c>
      <c r="D1427" s="3">
        <v>0.20928240740740742</v>
      </c>
      <c r="E1427">
        <f t="shared" si="198"/>
        <v>5</v>
      </c>
      <c r="F1427">
        <v>49</v>
      </c>
      <c r="G1427" t="s">
        <v>18</v>
      </c>
      <c r="H1427" t="s">
        <v>55</v>
      </c>
      <c r="I1427" t="s">
        <v>66</v>
      </c>
      <c r="J1427" t="s">
        <v>40</v>
      </c>
      <c r="K1427" t="s">
        <v>41</v>
      </c>
      <c r="L1427">
        <v>131.99</v>
      </c>
      <c r="M1427" t="s">
        <v>33</v>
      </c>
      <c r="N1427">
        <f t="shared" si="199"/>
        <v>0</v>
      </c>
      <c r="O1427" t="s">
        <v>86</v>
      </c>
      <c r="P1427" t="s">
        <v>5689</v>
      </c>
      <c r="Q1427">
        <v>0</v>
      </c>
      <c r="R1427">
        <v>145</v>
      </c>
      <c r="S1427">
        <f t="shared" si="200"/>
        <v>-0.59009874140966734</v>
      </c>
      <c r="T1427">
        <f t="shared" si="201"/>
        <v>0</v>
      </c>
      <c r="U1427">
        <f t="shared" si="202"/>
        <v>1</v>
      </c>
      <c r="V1427">
        <f t="shared" si="203"/>
        <v>1</v>
      </c>
      <c r="W1427">
        <f t="shared" si="204"/>
        <v>3</v>
      </c>
      <c r="X1427">
        <f t="shared" si="205"/>
        <v>0</v>
      </c>
      <c r="Y1427">
        <f t="shared" si="206"/>
        <v>0</v>
      </c>
    </row>
    <row r="1428" spans="1:25" x14ac:dyDescent="0.3">
      <c r="A1428" t="s">
        <v>4610</v>
      </c>
      <c r="B1428" t="s">
        <v>4611</v>
      </c>
      <c r="C1428" s="1">
        <v>45812</v>
      </c>
      <c r="D1428" s="3">
        <v>0.63004629629629627</v>
      </c>
      <c r="E1428">
        <f t="shared" si="198"/>
        <v>15</v>
      </c>
      <c r="F1428">
        <v>31</v>
      </c>
      <c r="G1428" t="s">
        <v>46</v>
      </c>
      <c r="H1428" t="s">
        <v>38</v>
      </c>
      <c r="I1428" t="s">
        <v>30</v>
      </c>
      <c r="J1428" t="s">
        <v>40</v>
      </c>
      <c r="K1428" t="s">
        <v>62</v>
      </c>
      <c r="L1428">
        <v>131.83000000000001</v>
      </c>
      <c r="M1428" t="s">
        <v>115</v>
      </c>
      <c r="N1428">
        <f t="shared" si="199"/>
        <v>0</v>
      </c>
      <c r="O1428" t="s">
        <v>34</v>
      </c>
      <c r="P1428" t="s">
        <v>4612</v>
      </c>
      <c r="Q1428">
        <v>0</v>
      </c>
      <c r="R1428">
        <v>478</v>
      </c>
      <c r="S1428">
        <f t="shared" si="200"/>
        <v>-0.592313822925842</v>
      </c>
      <c r="T1428">
        <f t="shared" si="201"/>
        <v>0</v>
      </c>
      <c r="U1428">
        <f t="shared" si="202"/>
        <v>0</v>
      </c>
      <c r="V1428">
        <f t="shared" si="203"/>
        <v>0</v>
      </c>
      <c r="W1428">
        <f t="shared" si="204"/>
        <v>0</v>
      </c>
      <c r="X1428">
        <f t="shared" si="205"/>
        <v>0</v>
      </c>
      <c r="Y1428">
        <f t="shared" si="206"/>
        <v>0</v>
      </c>
    </row>
    <row r="1429" spans="1:25" x14ac:dyDescent="0.3">
      <c r="A1429" t="s">
        <v>112</v>
      </c>
      <c r="B1429" t="s">
        <v>113</v>
      </c>
      <c r="C1429" s="1">
        <v>45757</v>
      </c>
      <c r="D1429" s="3">
        <v>0.25495370370370368</v>
      </c>
      <c r="E1429">
        <f t="shared" si="198"/>
        <v>6</v>
      </c>
      <c r="F1429">
        <v>39</v>
      </c>
      <c r="G1429" t="s">
        <v>18</v>
      </c>
      <c r="H1429" t="s">
        <v>55</v>
      </c>
      <c r="I1429" t="s">
        <v>110</v>
      </c>
      <c r="J1429" t="s">
        <v>72</v>
      </c>
      <c r="K1429" t="s">
        <v>114</v>
      </c>
      <c r="L1429">
        <v>131.81</v>
      </c>
      <c r="M1429" t="s">
        <v>115</v>
      </c>
      <c r="N1429">
        <f t="shared" si="199"/>
        <v>0</v>
      </c>
      <c r="O1429" t="s">
        <v>86</v>
      </c>
      <c r="P1429" t="s">
        <v>116</v>
      </c>
      <c r="Q1429">
        <v>0</v>
      </c>
      <c r="R1429">
        <v>473</v>
      </c>
      <c r="S1429">
        <f t="shared" si="200"/>
        <v>-0.59259070811536407</v>
      </c>
      <c r="T1429">
        <f t="shared" si="201"/>
        <v>0</v>
      </c>
      <c r="U1429">
        <f t="shared" si="202"/>
        <v>0</v>
      </c>
      <c r="V1429">
        <f t="shared" si="203"/>
        <v>0</v>
      </c>
      <c r="W1429">
        <f t="shared" si="204"/>
        <v>0</v>
      </c>
      <c r="X1429">
        <f t="shared" si="205"/>
        <v>0</v>
      </c>
      <c r="Y1429">
        <f t="shared" si="206"/>
        <v>0</v>
      </c>
    </row>
    <row r="1430" spans="1:25" x14ac:dyDescent="0.3">
      <c r="A1430" t="s">
        <v>194</v>
      </c>
      <c r="B1430" t="s">
        <v>195</v>
      </c>
      <c r="C1430" s="1">
        <v>45788</v>
      </c>
      <c r="D1430" s="3">
        <v>0.46453703703703703</v>
      </c>
      <c r="E1430">
        <f t="shared" si="198"/>
        <v>11</v>
      </c>
      <c r="F1430">
        <v>38</v>
      </c>
      <c r="G1430" t="s">
        <v>46</v>
      </c>
      <c r="H1430" t="s">
        <v>38</v>
      </c>
      <c r="I1430" t="s">
        <v>48</v>
      </c>
      <c r="J1430" t="s">
        <v>40</v>
      </c>
      <c r="K1430" t="s">
        <v>22</v>
      </c>
      <c r="L1430">
        <v>131.69</v>
      </c>
      <c r="M1430" t="s">
        <v>42</v>
      </c>
      <c r="N1430">
        <f t="shared" si="199"/>
        <v>0</v>
      </c>
      <c r="O1430" t="s">
        <v>86</v>
      </c>
      <c r="P1430" t="s">
        <v>196</v>
      </c>
      <c r="Q1430">
        <v>0</v>
      </c>
      <c r="R1430">
        <v>266</v>
      </c>
      <c r="S1430">
        <f t="shared" si="200"/>
        <v>-0.59425201925249516</v>
      </c>
      <c r="T1430">
        <f t="shared" si="201"/>
        <v>0</v>
      </c>
      <c r="U1430">
        <f t="shared" si="202"/>
        <v>0</v>
      </c>
      <c r="V1430">
        <f t="shared" si="203"/>
        <v>1</v>
      </c>
      <c r="W1430">
        <f t="shared" si="204"/>
        <v>1</v>
      </c>
      <c r="X1430">
        <f t="shared" si="205"/>
        <v>0</v>
      </c>
      <c r="Y1430">
        <f t="shared" si="206"/>
        <v>0</v>
      </c>
    </row>
    <row r="1431" spans="1:25" x14ac:dyDescent="0.3">
      <c r="A1431" t="s">
        <v>6170</v>
      </c>
      <c r="B1431" t="s">
        <v>6171</v>
      </c>
      <c r="C1431" s="1">
        <v>45790</v>
      </c>
      <c r="D1431" s="3">
        <v>0.26519675925925928</v>
      </c>
      <c r="E1431">
        <f t="shared" si="198"/>
        <v>6</v>
      </c>
      <c r="F1431">
        <v>19</v>
      </c>
      <c r="G1431" t="s">
        <v>18</v>
      </c>
      <c r="H1431" t="s">
        <v>47</v>
      </c>
      <c r="I1431" t="s">
        <v>30</v>
      </c>
      <c r="J1431" t="s">
        <v>21</v>
      </c>
      <c r="K1431" t="s">
        <v>168</v>
      </c>
      <c r="L1431">
        <v>131.68</v>
      </c>
      <c r="M1431" t="s">
        <v>42</v>
      </c>
      <c r="N1431">
        <f t="shared" si="199"/>
        <v>0</v>
      </c>
      <c r="O1431" t="s">
        <v>24</v>
      </c>
      <c r="P1431" t="s">
        <v>6172</v>
      </c>
      <c r="Q1431">
        <v>0</v>
      </c>
      <c r="R1431">
        <v>142</v>
      </c>
      <c r="S1431">
        <f t="shared" si="200"/>
        <v>-0.59439046184725597</v>
      </c>
      <c r="T1431">
        <f t="shared" si="201"/>
        <v>0</v>
      </c>
      <c r="U1431">
        <f t="shared" si="202"/>
        <v>0</v>
      </c>
      <c r="V1431">
        <f t="shared" si="203"/>
        <v>1</v>
      </c>
      <c r="W1431">
        <f t="shared" si="204"/>
        <v>1</v>
      </c>
      <c r="X1431">
        <f t="shared" si="205"/>
        <v>0</v>
      </c>
      <c r="Y1431">
        <f t="shared" si="206"/>
        <v>0</v>
      </c>
    </row>
    <row r="1432" spans="1:25" x14ac:dyDescent="0.3">
      <c r="A1432" t="s">
        <v>5855</v>
      </c>
      <c r="B1432" t="s">
        <v>5856</v>
      </c>
      <c r="C1432" s="1">
        <v>45843</v>
      </c>
      <c r="D1432" s="3">
        <v>0.52762731481481484</v>
      </c>
      <c r="E1432">
        <f t="shared" si="198"/>
        <v>12</v>
      </c>
      <c r="F1432">
        <v>58</v>
      </c>
      <c r="G1432" t="s">
        <v>60</v>
      </c>
      <c r="H1432" t="s">
        <v>239</v>
      </c>
      <c r="I1432" t="s">
        <v>20</v>
      </c>
      <c r="J1432" t="s">
        <v>40</v>
      </c>
      <c r="K1432" t="s">
        <v>41</v>
      </c>
      <c r="L1432">
        <v>131.62</v>
      </c>
      <c r="M1432" t="s">
        <v>115</v>
      </c>
      <c r="N1432">
        <f t="shared" si="199"/>
        <v>0</v>
      </c>
      <c r="O1432" t="s">
        <v>86</v>
      </c>
      <c r="P1432" t="s">
        <v>5857</v>
      </c>
      <c r="Q1432">
        <v>0</v>
      </c>
      <c r="R1432">
        <v>51</v>
      </c>
      <c r="S1432">
        <f t="shared" si="200"/>
        <v>-0.59522111741582162</v>
      </c>
      <c r="T1432">
        <f t="shared" si="201"/>
        <v>0</v>
      </c>
      <c r="U1432">
        <f t="shared" si="202"/>
        <v>0</v>
      </c>
      <c r="V1432">
        <f t="shared" si="203"/>
        <v>1</v>
      </c>
      <c r="W1432">
        <f t="shared" si="204"/>
        <v>1</v>
      </c>
      <c r="X1432">
        <f t="shared" si="205"/>
        <v>0</v>
      </c>
      <c r="Y1432">
        <f t="shared" si="206"/>
        <v>0</v>
      </c>
    </row>
    <row r="1433" spans="1:25" x14ac:dyDescent="0.3">
      <c r="A1433" t="s">
        <v>887</v>
      </c>
      <c r="B1433" t="s">
        <v>888</v>
      </c>
      <c r="C1433" s="1">
        <v>45765</v>
      </c>
      <c r="D1433" s="3">
        <v>8.7939814814814818E-2</v>
      </c>
      <c r="E1433">
        <f t="shared" si="198"/>
        <v>2</v>
      </c>
      <c r="F1433">
        <v>18</v>
      </c>
      <c r="G1433" t="s">
        <v>46</v>
      </c>
      <c r="H1433" t="s">
        <v>167</v>
      </c>
      <c r="I1433" t="s">
        <v>105</v>
      </c>
      <c r="J1433" t="s">
        <v>76</v>
      </c>
      <c r="K1433" t="s">
        <v>41</v>
      </c>
      <c r="L1433">
        <v>131.58000000000001</v>
      </c>
      <c r="M1433" t="s">
        <v>115</v>
      </c>
      <c r="N1433">
        <f t="shared" si="199"/>
        <v>0</v>
      </c>
      <c r="O1433" t="s">
        <v>24</v>
      </c>
      <c r="P1433" t="s">
        <v>889</v>
      </c>
      <c r="Q1433">
        <v>0</v>
      </c>
      <c r="R1433">
        <v>485</v>
      </c>
      <c r="S1433">
        <f t="shared" si="200"/>
        <v>-0.5957748877948652</v>
      </c>
      <c r="T1433">
        <f t="shared" si="201"/>
        <v>0</v>
      </c>
      <c r="U1433">
        <f t="shared" si="202"/>
        <v>1</v>
      </c>
      <c r="V1433">
        <f t="shared" si="203"/>
        <v>0</v>
      </c>
      <c r="W1433">
        <f t="shared" si="204"/>
        <v>2</v>
      </c>
      <c r="X1433">
        <f t="shared" si="205"/>
        <v>0</v>
      </c>
      <c r="Y1433">
        <f t="shared" si="206"/>
        <v>0</v>
      </c>
    </row>
    <row r="1434" spans="1:25" x14ac:dyDescent="0.3">
      <c r="A1434" t="s">
        <v>2321</v>
      </c>
      <c r="B1434" t="s">
        <v>2322</v>
      </c>
      <c r="C1434" s="1">
        <v>45821</v>
      </c>
      <c r="D1434" s="3">
        <v>0.88879629629629631</v>
      </c>
      <c r="E1434">
        <f t="shared" si="198"/>
        <v>21</v>
      </c>
      <c r="F1434">
        <v>44</v>
      </c>
      <c r="G1434" t="s">
        <v>6479</v>
      </c>
      <c r="H1434" t="s">
        <v>90</v>
      </c>
      <c r="I1434" t="s">
        <v>105</v>
      </c>
      <c r="J1434" t="s">
        <v>21</v>
      </c>
      <c r="K1434" t="s">
        <v>22</v>
      </c>
      <c r="L1434">
        <v>131.46</v>
      </c>
      <c r="M1434" t="s">
        <v>23</v>
      </c>
      <c r="N1434">
        <f t="shared" si="199"/>
        <v>0</v>
      </c>
      <c r="O1434" t="s">
        <v>51</v>
      </c>
      <c r="P1434" t="s">
        <v>2323</v>
      </c>
      <c r="Q1434">
        <v>1</v>
      </c>
      <c r="R1434">
        <v>308</v>
      </c>
      <c r="S1434">
        <f t="shared" si="200"/>
        <v>-0.59743619893199629</v>
      </c>
      <c r="T1434">
        <f t="shared" si="201"/>
        <v>0</v>
      </c>
      <c r="U1434">
        <f t="shared" si="202"/>
        <v>0</v>
      </c>
      <c r="V1434">
        <f t="shared" si="203"/>
        <v>0</v>
      </c>
      <c r="W1434">
        <f t="shared" si="204"/>
        <v>0</v>
      </c>
      <c r="X1434">
        <f t="shared" si="205"/>
        <v>0</v>
      </c>
      <c r="Y1434">
        <f t="shared" si="206"/>
        <v>0</v>
      </c>
    </row>
    <row r="1435" spans="1:25" x14ac:dyDescent="0.3">
      <c r="A1435" t="s">
        <v>2306</v>
      </c>
      <c r="B1435" t="s">
        <v>2307</v>
      </c>
      <c r="C1435" s="1">
        <v>45823</v>
      </c>
      <c r="D1435" s="3">
        <v>0.59752314814814811</v>
      </c>
      <c r="E1435">
        <f t="shared" si="198"/>
        <v>14</v>
      </c>
      <c r="F1435">
        <v>28</v>
      </c>
      <c r="G1435" t="s">
        <v>18</v>
      </c>
      <c r="H1435" t="s">
        <v>61</v>
      </c>
      <c r="I1435" t="s">
        <v>20</v>
      </c>
      <c r="J1435" t="s">
        <v>76</v>
      </c>
      <c r="K1435" t="s">
        <v>50</v>
      </c>
      <c r="L1435">
        <v>131.35</v>
      </c>
      <c r="M1435" t="s">
        <v>42</v>
      </c>
      <c r="N1435">
        <f t="shared" si="199"/>
        <v>0</v>
      </c>
      <c r="O1435" t="s">
        <v>51</v>
      </c>
      <c r="P1435" t="s">
        <v>2308</v>
      </c>
      <c r="Q1435">
        <v>0</v>
      </c>
      <c r="R1435">
        <v>71</v>
      </c>
      <c r="S1435">
        <f t="shared" si="200"/>
        <v>-0.59895906747436667</v>
      </c>
      <c r="T1435">
        <f t="shared" si="201"/>
        <v>0</v>
      </c>
      <c r="U1435">
        <f t="shared" si="202"/>
        <v>0</v>
      </c>
      <c r="V1435">
        <f t="shared" si="203"/>
        <v>1</v>
      </c>
      <c r="W1435">
        <f t="shared" si="204"/>
        <v>1</v>
      </c>
      <c r="X1435">
        <f t="shared" si="205"/>
        <v>0</v>
      </c>
      <c r="Y1435">
        <f t="shared" si="206"/>
        <v>0</v>
      </c>
    </row>
    <row r="1436" spans="1:25" x14ac:dyDescent="0.3">
      <c r="A1436" t="s">
        <v>578</v>
      </c>
      <c r="B1436" s="2" t="s">
        <v>579</v>
      </c>
      <c r="C1436" s="1">
        <v>45729</v>
      </c>
      <c r="D1436" s="3">
        <v>0.29423611111111109</v>
      </c>
      <c r="E1436">
        <f t="shared" si="198"/>
        <v>7</v>
      </c>
      <c r="F1436">
        <v>19</v>
      </c>
      <c r="G1436" t="s">
        <v>60</v>
      </c>
      <c r="H1436" t="s">
        <v>175</v>
      </c>
      <c r="I1436" t="s">
        <v>105</v>
      </c>
      <c r="J1436" t="s">
        <v>40</v>
      </c>
      <c r="K1436" t="s">
        <v>62</v>
      </c>
      <c r="L1436">
        <v>131.31</v>
      </c>
      <c r="M1436" t="s">
        <v>42</v>
      </c>
      <c r="N1436">
        <f t="shared" si="199"/>
        <v>0</v>
      </c>
      <c r="O1436" t="s">
        <v>24</v>
      </c>
      <c r="P1436" t="s">
        <v>580</v>
      </c>
      <c r="Q1436">
        <v>0</v>
      </c>
      <c r="R1436">
        <v>250</v>
      </c>
      <c r="S1436">
        <f t="shared" si="200"/>
        <v>-0.59951283785341025</v>
      </c>
      <c r="T1436">
        <f t="shared" si="201"/>
        <v>0</v>
      </c>
      <c r="U1436">
        <f t="shared" si="202"/>
        <v>0</v>
      </c>
      <c r="V1436">
        <f t="shared" si="203"/>
        <v>1</v>
      </c>
      <c r="W1436">
        <f t="shared" si="204"/>
        <v>1</v>
      </c>
      <c r="X1436">
        <f t="shared" si="205"/>
        <v>0</v>
      </c>
      <c r="Y1436">
        <f t="shared" si="206"/>
        <v>0</v>
      </c>
    </row>
    <row r="1437" spans="1:25" x14ac:dyDescent="0.3">
      <c r="A1437" t="s">
        <v>5045</v>
      </c>
      <c r="B1437" t="s">
        <v>5046</v>
      </c>
      <c r="C1437" s="1">
        <v>45703</v>
      </c>
      <c r="D1437" s="3">
        <v>6.2847222222222219E-3</v>
      </c>
      <c r="E1437">
        <f t="shared" si="198"/>
        <v>0</v>
      </c>
      <c r="F1437">
        <v>35</v>
      </c>
      <c r="G1437" t="s">
        <v>60</v>
      </c>
      <c r="H1437" t="s">
        <v>70</v>
      </c>
      <c r="I1437" t="s">
        <v>66</v>
      </c>
      <c r="J1437" t="s">
        <v>56</v>
      </c>
      <c r="K1437" t="s">
        <v>95</v>
      </c>
      <c r="L1437">
        <v>131.16999999999999</v>
      </c>
      <c r="M1437" t="s">
        <v>23</v>
      </c>
      <c r="N1437">
        <f t="shared" si="199"/>
        <v>0</v>
      </c>
      <c r="O1437" t="s">
        <v>86</v>
      </c>
      <c r="P1437" t="s">
        <v>5047</v>
      </c>
      <c r="Q1437">
        <v>0</v>
      </c>
      <c r="R1437">
        <v>198</v>
      </c>
      <c r="S1437">
        <f t="shared" si="200"/>
        <v>-0.6014510341800634</v>
      </c>
      <c r="T1437">
        <f t="shared" si="201"/>
        <v>0</v>
      </c>
      <c r="U1437">
        <f t="shared" si="202"/>
        <v>1</v>
      </c>
      <c r="V1437">
        <f t="shared" si="203"/>
        <v>1</v>
      </c>
      <c r="W1437">
        <f t="shared" si="204"/>
        <v>3</v>
      </c>
      <c r="X1437">
        <f t="shared" si="205"/>
        <v>0</v>
      </c>
      <c r="Y1437">
        <f t="shared" si="206"/>
        <v>0</v>
      </c>
    </row>
    <row r="1438" spans="1:25" x14ac:dyDescent="0.3">
      <c r="A1438" s="2" t="s">
        <v>6350</v>
      </c>
      <c r="B1438" t="s">
        <v>6351</v>
      </c>
      <c r="C1438" s="1">
        <v>45810</v>
      </c>
      <c r="D1438" s="3">
        <v>0.72781249999999997</v>
      </c>
      <c r="E1438">
        <f t="shared" si="198"/>
        <v>17</v>
      </c>
      <c r="F1438">
        <v>23</v>
      </c>
      <c r="G1438" t="s">
        <v>60</v>
      </c>
      <c r="H1438" t="s">
        <v>189</v>
      </c>
      <c r="I1438" t="s">
        <v>20</v>
      </c>
      <c r="J1438" t="s">
        <v>21</v>
      </c>
      <c r="K1438" t="s">
        <v>32</v>
      </c>
      <c r="L1438">
        <v>131.06</v>
      </c>
      <c r="M1438" t="s">
        <v>33</v>
      </c>
      <c r="N1438">
        <f t="shared" si="199"/>
        <v>0</v>
      </c>
      <c r="O1438" t="s">
        <v>51</v>
      </c>
      <c r="P1438" t="s">
        <v>6352</v>
      </c>
      <c r="Q1438">
        <v>0</v>
      </c>
      <c r="R1438">
        <v>423</v>
      </c>
      <c r="S1438">
        <f t="shared" si="200"/>
        <v>-0.60297390272243334</v>
      </c>
      <c r="T1438">
        <f t="shared" si="201"/>
        <v>0</v>
      </c>
      <c r="U1438">
        <f t="shared" si="202"/>
        <v>0</v>
      </c>
      <c r="V1438">
        <f t="shared" si="203"/>
        <v>0</v>
      </c>
      <c r="W1438">
        <f t="shared" si="204"/>
        <v>0</v>
      </c>
      <c r="X1438">
        <f t="shared" si="205"/>
        <v>0</v>
      </c>
      <c r="Y1438">
        <f t="shared" si="206"/>
        <v>0</v>
      </c>
    </row>
    <row r="1439" spans="1:25" x14ac:dyDescent="0.3">
      <c r="A1439" t="s">
        <v>5234</v>
      </c>
      <c r="B1439" t="s">
        <v>5235</v>
      </c>
      <c r="C1439" s="1">
        <v>45731</v>
      </c>
      <c r="D1439" s="3">
        <v>0.2472337962962963</v>
      </c>
      <c r="E1439">
        <f t="shared" si="198"/>
        <v>5</v>
      </c>
      <c r="F1439">
        <v>44</v>
      </c>
      <c r="G1439" t="s">
        <v>18</v>
      </c>
      <c r="H1439" t="s">
        <v>185</v>
      </c>
      <c r="I1439" t="s">
        <v>110</v>
      </c>
      <c r="J1439" t="s">
        <v>94</v>
      </c>
      <c r="K1439" t="s">
        <v>101</v>
      </c>
      <c r="L1439">
        <v>131.01</v>
      </c>
      <c r="M1439" t="s">
        <v>115</v>
      </c>
      <c r="N1439">
        <f t="shared" si="199"/>
        <v>0</v>
      </c>
      <c r="O1439" t="s">
        <v>24</v>
      </c>
      <c r="P1439" t="s">
        <v>5236</v>
      </c>
      <c r="Q1439">
        <v>0</v>
      </c>
      <c r="R1439">
        <v>409</v>
      </c>
      <c r="S1439">
        <f t="shared" si="200"/>
        <v>-0.60366611569623818</v>
      </c>
      <c r="T1439">
        <f t="shared" si="201"/>
        <v>0</v>
      </c>
      <c r="U1439">
        <f t="shared" si="202"/>
        <v>1</v>
      </c>
      <c r="V1439">
        <f t="shared" si="203"/>
        <v>0</v>
      </c>
      <c r="W1439">
        <f t="shared" si="204"/>
        <v>2</v>
      </c>
      <c r="X1439">
        <f t="shared" si="205"/>
        <v>0</v>
      </c>
      <c r="Y1439">
        <f t="shared" si="206"/>
        <v>0</v>
      </c>
    </row>
    <row r="1440" spans="1:25" x14ac:dyDescent="0.3">
      <c r="A1440" t="s">
        <v>3272</v>
      </c>
      <c r="B1440" t="s">
        <v>3273</v>
      </c>
      <c r="C1440" s="1">
        <v>45782</v>
      </c>
      <c r="D1440" s="3">
        <v>0.36775462962962963</v>
      </c>
      <c r="E1440">
        <f t="shared" si="198"/>
        <v>8</v>
      </c>
      <c r="F1440">
        <v>21</v>
      </c>
      <c r="G1440" t="s">
        <v>28</v>
      </c>
      <c r="H1440" t="s">
        <v>19</v>
      </c>
      <c r="I1440" t="s">
        <v>119</v>
      </c>
      <c r="J1440" t="s">
        <v>49</v>
      </c>
      <c r="K1440" t="s">
        <v>101</v>
      </c>
      <c r="L1440">
        <v>130.97999999999999</v>
      </c>
      <c r="M1440" t="s">
        <v>33</v>
      </c>
      <c r="N1440">
        <f t="shared" si="199"/>
        <v>0</v>
      </c>
      <c r="O1440" t="s">
        <v>51</v>
      </c>
      <c r="P1440" t="s">
        <v>3274</v>
      </c>
      <c r="Q1440">
        <v>0</v>
      </c>
      <c r="R1440">
        <v>274</v>
      </c>
      <c r="S1440">
        <f t="shared" si="200"/>
        <v>-0.60408144348052095</v>
      </c>
      <c r="T1440">
        <f t="shared" si="201"/>
        <v>0</v>
      </c>
      <c r="U1440">
        <f t="shared" si="202"/>
        <v>0</v>
      </c>
      <c r="V1440">
        <f t="shared" si="203"/>
        <v>0</v>
      </c>
      <c r="W1440">
        <f t="shared" si="204"/>
        <v>0</v>
      </c>
      <c r="X1440">
        <f t="shared" si="205"/>
        <v>0</v>
      </c>
      <c r="Y1440">
        <f t="shared" si="206"/>
        <v>0</v>
      </c>
    </row>
    <row r="1441" spans="1:25" x14ac:dyDescent="0.3">
      <c r="A1441" s="2" t="s">
        <v>2567</v>
      </c>
      <c r="B1441" t="s">
        <v>2568</v>
      </c>
      <c r="C1441" s="1">
        <v>45789</v>
      </c>
      <c r="D1441" s="3">
        <v>0.22521990740740741</v>
      </c>
      <c r="E1441">
        <f t="shared" si="198"/>
        <v>5</v>
      </c>
      <c r="F1441">
        <v>34</v>
      </c>
      <c r="G1441" t="s">
        <v>46</v>
      </c>
      <c r="H1441" t="s">
        <v>29</v>
      </c>
      <c r="I1441" t="s">
        <v>71</v>
      </c>
      <c r="J1441" t="s">
        <v>31</v>
      </c>
      <c r="K1441" t="s">
        <v>22</v>
      </c>
      <c r="L1441">
        <v>130.96</v>
      </c>
      <c r="M1441" t="s">
        <v>115</v>
      </c>
      <c r="N1441">
        <f t="shared" si="199"/>
        <v>0</v>
      </c>
      <c r="O1441" t="s">
        <v>86</v>
      </c>
      <c r="P1441" t="s">
        <v>2569</v>
      </c>
      <c r="Q1441">
        <v>0</v>
      </c>
      <c r="R1441">
        <v>157</v>
      </c>
      <c r="S1441">
        <f t="shared" si="200"/>
        <v>-0.60435832867004258</v>
      </c>
      <c r="T1441">
        <f t="shared" si="201"/>
        <v>0</v>
      </c>
      <c r="U1441">
        <f t="shared" si="202"/>
        <v>1</v>
      </c>
      <c r="V1441">
        <f t="shared" si="203"/>
        <v>1</v>
      </c>
      <c r="W1441">
        <f t="shared" si="204"/>
        <v>3</v>
      </c>
      <c r="X1441">
        <f t="shared" si="205"/>
        <v>0</v>
      </c>
      <c r="Y1441">
        <f t="shared" si="206"/>
        <v>0</v>
      </c>
    </row>
    <row r="1442" spans="1:25" x14ac:dyDescent="0.3">
      <c r="A1442" t="s">
        <v>1592</v>
      </c>
      <c r="B1442" t="s">
        <v>1593</v>
      </c>
      <c r="C1442" s="1">
        <v>45782</v>
      </c>
      <c r="D1442" s="3">
        <v>0.3671875</v>
      </c>
      <c r="E1442">
        <f t="shared" si="198"/>
        <v>8</v>
      </c>
      <c r="F1442">
        <v>19</v>
      </c>
      <c r="G1442" t="s">
        <v>28</v>
      </c>
      <c r="H1442" t="s">
        <v>61</v>
      </c>
      <c r="I1442" t="s">
        <v>71</v>
      </c>
      <c r="J1442" t="s">
        <v>40</v>
      </c>
      <c r="K1442" t="s">
        <v>50</v>
      </c>
      <c r="L1442">
        <v>130.94</v>
      </c>
      <c r="M1442" t="s">
        <v>115</v>
      </c>
      <c r="N1442">
        <f t="shared" si="199"/>
        <v>0</v>
      </c>
      <c r="O1442" t="s">
        <v>24</v>
      </c>
      <c r="P1442" t="s">
        <v>1594</v>
      </c>
      <c r="Q1442">
        <v>0</v>
      </c>
      <c r="R1442">
        <v>60</v>
      </c>
      <c r="S1442">
        <f t="shared" si="200"/>
        <v>-0.60463521385956454</v>
      </c>
      <c r="T1442">
        <f t="shared" si="201"/>
        <v>0</v>
      </c>
      <c r="U1442">
        <f t="shared" si="202"/>
        <v>0</v>
      </c>
      <c r="V1442">
        <f t="shared" si="203"/>
        <v>1</v>
      </c>
      <c r="W1442">
        <f t="shared" si="204"/>
        <v>1</v>
      </c>
      <c r="X1442">
        <f t="shared" si="205"/>
        <v>0</v>
      </c>
      <c r="Y1442">
        <f t="shared" si="206"/>
        <v>0</v>
      </c>
    </row>
    <row r="1443" spans="1:25" x14ac:dyDescent="0.3">
      <c r="A1443" t="s">
        <v>4547</v>
      </c>
      <c r="B1443" t="s">
        <v>4548</v>
      </c>
      <c r="C1443" s="1">
        <v>45815</v>
      </c>
      <c r="D1443" s="3">
        <v>0.51778935185185182</v>
      </c>
      <c r="E1443">
        <f t="shared" si="198"/>
        <v>12</v>
      </c>
      <c r="F1443">
        <v>43</v>
      </c>
      <c r="G1443" t="s">
        <v>46</v>
      </c>
      <c r="H1443" t="s">
        <v>142</v>
      </c>
      <c r="I1443" t="s">
        <v>48</v>
      </c>
      <c r="J1443" t="s">
        <v>132</v>
      </c>
      <c r="K1443" t="s">
        <v>95</v>
      </c>
      <c r="L1443">
        <v>130.88</v>
      </c>
      <c r="M1443" t="s">
        <v>42</v>
      </c>
      <c r="N1443">
        <f t="shared" si="199"/>
        <v>0</v>
      </c>
      <c r="O1443" t="s">
        <v>86</v>
      </c>
      <c r="P1443" t="s">
        <v>4549</v>
      </c>
      <c r="Q1443">
        <v>1</v>
      </c>
      <c r="R1443">
        <v>151</v>
      </c>
      <c r="S1443">
        <f t="shared" si="200"/>
        <v>-0.60546586942813008</v>
      </c>
      <c r="T1443">
        <f t="shared" si="201"/>
        <v>0</v>
      </c>
      <c r="U1443">
        <f t="shared" si="202"/>
        <v>0</v>
      </c>
      <c r="V1443">
        <f t="shared" si="203"/>
        <v>1</v>
      </c>
      <c r="W1443">
        <f t="shared" si="204"/>
        <v>1</v>
      </c>
      <c r="X1443">
        <f t="shared" si="205"/>
        <v>0</v>
      </c>
      <c r="Y1443">
        <f t="shared" si="206"/>
        <v>0</v>
      </c>
    </row>
    <row r="1444" spans="1:25" x14ac:dyDescent="0.3">
      <c r="A1444" t="s">
        <v>6236</v>
      </c>
      <c r="B1444" t="s">
        <v>6237</v>
      </c>
      <c r="C1444" s="1">
        <v>45819</v>
      </c>
      <c r="D1444" s="3">
        <v>0.35144675925925928</v>
      </c>
      <c r="E1444">
        <f t="shared" si="198"/>
        <v>8</v>
      </c>
      <c r="F1444">
        <v>33</v>
      </c>
      <c r="G1444" t="s">
        <v>46</v>
      </c>
      <c r="H1444" t="s">
        <v>175</v>
      </c>
      <c r="I1444" t="s">
        <v>66</v>
      </c>
      <c r="J1444" t="s">
        <v>56</v>
      </c>
      <c r="K1444" t="s">
        <v>41</v>
      </c>
      <c r="L1444">
        <v>130.86000000000001</v>
      </c>
      <c r="M1444" t="s">
        <v>23</v>
      </c>
      <c r="N1444">
        <f t="shared" si="199"/>
        <v>0</v>
      </c>
      <c r="O1444" t="s">
        <v>51</v>
      </c>
      <c r="P1444" t="s">
        <v>6238</v>
      </c>
      <c r="Q1444">
        <v>0</v>
      </c>
      <c r="R1444">
        <v>472</v>
      </c>
      <c r="S1444">
        <f t="shared" si="200"/>
        <v>-0.6057427546176517</v>
      </c>
      <c r="T1444">
        <f t="shared" si="201"/>
        <v>0</v>
      </c>
      <c r="U1444">
        <f t="shared" si="202"/>
        <v>0</v>
      </c>
      <c r="V1444">
        <f t="shared" si="203"/>
        <v>0</v>
      </c>
      <c r="W1444">
        <f t="shared" si="204"/>
        <v>0</v>
      </c>
      <c r="X1444">
        <f t="shared" si="205"/>
        <v>0</v>
      </c>
      <c r="Y1444">
        <f t="shared" si="206"/>
        <v>0</v>
      </c>
    </row>
    <row r="1445" spans="1:25" x14ac:dyDescent="0.3">
      <c r="A1445" t="s">
        <v>5534</v>
      </c>
      <c r="B1445" t="s">
        <v>5535</v>
      </c>
      <c r="C1445" s="1">
        <v>45787</v>
      </c>
      <c r="D1445" s="3">
        <v>0.64944444444444449</v>
      </c>
      <c r="E1445">
        <f t="shared" si="198"/>
        <v>15</v>
      </c>
      <c r="F1445">
        <v>29</v>
      </c>
      <c r="G1445" t="s">
        <v>6479</v>
      </c>
      <c r="H1445" t="s">
        <v>19</v>
      </c>
      <c r="I1445" t="s">
        <v>39</v>
      </c>
      <c r="J1445" t="s">
        <v>21</v>
      </c>
      <c r="K1445" t="s">
        <v>101</v>
      </c>
      <c r="L1445">
        <v>130.66999999999999</v>
      </c>
      <c r="M1445" t="s">
        <v>115</v>
      </c>
      <c r="N1445">
        <f t="shared" si="199"/>
        <v>0</v>
      </c>
      <c r="O1445" t="s">
        <v>51</v>
      </c>
      <c r="P1445" t="s">
        <v>5536</v>
      </c>
      <c r="Q1445">
        <v>0</v>
      </c>
      <c r="R1445">
        <v>269</v>
      </c>
      <c r="S1445">
        <f t="shared" si="200"/>
        <v>-0.60837316391810958</v>
      </c>
      <c r="T1445">
        <f t="shared" si="201"/>
        <v>0</v>
      </c>
      <c r="U1445">
        <f t="shared" si="202"/>
        <v>0</v>
      </c>
      <c r="V1445">
        <f t="shared" si="203"/>
        <v>1</v>
      </c>
      <c r="W1445">
        <f t="shared" si="204"/>
        <v>1</v>
      </c>
      <c r="X1445">
        <f t="shared" si="205"/>
        <v>0</v>
      </c>
      <c r="Y1445">
        <f t="shared" si="206"/>
        <v>0</v>
      </c>
    </row>
    <row r="1446" spans="1:25" x14ac:dyDescent="0.3">
      <c r="A1446" t="s">
        <v>5465</v>
      </c>
      <c r="B1446" t="s">
        <v>5466</v>
      </c>
      <c r="C1446" s="1">
        <v>45723</v>
      </c>
      <c r="D1446" s="3">
        <v>8.2511574074074071E-2</v>
      </c>
      <c r="E1446">
        <f t="shared" si="198"/>
        <v>1</v>
      </c>
      <c r="F1446">
        <v>28</v>
      </c>
      <c r="G1446" t="s">
        <v>18</v>
      </c>
      <c r="H1446" t="s">
        <v>167</v>
      </c>
      <c r="I1446" t="s">
        <v>20</v>
      </c>
      <c r="J1446" t="s">
        <v>72</v>
      </c>
      <c r="K1446" t="s">
        <v>62</v>
      </c>
      <c r="L1446">
        <v>130.63999999999999</v>
      </c>
      <c r="M1446" t="s">
        <v>33</v>
      </c>
      <c r="N1446">
        <f t="shared" si="199"/>
        <v>0</v>
      </c>
      <c r="O1446" t="s">
        <v>34</v>
      </c>
      <c r="P1446" t="s">
        <v>5467</v>
      </c>
      <c r="Q1446">
        <v>0</v>
      </c>
      <c r="R1446">
        <v>278</v>
      </c>
      <c r="S1446">
        <f t="shared" si="200"/>
        <v>-0.60878849170239246</v>
      </c>
      <c r="T1446">
        <f t="shared" si="201"/>
        <v>0</v>
      </c>
      <c r="U1446">
        <f t="shared" si="202"/>
        <v>1</v>
      </c>
      <c r="V1446">
        <f t="shared" si="203"/>
        <v>0</v>
      </c>
      <c r="W1446">
        <f t="shared" si="204"/>
        <v>2</v>
      </c>
      <c r="X1446">
        <f t="shared" si="205"/>
        <v>0</v>
      </c>
      <c r="Y1446">
        <f t="shared" si="206"/>
        <v>0</v>
      </c>
    </row>
    <row r="1447" spans="1:25" x14ac:dyDescent="0.3">
      <c r="A1447" t="s">
        <v>314</v>
      </c>
      <c r="B1447" t="s">
        <v>315</v>
      </c>
      <c r="C1447" s="1">
        <v>45873</v>
      </c>
      <c r="D1447" s="3">
        <v>0.12729166666666666</v>
      </c>
      <c r="E1447">
        <f t="shared" si="198"/>
        <v>3</v>
      </c>
      <c r="F1447">
        <v>31</v>
      </c>
      <c r="G1447" t="s">
        <v>18</v>
      </c>
      <c r="H1447" t="s">
        <v>29</v>
      </c>
      <c r="I1447" t="s">
        <v>39</v>
      </c>
      <c r="J1447" t="s">
        <v>49</v>
      </c>
      <c r="K1447" t="s">
        <v>114</v>
      </c>
      <c r="L1447">
        <v>130.57</v>
      </c>
      <c r="M1447" t="s">
        <v>23</v>
      </c>
      <c r="N1447">
        <f t="shared" si="199"/>
        <v>0</v>
      </c>
      <c r="O1447" t="s">
        <v>24</v>
      </c>
      <c r="P1447" t="s">
        <v>316</v>
      </c>
      <c r="Q1447">
        <v>0</v>
      </c>
      <c r="R1447">
        <v>476</v>
      </c>
      <c r="S1447">
        <f t="shared" si="200"/>
        <v>-0.60975758986571882</v>
      </c>
      <c r="T1447">
        <f t="shared" si="201"/>
        <v>0</v>
      </c>
      <c r="U1447">
        <f t="shared" si="202"/>
        <v>1</v>
      </c>
      <c r="V1447">
        <f t="shared" si="203"/>
        <v>0</v>
      </c>
      <c r="W1447">
        <f t="shared" si="204"/>
        <v>2</v>
      </c>
      <c r="X1447">
        <f t="shared" si="205"/>
        <v>0</v>
      </c>
      <c r="Y1447">
        <f t="shared" si="206"/>
        <v>0</v>
      </c>
    </row>
    <row r="1448" spans="1:25" x14ac:dyDescent="0.3">
      <c r="A1448" t="s">
        <v>1022</v>
      </c>
      <c r="B1448" t="s">
        <v>1023</v>
      </c>
      <c r="C1448" s="1">
        <v>45850</v>
      </c>
      <c r="D1448" s="3">
        <v>0.32266203703703705</v>
      </c>
      <c r="E1448">
        <f t="shared" si="198"/>
        <v>7</v>
      </c>
      <c r="F1448">
        <v>24</v>
      </c>
      <c r="G1448" t="s">
        <v>46</v>
      </c>
      <c r="H1448" t="s">
        <v>175</v>
      </c>
      <c r="I1448" t="s">
        <v>48</v>
      </c>
      <c r="J1448" t="s">
        <v>132</v>
      </c>
      <c r="K1448" t="s">
        <v>114</v>
      </c>
      <c r="L1448">
        <v>130.34</v>
      </c>
      <c r="M1448" t="s">
        <v>6479</v>
      </c>
      <c r="N1448">
        <f t="shared" si="199"/>
        <v>1</v>
      </c>
      <c r="O1448" t="s">
        <v>86</v>
      </c>
      <c r="P1448" t="s">
        <v>1024</v>
      </c>
      <c r="Q1448">
        <v>0</v>
      </c>
      <c r="R1448">
        <v>215</v>
      </c>
      <c r="S1448">
        <f t="shared" si="200"/>
        <v>-0.61294176954521995</v>
      </c>
      <c r="T1448">
        <f t="shared" si="201"/>
        <v>0</v>
      </c>
      <c r="U1448">
        <f t="shared" si="202"/>
        <v>0</v>
      </c>
      <c r="V1448">
        <f t="shared" si="203"/>
        <v>1</v>
      </c>
      <c r="W1448">
        <f t="shared" si="204"/>
        <v>3</v>
      </c>
      <c r="X1448">
        <f t="shared" si="205"/>
        <v>0</v>
      </c>
      <c r="Y1448">
        <f t="shared" si="206"/>
        <v>1</v>
      </c>
    </row>
    <row r="1449" spans="1:25" x14ac:dyDescent="0.3">
      <c r="A1449" t="s">
        <v>1199</v>
      </c>
      <c r="B1449" t="s">
        <v>1200</v>
      </c>
      <c r="C1449" s="1">
        <v>45735</v>
      </c>
      <c r="D1449" s="3">
        <v>0.92366898148148147</v>
      </c>
      <c r="E1449">
        <f t="shared" si="198"/>
        <v>22</v>
      </c>
      <c r="F1449">
        <v>39</v>
      </c>
      <c r="G1449" t="s">
        <v>18</v>
      </c>
      <c r="H1449" t="s">
        <v>38</v>
      </c>
      <c r="I1449" t="s">
        <v>30</v>
      </c>
      <c r="J1449" t="s">
        <v>56</v>
      </c>
      <c r="K1449" t="s">
        <v>32</v>
      </c>
      <c r="L1449">
        <v>130.31</v>
      </c>
      <c r="M1449" t="s">
        <v>115</v>
      </c>
      <c r="N1449">
        <f t="shared" si="199"/>
        <v>0</v>
      </c>
      <c r="O1449" t="s">
        <v>51</v>
      </c>
      <c r="P1449" t="s">
        <v>1201</v>
      </c>
      <c r="Q1449">
        <v>0</v>
      </c>
      <c r="R1449">
        <v>79</v>
      </c>
      <c r="S1449">
        <f t="shared" si="200"/>
        <v>-0.61335709732950272</v>
      </c>
      <c r="T1449">
        <f t="shared" si="201"/>
        <v>0</v>
      </c>
      <c r="U1449">
        <f t="shared" si="202"/>
        <v>0</v>
      </c>
      <c r="V1449">
        <f t="shared" si="203"/>
        <v>1</v>
      </c>
      <c r="W1449">
        <f t="shared" si="204"/>
        <v>1</v>
      </c>
      <c r="X1449">
        <f t="shared" si="205"/>
        <v>0</v>
      </c>
      <c r="Y1449">
        <f t="shared" si="206"/>
        <v>0</v>
      </c>
    </row>
    <row r="1450" spans="1:25" x14ac:dyDescent="0.3">
      <c r="A1450" t="s">
        <v>527</v>
      </c>
      <c r="B1450" t="s">
        <v>528</v>
      </c>
      <c r="C1450" s="1">
        <v>45876</v>
      </c>
      <c r="D1450" s="3">
        <v>0.40640046296296295</v>
      </c>
      <c r="E1450">
        <f t="shared" si="198"/>
        <v>9</v>
      </c>
      <c r="F1450">
        <v>56</v>
      </c>
      <c r="G1450" t="s">
        <v>46</v>
      </c>
      <c r="H1450" t="s">
        <v>47</v>
      </c>
      <c r="I1450" t="s">
        <v>20</v>
      </c>
      <c r="J1450" t="s">
        <v>49</v>
      </c>
      <c r="K1450" t="s">
        <v>22</v>
      </c>
      <c r="L1450">
        <v>130.26</v>
      </c>
      <c r="M1450" t="s">
        <v>23</v>
      </c>
      <c r="N1450">
        <f t="shared" si="199"/>
        <v>0</v>
      </c>
      <c r="O1450" t="s">
        <v>34</v>
      </c>
      <c r="P1450" t="s">
        <v>529</v>
      </c>
      <c r="Q1450">
        <v>0</v>
      </c>
      <c r="R1450">
        <v>136</v>
      </c>
      <c r="S1450">
        <f t="shared" si="200"/>
        <v>-0.61404931030330745</v>
      </c>
      <c r="T1450">
        <f t="shared" si="201"/>
        <v>0</v>
      </c>
      <c r="U1450">
        <f t="shared" si="202"/>
        <v>0</v>
      </c>
      <c r="V1450">
        <f t="shared" si="203"/>
        <v>1</v>
      </c>
      <c r="W1450">
        <f t="shared" si="204"/>
        <v>1</v>
      </c>
      <c r="X1450">
        <f t="shared" si="205"/>
        <v>0</v>
      </c>
      <c r="Y1450">
        <f t="shared" si="206"/>
        <v>0</v>
      </c>
    </row>
    <row r="1451" spans="1:25" x14ac:dyDescent="0.3">
      <c r="A1451" t="s">
        <v>3542</v>
      </c>
      <c r="B1451" t="s">
        <v>3543</v>
      </c>
      <c r="C1451" s="1">
        <v>45800</v>
      </c>
      <c r="D1451" s="3">
        <v>0.69112268518518516</v>
      </c>
      <c r="E1451">
        <f t="shared" si="198"/>
        <v>16</v>
      </c>
      <c r="F1451">
        <v>29</v>
      </c>
      <c r="G1451" t="s">
        <v>18</v>
      </c>
      <c r="H1451" t="s">
        <v>90</v>
      </c>
      <c r="I1451" t="s">
        <v>105</v>
      </c>
      <c r="J1451" t="s">
        <v>40</v>
      </c>
      <c r="K1451" t="s">
        <v>32</v>
      </c>
      <c r="L1451">
        <v>130.22</v>
      </c>
      <c r="M1451" t="s">
        <v>42</v>
      </c>
      <c r="N1451">
        <f t="shared" si="199"/>
        <v>0</v>
      </c>
      <c r="O1451" t="s">
        <v>24</v>
      </c>
      <c r="P1451" t="s">
        <v>3544</v>
      </c>
      <c r="Q1451">
        <v>1</v>
      </c>
      <c r="R1451">
        <v>363</v>
      </c>
      <c r="S1451">
        <f t="shared" si="200"/>
        <v>-0.61460308068235103</v>
      </c>
      <c r="T1451">
        <f t="shared" si="201"/>
        <v>0</v>
      </c>
      <c r="U1451">
        <f t="shared" si="202"/>
        <v>0</v>
      </c>
      <c r="V1451">
        <f t="shared" si="203"/>
        <v>0</v>
      </c>
      <c r="W1451">
        <f t="shared" si="204"/>
        <v>0</v>
      </c>
      <c r="X1451">
        <f t="shared" si="205"/>
        <v>0</v>
      </c>
      <c r="Y1451">
        <f t="shared" si="206"/>
        <v>0</v>
      </c>
    </row>
    <row r="1452" spans="1:25" x14ac:dyDescent="0.3">
      <c r="A1452" t="s">
        <v>401</v>
      </c>
      <c r="B1452" t="s">
        <v>402</v>
      </c>
      <c r="C1452" s="1">
        <v>45847</v>
      </c>
      <c r="D1452" s="3">
        <v>4.3078703703703702E-2</v>
      </c>
      <c r="E1452">
        <f t="shared" si="198"/>
        <v>1</v>
      </c>
      <c r="F1452">
        <v>52</v>
      </c>
      <c r="G1452" t="s">
        <v>60</v>
      </c>
      <c r="H1452" t="s">
        <v>175</v>
      </c>
      <c r="I1452" t="s">
        <v>71</v>
      </c>
      <c r="J1452" t="s">
        <v>94</v>
      </c>
      <c r="K1452" t="s">
        <v>32</v>
      </c>
      <c r="L1452">
        <v>130.16999999999999</v>
      </c>
      <c r="M1452" t="s">
        <v>115</v>
      </c>
      <c r="N1452">
        <f t="shared" si="199"/>
        <v>0</v>
      </c>
      <c r="O1452" t="s">
        <v>51</v>
      </c>
      <c r="P1452" t="s">
        <v>403</v>
      </c>
      <c r="Q1452">
        <v>0</v>
      </c>
      <c r="R1452">
        <v>102</v>
      </c>
      <c r="S1452">
        <f t="shared" si="200"/>
        <v>-0.61529529365615587</v>
      </c>
      <c r="T1452">
        <f t="shared" si="201"/>
        <v>0</v>
      </c>
      <c r="U1452">
        <f t="shared" si="202"/>
        <v>1</v>
      </c>
      <c r="V1452">
        <f t="shared" si="203"/>
        <v>1</v>
      </c>
      <c r="W1452">
        <f t="shared" si="204"/>
        <v>3</v>
      </c>
      <c r="X1452">
        <f t="shared" si="205"/>
        <v>0</v>
      </c>
      <c r="Y1452">
        <f t="shared" si="206"/>
        <v>0</v>
      </c>
    </row>
    <row r="1453" spans="1:25" x14ac:dyDescent="0.3">
      <c r="A1453" t="s">
        <v>2843</v>
      </c>
      <c r="B1453" t="s">
        <v>2844</v>
      </c>
      <c r="C1453" s="1">
        <v>45718</v>
      </c>
      <c r="D1453" s="3">
        <v>0.17333333333333334</v>
      </c>
      <c r="E1453">
        <f t="shared" si="198"/>
        <v>4</v>
      </c>
      <c r="F1453">
        <v>56</v>
      </c>
      <c r="G1453" t="s">
        <v>60</v>
      </c>
      <c r="H1453" t="s">
        <v>19</v>
      </c>
      <c r="I1453" t="s">
        <v>110</v>
      </c>
      <c r="J1453" t="s">
        <v>76</v>
      </c>
      <c r="K1453" t="s">
        <v>95</v>
      </c>
      <c r="L1453">
        <v>130.01</v>
      </c>
      <c r="M1453" t="s">
        <v>33</v>
      </c>
      <c r="N1453">
        <f t="shared" si="199"/>
        <v>0</v>
      </c>
      <c r="O1453" t="s">
        <v>86</v>
      </c>
      <c r="P1453" t="s">
        <v>2845</v>
      </c>
      <c r="Q1453">
        <v>0</v>
      </c>
      <c r="R1453">
        <v>339</v>
      </c>
      <c r="S1453">
        <f t="shared" si="200"/>
        <v>-0.61751037517233065</v>
      </c>
      <c r="T1453">
        <f t="shared" si="201"/>
        <v>0</v>
      </c>
      <c r="U1453">
        <f t="shared" si="202"/>
        <v>1</v>
      </c>
      <c r="V1453">
        <f t="shared" si="203"/>
        <v>0</v>
      </c>
      <c r="W1453">
        <f t="shared" si="204"/>
        <v>2</v>
      </c>
      <c r="X1453">
        <f t="shared" si="205"/>
        <v>0</v>
      </c>
      <c r="Y1453">
        <f t="shared" si="206"/>
        <v>0</v>
      </c>
    </row>
    <row r="1454" spans="1:25" x14ac:dyDescent="0.3">
      <c r="A1454" t="s">
        <v>3152</v>
      </c>
      <c r="B1454" t="s">
        <v>3153</v>
      </c>
      <c r="C1454" s="1">
        <v>45760</v>
      </c>
      <c r="D1454" s="3">
        <v>0.89204861111111111</v>
      </c>
      <c r="E1454">
        <f t="shared" si="198"/>
        <v>21</v>
      </c>
      <c r="F1454">
        <v>19</v>
      </c>
      <c r="G1454" t="s">
        <v>28</v>
      </c>
      <c r="H1454" t="s">
        <v>47</v>
      </c>
      <c r="I1454" t="s">
        <v>110</v>
      </c>
      <c r="J1454" t="s">
        <v>40</v>
      </c>
      <c r="K1454" t="s">
        <v>32</v>
      </c>
      <c r="L1454">
        <v>129.81</v>
      </c>
      <c r="M1454" t="s">
        <v>115</v>
      </c>
      <c r="N1454">
        <f t="shared" si="199"/>
        <v>0</v>
      </c>
      <c r="O1454" t="s">
        <v>51</v>
      </c>
      <c r="P1454" t="s">
        <v>3154</v>
      </c>
      <c r="Q1454">
        <v>0</v>
      </c>
      <c r="R1454">
        <v>147</v>
      </c>
      <c r="S1454">
        <f t="shared" si="200"/>
        <v>-0.6202792270675489</v>
      </c>
      <c r="T1454">
        <f t="shared" si="201"/>
        <v>0</v>
      </c>
      <c r="U1454">
        <f t="shared" si="202"/>
        <v>0</v>
      </c>
      <c r="V1454">
        <f t="shared" si="203"/>
        <v>1</v>
      </c>
      <c r="W1454">
        <f t="shared" si="204"/>
        <v>1</v>
      </c>
      <c r="X1454">
        <f t="shared" si="205"/>
        <v>0</v>
      </c>
      <c r="Y1454">
        <f t="shared" si="206"/>
        <v>0</v>
      </c>
    </row>
    <row r="1455" spans="1:25" x14ac:dyDescent="0.3">
      <c r="A1455" t="s">
        <v>2081</v>
      </c>
      <c r="B1455" t="s">
        <v>2082</v>
      </c>
      <c r="C1455" s="1">
        <v>45801</v>
      </c>
      <c r="D1455" s="3">
        <v>0.12461805555555555</v>
      </c>
      <c r="E1455">
        <f t="shared" si="198"/>
        <v>2</v>
      </c>
      <c r="F1455">
        <v>42</v>
      </c>
      <c r="G1455" t="s">
        <v>46</v>
      </c>
      <c r="H1455" t="s">
        <v>29</v>
      </c>
      <c r="I1455" t="s">
        <v>105</v>
      </c>
      <c r="J1455" t="s">
        <v>72</v>
      </c>
      <c r="K1455" t="s">
        <v>41</v>
      </c>
      <c r="L1455">
        <v>129.66999999999999</v>
      </c>
      <c r="M1455" t="s">
        <v>42</v>
      </c>
      <c r="N1455">
        <f t="shared" si="199"/>
        <v>0</v>
      </c>
      <c r="O1455" t="s">
        <v>34</v>
      </c>
      <c r="P1455" t="s">
        <v>2083</v>
      </c>
      <c r="Q1455">
        <v>0</v>
      </c>
      <c r="R1455">
        <v>63</v>
      </c>
      <c r="S1455">
        <f t="shared" si="200"/>
        <v>-0.62221742339420205</v>
      </c>
      <c r="T1455">
        <f t="shared" si="201"/>
        <v>0</v>
      </c>
      <c r="U1455">
        <f t="shared" si="202"/>
        <v>1</v>
      </c>
      <c r="V1455">
        <f t="shared" si="203"/>
        <v>1</v>
      </c>
      <c r="W1455">
        <f t="shared" si="204"/>
        <v>3</v>
      </c>
      <c r="X1455">
        <f t="shared" si="205"/>
        <v>0</v>
      </c>
      <c r="Y1455">
        <f t="shared" si="206"/>
        <v>0</v>
      </c>
    </row>
    <row r="1456" spans="1:25" x14ac:dyDescent="0.3">
      <c r="A1456" t="s">
        <v>722</v>
      </c>
      <c r="B1456" t="s">
        <v>723</v>
      </c>
      <c r="C1456" s="1">
        <v>45814</v>
      </c>
      <c r="D1456" s="3">
        <v>0.9509143518518518</v>
      </c>
      <c r="E1456">
        <f t="shared" si="198"/>
        <v>22</v>
      </c>
      <c r="F1456">
        <v>18</v>
      </c>
      <c r="G1456" t="s">
        <v>28</v>
      </c>
      <c r="H1456" t="s">
        <v>239</v>
      </c>
      <c r="I1456" t="s">
        <v>110</v>
      </c>
      <c r="J1456" t="s">
        <v>72</v>
      </c>
      <c r="K1456" t="s">
        <v>101</v>
      </c>
      <c r="L1456">
        <v>129.65</v>
      </c>
      <c r="M1456" t="s">
        <v>42</v>
      </c>
      <c r="N1456">
        <f t="shared" si="199"/>
        <v>0</v>
      </c>
      <c r="O1456" t="s">
        <v>86</v>
      </c>
      <c r="P1456" t="s">
        <v>724</v>
      </c>
      <c r="Q1456">
        <v>0</v>
      </c>
      <c r="R1456">
        <v>437</v>
      </c>
      <c r="S1456">
        <f t="shared" si="200"/>
        <v>-0.62249430858372368</v>
      </c>
      <c r="T1456">
        <f t="shared" si="201"/>
        <v>0</v>
      </c>
      <c r="U1456">
        <f t="shared" si="202"/>
        <v>0</v>
      </c>
      <c r="V1456">
        <f t="shared" si="203"/>
        <v>0</v>
      </c>
      <c r="W1456">
        <f t="shared" si="204"/>
        <v>0</v>
      </c>
      <c r="X1456">
        <f t="shared" si="205"/>
        <v>0</v>
      </c>
      <c r="Y1456">
        <f t="shared" si="206"/>
        <v>0</v>
      </c>
    </row>
    <row r="1457" spans="1:25" x14ac:dyDescent="0.3">
      <c r="A1457" t="s">
        <v>3572</v>
      </c>
      <c r="B1457" t="s">
        <v>3573</v>
      </c>
      <c r="C1457" s="1">
        <v>45740</v>
      </c>
      <c r="D1457" s="3">
        <v>0.49560185185185185</v>
      </c>
      <c r="E1457">
        <f t="shared" si="198"/>
        <v>11</v>
      </c>
      <c r="F1457">
        <v>29</v>
      </c>
      <c r="G1457" t="s">
        <v>46</v>
      </c>
      <c r="H1457" t="s">
        <v>19</v>
      </c>
      <c r="I1457" t="s">
        <v>119</v>
      </c>
      <c r="J1457" t="s">
        <v>76</v>
      </c>
      <c r="K1457" t="s">
        <v>114</v>
      </c>
      <c r="L1457">
        <v>129.58000000000001</v>
      </c>
      <c r="M1457" t="s">
        <v>33</v>
      </c>
      <c r="N1457">
        <f t="shared" si="199"/>
        <v>0</v>
      </c>
      <c r="O1457" t="s">
        <v>51</v>
      </c>
      <c r="P1457" t="s">
        <v>3574</v>
      </c>
      <c r="Q1457">
        <v>0</v>
      </c>
      <c r="R1457">
        <v>61</v>
      </c>
      <c r="S1457">
        <f t="shared" si="200"/>
        <v>-0.62346340674705003</v>
      </c>
      <c r="T1457">
        <f t="shared" si="201"/>
        <v>0</v>
      </c>
      <c r="U1457">
        <f t="shared" si="202"/>
        <v>0</v>
      </c>
      <c r="V1457">
        <f t="shared" si="203"/>
        <v>1</v>
      </c>
      <c r="W1457">
        <f t="shared" si="204"/>
        <v>1</v>
      </c>
      <c r="X1457">
        <f t="shared" si="205"/>
        <v>0</v>
      </c>
      <c r="Y1457">
        <f t="shared" si="206"/>
        <v>0</v>
      </c>
    </row>
    <row r="1458" spans="1:25" x14ac:dyDescent="0.3">
      <c r="A1458" t="s">
        <v>6071</v>
      </c>
      <c r="B1458" t="s">
        <v>6072</v>
      </c>
      <c r="C1458" s="1">
        <v>45763</v>
      </c>
      <c r="D1458" s="3">
        <v>9.6180555555555561E-2</v>
      </c>
      <c r="E1458">
        <f t="shared" si="198"/>
        <v>2</v>
      </c>
      <c r="F1458">
        <v>23</v>
      </c>
      <c r="G1458" t="s">
        <v>18</v>
      </c>
      <c r="H1458" t="s">
        <v>142</v>
      </c>
      <c r="I1458" t="s">
        <v>30</v>
      </c>
      <c r="J1458" t="s">
        <v>21</v>
      </c>
      <c r="K1458" t="s">
        <v>101</v>
      </c>
      <c r="L1458">
        <v>129.57</v>
      </c>
      <c r="M1458" t="s">
        <v>23</v>
      </c>
      <c r="N1458">
        <f t="shared" si="199"/>
        <v>0</v>
      </c>
      <c r="O1458" t="s">
        <v>51</v>
      </c>
      <c r="P1458" t="s">
        <v>6073</v>
      </c>
      <c r="Q1458">
        <v>0</v>
      </c>
      <c r="R1458">
        <v>60</v>
      </c>
      <c r="S1458">
        <f t="shared" si="200"/>
        <v>-0.62360184934181129</v>
      </c>
      <c r="T1458">
        <f t="shared" si="201"/>
        <v>0</v>
      </c>
      <c r="U1458">
        <f t="shared" si="202"/>
        <v>1</v>
      </c>
      <c r="V1458">
        <f t="shared" si="203"/>
        <v>1</v>
      </c>
      <c r="W1458">
        <f t="shared" si="204"/>
        <v>3</v>
      </c>
      <c r="X1458">
        <f t="shared" si="205"/>
        <v>0</v>
      </c>
      <c r="Y1458">
        <f t="shared" si="206"/>
        <v>0</v>
      </c>
    </row>
    <row r="1459" spans="1:25" x14ac:dyDescent="0.3">
      <c r="A1459" t="s">
        <v>4532</v>
      </c>
      <c r="B1459" t="s">
        <v>4533</v>
      </c>
      <c r="C1459" s="1">
        <v>45804</v>
      </c>
      <c r="D1459" s="3">
        <v>0.31886574074074076</v>
      </c>
      <c r="E1459">
        <f t="shared" si="198"/>
        <v>7</v>
      </c>
      <c r="F1459" s="4">
        <v>41</v>
      </c>
      <c r="G1459" t="s">
        <v>46</v>
      </c>
      <c r="H1459" t="s">
        <v>239</v>
      </c>
      <c r="I1459" t="s">
        <v>48</v>
      </c>
      <c r="J1459" t="s">
        <v>94</v>
      </c>
      <c r="K1459" t="s">
        <v>41</v>
      </c>
      <c r="L1459">
        <v>129.53</v>
      </c>
      <c r="M1459" t="s">
        <v>33</v>
      </c>
      <c r="N1459">
        <f t="shared" si="199"/>
        <v>0</v>
      </c>
      <c r="O1459" t="s">
        <v>51</v>
      </c>
      <c r="P1459" t="s">
        <v>4534</v>
      </c>
      <c r="Q1459">
        <v>0</v>
      </c>
      <c r="R1459">
        <v>78</v>
      </c>
      <c r="S1459">
        <f t="shared" si="200"/>
        <v>-0.62415561972085487</v>
      </c>
      <c r="T1459">
        <f t="shared" si="201"/>
        <v>0</v>
      </c>
      <c r="U1459">
        <f t="shared" si="202"/>
        <v>0</v>
      </c>
      <c r="V1459">
        <f t="shared" si="203"/>
        <v>1</v>
      </c>
      <c r="W1459">
        <f t="shared" si="204"/>
        <v>1</v>
      </c>
      <c r="X1459">
        <f t="shared" si="205"/>
        <v>0</v>
      </c>
      <c r="Y1459">
        <f t="shared" si="206"/>
        <v>0</v>
      </c>
    </row>
    <row r="1460" spans="1:25" x14ac:dyDescent="0.3">
      <c r="A1460" t="s">
        <v>5162</v>
      </c>
      <c r="B1460" t="s">
        <v>5163</v>
      </c>
      <c r="C1460" s="1">
        <v>45785</v>
      </c>
      <c r="D1460" s="3">
        <v>0.80693287037037043</v>
      </c>
      <c r="E1460">
        <f t="shared" si="198"/>
        <v>19</v>
      </c>
      <c r="F1460">
        <v>22</v>
      </c>
      <c r="G1460" t="s">
        <v>46</v>
      </c>
      <c r="H1460" t="s">
        <v>47</v>
      </c>
      <c r="I1460" t="s">
        <v>119</v>
      </c>
      <c r="J1460" t="s">
        <v>132</v>
      </c>
      <c r="K1460" t="s">
        <v>101</v>
      </c>
      <c r="L1460">
        <v>129.44</v>
      </c>
      <c r="M1460" t="s">
        <v>33</v>
      </c>
      <c r="N1460">
        <f t="shared" si="199"/>
        <v>0</v>
      </c>
      <c r="O1460" t="s">
        <v>34</v>
      </c>
      <c r="P1460" t="s">
        <v>5164</v>
      </c>
      <c r="Q1460">
        <v>0</v>
      </c>
      <c r="R1460">
        <v>465</v>
      </c>
      <c r="S1460">
        <f t="shared" si="200"/>
        <v>-0.62540160307370318</v>
      </c>
      <c r="T1460">
        <f t="shared" si="201"/>
        <v>0</v>
      </c>
      <c r="U1460">
        <f t="shared" si="202"/>
        <v>0</v>
      </c>
      <c r="V1460">
        <f t="shared" si="203"/>
        <v>0</v>
      </c>
      <c r="W1460">
        <f t="shared" si="204"/>
        <v>0</v>
      </c>
      <c r="X1460">
        <f t="shared" si="205"/>
        <v>0</v>
      </c>
      <c r="Y1460">
        <f t="shared" si="206"/>
        <v>0</v>
      </c>
    </row>
    <row r="1461" spans="1:25" x14ac:dyDescent="0.3">
      <c r="A1461" t="s">
        <v>1115</v>
      </c>
      <c r="B1461" t="s">
        <v>1116</v>
      </c>
      <c r="C1461" s="1">
        <v>45851</v>
      </c>
      <c r="D1461" s="3">
        <v>0.54783564814814811</v>
      </c>
      <c r="E1461">
        <f t="shared" ref="E1461:E1524" si="207">HOUR(D1461)</f>
        <v>13</v>
      </c>
      <c r="F1461">
        <v>47</v>
      </c>
      <c r="G1461" t="s">
        <v>60</v>
      </c>
      <c r="H1461" t="s">
        <v>55</v>
      </c>
      <c r="I1461" t="s">
        <v>20</v>
      </c>
      <c r="J1461" t="s">
        <v>127</v>
      </c>
      <c r="K1461" t="s">
        <v>95</v>
      </c>
      <c r="L1461">
        <v>129.38999999999999</v>
      </c>
      <c r="M1461" t="s">
        <v>115</v>
      </c>
      <c r="N1461">
        <f t="shared" si="199"/>
        <v>0</v>
      </c>
      <c r="O1461" t="s">
        <v>86</v>
      </c>
      <c r="P1461" t="s">
        <v>1117</v>
      </c>
      <c r="Q1461">
        <v>0</v>
      </c>
      <c r="R1461">
        <v>323</v>
      </c>
      <c r="S1461">
        <f t="shared" si="200"/>
        <v>-0.62609381604750802</v>
      </c>
      <c r="T1461">
        <f t="shared" si="201"/>
        <v>0</v>
      </c>
      <c r="U1461">
        <f t="shared" si="202"/>
        <v>0</v>
      </c>
      <c r="V1461">
        <f t="shared" si="203"/>
        <v>0</v>
      </c>
      <c r="W1461">
        <f t="shared" si="204"/>
        <v>0</v>
      </c>
      <c r="X1461">
        <f t="shared" si="205"/>
        <v>0</v>
      </c>
      <c r="Y1461">
        <f t="shared" si="206"/>
        <v>0</v>
      </c>
    </row>
    <row r="1462" spans="1:25" x14ac:dyDescent="0.3">
      <c r="A1462" t="s">
        <v>2504</v>
      </c>
      <c r="B1462" t="s">
        <v>2505</v>
      </c>
      <c r="C1462" s="1">
        <v>45770</v>
      </c>
      <c r="D1462" s="3">
        <v>0.22988425925925926</v>
      </c>
      <c r="E1462">
        <f t="shared" si="207"/>
        <v>5</v>
      </c>
      <c r="F1462">
        <v>51</v>
      </c>
      <c r="G1462" t="s">
        <v>18</v>
      </c>
      <c r="H1462" t="s">
        <v>61</v>
      </c>
      <c r="I1462" t="s">
        <v>105</v>
      </c>
      <c r="J1462" t="s">
        <v>56</v>
      </c>
      <c r="K1462" t="s">
        <v>95</v>
      </c>
      <c r="L1462">
        <v>129.34</v>
      </c>
      <c r="M1462" t="s">
        <v>42</v>
      </c>
      <c r="N1462">
        <f t="shared" si="199"/>
        <v>0</v>
      </c>
      <c r="O1462" t="s">
        <v>51</v>
      </c>
      <c r="P1462" t="s">
        <v>2506</v>
      </c>
      <c r="Q1462">
        <v>0</v>
      </c>
      <c r="R1462">
        <v>143</v>
      </c>
      <c r="S1462">
        <f t="shared" si="200"/>
        <v>-0.62678602902131242</v>
      </c>
      <c r="T1462">
        <f t="shared" si="201"/>
        <v>0</v>
      </c>
      <c r="U1462">
        <f t="shared" si="202"/>
        <v>1</v>
      </c>
      <c r="V1462">
        <f t="shared" si="203"/>
        <v>1</v>
      </c>
      <c r="W1462">
        <f t="shared" si="204"/>
        <v>3</v>
      </c>
      <c r="X1462">
        <f t="shared" si="205"/>
        <v>0</v>
      </c>
      <c r="Y1462">
        <f t="shared" si="206"/>
        <v>0</v>
      </c>
    </row>
    <row r="1463" spans="1:25" x14ac:dyDescent="0.3">
      <c r="A1463" t="s">
        <v>1700</v>
      </c>
      <c r="B1463" t="s">
        <v>1701</v>
      </c>
      <c r="C1463" s="1">
        <v>45734</v>
      </c>
      <c r="D1463" s="3">
        <v>0.3825115740740741</v>
      </c>
      <c r="E1463">
        <f t="shared" si="207"/>
        <v>9</v>
      </c>
      <c r="F1463">
        <v>58</v>
      </c>
      <c r="G1463" t="s">
        <v>46</v>
      </c>
      <c r="H1463" t="s">
        <v>80</v>
      </c>
      <c r="I1463" t="s">
        <v>20</v>
      </c>
      <c r="J1463" t="s">
        <v>40</v>
      </c>
      <c r="K1463" t="s">
        <v>114</v>
      </c>
      <c r="L1463">
        <v>129.24</v>
      </c>
      <c r="M1463" t="s">
        <v>33</v>
      </c>
      <c r="N1463">
        <f t="shared" si="199"/>
        <v>0</v>
      </c>
      <c r="O1463" t="s">
        <v>86</v>
      </c>
      <c r="P1463" t="s">
        <v>1702</v>
      </c>
      <c r="Q1463">
        <v>0</v>
      </c>
      <c r="R1463">
        <v>71</v>
      </c>
      <c r="S1463">
        <f t="shared" si="200"/>
        <v>-0.62817045496892154</v>
      </c>
      <c r="T1463">
        <f t="shared" si="201"/>
        <v>0</v>
      </c>
      <c r="U1463">
        <f t="shared" si="202"/>
        <v>0</v>
      </c>
      <c r="V1463">
        <f t="shared" si="203"/>
        <v>1</v>
      </c>
      <c r="W1463">
        <f t="shared" si="204"/>
        <v>1</v>
      </c>
      <c r="X1463">
        <f t="shared" si="205"/>
        <v>0</v>
      </c>
      <c r="Y1463">
        <f t="shared" si="206"/>
        <v>0</v>
      </c>
    </row>
    <row r="1464" spans="1:25" x14ac:dyDescent="0.3">
      <c r="A1464" t="s">
        <v>3443</v>
      </c>
      <c r="B1464" t="s">
        <v>3444</v>
      </c>
      <c r="C1464" s="1">
        <v>45800</v>
      </c>
      <c r="D1464" s="3">
        <v>0.66563657407407406</v>
      </c>
      <c r="E1464">
        <f t="shared" si="207"/>
        <v>15</v>
      </c>
      <c r="F1464">
        <v>53</v>
      </c>
      <c r="G1464" t="s">
        <v>46</v>
      </c>
      <c r="H1464" t="s">
        <v>189</v>
      </c>
      <c r="I1464" t="s">
        <v>119</v>
      </c>
      <c r="J1464" t="s">
        <v>31</v>
      </c>
      <c r="K1464" t="s">
        <v>95</v>
      </c>
      <c r="L1464">
        <v>129.22</v>
      </c>
      <c r="M1464" t="s">
        <v>115</v>
      </c>
      <c r="N1464">
        <f t="shared" si="199"/>
        <v>0</v>
      </c>
      <c r="O1464" t="s">
        <v>51</v>
      </c>
      <c r="P1464" t="s">
        <v>3445</v>
      </c>
      <c r="Q1464">
        <v>0</v>
      </c>
      <c r="R1464">
        <v>99</v>
      </c>
      <c r="S1464">
        <f t="shared" si="200"/>
        <v>-0.6284473401584435</v>
      </c>
      <c r="T1464">
        <f t="shared" si="201"/>
        <v>0</v>
      </c>
      <c r="U1464">
        <f t="shared" si="202"/>
        <v>0</v>
      </c>
      <c r="V1464">
        <f t="shared" si="203"/>
        <v>1</v>
      </c>
      <c r="W1464">
        <f t="shared" si="204"/>
        <v>1</v>
      </c>
      <c r="X1464">
        <f t="shared" si="205"/>
        <v>0</v>
      </c>
      <c r="Y1464">
        <f t="shared" si="206"/>
        <v>0</v>
      </c>
    </row>
    <row r="1465" spans="1:25" x14ac:dyDescent="0.3">
      <c r="A1465" t="s">
        <v>899</v>
      </c>
      <c r="B1465" t="s">
        <v>900</v>
      </c>
      <c r="C1465" s="1">
        <v>45816</v>
      </c>
      <c r="D1465" s="3">
        <v>5.935185185185185E-2</v>
      </c>
      <c r="E1465">
        <f t="shared" si="207"/>
        <v>1</v>
      </c>
      <c r="F1465">
        <v>54</v>
      </c>
      <c r="G1465" t="s">
        <v>60</v>
      </c>
      <c r="H1465" t="s">
        <v>131</v>
      </c>
      <c r="I1465" t="s">
        <v>71</v>
      </c>
      <c r="J1465" t="s">
        <v>76</v>
      </c>
      <c r="K1465" t="s">
        <v>114</v>
      </c>
      <c r="L1465">
        <v>129.19</v>
      </c>
      <c r="M1465" t="s">
        <v>42</v>
      </c>
      <c r="N1465">
        <f t="shared" si="199"/>
        <v>0</v>
      </c>
      <c r="O1465" t="s">
        <v>51</v>
      </c>
      <c r="P1465" t="s">
        <v>901</v>
      </c>
      <c r="Q1465">
        <v>0</v>
      </c>
      <c r="R1465">
        <v>205</v>
      </c>
      <c r="S1465">
        <f t="shared" si="200"/>
        <v>-0.62886266794272627</v>
      </c>
      <c r="T1465">
        <f t="shared" si="201"/>
        <v>0</v>
      </c>
      <c r="U1465">
        <f t="shared" si="202"/>
        <v>1</v>
      </c>
      <c r="V1465">
        <f t="shared" si="203"/>
        <v>1</v>
      </c>
      <c r="W1465">
        <f t="shared" si="204"/>
        <v>3</v>
      </c>
      <c r="X1465">
        <f t="shared" si="205"/>
        <v>0</v>
      </c>
      <c r="Y1465">
        <f t="shared" si="206"/>
        <v>0</v>
      </c>
    </row>
    <row r="1466" spans="1:25" x14ac:dyDescent="0.3">
      <c r="A1466" t="s">
        <v>2909</v>
      </c>
      <c r="B1466" t="s">
        <v>2910</v>
      </c>
      <c r="C1466" s="1">
        <v>45799</v>
      </c>
      <c r="D1466" s="3">
        <v>0.42900462962962965</v>
      </c>
      <c r="E1466">
        <f t="shared" si="207"/>
        <v>10</v>
      </c>
      <c r="F1466">
        <v>64</v>
      </c>
      <c r="G1466" t="s">
        <v>28</v>
      </c>
      <c r="H1466" t="s">
        <v>38</v>
      </c>
      <c r="I1466" t="s">
        <v>30</v>
      </c>
      <c r="J1466" t="s">
        <v>132</v>
      </c>
      <c r="K1466" t="s">
        <v>168</v>
      </c>
      <c r="L1466">
        <v>128.35</v>
      </c>
      <c r="M1466" t="s">
        <v>42</v>
      </c>
      <c r="N1466">
        <f t="shared" si="199"/>
        <v>0</v>
      </c>
      <c r="O1466" t="s">
        <v>34</v>
      </c>
      <c r="P1466" t="s">
        <v>2911</v>
      </c>
      <c r="Q1466">
        <v>0</v>
      </c>
      <c r="R1466">
        <v>135</v>
      </c>
      <c r="S1466">
        <f t="shared" si="200"/>
        <v>-0.64049184590264407</v>
      </c>
      <c r="T1466">
        <f t="shared" si="201"/>
        <v>0</v>
      </c>
      <c r="U1466">
        <f t="shared" si="202"/>
        <v>0</v>
      </c>
      <c r="V1466">
        <f t="shared" si="203"/>
        <v>1</v>
      </c>
      <c r="W1466">
        <f t="shared" si="204"/>
        <v>1</v>
      </c>
      <c r="X1466">
        <f t="shared" si="205"/>
        <v>0</v>
      </c>
      <c r="Y1466">
        <f t="shared" si="206"/>
        <v>0</v>
      </c>
    </row>
    <row r="1467" spans="1:25" x14ac:dyDescent="0.3">
      <c r="A1467" t="s">
        <v>2924</v>
      </c>
      <c r="B1467" t="s">
        <v>2925</v>
      </c>
      <c r="C1467" s="1">
        <v>45811</v>
      </c>
      <c r="D1467" s="3">
        <v>0.70512731481481483</v>
      </c>
      <c r="E1467">
        <f t="shared" si="207"/>
        <v>16</v>
      </c>
      <c r="F1467">
        <v>59</v>
      </c>
      <c r="G1467" t="s">
        <v>18</v>
      </c>
      <c r="H1467" t="s">
        <v>80</v>
      </c>
      <c r="I1467" t="s">
        <v>48</v>
      </c>
      <c r="J1467" t="s">
        <v>72</v>
      </c>
      <c r="K1467" t="s">
        <v>101</v>
      </c>
      <c r="L1467">
        <v>128.33000000000001</v>
      </c>
      <c r="M1467" t="s">
        <v>42</v>
      </c>
      <c r="N1467">
        <f t="shared" si="199"/>
        <v>0</v>
      </c>
      <c r="O1467" t="s">
        <v>86</v>
      </c>
      <c r="P1467" t="s">
        <v>2926</v>
      </c>
      <c r="Q1467">
        <v>0</v>
      </c>
      <c r="R1467">
        <v>376</v>
      </c>
      <c r="S1467">
        <f t="shared" si="200"/>
        <v>-0.64076873109216559</v>
      </c>
      <c r="T1467">
        <f t="shared" si="201"/>
        <v>0</v>
      </c>
      <c r="U1467">
        <f t="shared" si="202"/>
        <v>0</v>
      </c>
      <c r="V1467">
        <f t="shared" si="203"/>
        <v>0</v>
      </c>
      <c r="W1467">
        <f t="shared" si="204"/>
        <v>0</v>
      </c>
      <c r="X1467">
        <f t="shared" si="205"/>
        <v>0</v>
      </c>
      <c r="Y1467">
        <f t="shared" si="206"/>
        <v>0</v>
      </c>
    </row>
    <row r="1468" spans="1:25" x14ac:dyDescent="0.3">
      <c r="A1468" t="s">
        <v>1109</v>
      </c>
      <c r="B1468" s="2" t="s">
        <v>1110</v>
      </c>
      <c r="C1468" s="1">
        <v>45809</v>
      </c>
      <c r="D1468" s="3">
        <v>0.11993055555555555</v>
      </c>
      <c r="E1468">
        <f t="shared" si="207"/>
        <v>2</v>
      </c>
      <c r="F1468">
        <v>61</v>
      </c>
      <c r="G1468" t="s">
        <v>46</v>
      </c>
      <c r="H1468" t="s">
        <v>239</v>
      </c>
      <c r="I1468" t="s">
        <v>119</v>
      </c>
      <c r="J1468" t="s">
        <v>127</v>
      </c>
      <c r="K1468" t="s">
        <v>32</v>
      </c>
      <c r="L1468">
        <v>128.03</v>
      </c>
      <c r="M1468" t="s">
        <v>33</v>
      </c>
      <c r="N1468">
        <f t="shared" si="199"/>
        <v>0</v>
      </c>
      <c r="O1468" t="s">
        <v>24</v>
      </c>
      <c r="P1468" t="s">
        <v>1111</v>
      </c>
      <c r="Q1468">
        <v>0</v>
      </c>
      <c r="R1468">
        <v>391</v>
      </c>
      <c r="S1468">
        <f t="shared" si="200"/>
        <v>-0.64492200893499352</v>
      </c>
      <c r="T1468">
        <f t="shared" si="201"/>
        <v>0</v>
      </c>
      <c r="U1468">
        <f t="shared" si="202"/>
        <v>1</v>
      </c>
      <c r="V1468">
        <f t="shared" si="203"/>
        <v>0</v>
      </c>
      <c r="W1468">
        <f t="shared" si="204"/>
        <v>2</v>
      </c>
      <c r="X1468">
        <f t="shared" si="205"/>
        <v>0</v>
      </c>
      <c r="Y1468">
        <f t="shared" si="206"/>
        <v>0</v>
      </c>
    </row>
    <row r="1469" spans="1:25" x14ac:dyDescent="0.3">
      <c r="A1469" t="s">
        <v>5669</v>
      </c>
      <c r="B1469" t="s">
        <v>5670</v>
      </c>
      <c r="C1469" s="1">
        <v>45748</v>
      </c>
      <c r="D1469" s="3">
        <v>0.71193287037037034</v>
      </c>
      <c r="E1469">
        <f t="shared" si="207"/>
        <v>17</v>
      </c>
      <c r="F1469">
        <v>47</v>
      </c>
      <c r="G1469" t="s">
        <v>46</v>
      </c>
      <c r="H1469" t="s">
        <v>185</v>
      </c>
      <c r="I1469" t="s">
        <v>85</v>
      </c>
      <c r="J1469" t="s">
        <v>31</v>
      </c>
      <c r="K1469" t="s">
        <v>114</v>
      </c>
      <c r="L1469">
        <v>127.92</v>
      </c>
      <c r="M1469" t="s">
        <v>42</v>
      </c>
      <c r="N1469">
        <f t="shared" si="199"/>
        <v>0</v>
      </c>
      <c r="O1469" t="s">
        <v>51</v>
      </c>
      <c r="P1469" t="s">
        <v>5671</v>
      </c>
      <c r="Q1469">
        <v>0</v>
      </c>
      <c r="R1469">
        <v>217</v>
      </c>
      <c r="S1469">
        <f t="shared" si="200"/>
        <v>-0.64644487747736368</v>
      </c>
      <c r="T1469">
        <f t="shared" si="201"/>
        <v>0</v>
      </c>
      <c r="U1469">
        <f t="shared" si="202"/>
        <v>0</v>
      </c>
      <c r="V1469">
        <f t="shared" si="203"/>
        <v>1</v>
      </c>
      <c r="W1469">
        <f t="shared" si="204"/>
        <v>1</v>
      </c>
      <c r="X1469">
        <f t="shared" si="205"/>
        <v>0</v>
      </c>
      <c r="Y1469">
        <f t="shared" si="206"/>
        <v>0</v>
      </c>
    </row>
    <row r="1470" spans="1:25" x14ac:dyDescent="0.3">
      <c r="A1470" t="s">
        <v>2942</v>
      </c>
      <c r="B1470" t="s">
        <v>2943</v>
      </c>
      <c r="C1470" s="1">
        <v>45727</v>
      </c>
      <c r="D1470" s="3">
        <v>7.7777777777777776E-3</v>
      </c>
      <c r="E1470">
        <f t="shared" si="207"/>
        <v>0</v>
      </c>
      <c r="F1470">
        <v>62</v>
      </c>
      <c r="G1470" t="s">
        <v>18</v>
      </c>
      <c r="H1470" t="s">
        <v>38</v>
      </c>
      <c r="I1470" t="s">
        <v>85</v>
      </c>
      <c r="J1470" t="s">
        <v>31</v>
      </c>
      <c r="K1470" t="s">
        <v>32</v>
      </c>
      <c r="L1470">
        <v>127.91</v>
      </c>
      <c r="M1470" t="s">
        <v>115</v>
      </c>
      <c r="N1470">
        <f t="shared" si="199"/>
        <v>0</v>
      </c>
      <c r="O1470" t="s">
        <v>51</v>
      </c>
      <c r="P1470" t="s">
        <v>2944</v>
      </c>
      <c r="Q1470">
        <v>0</v>
      </c>
      <c r="R1470">
        <v>312</v>
      </c>
      <c r="S1470">
        <f t="shared" si="200"/>
        <v>-0.64658332007212471</v>
      </c>
      <c r="T1470">
        <f t="shared" si="201"/>
        <v>0</v>
      </c>
      <c r="U1470">
        <f t="shared" si="202"/>
        <v>1</v>
      </c>
      <c r="V1470">
        <f t="shared" si="203"/>
        <v>0</v>
      </c>
      <c r="W1470">
        <f t="shared" si="204"/>
        <v>2</v>
      </c>
      <c r="X1470">
        <f t="shared" si="205"/>
        <v>0</v>
      </c>
      <c r="Y1470">
        <f t="shared" si="206"/>
        <v>0</v>
      </c>
    </row>
    <row r="1471" spans="1:25" x14ac:dyDescent="0.3">
      <c r="A1471" t="s">
        <v>1904</v>
      </c>
      <c r="B1471" t="s">
        <v>1905</v>
      </c>
      <c r="C1471" s="1">
        <v>45880</v>
      </c>
      <c r="D1471" s="3">
        <v>8.9317129629629635E-2</v>
      </c>
      <c r="E1471">
        <f t="shared" si="207"/>
        <v>2</v>
      </c>
      <c r="F1471">
        <v>40</v>
      </c>
      <c r="G1471" t="s">
        <v>18</v>
      </c>
      <c r="H1471" t="s">
        <v>61</v>
      </c>
      <c r="I1471" t="s">
        <v>105</v>
      </c>
      <c r="J1471" t="s">
        <v>56</v>
      </c>
      <c r="K1471" t="s">
        <v>168</v>
      </c>
      <c r="L1471">
        <v>127.79</v>
      </c>
      <c r="M1471" t="s">
        <v>23</v>
      </c>
      <c r="N1471">
        <f t="shared" si="199"/>
        <v>0</v>
      </c>
      <c r="O1471" t="s">
        <v>34</v>
      </c>
      <c r="P1471" t="s">
        <v>1906</v>
      </c>
      <c r="Q1471">
        <v>0</v>
      </c>
      <c r="R1471">
        <v>106</v>
      </c>
      <c r="S1471">
        <f t="shared" si="200"/>
        <v>-0.64824463120925568</v>
      </c>
      <c r="T1471">
        <f t="shared" si="201"/>
        <v>0</v>
      </c>
      <c r="U1471">
        <f t="shared" si="202"/>
        <v>1</v>
      </c>
      <c r="V1471">
        <f t="shared" si="203"/>
        <v>1</v>
      </c>
      <c r="W1471">
        <f t="shared" si="204"/>
        <v>3</v>
      </c>
      <c r="X1471">
        <f t="shared" si="205"/>
        <v>0</v>
      </c>
      <c r="Y1471">
        <f t="shared" si="206"/>
        <v>0</v>
      </c>
    </row>
    <row r="1472" spans="1:25" x14ac:dyDescent="0.3">
      <c r="A1472" t="s">
        <v>398</v>
      </c>
      <c r="B1472" t="s">
        <v>399</v>
      </c>
      <c r="C1472" s="1">
        <v>45756</v>
      </c>
      <c r="D1472" s="3">
        <v>0.68439814814814814</v>
      </c>
      <c r="E1472">
        <f t="shared" si="207"/>
        <v>16</v>
      </c>
      <c r="F1472">
        <v>52</v>
      </c>
      <c r="G1472" t="s">
        <v>18</v>
      </c>
      <c r="H1472" t="s">
        <v>55</v>
      </c>
      <c r="I1472" t="s">
        <v>119</v>
      </c>
      <c r="J1472" t="s">
        <v>40</v>
      </c>
      <c r="K1472" t="s">
        <v>32</v>
      </c>
      <c r="L1472">
        <v>127.78</v>
      </c>
      <c r="M1472" t="s">
        <v>42</v>
      </c>
      <c r="N1472">
        <f t="shared" si="199"/>
        <v>0</v>
      </c>
      <c r="O1472" t="s">
        <v>51</v>
      </c>
      <c r="P1472" t="s">
        <v>400</v>
      </c>
      <c r="Q1472">
        <v>0</v>
      </c>
      <c r="R1472">
        <v>87</v>
      </c>
      <c r="S1472">
        <f t="shared" si="200"/>
        <v>-0.64838307380401661</v>
      </c>
      <c r="T1472">
        <f t="shared" si="201"/>
        <v>0</v>
      </c>
      <c r="U1472">
        <f t="shared" si="202"/>
        <v>0</v>
      </c>
      <c r="V1472">
        <f t="shared" si="203"/>
        <v>1</v>
      </c>
      <c r="W1472">
        <f t="shared" si="204"/>
        <v>1</v>
      </c>
      <c r="X1472">
        <f t="shared" si="205"/>
        <v>0</v>
      </c>
      <c r="Y1472">
        <f t="shared" si="206"/>
        <v>0</v>
      </c>
    </row>
    <row r="1473" spans="1:25" x14ac:dyDescent="0.3">
      <c r="A1473" t="s">
        <v>6269</v>
      </c>
      <c r="B1473" t="s">
        <v>6270</v>
      </c>
      <c r="C1473" s="1">
        <v>45841</v>
      </c>
      <c r="D1473" s="3">
        <v>0.68042824074074071</v>
      </c>
      <c r="E1473">
        <f t="shared" si="207"/>
        <v>16</v>
      </c>
      <c r="F1473" s="4">
        <v>41</v>
      </c>
      <c r="G1473" t="s">
        <v>28</v>
      </c>
      <c r="H1473" t="s">
        <v>239</v>
      </c>
      <c r="I1473" t="s">
        <v>30</v>
      </c>
      <c r="J1473" t="s">
        <v>76</v>
      </c>
      <c r="K1473" t="s">
        <v>114</v>
      </c>
      <c r="L1473">
        <v>127.75</v>
      </c>
      <c r="M1473" t="s">
        <v>33</v>
      </c>
      <c r="N1473">
        <f t="shared" si="199"/>
        <v>0</v>
      </c>
      <c r="O1473" t="s">
        <v>34</v>
      </c>
      <c r="P1473" t="s">
        <v>6271</v>
      </c>
      <c r="Q1473">
        <v>0</v>
      </c>
      <c r="R1473">
        <v>412</v>
      </c>
      <c r="S1473">
        <f t="shared" si="200"/>
        <v>-0.64879840158829938</v>
      </c>
      <c r="T1473">
        <f t="shared" si="201"/>
        <v>0</v>
      </c>
      <c r="U1473">
        <f t="shared" si="202"/>
        <v>0</v>
      </c>
      <c r="V1473">
        <f t="shared" si="203"/>
        <v>0</v>
      </c>
      <c r="W1473">
        <f t="shared" si="204"/>
        <v>0</v>
      </c>
      <c r="X1473">
        <f t="shared" si="205"/>
        <v>0</v>
      </c>
      <c r="Y1473">
        <f t="shared" si="206"/>
        <v>0</v>
      </c>
    </row>
    <row r="1474" spans="1:25" x14ac:dyDescent="0.3">
      <c r="A1474" t="s">
        <v>3995</v>
      </c>
      <c r="B1474" t="s">
        <v>3996</v>
      </c>
      <c r="C1474" s="1">
        <v>45781</v>
      </c>
      <c r="D1474" s="3">
        <v>0.1995949074074074</v>
      </c>
      <c r="E1474">
        <f t="shared" si="207"/>
        <v>4</v>
      </c>
      <c r="F1474" s="4">
        <v>41</v>
      </c>
      <c r="G1474" t="s">
        <v>18</v>
      </c>
      <c r="H1474" t="s">
        <v>131</v>
      </c>
      <c r="I1474" t="s">
        <v>48</v>
      </c>
      <c r="J1474" t="s">
        <v>31</v>
      </c>
      <c r="K1474" t="s">
        <v>22</v>
      </c>
      <c r="L1474">
        <v>127.63</v>
      </c>
      <c r="M1474" t="s">
        <v>115</v>
      </c>
      <c r="N1474">
        <f t="shared" ref="N1474:N1537" si="208">IF(M1474="Unknown",1,0)</f>
        <v>0</v>
      </c>
      <c r="O1474" t="s">
        <v>34</v>
      </c>
      <c r="P1474" t="s">
        <v>3997</v>
      </c>
      <c r="Q1474">
        <v>0</v>
      </c>
      <c r="R1474">
        <v>322</v>
      </c>
      <c r="S1474">
        <f t="shared" ref="S1474:S1537" si="209">(L1474-$P$2137)/$P$2138</f>
        <v>-0.65045971272543057</v>
      </c>
      <c r="T1474">
        <f t="shared" ref="T1474:T1537" si="210">IF(ABS(Z1474)&gt;3,1,0)</f>
        <v>0</v>
      </c>
      <c r="U1474">
        <f t="shared" ref="U1474:U1537" si="211">IF(AND(E1474&gt;=0,E1474&lt;=5),1,0)</f>
        <v>1</v>
      </c>
      <c r="V1474">
        <f t="shared" ref="V1474:V1537" si="212">IF(R1474&lt;AVERAGE($R:$R),1,0)</f>
        <v>0</v>
      </c>
      <c r="W1474">
        <f t="shared" ref="W1474:W1537" si="213">T1474*3+U1474*2+V1474*1+N1474*2</f>
        <v>2</v>
      </c>
      <c r="X1474">
        <f t="shared" ref="X1474:X1537" si="214">IF(W1474&gt;=5,1,0)</f>
        <v>0</v>
      </c>
      <c r="Y1474">
        <f t="shared" ref="Y1474:Y1537" si="215">IF(M1474="Unknown",1,0)</f>
        <v>0</v>
      </c>
    </row>
    <row r="1475" spans="1:25" x14ac:dyDescent="0.3">
      <c r="A1475" t="s">
        <v>473</v>
      </c>
      <c r="B1475" t="s">
        <v>474</v>
      </c>
      <c r="C1475" s="1">
        <v>45725</v>
      </c>
      <c r="D1475" s="3">
        <v>0.25101851851851853</v>
      </c>
      <c r="E1475">
        <f t="shared" si="207"/>
        <v>6</v>
      </c>
      <c r="F1475">
        <v>52</v>
      </c>
      <c r="G1475" t="s">
        <v>18</v>
      </c>
      <c r="H1475" t="s">
        <v>70</v>
      </c>
      <c r="I1475" t="s">
        <v>119</v>
      </c>
      <c r="J1475" t="s">
        <v>21</v>
      </c>
      <c r="K1475" t="s">
        <v>95</v>
      </c>
      <c r="L1475">
        <v>127.51</v>
      </c>
      <c r="M1475" t="s">
        <v>23</v>
      </c>
      <c r="N1475">
        <f t="shared" si="208"/>
        <v>0</v>
      </c>
      <c r="O1475" t="s">
        <v>34</v>
      </c>
      <c r="P1475" t="s">
        <v>475</v>
      </c>
      <c r="Q1475">
        <v>0</v>
      </c>
      <c r="R1475">
        <v>209</v>
      </c>
      <c r="S1475">
        <f t="shared" si="209"/>
        <v>-0.65212102386256154</v>
      </c>
      <c r="T1475">
        <f t="shared" si="210"/>
        <v>0</v>
      </c>
      <c r="U1475">
        <f t="shared" si="211"/>
        <v>0</v>
      </c>
      <c r="V1475">
        <f t="shared" si="212"/>
        <v>1</v>
      </c>
      <c r="W1475">
        <f t="shared" si="213"/>
        <v>1</v>
      </c>
      <c r="X1475">
        <f t="shared" si="214"/>
        <v>0</v>
      </c>
      <c r="Y1475">
        <f t="shared" si="215"/>
        <v>0</v>
      </c>
    </row>
    <row r="1476" spans="1:25" x14ac:dyDescent="0.3">
      <c r="A1476" t="s">
        <v>2660</v>
      </c>
      <c r="B1476" t="s">
        <v>2661</v>
      </c>
      <c r="C1476" s="1">
        <v>45823</v>
      </c>
      <c r="D1476" s="3">
        <v>0.50747685185185187</v>
      </c>
      <c r="E1476">
        <f t="shared" si="207"/>
        <v>12</v>
      </c>
      <c r="F1476">
        <v>22</v>
      </c>
      <c r="G1476" t="s">
        <v>28</v>
      </c>
      <c r="H1476" t="s">
        <v>47</v>
      </c>
      <c r="I1476" t="s">
        <v>30</v>
      </c>
      <c r="J1476" t="s">
        <v>31</v>
      </c>
      <c r="K1476" t="s">
        <v>168</v>
      </c>
      <c r="L1476">
        <v>127.2</v>
      </c>
      <c r="M1476" t="s">
        <v>42</v>
      </c>
      <c r="N1476">
        <f t="shared" si="208"/>
        <v>0</v>
      </c>
      <c r="O1476" t="s">
        <v>51</v>
      </c>
      <c r="P1476" t="s">
        <v>2662</v>
      </c>
      <c r="Q1476">
        <v>0</v>
      </c>
      <c r="R1476">
        <v>55</v>
      </c>
      <c r="S1476">
        <f t="shared" si="209"/>
        <v>-0.65641274430015029</v>
      </c>
      <c r="T1476">
        <f t="shared" si="210"/>
        <v>0</v>
      </c>
      <c r="U1476">
        <f t="shared" si="211"/>
        <v>0</v>
      </c>
      <c r="V1476">
        <f t="shared" si="212"/>
        <v>1</v>
      </c>
      <c r="W1476">
        <f t="shared" si="213"/>
        <v>1</v>
      </c>
      <c r="X1476">
        <f t="shared" si="214"/>
        <v>0</v>
      </c>
      <c r="Y1476">
        <f t="shared" si="215"/>
        <v>0</v>
      </c>
    </row>
    <row r="1477" spans="1:25" x14ac:dyDescent="0.3">
      <c r="A1477" t="s">
        <v>833</v>
      </c>
      <c r="B1477" t="s">
        <v>834</v>
      </c>
      <c r="C1477" s="1">
        <v>45750</v>
      </c>
      <c r="D1477" s="3">
        <v>0.52008101851851851</v>
      </c>
      <c r="E1477">
        <f t="shared" si="207"/>
        <v>12</v>
      </c>
      <c r="F1477">
        <v>57</v>
      </c>
      <c r="G1477" t="s">
        <v>46</v>
      </c>
      <c r="H1477" t="s">
        <v>175</v>
      </c>
      <c r="I1477" t="s">
        <v>48</v>
      </c>
      <c r="J1477" t="s">
        <v>56</v>
      </c>
      <c r="K1477" t="s">
        <v>22</v>
      </c>
      <c r="L1477">
        <v>127.14</v>
      </c>
      <c r="M1477" t="s">
        <v>115</v>
      </c>
      <c r="N1477">
        <f t="shared" si="208"/>
        <v>0</v>
      </c>
      <c r="O1477" t="s">
        <v>24</v>
      </c>
      <c r="P1477" t="s">
        <v>835</v>
      </c>
      <c r="Q1477">
        <v>0</v>
      </c>
      <c r="R1477">
        <v>173</v>
      </c>
      <c r="S1477">
        <f t="shared" si="209"/>
        <v>-0.65724339986871583</v>
      </c>
      <c r="T1477">
        <f t="shared" si="210"/>
        <v>0</v>
      </c>
      <c r="U1477">
        <f t="shared" si="211"/>
        <v>0</v>
      </c>
      <c r="V1477">
        <f t="shared" si="212"/>
        <v>1</v>
      </c>
      <c r="W1477">
        <f t="shared" si="213"/>
        <v>1</v>
      </c>
      <c r="X1477">
        <f t="shared" si="214"/>
        <v>0</v>
      </c>
      <c r="Y1477">
        <f t="shared" si="215"/>
        <v>0</v>
      </c>
    </row>
    <row r="1478" spans="1:25" x14ac:dyDescent="0.3">
      <c r="A1478" t="s">
        <v>5672</v>
      </c>
      <c r="B1478" t="s">
        <v>5673</v>
      </c>
      <c r="C1478" s="1">
        <v>45756</v>
      </c>
      <c r="D1478" s="3">
        <v>0.27255787037037038</v>
      </c>
      <c r="E1478">
        <f t="shared" si="207"/>
        <v>6</v>
      </c>
      <c r="F1478">
        <v>35</v>
      </c>
      <c r="G1478" t="s">
        <v>6479</v>
      </c>
      <c r="H1478" t="s">
        <v>131</v>
      </c>
      <c r="I1478" t="s">
        <v>20</v>
      </c>
      <c r="J1478" t="s">
        <v>94</v>
      </c>
      <c r="K1478" t="s">
        <v>101</v>
      </c>
      <c r="L1478">
        <v>126.95</v>
      </c>
      <c r="M1478" t="s">
        <v>23</v>
      </c>
      <c r="N1478">
        <f t="shared" si="208"/>
        <v>0</v>
      </c>
      <c r="O1478" t="s">
        <v>24</v>
      </c>
      <c r="P1478" t="s">
        <v>5674</v>
      </c>
      <c r="Q1478">
        <v>0</v>
      </c>
      <c r="R1478">
        <v>58</v>
      </c>
      <c r="S1478">
        <f t="shared" si="209"/>
        <v>-0.65987380916917338</v>
      </c>
      <c r="T1478">
        <f t="shared" si="210"/>
        <v>0</v>
      </c>
      <c r="U1478">
        <f t="shared" si="211"/>
        <v>0</v>
      </c>
      <c r="V1478">
        <f t="shared" si="212"/>
        <v>1</v>
      </c>
      <c r="W1478">
        <f t="shared" si="213"/>
        <v>1</v>
      </c>
      <c r="X1478">
        <f t="shared" si="214"/>
        <v>0</v>
      </c>
      <c r="Y1478">
        <f t="shared" si="215"/>
        <v>0</v>
      </c>
    </row>
    <row r="1479" spans="1:25" x14ac:dyDescent="0.3">
      <c r="A1479" t="s">
        <v>3617</v>
      </c>
      <c r="B1479" t="s">
        <v>3618</v>
      </c>
      <c r="C1479" s="1">
        <v>45869</v>
      </c>
      <c r="D1479" s="3">
        <v>0.77231481481481479</v>
      </c>
      <c r="E1479">
        <f t="shared" si="207"/>
        <v>18</v>
      </c>
      <c r="F1479">
        <v>58</v>
      </c>
      <c r="G1479" t="s">
        <v>18</v>
      </c>
      <c r="H1479" t="s">
        <v>239</v>
      </c>
      <c r="I1479" t="s">
        <v>39</v>
      </c>
      <c r="J1479" t="s">
        <v>76</v>
      </c>
      <c r="K1479" t="s">
        <v>101</v>
      </c>
      <c r="L1479">
        <v>126.75</v>
      </c>
      <c r="M1479" t="s">
        <v>42</v>
      </c>
      <c r="N1479">
        <f t="shared" si="208"/>
        <v>0</v>
      </c>
      <c r="O1479" t="s">
        <v>24</v>
      </c>
      <c r="P1479" t="s">
        <v>3619</v>
      </c>
      <c r="Q1479">
        <v>0</v>
      </c>
      <c r="R1479">
        <v>227</v>
      </c>
      <c r="S1479">
        <f t="shared" si="209"/>
        <v>-0.66264266106439185</v>
      </c>
      <c r="T1479">
        <f t="shared" si="210"/>
        <v>0</v>
      </c>
      <c r="U1479">
        <f t="shared" si="211"/>
        <v>0</v>
      </c>
      <c r="V1479">
        <f t="shared" si="212"/>
        <v>1</v>
      </c>
      <c r="W1479">
        <f t="shared" si="213"/>
        <v>1</v>
      </c>
      <c r="X1479">
        <f t="shared" si="214"/>
        <v>0</v>
      </c>
      <c r="Y1479">
        <f t="shared" si="215"/>
        <v>0</v>
      </c>
    </row>
    <row r="1480" spans="1:25" x14ac:dyDescent="0.3">
      <c r="A1480" t="s">
        <v>2654</v>
      </c>
      <c r="B1480" t="s">
        <v>2655</v>
      </c>
      <c r="C1480" s="1">
        <v>45850</v>
      </c>
      <c r="D1480" s="3">
        <v>0.42784722222222221</v>
      </c>
      <c r="E1480">
        <f t="shared" si="207"/>
        <v>10</v>
      </c>
      <c r="F1480">
        <v>36</v>
      </c>
      <c r="G1480" t="s">
        <v>46</v>
      </c>
      <c r="H1480" t="s">
        <v>47</v>
      </c>
      <c r="I1480" t="s">
        <v>119</v>
      </c>
      <c r="J1480" t="s">
        <v>76</v>
      </c>
      <c r="K1480" t="s">
        <v>168</v>
      </c>
      <c r="L1480">
        <v>126.65</v>
      </c>
      <c r="M1480" t="s">
        <v>33</v>
      </c>
      <c r="N1480">
        <f t="shared" si="208"/>
        <v>0</v>
      </c>
      <c r="O1480" t="s">
        <v>86</v>
      </c>
      <c r="P1480" t="s">
        <v>2656</v>
      </c>
      <c r="Q1480">
        <v>0</v>
      </c>
      <c r="R1480">
        <v>157</v>
      </c>
      <c r="S1480">
        <f t="shared" si="209"/>
        <v>-0.66402708701200108</v>
      </c>
      <c r="T1480">
        <f t="shared" si="210"/>
        <v>0</v>
      </c>
      <c r="U1480">
        <f t="shared" si="211"/>
        <v>0</v>
      </c>
      <c r="V1480">
        <f t="shared" si="212"/>
        <v>1</v>
      </c>
      <c r="W1480">
        <f t="shared" si="213"/>
        <v>1</v>
      </c>
      <c r="X1480">
        <f t="shared" si="214"/>
        <v>0</v>
      </c>
      <c r="Y1480">
        <f t="shared" si="215"/>
        <v>0</v>
      </c>
    </row>
    <row r="1481" spans="1:25" x14ac:dyDescent="0.3">
      <c r="A1481" t="s">
        <v>6407</v>
      </c>
      <c r="B1481" t="s">
        <v>6408</v>
      </c>
      <c r="C1481" s="1">
        <v>45815</v>
      </c>
      <c r="D1481" s="3">
        <v>0.80344907407407407</v>
      </c>
      <c r="E1481">
        <f t="shared" si="207"/>
        <v>19</v>
      </c>
      <c r="F1481">
        <v>55</v>
      </c>
      <c r="G1481" t="s">
        <v>46</v>
      </c>
      <c r="H1481" t="s">
        <v>84</v>
      </c>
      <c r="I1481" t="s">
        <v>30</v>
      </c>
      <c r="J1481" t="s">
        <v>132</v>
      </c>
      <c r="K1481" t="s">
        <v>41</v>
      </c>
      <c r="L1481">
        <v>126.6</v>
      </c>
      <c r="M1481" t="s">
        <v>42</v>
      </c>
      <c r="N1481">
        <f t="shared" si="208"/>
        <v>0</v>
      </c>
      <c r="O1481" t="s">
        <v>24</v>
      </c>
      <c r="P1481" t="s">
        <v>6409</v>
      </c>
      <c r="Q1481">
        <v>0</v>
      </c>
      <c r="R1481">
        <v>443</v>
      </c>
      <c r="S1481">
        <f t="shared" si="209"/>
        <v>-0.66471929998580581</v>
      </c>
      <c r="T1481">
        <f t="shared" si="210"/>
        <v>0</v>
      </c>
      <c r="U1481">
        <f t="shared" si="211"/>
        <v>0</v>
      </c>
      <c r="V1481">
        <f t="shared" si="212"/>
        <v>0</v>
      </c>
      <c r="W1481">
        <f t="shared" si="213"/>
        <v>0</v>
      </c>
      <c r="X1481">
        <f t="shared" si="214"/>
        <v>0</v>
      </c>
      <c r="Y1481">
        <f t="shared" si="215"/>
        <v>0</v>
      </c>
    </row>
    <row r="1482" spans="1:25" x14ac:dyDescent="0.3">
      <c r="A1482" t="s">
        <v>593</v>
      </c>
      <c r="B1482" t="s">
        <v>594</v>
      </c>
      <c r="C1482" s="1">
        <v>45857</v>
      </c>
      <c r="D1482" s="3">
        <v>0.16707175925925927</v>
      </c>
      <c r="E1482">
        <f t="shared" si="207"/>
        <v>4</v>
      </c>
      <c r="F1482">
        <v>45</v>
      </c>
      <c r="G1482" t="s">
        <v>18</v>
      </c>
      <c r="H1482" t="s">
        <v>84</v>
      </c>
      <c r="I1482" t="s">
        <v>39</v>
      </c>
      <c r="J1482" t="s">
        <v>21</v>
      </c>
      <c r="K1482" t="s">
        <v>120</v>
      </c>
      <c r="L1482">
        <v>126.59</v>
      </c>
      <c r="M1482" t="s">
        <v>23</v>
      </c>
      <c r="N1482">
        <f t="shared" si="208"/>
        <v>0</v>
      </c>
      <c r="O1482" t="s">
        <v>51</v>
      </c>
      <c r="P1482" t="s">
        <v>595</v>
      </c>
      <c r="Q1482">
        <v>0</v>
      </c>
      <c r="R1482">
        <v>173</v>
      </c>
      <c r="S1482">
        <f t="shared" si="209"/>
        <v>-0.66485774258056662</v>
      </c>
      <c r="T1482">
        <f t="shared" si="210"/>
        <v>0</v>
      </c>
      <c r="U1482">
        <f t="shared" si="211"/>
        <v>1</v>
      </c>
      <c r="V1482">
        <f t="shared" si="212"/>
        <v>1</v>
      </c>
      <c r="W1482">
        <f t="shared" si="213"/>
        <v>3</v>
      </c>
      <c r="X1482">
        <f t="shared" si="214"/>
        <v>0</v>
      </c>
      <c r="Y1482">
        <f t="shared" si="215"/>
        <v>0</v>
      </c>
    </row>
    <row r="1483" spans="1:25" x14ac:dyDescent="0.3">
      <c r="A1483" t="s">
        <v>6272</v>
      </c>
      <c r="B1483" t="s">
        <v>6273</v>
      </c>
      <c r="C1483" s="1">
        <v>45823</v>
      </c>
      <c r="D1483" s="3">
        <v>0.42348379629629629</v>
      </c>
      <c r="E1483">
        <f t="shared" si="207"/>
        <v>10</v>
      </c>
      <c r="F1483">
        <v>29</v>
      </c>
      <c r="G1483" t="s">
        <v>28</v>
      </c>
      <c r="H1483" t="s">
        <v>29</v>
      </c>
      <c r="I1483" t="s">
        <v>48</v>
      </c>
      <c r="J1483" t="s">
        <v>56</v>
      </c>
      <c r="K1483" t="s">
        <v>114</v>
      </c>
      <c r="L1483">
        <v>126.51</v>
      </c>
      <c r="M1483" t="s">
        <v>115</v>
      </c>
      <c r="N1483">
        <f t="shared" si="208"/>
        <v>0</v>
      </c>
      <c r="O1483" t="s">
        <v>34</v>
      </c>
      <c r="P1483" t="s">
        <v>6274</v>
      </c>
      <c r="Q1483">
        <v>0</v>
      </c>
      <c r="R1483">
        <v>109</v>
      </c>
      <c r="S1483">
        <f t="shared" si="209"/>
        <v>-0.66596528333865401</v>
      </c>
      <c r="T1483">
        <f t="shared" si="210"/>
        <v>0</v>
      </c>
      <c r="U1483">
        <f t="shared" si="211"/>
        <v>0</v>
      </c>
      <c r="V1483">
        <f t="shared" si="212"/>
        <v>1</v>
      </c>
      <c r="W1483">
        <f t="shared" si="213"/>
        <v>1</v>
      </c>
      <c r="X1483">
        <f t="shared" si="214"/>
        <v>0</v>
      </c>
      <c r="Y1483">
        <f t="shared" si="215"/>
        <v>0</v>
      </c>
    </row>
    <row r="1484" spans="1:25" x14ac:dyDescent="0.3">
      <c r="A1484" t="s">
        <v>3503</v>
      </c>
      <c r="B1484" t="s">
        <v>3504</v>
      </c>
      <c r="C1484" s="1">
        <v>45839</v>
      </c>
      <c r="D1484" s="3">
        <v>0.42850694444444443</v>
      </c>
      <c r="E1484">
        <f t="shared" si="207"/>
        <v>10</v>
      </c>
      <c r="F1484">
        <v>22</v>
      </c>
      <c r="G1484" t="s">
        <v>18</v>
      </c>
      <c r="H1484" t="s">
        <v>61</v>
      </c>
      <c r="I1484" t="s">
        <v>85</v>
      </c>
      <c r="J1484" t="s">
        <v>56</v>
      </c>
      <c r="K1484" t="s">
        <v>95</v>
      </c>
      <c r="L1484">
        <v>126.39</v>
      </c>
      <c r="M1484" t="s">
        <v>33</v>
      </c>
      <c r="N1484">
        <f t="shared" si="208"/>
        <v>0</v>
      </c>
      <c r="O1484" t="s">
        <v>34</v>
      </c>
      <c r="P1484" t="s">
        <v>3505</v>
      </c>
      <c r="Q1484">
        <v>0</v>
      </c>
      <c r="R1484">
        <v>64</v>
      </c>
      <c r="S1484">
        <f t="shared" si="209"/>
        <v>-0.66762659447578521</v>
      </c>
      <c r="T1484">
        <f t="shared" si="210"/>
        <v>0</v>
      </c>
      <c r="U1484">
        <f t="shared" si="211"/>
        <v>0</v>
      </c>
      <c r="V1484">
        <f t="shared" si="212"/>
        <v>1</v>
      </c>
      <c r="W1484">
        <f t="shared" si="213"/>
        <v>1</v>
      </c>
      <c r="X1484">
        <f t="shared" si="214"/>
        <v>0</v>
      </c>
      <c r="Y1484">
        <f t="shared" si="215"/>
        <v>0</v>
      </c>
    </row>
    <row r="1485" spans="1:25" x14ac:dyDescent="0.3">
      <c r="A1485" t="s">
        <v>3764</v>
      </c>
      <c r="B1485" t="s">
        <v>3765</v>
      </c>
      <c r="C1485" s="1">
        <v>45876</v>
      </c>
      <c r="D1485" s="3">
        <v>0.51696759259259262</v>
      </c>
      <c r="E1485">
        <f t="shared" si="207"/>
        <v>12</v>
      </c>
      <c r="F1485" s="4">
        <v>41</v>
      </c>
      <c r="G1485" t="s">
        <v>18</v>
      </c>
      <c r="H1485" t="s">
        <v>80</v>
      </c>
      <c r="I1485" t="s">
        <v>20</v>
      </c>
      <c r="J1485" t="s">
        <v>31</v>
      </c>
      <c r="K1485" t="s">
        <v>114</v>
      </c>
      <c r="L1485">
        <v>126.35</v>
      </c>
      <c r="M1485" t="s">
        <v>33</v>
      </c>
      <c r="N1485">
        <f t="shared" si="208"/>
        <v>0</v>
      </c>
      <c r="O1485" t="s">
        <v>34</v>
      </c>
      <c r="P1485" t="s">
        <v>3766</v>
      </c>
      <c r="Q1485">
        <v>0</v>
      </c>
      <c r="R1485">
        <v>446</v>
      </c>
      <c r="S1485">
        <f t="shared" si="209"/>
        <v>-0.6681803648548289</v>
      </c>
      <c r="T1485">
        <f t="shared" si="210"/>
        <v>0</v>
      </c>
      <c r="U1485">
        <f t="shared" si="211"/>
        <v>0</v>
      </c>
      <c r="V1485">
        <f t="shared" si="212"/>
        <v>0</v>
      </c>
      <c r="W1485">
        <f t="shared" si="213"/>
        <v>0</v>
      </c>
      <c r="X1485">
        <f t="shared" si="214"/>
        <v>0</v>
      </c>
      <c r="Y1485">
        <f t="shared" si="215"/>
        <v>0</v>
      </c>
    </row>
    <row r="1486" spans="1:25" x14ac:dyDescent="0.3">
      <c r="A1486" t="s">
        <v>4109</v>
      </c>
      <c r="B1486" t="s">
        <v>4110</v>
      </c>
      <c r="C1486" s="1">
        <v>45733</v>
      </c>
      <c r="D1486" s="3">
        <v>0.64937500000000004</v>
      </c>
      <c r="E1486">
        <f t="shared" si="207"/>
        <v>15</v>
      </c>
      <c r="F1486">
        <v>47</v>
      </c>
      <c r="G1486" t="s">
        <v>18</v>
      </c>
      <c r="H1486" t="s">
        <v>239</v>
      </c>
      <c r="I1486" t="s">
        <v>71</v>
      </c>
      <c r="J1486" t="s">
        <v>72</v>
      </c>
      <c r="K1486" t="s">
        <v>62</v>
      </c>
      <c r="L1486">
        <v>126.31</v>
      </c>
      <c r="M1486" t="s">
        <v>6479</v>
      </c>
      <c r="N1486">
        <f t="shared" si="208"/>
        <v>1</v>
      </c>
      <c r="O1486" t="s">
        <v>34</v>
      </c>
      <c r="P1486" t="s">
        <v>4111</v>
      </c>
      <c r="Q1486">
        <v>0</v>
      </c>
      <c r="R1486">
        <v>372</v>
      </c>
      <c r="S1486">
        <f t="shared" si="209"/>
        <v>-0.66873413523387248</v>
      </c>
      <c r="T1486">
        <f t="shared" si="210"/>
        <v>0</v>
      </c>
      <c r="U1486">
        <f t="shared" si="211"/>
        <v>0</v>
      </c>
      <c r="V1486">
        <f t="shared" si="212"/>
        <v>0</v>
      </c>
      <c r="W1486">
        <f t="shared" si="213"/>
        <v>2</v>
      </c>
      <c r="X1486">
        <f t="shared" si="214"/>
        <v>0</v>
      </c>
      <c r="Y1486">
        <f t="shared" si="215"/>
        <v>1</v>
      </c>
    </row>
    <row r="1487" spans="1:25" x14ac:dyDescent="0.3">
      <c r="A1487" t="s">
        <v>665</v>
      </c>
      <c r="B1487" t="s">
        <v>666</v>
      </c>
      <c r="C1487" s="1">
        <v>45734</v>
      </c>
      <c r="D1487" s="3">
        <v>0.61199074074074078</v>
      </c>
      <c r="E1487">
        <f t="shared" si="207"/>
        <v>14</v>
      </c>
      <c r="F1487">
        <v>41</v>
      </c>
      <c r="G1487" t="s">
        <v>46</v>
      </c>
      <c r="H1487" t="s">
        <v>189</v>
      </c>
      <c r="I1487" t="s">
        <v>110</v>
      </c>
      <c r="J1487" t="s">
        <v>21</v>
      </c>
      <c r="K1487" t="s">
        <v>95</v>
      </c>
      <c r="L1487">
        <v>126.09</v>
      </c>
      <c r="M1487" t="s">
        <v>115</v>
      </c>
      <c r="N1487">
        <f t="shared" si="208"/>
        <v>0</v>
      </c>
      <c r="O1487" t="s">
        <v>24</v>
      </c>
      <c r="P1487" t="s">
        <v>667</v>
      </c>
      <c r="Q1487">
        <v>0</v>
      </c>
      <c r="R1487">
        <v>232</v>
      </c>
      <c r="S1487">
        <f t="shared" si="209"/>
        <v>-0.6717798723186128</v>
      </c>
      <c r="T1487">
        <f t="shared" si="210"/>
        <v>0</v>
      </c>
      <c r="U1487">
        <f t="shared" si="211"/>
        <v>0</v>
      </c>
      <c r="V1487">
        <f t="shared" si="212"/>
        <v>1</v>
      </c>
      <c r="W1487">
        <f t="shared" si="213"/>
        <v>1</v>
      </c>
      <c r="X1487">
        <f t="shared" si="214"/>
        <v>0</v>
      </c>
      <c r="Y1487">
        <f t="shared" si="215"/>
        <v>0</v>
      </c>
    </row>
    <row r="1488" spans="1:25" x14ac:dyDescent="0.3">
      <c r="A1488" t="s">
        <v>6083</v>
      </c>
      <c r="B1488" t="s">
        <v>6084</v>
      </c>
      <c r="C1488" s="1">
        <v>45702</v>
      </c>
      <c r="D1488" s="3">
        <v>0.92614583333333333</v>
      </c>
      <c r="E1488">
        <f t="shared" si="207"/>
        <v>22</v>
      </c>
      <c r="F1488">
        <v>20</v>
      </c>
      <c r="G1488" t="s">
        <v>60</v>
      </c>
      <c r="H1488" t="s">
        <v>189</v>
      </c>
      <c r="I1488" t="s">
        <v>39</v>
      </c>
      <c r="J1488" t="s">
        <v>127</v>
      </c>
      <c r="K1488" t="s">
        <v>168</v>
      </c>
      <c r="L1488">
        <v>125.98</v>
      </c>
      <c r="M1488" t="s">
        <v>23</v>
      </c>
      <c r="N1488">
        <f t="shared" si="208"/>
        <v>0</v>
      </c>
      <c r="O1488" t="s">
        <v>24</v>
      </c>
      <c r="P1488" t="s">
        <v>6085</v>
      </c>
      <c r="Q1488">
        <v>0</v>
      </c>
      <c r="R1488">
        <v>165</v>
      </c>
      <c r="S1488">
        <f t="shared" si="209"/>
        <v>-0.67330274086098307</v>
      </c>
      <c r="T1488">
        <f t="shared" si="210"/>
        <v>0</v>
      </c>
      <c r="U1488">
        <f t="shared" si="211"/>
        <v>0</v>
      </c>
      <c r="V1488">
        <f t="shared" si="212"/>
        <v>1</v>
      </c>
      <c r="W1488">
        <f t="shared" si="213"/>
        <v>1</v>
      </c>
      <c r="X1488">
        <f t="shared" si="214"/>
        <v>0</v>
      </c>
      <c r="Y1488">
        <f t="shared" si="215"/>
        <v>0</v>
      </c>
    </row>
    <row r="1489" spans="1:25" x14ac:dyDescent="0.3">
      <c r="A1489" t="s">
        <v>5975</v>
      </c>
      <c r="B1489" t="s">
        <v>5976</v>
      </c>
      <c r="C1489" s="1">
        <v>45816</v>
      </c>
      <c r="D1489" s="3">
        <v>5.994212962962963E-2</v>
      </c>
      <c r="E1489">
        <f t="shared" si="207"/>
        <v>1</v>
      </c>
      <c r="F1489">
        <v>54</v>
      </c>
      <c r="G1489" t="s">
        <v>46</v>
      </c>
      <c r="H1489" t="s">
        <v>61</v>
      </c>
      <c r="I1489" t="s">
        <v>30</v>
      </c>
      <c r="J1489" t="s">
        <v>31</v>
      </c>
      <c r="K1489" t="s">
        <v>120</v>
      </c>
      <c r="L1489">
        <v>125.96</v>
      </c>
      <c r="M1489" t="s">
        <v>23</v>
      </c>
      <c r="N1489">
        <f t="shared" si="208"/>
        <v>0</v>
      </c>
      <c r="O1489" t="s">
        <v>51</v>
      </c>
      <c r="P1489" t="s">
        <v>5977</v>
      </c>
      <c r="Q1489">
        <v>0</v>
      </c>
      <c r="R1489">
        <v>152</v>
      </c>
      <c r="S1489">
        <f t="shared" si="209"/>
        <v>-0.67357962605050503</v>
      </c>
      <c r="T1489">
        <f t="shared" si="210"/>
        <v>0</v>
      </c>
      <c r="U1489">
        <f t="shared" si="211"/>
        <v>1</v>
      </c>
      <c r="V1489">
        <f t="shared" si="212"/>
        <v>1</v>
      </c>
      <c r="W1489">
        <f t="shared" si="213"/>
        <v>3</v>
      </c>
      <c r="X1489">
        <f t="shared" si="214"/>
        <v>0</v>
      </c>
      <c r="Y1489">
        <f t="shared" si="215"/>
        <v>0</v>
      </c>
    </row>
    <row r="1490" spans="1:25" x14ac:dyDescent="0.3">
      <c r="A1490" t="s">
        <v>250</v>
      </c>
      <c r="B1490" t="s">
        <v>251</v>
      </c>
      <c r="C1490" s="1">
        <v>45860</v>
      </c>
      <c r="D1490" s="3">
        <v>0.75199074074074079</v>
      </c>
      <c r="E1490">
        <f t="shared" si="207"/>
        <v>18</v>
      </c>
      <c r="F1490">
        <v>31</v>
      </c>
      <c r="G1490" t="s">
        <v>18</v>
      </c>
      <c r="H1490" t="s">
        <v>19</v>
      </c>
      <c r="I1490" t="s">
        <v>71</v>
      </c>
      <c r="J1490" t="s">
        <v>31</v>
      </c>
      <c r="K1490" t="s">
        <v>95</v>
      </c>
      <c r="L1490">
        <v>125.95</v>
      </c>
      <c r="M1490" t="s">
        <v>42</v>
      </c>
      <c r="N1490">
        <f t="shared" si="208"/>
        <v>0</v>
      </c>
      <c r="O1490" t="s">
        <v>86</v>
      </c>
      <c r="P1490" t="s">
        <v>252</v>
      </c>
      <c r="Q1490">
        <v>0</v>
      </c>
      <c r="R1490">
        <v>408</v>
      </c>
      <c r="S1490">
        <f t="shared" si="209"/>
        <v>-0.67371806864526584</v>
      </c>
      <c r="T1490">
        <f t="shared" si="210"/>
        <v>0</v>
      </c>
      <c r="U1490">
        <f t="shared" si="211"/>
        <v>0</v>
      </c>
      <c r="V1490">
        <f t="shared" si="212"/>
        <v>0</v>
      </c>
      <c r="W1490">
        <f t="shared" si="213"/>
        <v>0</v>
      </c>
      <c r="X1490">
        <f t="shared" si="214"/>
        <v>0</v>
      </c>
      <c r="Y1490">
        <f t="shared" si="215"/>
        <v>0</v>
      </c>
    </row>
    <row r="1491" spans="1:25" x14ac:dyDescent="0.3">
      <c r="A1491" t="s">
        <v>644</v>
      </c>
      <c r="B1491" t="s">
        <v>645</v>
      </c>
      <c r="C1491" s="1">
        <v>45763</v>
      </c>
      <c r="D1491" s="3">
        <v>0.79651620370370368</v>
      </c>
      <c r="E1491">
        <f t="shared" si="207"/>
        <v>19</v>
      </c>
      <c r="F1491">
        <v>25</v>
      </c>
      <c r="G1491" t="s">
        <v>28</v>
      </c>
      <c r="H1491" t="s">
        <v>80</v>
      </c>
      <c r="I1491" t="s">
        <v>39</v>
      </c>
      <c r="J1491" t="s">
        <v>132</v>
      </c>
      <c r="K1491" t="s">
        <v>168</v>
      </c>
      <c r="L1491">
        <v>125.84</v>
      </c>
      <c r="M1491" t="s">
        <v>115</v>
      </c>
      <c r="N1491">
        <f t="shared" si="208"/>
        <v>0</v>
      </c>
      <c r="O1491" t="s">
        <v>51</v>
      </c>
      <c r="P1491" t="s">
        <v>646</v>
      </c>
      <c r="Q1491">
        <v>0</v>
      </c>
      <c r="R1491">
        <v>161</v>
      </c>
      <c r="S1491">
        <f t="shared" si="209"/>
        <v>-0.675240937187636</v>
      </c>
      <c r="T1491">
        <f t="shared" si="210"/>
        <v>0</v>
      </c>
      <c r="U1491">
        <f t="shared" si="211"/>
        <v>0</v>
      </c>
      <c r="V1491">
        <f t="shared" si="212"/>
        <v>1</v>
      </c>
      <c r="W1491">
        <f t="shared" si="213"/>
        <v>1</v>
      </c>
      <c r="X1491">
        <f t="shared" si="214"/>
        <v>0</v>
      </c>
      <c r="Y1491">
        <f t="shared" si="215"/>
        <v>0</v>
      </c>
    </row>
    <row r="1492" spans="1:25" x14ac:dyDescent="0.3">
      <c r="A1492" t="s">
        <v>1454</v>
      </c>
      <c r="B1492" t="s">
        <v>1455</v>
      </c>
      <c r="C1492" s="1">
        <v>45708</v>
      </c>
      <c r="D1492" s="3">
        <v>0.19822916666666668</v>
      </c>
      <c r="E1492">
        <f t="shared" si="207"/>
        <v>4</v>
      </c>
      <c r="F1492">
        <v>33</v>
      </c>
      <c r="G1492" t="s">
        <v>46</v>
      </c>
      <c r="H1492" t="s">
        <v>29</v>
      </c>
      <c r="I1492" t="s">
        <v>30</v>
      </c>
      <c r="J1492" t="s">
        <v>21</v>
      </c>
      <c r="K1492" t="s">
        <v>101</v>
      </c>
      <c r="L1492">
        <v>125.69</v>
      </c>
      <c r="M1492" t="s">
        <v>115</v>
      </c>
      <c r="N1492">
        <f t="shared" si="208"/>
        <v>0</v>
      </c>
      <c r="O1492" t="s">
        <v>51</v>
      </c>
      <c r="P1492" t="s">
        <v>1456</v>
      </c>
      <c r="Q1492">
        <v>0</v>
      </c>
      <c r="R1492">
        <v>357</v>
      </c>
      <c r="S1492">
        <f t="shared" si="209"/>
        <v>-0.67731757610904997</v>
      </c>
      <c r="T1492">
        <f t="shared" si="210"/>
        <v>0</v>
      </c>
      <c r="U1492">
        <f t="shared" si="211"/>
        <v>1</v>
      </c>
      <c r="V1492">
        <f t="shared" si="212"/>
        <v>0</v>
      </c>
      <c r="W1492">
        <f t="shared" si="213"/>
        <v>2</v>
      </c>
      <c r="X1492">
        <f t="shared" si="214"/>
        <v>0</v>
      </c>
      <c r="Y1492">
        <f t="shared" si="215"/>
        <v>0</v>
      </c>
    </row>
    <row r="1493" spans="1:25" x14ac:dyDescent="0.3">
      <c r="A1493" t="s">
        <v>6431</v>
      </c>
      <c r="B1493" t="s">
        <v>6432</v>
      </c>
      <c r="C1493" s="1">
        <v>45865</v>
      </c>
      <c r="D1493" s="3">
        <v>0.4092824074074074</v>
      </c>
      <c r="E1493">
        <f t="shared" si="207"/>
        <v>9</v>
      </c>
      <c r="F1493">
        <v>18</v>
      </c>
      <c r="G1493" t="s">
        <v>60</v>
      </c>
      <c r="H1493" t="s">
        <v>232</v>
      </c>
      <c r="I1493" t="s">
        <v>20</v>
      </c>
      <c r="J1493" t="s">
        <v>40</v>
      </c>
      <c r="K1493" t="s">
        <v>114</v>
      </c>
      <c r="L1493">
        <v>125.62</v>
      </c>
      <c r="M1493" t="s">
        <v>23</v>
      </c>
      <c r="N1493">
        <f t="shared" si="208"/>
        <v>0</v>
      </c>
      <c r="O1493" t="s">
        <v>24</v>
      </c>
      <c r="P1493" t="s">
        <v>6433</v>
      </c>
      <c r="Q1493">
        <v>0</v>
      </c>
      <c r="R1493">
        <v>303</v>
      </c>
      <c r="S1493">
        <f t="shared" si="209"/>
        <v>-0.67828667427237632</v>
      </c>
      <c r="T1493">
        <f t="shared" si="210"/>
        <v>0</v>
      </c>
      <c r="U1493">
        <f t="shared" si="211"/>
        <v>0</v>
      </c>
      <c r="V1493">
        <f t="shared" si="212"/>
        <v>0</v>
      </c>
      <c r="W1493">
        <f t="shared" si="213"/>
        <v>0</v>
      </c>
      <c r="X1493">
        <f t="shared" si="214"/>
        <v>0</v>
      </c>
      <c r="Y1493">
        <f t="shared" si="215"/>
        <v>0</v>
      </c>
    </row>
    <row r="1494" spans="1:25" x14ac:dyDescent="0.3">
      <c r="A1494" t="s">
        <v>368</v>
      </c>
      <c r="B1494" s="2" t="s">
        <v>369</v>
      </c>
      <c r="C1494" s="1">
        <v>45758</v>
      </c>
      <c r="D1494" s="3">
        <v>0.50249999999999995</v>
      </c>
      <c r="E1494">
        <f t="shared" si="207"/>
        <v>12</v>
      </c>
      <c r="F1494">
        <v>24</v>
      </c>
      <c r="G1494" t="s">
        <v>18</v>
      </c>
      <c r="H1494" t="s">
        <v>312</v>
      </c>
      <c r="I1494" t="s">
        <v>119</v>
      </c>
      <c r="J1494" t="s">
        <v>21</v>
      </c>
      <c r="K1494" t="s">
        <v>50</v>
      </c>
      <c r="L1494">
        <v>125.6</v>
      </c>
      <c r="M1494" t="s">
        <v>42</v>
      </c>
      <c r="N1494">
        <f t="shared" si="208"/>
        <v>0</v>
      </c>
      <c r="O1494" t="s">
        <v>34</v>
      </c>
      <c r="P1494" t="s">
        <v>370</v>
      </c>
      <c r="Q1494">
        <v>0</v>
      </c>
      <c r="R1494">
        <v>80</v>
      </c>
      <c r="S1494">
        <f t="shared" si="209"/>
        <v>-0.67856355946189828</v>
      </c>
      <c r="T1494">
        <f t="shared" si="210"/>
        <v>0</v>
      </c>
      <c r="U1494">
        <f t="shared" si="211"/>
        <v>0</v>
      </c>
      <c r="V1494">
        <f t="shared" si="212"/>
        <v>1</v>
      </c>
      <c r="W1494">
        <f t="shared" si="213"/>
        <v>1</v>
      </c>
      <c r="X1494">
        <f t="shared" si="214"/>
        <v>0</v>
      </c>
      <c r="Y1494">
        <f t="shared" si="215"/>
        <v>0</v>
      </c>
    </row>
    <row r="1495" spans="1:25" x14ac:dyDescent="0.3">
      <c r="A1495" t="s">
        <v>2363</v>
      </c>
      <c r="B1495" t="s">
        <v>2364</v>
      </c>
      <c r="C1495" s="1">
        <v>45849</v>
      </c>
      <c r="D1495" s="3">
        <v>0.51646990740740739</v>
      </c>
      <c r="E1495">
        <f t="shared" si="207"/>
        <v>12</v>
      </c>
      <c r="F1495">
        <v>22</v>
      </c>
      <c r="G1495" t="s">
        <v>46</v>
      </c>
      <c r="H1495" t="s">
        <v>55</v>
      </c>
      <c r="I1495" t="s">
        <v>30</v>
      </c>
      <c r="J1495" t="s">
        <v>132</v>
      </c>
      <c r="K1495" t="s">
        <v>62</v>
      </c>
      <c r="L1495">
        <v>125.46</v>
      </c>
      <c r="M1495" t="s">
        <v>115</v>
      </c>
      <c r="N1495">
        <f t="shared" si="208"/>
        <v>0</v>
      </c>
      <c r="O1495" t="s">
        <v>34</v>
      </c>
      <c r="P1495" t="s">
        <v>2365</v>
      </c>
      <c r="Q1495">
        <v>0</v>
      </c>
      <c r="R1495">
        <v>347</v>
      </c>
      <c r="S1495">
        <f t="shared" si="209"/>
        <v>-0.68050175578855121</v>
      </c>
      <c r="T1495">
        <f t="shared" si="210"/>
        <v>0</v>
      </c>
      <c r="U1495">
        <f t="shared" si="211"/>
        <v>0</v>
      </c>
      <c r="V1495">
        <f t="shared" si="212"/>
        <v>0</v>
      </c>
      <c r="W1495">
        <f t="shared" si="213"/>
        <v>0</v>
      </c>
      <c r="X1495">
        <f t="shared" si="214"/>
        <v>0</v>
      </c>
      <c r="Y1495">
        <f t="shared" si="215"/>
        <v>0</v>
      </c>
    </row>
    <row r="1496" spans="1:25" x14ac:dyDescent="0.3">
      <c r="A1496" t="s">
        <v>3401</v>
      </c>
      <c r="B1496" t="s">
        <v>3402</v>
      </c>
      <c r="C1496" s="1">
        <v>45732</v>
      </c>
      <c r="D1496" s="3">
        <v>0.4243865740740741</v>
      </c>
      <c r="E1496">
        <f t="shared" si="207"/>
        <v>10</v>
      </c>
      <c r="F1496">
        <v>54</v>
      </c>
      <c r="G1496" t="s">
        <v>46</v>
      </c>
      <c r="H1496" t="s">
        <v>19</v>
      </c>
      <c r="I1496" t="s">
        <v>105</v>
      </c>
      <c r="J1496" t="s">
        <v>31</v>
      </c>
      <c r="K1496" t="s">
        <v>114</v>
      </c>
      <c r="L1496">
        <v>125.4</v>
      </c>
      <c r="M1496" t="s">
        <v>33</v>
      </c>
      <c r="N1496">
        <f t="shared" si="208"/>
        <v>0</v>
      </c>
      <c r="O1496" t="s">
        <v>34</v>
      </c>
      <c r="P1496" t="s">
        <v>3403</v>
      </c>
      <c r="Q1496">
        <v>0</v>
      </c>
      <c r="R1496">
        <v>371</v>
      </c>
      <c r="S1496">
        <f t="shared" si="209"/>
        <v>-0.68133241135711664</v>
      </c>
      <c r="T1496">
        <f t="shared" si="210"/>
        <v>0</v>
      </c>
      <c r="U1496">
        <f t="shared" si="211"/>
        <v>0</v>
      </c>
      <c r="V1496">
        <f t="shared" si="212"/>
        <v>0</v>
      </c>
      <c r="W1496">
        <f t="shared" si="213"/>
        <v>0</v>
      </c>
      <c r="X1496">
        <f t="shared" si="214"/>
        <v>0</v>
      </c>
      <c r="Y1496">
        <f t="shared" si="215"/>
        <v>0</v>
      </c>
    </row>
    <row r="1497" spans="1:25" x14ac:dyDescent="0.3">
      <c r="A1497" t="s">
        <v>1190</v>
      </c>
      <c r="B1497" t="s">
        <v>1191</v>
      </c>
      <c r="C1497" s="1">
        <v>45756</v>
      </c>
      <c r="D1497" s="3">
        <v>0.10097222222222223</v>
      </c>
      <c r="E1497">
        <f t="shared" si="207"/>
        <v>2</v>
      </c>
      <c r="F1497">
        <v>41</v>
      </c>
      <c r="G1497" t="s">
        <v>46</v>
      </c>
      <c r="H1497" t="s">
        <v>19</v>
      </c>
      <c r="I1497" t="s">
        <v>66</v>
      </c>
      <c r="J1497" t="s">
        <v>31</v>
      </c>
      <c r="K1497" t="s">
        <v>62</v>
      </c>
      <c r="L1497">
        <v>125.24</v>
      </c>
      <c r="M1497" t="s">
        <v>33</v>
      </c>
      <c r="N1497">
        <f t="shared" si="208"/>
        <v>0</v>
      </c>
      <c r="O1497" t="s">
        <v>51</v>
      </c>
      <c r="P1497" t="s">
        <v>1192</v>
      </c>
      <c r="Q1497">
        <v>0</v>
      </c>
      <c r="R1497">
        <v>346</v>
      </c>
      <c r="S1497">
        <f t="shared" si="209"/>
        <v>-0.68354749287329153</v>
      </c>
      <c r="T1497">
        <f t="shared" si="210"/>
        <v>0</v>
      </c>
      <c r="U1497">
        <f t="shared" si="211"/>
        <v>1</v>
      </c>
      <c r="V1497">
        <f t="shared" si="212"/>
        <v>0</v>
      </c>
      <c r="W1497">
        <f t="shared" si="213"/>
        <v>2</v>
      </c>
      <c r="X1497">
        <f t="shared" si="214"/>
        <v>0</v>
      </c>
      <c r="Y1497">
        <f t="shared" si="215"/>
        <v>0</v>
      </c>
    </row>
    <row r="1498" spans="1:25" x14ac:dyDescent="0.3">
      <c r="A1498" t="s">
        <v>1970</v>
      </c>
      <c r="B1498" t="s">
        <v>1971</v>
      </c>
      <c r="C1498" s="1">
        <v>45823</v>
      </c>
      <c r="D1498" s="3">
        <v>0.4773148148148148</v>
      </c>
      <c r="E1498">
        <f t="shared" si="207"/>
        <v>11</v>
      </c>
      <c r="F1498">
        <v>54</v>
      </c>
      <c r="G1498" t="s">
        <v>46</v>
      </c>
      <c r="H1498" t="s">
        <v>185</v>
      </c>
      <c r="I1498" t="s">
        <v>30</v>
      </c>
      <c r="J1498" t="s">
        <v>21</v>
      </c>
      <c r="K1498" t="s">
        <v>101</v>
      </c>
      <c r="L1498">
        <v>125.2</v>
      </c>
      <c r="M1498" t="s">
        <v>23</v>
      </c>
      <c r="N1498">
        <f t="shared" si="208"/>
        <v>0</v>
      </c>
      <c r="O1498" t="s">
        <v>86</v>
      </c>
      <c r="P1498" t="s">
        <v>1972</v>
      </c>
      <c r="Q1498">
        <v>0</v>
      </c>
      <c r="R1498">
        <v>429</v>
      </c>
      <c r="S1498">
        <f t="shared" si="209"/>
        <v>-0.68410126325233511</v>
      </c>
      <c r="T1498">
        <f t="shared" si="210"/>
        <v>0</v>
      </c>
      <c r="U1498">
        <f t="shared" si="211"/>
        <v>0</v>
      </c>
      <c r="V1498">
        <f t="shared" si="212"/>
        <v>0</v>
      </c>
      <c r="W1498">
        <f t="shared" si="213"/>
        <v>0</v>
      </c>
      <c r="X1498">
        <f t="shared" si="214"/>
        <v>0</v>
      </c>
      <c r="Y1498">
        <f t="shared" si="215"/>
        <v>0</v>
      </c>
    </row>
    <row r="1499" spans="1:25" x14ac:dyDescent="0.3">
      <c r="A1499" t="s">
        <v>1715</v>
      </c>
      <c r="B1499" t="s">
        <v>1716</v>
      </c>
      <c r="C1499" s="1">
        <v>45875</v>
      </c>
      <c r="D1499" s="3">
        <v>0.48254629629629631</v>
      </c>
      <c r="E1499">
        <f t="shared" si="207"/>
        <v>11</v>
      </c>
      <c r="F1499">
        <v>46</v>
      </c>
      <c r="G1499" t="s">
        <v>99</v>
      </c>
      <c r="H1499" t="s">
        <v>175</v>
      </c>
      <c r="I1499" t="s">
        <v>30</v>
      </c>
      <c r="J1499" t="s">
        <v>40</v>
      </c>
      <c r="K1499" t="s">
        <v>120</v>
      </c>
      <c r="L1499">
        <v>125.06</v>
      </c>
      <c r="M1499" t="s">
        <v>23</v>
      </c>
      <c r="N1499">
        <f t="shared" si="208"/>
        <v>0</v>
      </c>
      <c r="O1499" t="s">
        <v>51</v>
      </c>
      <c r="P1499" t="s">
        <v>1717</v>
      </c>
      <c r="Q1499">
        <v>0</v>
      </c>
      <c r="R1499">
        <v>435</v>
      </c>
      <c r="S1499">
        <f t="shared" si="209"/>
        <v>-0.68603945957898815</v>
      </c>
      <c r="T1499">
        <f t="shared" si="210"/>
        <v>0</v>
      </c>
      <c r="U1499">
        <f t="shared" si="211"/>
        <v>0</v>
      </c>
      <c r="V1499">
        <f t="shared" si="212"/>
        <v>0</v>
      </c>
      <c r="W1499">
        <f t="shared" si="213"/>
        <v>0</v>
      </c>
      <c r="X1499">
        <f t="shared" si="214"/>
        <v>0</v>
      </c>
      <c r="Y1499">
        <f t="shared" si="215"/>
        <v>0</v>
      </c>
    </row>
    <row r="1500" spans="1:25" x14ac:dyDescent="0.3">
      <c r="A1500" t="s">
        <v>4199</v>
      </c>
      <c r="B1500" t="s">
        <v>4200</v>
      </c>
      <c r="C1500" s="1">
        <v>45713</v>
      </c>
      <c r="D1500" s="3">
        <v>0.4753472222222222</v>
      </c>
      <c r="E1500">
        <f t="shared" si="207"/>
        <v>11</v>
      </c>
      <c r="F1500">
        <v>58</v>
      </c>
      <c r="G1500" t="s">
        <v>46</v>
      </c>
      <c r="H1500" t="s">
        <v>131</v>
      </c>
      <c r="I1500" t="s">
        <v>105</v>
      </c>
      <c r="J1500" t="s">
        <v>72</v>
      </c>
      <c r="K1500" t="s">
        <v>95</v>
      </c>
      <c r="L1500">
        <v>125.05</v>
      </c>
      <c r="M1500" t="s">
        <v>115</v>
      </c>
      <c r="N1500">
        <f t="shared" si="208"/>
        <v>0</v>
      </c>
      <c r="O1500" t="s">
        <v>34</v>
      </c>
      <c r="P1500" t="s">
        <v>4201</v>
      </c>
      <c r="Q1500">
        <v>0</v>
      </c>
      <c r="R1500">
        <v>65</v>
      </c>
      <c r="S1500">
        <f t="shared" si="209"/>
        <v>-0.68617790217374908</v>
      </c>
      <c r="T1500">
        <f t="shared" si="210"/>
        <v>0</v>
      </c>
      <c r="U1500">
        <f t="shared" si="211"/>
        <v>0</v>
      </c>
      <c r="V1500">
        <f t="shared" si="212"/>
        <v>1</v>
      </c>
      <c r="W1500">
        <f t="shared" si="213"/>
        <v>1</v>
      </c>
      <c r="X1500">
        <f t="shared" si="214"/>
        <v>0</v>
      </c>
      <c r="Y1500">
        <f t="shared" si="215"/>
        <v>0</v>
      </c>
    </row>
    <row r="1501" spans="1:25" x14ac:dyDescent="0.3">
      <c r="A1501" t="s">
        <v>1481</v>
      </c>
      <c r="B1501" t="s">
        <v>1482</v>
      </c>
      <c r="C1501" s="1">
        <v>45729</v>
      </c>
      <c r="D1501" s="3">
        <v>0.32131944444444444</v>
      </c>
      <c r="E1501">
        <f t="shared" si="207"/>
        <v>7</v>
      </c>
      <c r="F1501">
        <v>54</v>
      </c>
      <c r="G1501" t="s">
        <v>46</v>
      </c>
      <c r="H1501" t="s">
        <v>61</v>
      </c>
      <c r="I1501" t="s">
        <v>39</v>
      </c>
      <c r="J1501" t="s">
        <v>49</v>
      </c>
      <c r="K1501" t="s">
        <v>95</v>
      </c>
      <c r="L1501">
        <v>124.99</v>
      </c>
      <c r="M1501" t="s">
        <v>42</v>
      </c>
      <c r="N1501">
        <f t="shared" si="208"/>
        <v>0</v>
      </c>
      <c r="O1501" t="s">
        <v>86</v>
      </c>
      <c r="P1501" t="s">
        <v>1483</v>
      </c>
      <c r="Q1501">
        <v>1</v>
      </c>
      <c r="R1501">
        <v>147</v>
      </c>
      <c r="S1501">
        <f t="shared" si="209"/>
        <v>-0.68700855774231473</v>
      </c>
      <c r="T1501">
        <f t="shared" si="210"/>
        <v>0</v>
      </c>
      <c r="U1501">
        <f t="shared" si="211"/>
        <v>0</v>
      </c>
      <c r="V1501">
        <f t="shared" si="212"/>
        <v>1</v>
      </c>
      <c r="W1501">
        <f t="shared" si="213"/>
        <v>1</v>
      </c>
      <c r="X1501">
        <f t="shared" si="214"/>
        <v>0</v>
      </c>
      <c r="Y1501">
        <f t="shared" si="215"/>
        <v>0</v>
      </c>
    </row>
    <row r="1502" spans="1:25" x14ac:dyDescent="0.3">
      <c r="A1502" t="s">
        <v>5129</v>
      </c>
      <c r="B1502" t="s">
        <v>5130</v>
      </c>
      <c r="C1502" s="1">
        <v>45782</v>
      </c>
      <c r="D1502" s="3">
        <v>8.0347222222222223E-2</v>
      </c>
      <c r="E1502">
        <f t="shared" si="207"/>
        <v>1</v>
      </c>
      <c r="F1502">
        <v>65</v>
      </c>
      <c r="G1502" t="s">
        <v>46</v>
      </c>
      <c r="H1502" t="s">
        <v>38</v>
      </c>
      <c r="I1502" t="s">
        <v>66</v>
      </c>
      <c r="J1502" t="s">
        <v>127</v>
      </c>
      <c r="K1502" t="s">
        <v>95</v>
      </c>
      <c r="L1502">
        <v>124.93</v>
      </c>
      <c r="M1502" t="s">
        <v>33</v>
      </c>
      <c r="N1502">
        <f t="shared" si="208"/>
        <v>0</v>
      </c>
      <c r="O1502" t="s">
        <v>86</v>
      </c>
      <c r="P1502" t="s">
        <v>5131</v>
      </c>
      <c r="Q1502">
        <v>0</v>
      </c>
      <c r="R1502">
        <v>338</v>
      </c>
      <c r="S1502">
        <f t="shared" si="209"/>
        <v>-0.68783921331088005</v>
      </c>
      <c r="T1502">
        <f t="shared" si="210"/>
        <v>0</v>
      </c>
      <c r="U1502">
        <f t="shared" si="211"/>
        <v>1</v>
      </c>
      <c r="V1502">
        <f t="shared" si="212"/>
        <v>0</v>
      </c>
      <c r="W1502">
        <f t="shared" si="213"/>
        <v>2</v>
      </c>
      <c r="X1502">
        <f t="shared" si="214"/>
        <v>0</v>
      </c>
      <c r="Y1502">
        <f t="shared" si="215"/>
        <v>0</v>
      </c>
    </row>
    <row r="1503" spans="1:25" x14ac:dyDescent="0.3">
      <c r="A1503" t="s">
        <v>5543</v>
      </c>
      <c r="B1503" t="s">
        <v>5544</v>
      </c>
      <c r="C1503" s="1">
        <v>45726</v>
      </c>
      <c r="D1503" s="3">
        <v>0.82468750000000002</v>
      </c>
      <c r="E1503">
        <f t="shared" si="207"/>
        <v>19</v>
      </c>
      <c r="F1503">
        <v>61</v>
      </c>
      <c r="G1503" t="s">
        <v>60</v>
      </c>
      <c r="H1503" t="s">
        <v>38</v>
      </c>
      <c r="I1503" t="s">
        <v>30</v>
      </c>
      <c r="J1503" t="s">
        <v>127</v>
      </c>
      <c r="K1503" t="s">
        <v>114</v>
      </c>
      <c r="L1503">
        <v>124.87</v>
      </c>
      <c r="M1503" t="s">
        <v>42</v>
      </c>
      <c r="N1503">
        <f t="shared" si="208"/>
        <v>0</v>
      </c>
      <c r="O1503" t="s">
        <v>34</v>
      </c>
      <c r="P1503" t="s">
        <v>5545</v>
      </c>
      <c r="Q1503">
        <v>0</v>
      </c>
      <c r="R1503">
        <v>205</v>
      </c>
      <c r="S1503">
        <f t="shared" si="209"/>
        <v>-0.68866986887944559</v>
      </c>
      <c r="T1503">
        <f t="shared" si="210"/>
        <v>0</v>
      </c>
      <c r="U1503">
        <f t="shared" si="211"/>
        <v>0</v>
      </c>
      <c r="V1503">
        <f t="shared" si="212"/>
        <v>1</v>
      </c>
      <c r="W1503">
        <f t="shared" si="213"/>
        <v>1</v>
      </c>
      <c r="X1503">
        <f t="shared" si="214"/>
        <v>0</v>
      </c>
      <c r="Y1503">
        <f t="shared" si="215"/>
        <v>0</v>
      </c>
    </row>
    <row r="1504" spans="1:25" x14ac:dyDescent="0.3">
      <c r="A1504" t="s">
        <v>3092</v>
      </c>
      <c r="B1504" t="s">
        <v>3093</v>
      </c>
      <c r="C1504" s="1">
        <v>45733</v>
      </c>
      <c r="D1504" s="3">
        <v>0.92688657407407404</v>
      </c>
      <c r="E1504">
        <f t="shared" si="207"/>
        <v>22</v>
      </c>
      <c r="F1504">
        <v>18</v>
      </c>
      <c r="G1504" t="s">
        <v>46</v>
      </c>
      <c r="H1504" t="s">
        <v>29</v>
      </c>
      <c r="I1504" t="s">
        <v>105</v>
      </c>
      <c r="J1504" t="s">
        <v>76</v>
      </c>
      <c r="K1504" t="s">
        <v>62</v>
      </c>
      <c r="L1504">
        <v>124.84</v>
      </c>
      <c r="M1504" t="s">
        <v>115</v>
      </c>
      <c r="N1504">
        <f t="shared" si="208"/>
        <v>0</v>
      </c>
      <c r="O1504" t="s">
        <v>86</v>
      </c>
      <c r="P1504" t="s">
        <v>3094</v>
      </c>
      <c r="Q1504">
        <v>0</v>
      </c>
      <c r="R1504">
        <v>351</v>
      </c>
      <c r="S1504">
        <f t="shared" si="209"/>
        <v>-0.68908519666372847</v>
      </c>
      <c r="T1504">
        <f t="shared" si="210"/>
        <v>0</v>
      </c>
      <c r="U1504">
        <f t="shared" si="211"/>
        <v>0</v>
      </c>
      <c r="V1504">
        <f t="shared" si="212"/>
        <v>0</v>
      </c>
      <c r="W1504">
        <f t="shared" si="213"/>
        <v>0</v>
      </c>
      <c r="X1504">
        <f t="shared" si="214"/>
        <v>0</v>
      </c>
      <c r="Y1504">
        <f t="shared" si="215"/>
        <v>0</v>
      </c>
    </row>
    <row r="1505" spans="1:25" x14ac:dyDescent="0.3">
      <c r="A1505" t="s">
        <v>6254</v>
      </c>
      <c r="B1505" t="s">
        <v>6255</v>
      </c>
      <c r="C1505" s="1">
        <v>45712</v>
      </c>
      <c r="D1505" s="3">
        <v>0.29033564814814816</v>
      </c>
      <c r="E1505">
        <f t="shared" si="207"/>
        <v>6</v>
      </c>
      <c r="F1505">
        <v>58</v>
      </c>
      <c r="G1505" t="s">
        <v>46</v>
      </c>
      <c r="H1505" t="s">
        <v>70</v>
      </c>
      <c r="I1505" t="s">
        <v>71</v>
      </c>
      <c r="J1505" t="s">
        <v>49</v>
      </c>
      <c r="K1505" t="s">
        <v>62</v>
      </c>
      <c r="L1505">
        <v>124.78</v>
      </c>
      <c r="M1505" t="s">
        <v>6479</v>
      </c>
      <c r="N1505">
        <f t="shared" si="208"/>
        <v>1</v>
      </c>
      <c r="O1505" t="s">
        <v>34</v>
      </c>
      <c r="P1505" t="s">
        <v>6256</v>
      </c>
      <c r="Q1505">
        <v>0</v>
      </c>
      <c r="R1505">
        <v>301</v>
      </c>
      <c r="S1505">
        <f t="shared" si="209"/>
        <v>-0.68991585223229401</v>
      </c>
      <c r="T1505">
        <f t="shared" si="210"/>
        <v>0</v>
      </c>
      <c r="U1505">
        <f t="shared" si="211"/>
        <v>0</v>
      </c>
      <c r="V1505">
        <f t="shared" si="212"/>
        <v>0</v>
      </c>
      <c r="W1505">
        <f t="shared" si="213"/>
        <v>2</v>
      </c>
      <c r="X1505">
        <f t="shared" si="214"/>
        <v>0</v>
      </c>
      <c r="Y1505">
        <f t="shared" si="215"/>
        <v>1</v>
      </c>
    </row>
    <row r="1506" spans="1:25" x14ac:dyDescent="0.3">
      <c r="A1506" t="s">
        <v>2459</v>
      </c>
      <c r="B1506" t="s">
        <v>2460</v>
      </c>
      <c r="C1506" s="1">
        <v>45794</v>
      </c>
      <c r="D1506" s="3">
        <v>0.64817129629629633</v>
      </c>
      <c r="E1506">
        <f t="shared" si="207"/>
        <v>15</v>
      </c>
      <c r="F1506">
        <v>22</v>
      </c>
      <c r="G1506" t="s">
        <v>28</v>
      </c>
      <c r="H1506" t="s">
        <v>185</v>
      </c>
      <c r="I1506" t="s">
        <v>85</v>
      </c>
      <c r="J1506" t="s">
        <v>49</v>
      </c>
      <c r="K1506" t="s">
        <v>95</v>
      </c>
      <c r="L1506">
        <v>124.6</v>
      </c>
      <c r="M1506" t="s">
        <v>23</v>
      </c>
      <c r="N1506">
        <f t="shared" si="208"/>
        <v>0</v>
      </c>
      <c r="O1506" t="s">
        <v>51</v>
      </c>
      <c r="P1506" t="s">
        <v>2461</v>
      </c>
      <c r="Q1506">
        <v>0</v>
      </c>
      <c r="R1506">
        <v>456</v>
      </c>
      <c r="S1506">
        <f t="shared" si="209"/>
        <v>-0.69240781893799075</v>
      </c>
      <c r="T1506">
        <f t="shared" si="210"/>
        <v>0</v>
      </c>
      <c r="U1506">
        <f t="shared" si="211"/>
        <v>0</v>
      </c>
      <c r="V1506">
        <f t="shared" si="212"/>
        <v>0</v>
      </c>
      <c r="W1506">
        <f t="shared" si="213"/>
        <v>0</v>
      </c>
      <c r="X1506">
        <f t="shared" si="214"/>
        <v>0</v>
      </c>
      <c r="Y1506">
        <f t="shared" si="215"/>
        <v>0</v>
      </c>
    </row>
    <row r="1507" spans="1:25" x14ac:dyDescent="0.3">
      <c r="A1507" t="s">
        <v>2702</v>
      </c>
      <c r="B1507" t="s">
        <v>2703</v>
      </c>
      <c r="C1507" s="1">
        <v>45732</v>
      </c>
      <c r="D1507" s="3">
        <v>0.63128472222222221</v>
      </c>
      <c r="E1507">
        <f t="shared" si="207"/>
        <v>15</v>
      </c>
      <c r="F1507">
        <v>31</v>
      </c>
      <c r="G1507" t="s">
        <v>99</v>
      </c>
      <c r="H1507" t="s">
        <v>100</v>
      </c>
      <c r="I1507" t="s">
        <v>30</v>
      </c>
      <c r="J1507" t="s">
        <v>21</v>
      </c>
      <c r="K1507" t="s">
        <v>22</v>
      </c>
      <c r="L1507">
        <v>124.33</v>
      </c>
      <c r="M1507" t="s">
        <v>33</v>
      </c>
      <c r="N1507">
        <f t="shared" si="208"/>
        <v>0</v>
      </c>
      <c r="O1507" t="s">
        <v>24</v>
      </c>
      <c r="P1507" t="s">
        <v>2704</v>
      </c>
      <c r="Q1507">
        <v>0</v>
      </c>
      <c r="R1507">
        <v>368</v>
      </c>
      <c r="S1507">
        <f t="shared" si="209"/>
        <v>-0.69614576899653569</v>
      </c>
      <c r="T1507">
        <f t="shared" si="210"/>
        <v>0</v>
      </c>
      <c r="U1507">
        <f t="shared" si="211"/>
        <v>0</v>
      </c>
      <c r="V1507">
        <f t="shared" si="212"/>
        <v>0</v>
      </c>
      <c r="W1507">
        <f t="shared" si="213"/>
        <v>0</v>
      </c>
      <c r="X1507">
        <f t="shared" si="214"/>
        <v>0</v>
      </c>
      <c r="Y1507">
        <f t="shared" si="215"/>
        <v>0</v>
      </c>
    </row>
    <row r="1508" spans="1:25" x14ac:dyDescent="0.3">
      <c r="A1508" t="s">
        <v>6305</v>
      </c>
      <c r="B1508" t="s">
        <v>6306</v>
      </c>
      <c r="C1508" s="1">
        <v>45733</v>
      </c>
      <c r="D1508" s="3">
        <v>2.5555555555555557E-2</v>
      </c>
      <c r="E1508">
        <f t="shared" si="207"/>
        <v>0</v>
      </c>
      <c r="F1508">
        <v>45</v>
      </c>
      <c r="G1508" t="s">
        <v>99</v>
      </c>
      <c r="H1508" t="s">
        <v>47</v>
      </c>
      <c r="I1508" t="s">
        <v>71</v>
      </c>
      <c r="J1508" t="s">
        <v>49</v>
      </c>
      <c r="K1508" t="s">
        <v>101</v>
      </c>
      <c r="L1508">
        <v>124.25</v>
      </c>
      <c r="M1508" t="s">
        <v>115</v>
      </c>
      <c r="N1508">
        <f t="shared" si="208"/>
        <v>0</v>
      </c>
      <c r="O1508" t="s">
        <v>24</v>
      </c>
      <c r="P1508" t="s">
        <v>6307</v>
      </c>
      <c r="Q1508">
        <v>0</v>
      </c>
      <c r="R1508">
        <v>114</v>
      </c>
      <c r="S1508">
        <f t="shared" si="209"/>
        <v>-0.69725330975462307</v>
      </c>
      <c r="T1508">
        <f t="shared" si="210"/>
        <v>0</v>
      </c>
      <c r="U1508">
        <f t="shared" si="211"/>
        <v>1</v>
      </c>
      <c r="V1508">
        <f t="shared" si="212"/>
        <v>1</v>
      </c>
      <c r="W1508">
        <f t="shared" si="213"/>
        <v>3</v>
      </c>
      <c r="X1508">
        <f t="shared" si="214"/>
        <v>0</v>
      </c>
      <c r="Y1508">
        <f t="shared" si="215"/>
        <v>0</v>
      </c>
    </row>
    <row r="1509" spans="1:25" x14ac:dyDescent="0.3">
      <c r="A1509" t="s">
        <v>2996</v>
      </c>
      <c r="B1509" t="s">
        <v>2997</v>
      </c>
      <c r="C1509" s="1">
        <v>45822</v>
      </c>
      <c r="D1509" s="3">
        <v>0.26228009259259261</v>
      </c>
      <c r="E1509">
        <f t="shared" si="207"/>
        <v>6</v>
      </c>
      <c r="F1509">
        <v>57</v>
      </c>
      <c r="G1509" t="s">
        <v>18</v>
      </c>
      <c r="H1509" t="s">
        <v>47</v>
      </c>
      <c r="I1509" t="s">
        <v>30</v>
      </c>
      <c r="J1509" t="s">
        <v>21</v>
      </c>
      <c r="K1509" t="s">
        <v>95</v>
      </c>
      <c r="L1509">
        <v>124.24</v>
      </c>
      <c r="M1509" t="s">
        <v>42</v>
      </c>
      <c r="N1509">
        <f t="shared" si="208"/>
        <v>0</v>
      </c>
      <c r="O1509" t="s">
        <v>34</v>
      </c>
      <c r="P1509" t="s">
        <v>2998</v>
      </c>
      <c r="Q1509">
        <v>1</v>
      </c>
      <c r="R1509">
        <v>279</v>
      </c>
      <c r="S1509">
        <f t="shared" si="209"/>
        <v>-0.697391752349384</v>
      </c>
      <c r="T1509">
        <f t="shared" si="210"/>
        <v>0</v>
      </c>
      <c r="U1509">
        <f t="shared" si="211"/>
        <v>0</v>
      </c>
      <c r="V1509">
        <f t="shared" si="212"/>
        <v>0</v>
      </c>
      <c r="W1509">
        <f t="shared" si="213"/>
        <v>0</v>
      </c>
      <c r="X1509">
        <f t="shared" si="214"/>
        <v>0</v>
      </c>
      <c r="Y1509">
        <f t="shared" si="215"/>
        <v>0</v>
      </c>
    </row>
    <row r="1510" spans="1:25" x14ac:dyDescent="0.3">
      <c r="A1510" t="s">
        <v>1562</v>
      </c>
      <c r="B1510" t="s">
        <v>1563</v>
      </c>
      <c r="C1510" s="1">
        <v>45731</v>
      </c>
      <c r="D1510" s="3">
        <v>0.23275462962962962</v>
      </c>
      <c r="E1510">
        <f t="shared" si="207"/>
        <v>5</v>
      </c>
      <c r="F1510">
        <v>27</v>
      </c>
      <c r="G1510" t="s">
        <v>18</v>
      </c>
      <c r="H1510" t="s">
        <v>61</v>
      </c>
      <c r="I1510" t="s">
        <v>48</v>
      </c>
      <c r="J1510" t="s">
        <v>40</v>
      </c>
      <c r="K1510" t="s">
        <v>101</v>
      </c>
      <c r="L1510">
        <v>124.18</v>
      </c>
      <c r="M1510" t="s">
        <v>42</v>
      </c>
      <c r="N1510">
        <f t="shared" si="208"/>
        <v>0</v>
      </c>
      <c r="O1510" t="s">
        <v>51</v>
      </c>
      <c r="P1510" t="s">
        <v>1564</v>
      </c>
      <c r="Q1510">
        <v>0</v>
      </c>
      <c r="R1510">
        <v>485</v>
      </c>
      <c r="S1510">
        <f t="shared" si="209"/>
        <v>-0.69822240791794943</v>
      </c>
      <c r="T1510">
        <f t="shared" si="210"/>
        <v>0</v>
      </c>
      <c r="U1510">
        <f t="shared" si="211"/>
        <v>1</v>
      </c>
      <c r="V1510">
        <f t="shared" si="212"/>
        <v>0</v>
      </c>
      <c r="W1510">
        <f t="shared" si="213"/>
        <v>2</v>
      </c>
      <c r="X1510">
        <f t="shared" si="214"/>
        <v>0</v>
      </c>
      <c r="Y1510">
        <f t="shared" si="215"/>
        <v>0</v>
      </c>
    </row>
    <row r="1511" spans="1:25" x14ac:dyDescent="0.3">
      <c r="A1511" t="s">
        <v>2444</v>
      </c>
      <c r="B1511" t="s">
        <v>2445</v>
      </c>
      <c r="C1511" s="1">
        <v>45705</v>
      </c>
      <c r="D1511" s="3">
        <v>0.7724537037037037</v>
      </c>
      <c r="E1511">
        <f t="shared" si="207"/>
        <v>18</v>
      </c>
      <c r="F1511">
        <v>51</v>
      </c>
      <c r="G1511" t="s">
        <v>46</v>
      </c>
      <c r="H1511" t="s">
        <v>167</v>
      </c>
      <c r="I1511" t="s">
        <v>48</v>
      </c>
      <c r="J1511" t="s">
        <v>40</v>
      </c>
      <c r="K1511" t="s">
        <v>95</v>
      </c>
      <c r="L1511">
        <v>124.18</v>
      </c>
      <c r="M1511" t="s">
        <v>115</v>
      </c>
      <c r="N1511">
        <f t="shared" si="208"/>
        <v>0</v>
      </c>
      <c r="O1511" t="s">
        <v>51</v>
      </c>
      <c r="P1511" t="s">
        <v>2446</v>
      </c>
      <c r="Q1511">
        <v>0</v>
      </c>
      <c r="R1511">
        <v>65</v>
      </c>
      <c r="S1511">
        <f t="shared" si="209"/>
        <v>-0.69822240791794943</v>
      </c>
      <c r="T1511">
        <f t="shared" si="210"/>
        <v>0</v>
      </c>
      <c r="U1511">
        <f t="shared" si="211"/>
        <v>0</v>
      </c>
      <c r="V1511">
        <f t="shared" si="212"/>
        <v>1</v>
      </c>
      <c r="W1511">
        <f t="shared" si="213"/>
        <v>1</v>
      </c>
      <c r="X1511">
        <f t="shared" si="214"/>
        <v>0</v>
      </c>
      <c r="Y1511">
        <f t="shared" si="215"/>
        <v>0</v>
      </c>
    </row>
    <row r="1512" spans="1:25" x14ac:dyDescent="0.3">
      <c r="A1512" t="s">
        <v>4838</v>
      </c>
      <c r="B1512" t="s">
        <v>4839</v>
      </c>
      <c r="C1512" s="1">
        <v>45870</v>
      </c>
      <c r="D1512" s="3">
        <v>0.39560185185185187</v>
      </c>
      <c r="E1512">
        <f t="shared" si="207"/>
        <v>9</v>
      </c>
      <c r="F1512">
        <v>63</v>
      </c>
      <c r="G1512" t="s">
        <v>99</v>
      </c>
      <c r="H1512" t="s">
        <v>239</v>
      </c>
      <c r="I1512" t="s">
        <v>110</v>
      </c>
      <c r="J1512" t="s">
        <v>76</v>
      </c>
      <c r="K1512" t="s">
        <v>41</v>
      </c>
      <c r="L1512">
        <v>124.13</v>
      </c>
      <c r="M1512" t="s">
        <v>42</v>
      </c>
      <c r="N1512">
        <f t="shared" si="208"/>
        <v>0</v>
      </c>
      <c r="O1512" t="s">
        <v>86</v>
      </c>
      <c r="P1512" t="s">
        <v>4840</v>
      </c>
      <c r="Q1512">
        <v>0</v>
      </c>
      <c r="R1512">
        <v>364</v>
      </c>
      <c r="S1512">
        <f t="shared" si="209"/>
        <v>-0.69891462089175416</v>
      </c>
      <c r="T1512">
        <f t="shared" si="210"/>
        <v>0</v>
      </c>
      <c r="U1512">
        <f t="shared" si="211"/>
        <v>0</v>
      </c>
      <c r="V1512">
        <f t="shared" si="212"/>
        <v>0</v>
      </c>
      <c r="W1512">
        <f t="shared" si="213"/>
        <v>0</v>
      </c>
      <c r="X1512">
        <f t="shared" si="214"/>
        <v>0</v>
      </c>
      <c r="Y1512">
        <f t="shared" si="215"/>
        <v>0</v>
      </c>
    </row>
    <row r="1513" spans="1:25" x14ac:dyDescent="0.3">
      <c r="A1513" t="s">
        <v>6398</v>
      </c>
      <c r="B1513" t="s">
        <v>6399</v>
      </c>
      <c r="C1513" s="1">
        <v>45811</v>
      </c>
      <c r="D1513" s="3">
        <v>0.86515046296296294</v>
      </c>
      <c r="E1513">
        <f t="shared" si="207"/>
        <v>20</v>
      </c>
      <c r="F1513">
        <v>60</v>
      </c>
      <c r="G1513" t="s">
        <v>18</v>
      </c>
      <c r="H1513" t="s">
        <v>80</v>
      </c>
      <c r="I1513" t="s">
        <v>105</v>
      </c>
      <c r="J1513" t="s">
        <v>132</v>
      </c>
      <c r="K1513" t="s">
        <v>101</v>
      </c>
      <c r="L1513">
        <v>124.07</v>
      </c>
      <c r="M1513" t="s">
        <v>115</v>
      </c>
      <c r="N1513">
        <f t="shared" si="208"/>
        <v>0</v>
      </c>
      <c r="O1513" t="s">
        <v>34</v>
      </c>
      <c r="P1513" t="s">
        <v>6400</v>
      </c>
      <c r="Q1513">
        <v>0</v>
      </c>
      <c r="R1513">
        <v>57</v>
      </c>
      <c r="S1513">
        <f t="shared" si="209"/>
        <v>-0.69974527646031981</v>
      </c>
      <c r="T1513">
        <f t="shared" si="210"/>
        <v>0</v>
      </c>
      <c r="U1513">
        <f t="shared" si="211"/>
        <v>0</v>
      </c>
      <c r="V1513">
        <f t="shared" si="212"/>
        <v>1</v>
      </c>
      <c r="W1513">
        <f t="shared" si="213"/>
        <v>1</v>
      </c>
      <c r="X1513">
        <f t="shared" si="214"/>
        <v>0</v>
      </c>
      <c r="Y1513">
        <f t="shared" si="215"/>
        <v>0</v>
      </c>
    </row>
    <row r="1514" spans="1:25" x14ac:dyDescent="0.3">
      <c r="A1514" t="s">
        <v>2684</v>
      </c>
      <c r="B1514" t="s">
        <v>2685</v>
      </c>
      <c r="C1514" s="1">
        <v>45881</v>
      </c>
      <c r="D1514" s="3">
        <v>0.26856481481481481</v>
      </c>
      <c r="E1514">
        <f t="shared" si="207"/>
        <v>6</v>
      </c>
      <c r="F1514">
        <v>22</v>
      </c>
      <c r="G1514" t="s">
        <v>18</v>
      </c>
      <c r="H1514" t="s">
        <v>55</v>
      </c>
      <c r="I1514" t="s">
        <v>110</v>
      </c>
      <c r="J1514" t="s">
        <v>127</v>
      </c>
      <c r="K1514" t="s">
        <v>41</v>
      </c>
      <c r="L1514">
        <v>123.9</v>
      </c>
      <c r="M1514" t="s">
        <v>115</v>
      </c>
      <c r="N1514">
        <f t="shared" si="208"/>
        <v>0</v>
      </c>
      <c r="O1514" t="s">
        <v>86</v>
      </c>
      <c r="P1514" t="s">
        <v>2686</v>
      </c>
      <c r="Q1514">
        <v>0</v>
      </c>
      <c r="R1514">
        <v>351</v>
      </c>
      <c r="S1514">
        <f t="shared" si="209"/>
        <v>-0.70209880057125529</v>
      </c>
      <c r="T1514">
        <f t="shared" si="210"/>
        <v>0</v>
      </c>
      <c r="U1514">
        <f t="shared" si="211"/>
        <v>0</v>
      </c>
      <c r="V1514">
        <f t="shared" si="212"/>
        <v>0</v>
      </c>
      <c r="W1514">
        <f t="shared" si="213"/>
        <v>0</v>
      </c>
      <c r="X1514">
        <f t="shared" si="214"/>
        <v>0</v>
      </c>
      <c r="Y1514">
        <f t="shared" si="215"/>
        <v>0</v>
      </c>
    </row>
    <row r="1515" spans="1:25" x14ac:dyDescent="0.3">
      <c r="A1515" t="s">
        <v>1505</v>
      </c>
      <c r="B1515" t="s">
        <v>1506</v>
      </c>
      <c r="C1515" s="1">
        <v>45780</v>
      </c>
      <c r="D1515" s="3">
        <v>0.73453703703703699</v>
      </c>
      <c r="E1515">
        <f t="shared" si="207"/>
        <v>17</v>
      </c>
      <c r="F1515">
        <v>63</v>
      </c>
      <c r="G1515" t="s">
        <v>18</v>
      </c>
      <c r="H1515" t="s">
        <v>100</v>
      </c>
      <c r="I1515" t="s">
        <v>119</v>
      </c>
      <c r="J1515" t="s">
        <v>94</v>
      </c>
      <c r="K1515" t="s">
        <v>32</v>
      </c>
      <c r="L1515">
        <v>123.48</v>
      </c>
      <c r="M1515" t="s">
        <v>115</v>
      </c>
      <c r="N1515">
        <f t="shared" si="208"/>
        <v>0</v>
      </c>
      <c r="O1515" t="s">
        <v>51</v>
      </c>
      <c r="P1515" t="s">
        <v>1507</v>
      </c>
      <c r="Q1515">
        <v>0</v>
      </c>
      <c r="R1515">
        <v>305</v>
      </c>
      <c r="S1515">
        <f t="shared" si="209"/>
        <v>-0.70791338955121419</v>
      </c>
      <c r="T1515">
        <f t="shared" si="210"/>
        <v>0</v>
      </c>
      <c r="U1515">
        <f t="shared" si="211"/>
        <v>0</v>
      </c>
      <c r="V1515">
        <f t="shared" si="212"/>
        <v>0</v>
      </c>
      <c r="W1515">
        <f t="shared" si="213"/>
        <v>0</v>
      </c>
      <c r="X1515">
        <f t="shared" si="214"/>
        <v>0</v>
      </c>
      <c r="Y1515">
        <f t="shared" si="215"/>
        <v>0</v>
      </c>
    </row>
    <row r="1516" spans="1:25" x14ac:dyDescent="0.3">
      <c r="A1516" t="s">
        <v>2411</v>
      </c>
      <c r="B1516" t="s">
        <v>2412</v>
      </c>
      <c r="C1516" s="1">
        <v>45846</v>
      </c>
      <c r="D1516" s="3">
        <v>0.81892361111111112</v>
      </c>
      <c r="E1516">
        <f t="shared" si="207"/>
        <v>19</v>
      </c>
      <c r="F1516">
        <v>30</v>
      </c>
      <c r="G1516" t="s">
        <v>46</v>
      </c>
      <c r="H1516" t="s">
        <v>167</v>
      </c>
      <c r="I1516" t="s">
        <v>39</v>
      </c>
      <c r="J1516" t="s">
        <v>21</v>
      </c>
      <c r="K1516" t="s">
        <v>50</v>
      </c>
      <c r="L1516">
        <v>123.47</v>
      </c>
      <c r="M1516" t="s">
        <v>33</v>
      </c>
      <c r="N1516">
        <f t="shared" si="208"/>
        <v>0</v>
      </c>
      <c r="O1516" t="s">
        <v>24</v>
      </c>
      <c r="P1516" t="s">
        <v>2413</v>
      </c>
      <c r="Q1516">
        <v>0</v>
      </c>
      <c r="R1516">
        <v>312</v>
      </c>
      <c r="S1516">
        <f t="shared" si="209"/>
        <v>-0.70805183214597511</v>
      </c>
      <c r="T1516">
        <f t="shared" si="210"/>
        <v>0</v>
      </c>
      <c r="U1516">
        <f t="shared" si="211"/>
        <v>0</v>
      </c>
      <c r="V1516">
        <f t="shared" si="212"/>
        <v>0</v>
      </c>
      <c r="W1516">
        <f t="shared" si="213"/>
        <v>0</v>
      </c>
      <c r="X1516">
        <f t="shared" si="214"/>
        <v>0</v>
      </c>
      <c r="Y1516">
        <f t="shared" si="215"/>
        <v>0</v>
      </c>
    </row>
    <row r="1517" spans="1:25" x14ac:dyDescent="0.3">
      <c r="A1517" t="s">
        <v>6443</v>
      </c>
      <c r="B1517" t="s">
        <v>6444</v>
      </c>
      <c r="C1517" s="1">
        <v>45865</v>
      </c>
      <c r="D1517" s="3">
        <v>0.44144675925925925</v>
      </c>
      <c r="E1517">
        <f t="shared" si="207"/>
        <v>10</v>
      </c>
      <c r="F1517">
        <v>55</v>
      </c>
      <c r="G1517" t="s">
        <v>60</v>
      </c>
      <c r="H1517" t="s">
        <v>175</v>
      </c>
      <c r="I1517" t="s">
        <v>119</v>
      </c>
      <c r="J1517" t="s">
        <v>21</v>
      </c>
      <c r="K1517" t="s">
        <v>95</v>
      </c>
      <c r="L1517">
        <v>123.46</v>
      </c>
      <c r="M1517" t="s">
        <v>23</v>
      </c>
      <c r="N1517">
        <f t="shared" si="208"/>
        <v>0</v>
      </c>
      <c r="O1517" t="s">
        <v>34</v>
      </c>
      <c r="P1517" t="s">
        <v>6445</v>
      </c>
      <c r="Q1517">
        <v>0</v>
      </c>
      <c r="R1517">
        <v>127</v>
      </c>
      <c r="S1517">
        <f t="shared" si="209"/>
        <v>-0.70819027474073615</v>
      </c>
      <c r="T1517">
        <f t="shared" si="210"/>
        <v>0</v>
      </c>
      <c r="U1517">
        <f t="shared" si="211"/>
        <v>0</v>
      </c>
      <c r="V1517">
        <f t="shared" si="212"/>
        <v>1</v>
      </c>
      <c r="W1517">
        <f t="shared" si="213"/>
        <v>1</v>
      </c>
      <c r="X1517">
        <f t="shared" si="214"/>
        <v>0</v>
      </c>
      <c r="Y1517">
        <f t="shared" si="215"/>
        <v>0</v>
      </c>
    </row>
    <row r="1518" spans="1:25" x14ac:dyDescent="0.3">
      <c r="A1518" t="s">
        <v>3626</v>
      </c>
      <c r="B1518" t="s">
        <v>3627</v>
      </c>
      <c r="C1518" s="1">
        <v>45822</v>
      </c>
      <c r="D1518" s="3">
        <v>0.57890046296296294</v>
      </c>
      <c r="E1518">
        <f t="shared" si="207"/>
        <v>13</v>
      </c>
      <c r="F1518">
        <v>40</v>
      </c>
      <c r="G1518" t="s">
        <v>46</v>
      </c>
      <c r="H1518" t="s">
        <v>189</v>
      </c>
      <c r="I1518" t="s">
        <v>105</v>
      </c>
      <c r="J1518" t="s">
        <v>31</v>
      </c>
      <c r="K1518" t="s">
        <v>62</v>
      </c>
      <c r="L1518">
        <v>123.34</v>
      </c>
      <c r="M1518" t="s">
        <v>42</v>
      </c>
      <c r="N1518">
        <f t="shared" si="208"/>
        <v>0</v>
      </c>
      <c r="O1518" t="s">
        <v>51</v>
      </c>
      <c r="P1518" t="s">
        <v>3628</v>
      </c>
      <c r="Q1518">
        <v>0</v>
      </c>
      <c r="R1518">
        <v>190</v>
      </c>
      <c r="S1518">
        <f t="shared" si="209"/>
        <v>-0.70985158587786712</v>
      </c>
      <c r="T1518">
        <f t="shared" si="210"/>
        <v>0</v>
      </c>
      <c r="U1518">
        <f t="shared" si="211"/>
        <v>0</v>
      </c>
      <c r="V1518">
        <f t="shared" si="212"/>
        <v>1</v>
      </c>
      <c r="W1518">
        <f t="shared" si="213"/>
        <v>1</v>
      </c>
      <c r="X1518">
        <f t="shared" si="214"/>
        <v>0</v>
      </c>
      <c r="Y1518">
        <f t="shared" si="215"/>
        <v>0</v>
      </c>
    </row>
    <row r="1519" spans="1:25" x14ac:dyDescent="0.3">
      <c r="A1519" t="s">
        <v>4874</v>
      </c>
      <c r="B1519" t="s">
        <v>4875</v>
      </c>
      <c r="C1519" s="1">
        <v>45738</v>
      </c>
      <c r="D1519" s="3">
        <v>0.68641203703703701</v>
      </c>
      <c r="E1519">
        <f t="shared" si="207"/>
        <v>16</v>
      </c>
      <c r="F1519">
        <v>63</v>
      </c>
      <c r="G1519" t="s">
        <v>46</v>
      </c>
      <c r="H1519" t="s">
        <v>167</v>
      </c>
      <c r="I1519" t="s">
        <v>110</v>
      </c>
      <c r="J1519" t="s">
        <v>132</v>
      </c>
      <c r="K1519" t="s">
        <v>50</v>
      </c>
      <c r="L1519">
        <v>123.12</v>
      </c>
      <c r="M1519" t="s">
        <v>23</v>
      </c>
      <c r="N1519">
        <f t="shared" si="208"/>
        <v>0</v>
      </c>
      <c r="O1519" t="s">
        <v>86</v>
      </c>
      <c r="P1519" t="s">
        <v>4876</v>
      </c>
      <c r="Q1519">
        <v>0</v>
      </c>
      <c r="R1519">
        <v>315</v>
      </c>
      <c r="S1519">
        <f t="shared" si="209"/>
        <v>-0.71289732296260744</v>
      </c>
      <c r="T1519">
        <f t="shared" si="210"/>
        <v>0</v>
      </c>
      <c r="U1519">
        <f t="shared" si="211"/>
        <v>0</v>
      </c>
      <c r="V1519">
        <f t="shared" si="212"/>
        <v>0</v>
      </c>
      <c r="W1519">
        <f t="shared" si="213"/>
        <v>0</v>
      </c>
      <c r="X1519">
        <f t="shared" si="214"/>
        <v>0</v>
      </c>
      <c r="Y1519">
        <f t="shared" si="215"/>
        <v>0</v>
      </c>
    </row>
    <row r="1520" spans="1:25" x14ac:dyDescent="0.3">
      <c r="A1520" t="s">
        <v>3023</v>
      </c>
      <c r="B1520" t="s">
        <v>3024</v>
      </c>
      <c r="C1520" s="1">
        <v>45877</v>
      </c>
      <c r="D1520" s="3">
        <v>0.59459490740740739</v>
      </c>
      <c r="E1520">
        <f t="shared" si="207"/>
        <v>14</v>
      </c>
      <c r="F1520">
        <v>28</v>
      </c>
      <c r="G1520" t="s">
        <v>99</v>
      </c>
      <c r="H1520" t="s">
        <v>189</v>
      </c>
      <c r="I1520" t="s">
        <v>39</v>
      </c>
      <c r="J1520" t="s">
        <v>127</v>
      </c>
      <c r="K1520" t="s">
        <v>120</v>
      </c>
      <c r="L1520">
        <v>122.72</v>
      </c>
      <c r="M1520" t="s">
        <v>23</v>
      </c>
      <c r="N1520">
        <f t="shared" si="208"/>
        <v>0</v>
      </c>
      <c r="O1520" t="s">
        <v>34</v>
      </c>
      <c r="P1520" t="s">
        <v>3025</v>
      </c>
      <c r="Q1520">
        <v>0</v>
      </c>
      <c r="R1520">
        <v>238</v>
      </c>
      <c r="S1520">
        <f t="shared" si="209"/>
        <v>-0.71843502675304449</v>
      </c>
      <c r="T1520">
        <f t="shared" si="210"/>
        <v>0</v>
      </c>
      <c r="U1520">
        <f t="shared" si="211"/>
        <v>0</v>
      </c>
      <c r="V1520">
        <f t="shared" si="212"/>
        <v>1</v>
      </c>
      <c r="W1520">
        <f t="shared" si="213"/>
        <v>1</v>
      </c>
      <c r="X1520">
        <f t="shared" si="214"/>
        <v>0</v>
      </c>
      <c r="Y1520">
        <f t="shared" si="215"/>
        <v>0</v>
      </c>
    </row>
    <row r="1521" spans="1:25" x14ac:dyDescent="0.3">
      <c r="A1521" t="s">
        <v>701</v>
      </c>
      <c r="B1521" t="s">
        <v>702</v>
      </c>
      <c r="C1521" s="1">
        <v>45878</v>
      </c>
      <c r="D1521" s="3">
        <v>0.34813657407407406</v>
      </c>
      <c r="E1521">
        <f t="shared" si="207"/>
        <v>8</v>
      </c>
      <c r="F1521">
        <v>19</v>
      </c>
      <c r="G1521" t="s">
        <v>46</v>
      </c>
      <c r="H1521" t="s">
        <v>131</v>
      </c>
      <c r="I1521" t="s">
        <v>20</v>
      </c>
      <c r="J1521" t="s">
        <v>94</v>
      </c>
      <c r="K1521" t="s">
        <v>41</v>
      </c>
      <c r="L1521">
        <v>122.7</v>
      </c>
      <c r="M1521" t="s">
        <v>115</v>
      </c>
      <c r="N1521">
        <f t="shared" si="208"/>
        <v>0</v>
      </c>
      <c r="O1521" t="s">
        <v>34</v>
      </c>
      <c r="P1521" t="s">
        <v>703</v>
      </c>
      <c r="Q1521">
        <v>0</v>
      </c>
      <c r="R1521">
        <v>340</v>
      </c>
      <c r="S1521">
        <f t="shared" si="209"/>
        <v>-0.71871191194256634</v>
      </c>
      <c r="T1521">
        <f t="shared" si="210"/>
        <v>0</v>
      </c>
      <c r="U1521">
        <f t="shared" si="211"/>
        <v>0</v>
      </c>
      <c r="V1521">
        <f t="shared" si="212"/>
        <v>0</v>
      </c>
      <c r="W1521">
        <f t="shared" si="213"/>
        <v>0</v>
      </c>
      <c r="X1521">
        <f t="shared" si="214"/>
        <v>0</v>
      </c>
      <c r="Y1521">
        <f t="shared" si="215"/>
        <v>0</v>
      </c>
    </row>
    <row r="1522" spans="1:25" x14ac:dyDescent="0.3">
      <c r="A1522" t="s">
        <v>4169</v>
      </c>
      <c r="B1522" t="s">
        <v>4170</v>
      </c>
      <c r="C1522" s="1">
        <v>45867</v>
      </c>
      <c r="D1522" s="3">
        <v>0.82164351851851847</v>
      </c>
      <c r="E1522">
        <f t="shared" si="207"/>
        <v>19</v>
      </c>
      <c r="F1522">
        <v>62</v>
      </c>
      <c r="G1522" t="s">
        <v>18</v>
      </c>
      <c r="H1522" t="s">
        <v>19</v>
      </c>
      <c r="I1522" t="s">
        <v>105</v>
      </c>
      <c r="J1522" t="s">
        <v>127</v>
      </c>
      <c r="K1522" t="s">
        <v>101</v>
      </c>
      <c r="L1522">
        <v>122.64</v>
      </c>
      <c r="M1522" t="s">
        <v>42</v>
      </c>
      <c r="N1522">
        <f t="shared" si="208"/>
        <v>0</v>
      </c>
      <c r="O1522" t="s">
        <v>24</v>
      </c>
      <c r="P1522" t="s">
        <v>4171</v>
      </c>
      <c r="Q1522">
        <v>0</v>
      </c>
      <c r="R1522">
        <v>88</v>
      </c>
      <c r="S1522">
        <f t="shared" si="209"/>
        <v>-0.71954256751113188</v>
      </c>
      <c r="T1522">
        <f t="shared" si="210"/>
        <v>0</v>
      </c>
      <c r="U1522">
        <f t="shared" si="211"/>
        <v>0</v>
      </c>
      <c r="V1522">
        <f t="shared" si="212"/>
        <v>1</v>
      </c>
      <c r="W1522">
        <f t="shared" si="213"/>
        <v>1</v>
      </c>
      <c r="X1522">
        <f t="shared" si="214"/>
        <v>0</v>
      </c>
      <c r="Y1522">
        <f t="shared" si="215"/>
        <v>0</v>
      </c>
    </row>
    <row r="1523" spans="1:25" x14ac:dyDescent="0.3">
      <c r="A1523" t="s">
        <v>117</v>
      </c>
      <c r="B1523" t="s">
        <v>118</v>
      </c>
      <c r="C1523" s="1">
        <v>45761</v>
      </c>
      <c r="D1523" s="3">
        <v>0.10290509259259259</v>
      </c>
      <c r="E1523">
        <f t="shared" si="207"/>
        <v>2</v>
      </c>
      <c r="F1523">
        <v>19</v>
      </c>
      <c r="G1523" t="s">
        <v>28</v>
      </c>
      <c r="H1523" t="s">
        <v>61</v>
      </c>
      <c r="I1523" t="s">
        <v>119</v>
      </c>
      <c r="J1523" t="s">
        <v>31</v>
      </c>
      <c r="K1523" t="s">
        <v>120</v>
      </c>
      <c r="L1523">
        <v>122.43</v>
      </c>
      <c r="M1523" t="s">
        <v>33</v>
      </c>
      <c r="N1523">
        <f t="shared" si="208"/>
        <v>0</v>
      </c>
      <c r="O1523" t="s">
        <v>24</v>
      </c>
      <c r="P1523" t="s">
        <v>121</v>
      </c>
      <c r="Q1523">
        <v>1</v>
      </c>
      <c r="R1523">
        <v>258</v>
      </c>
      <c r="S1523">
        <f t="shared" si="209"/>
        <v>-0.72244986200111116</v>
      </c>
      <c r="T1523">
        <f t="shared" si="210"/>
        <v>0</v>
      </c>
      <c r="U1523">
        <f t="shared" si="211"/>
        <v>1</v>
      </c>
      <c r="V1523">
        <f t="shared" si="212"/>
        <v>1</v>
      </c>
      <c r="W1523">
        <f t="shared" si="213"/>
        <v>3</v>
      </c>
      <c r="X1523">
        <f t="shared" si="214"/>
        <v>0</v>
      </c>
      <c r="Y1523">
        <f t="shared" si="215"/>
        <v>0</v>
      </c>
    </row>
    <row r="1524" spans="1:25" x14ac:dyDescent="0.3">
      <c r="A1524" t="s">
        <v>5084</v>
      </c>
      <c r="B1524" t="s">
        <v>5085</v>
      </c>
      <c r="C1524" s="1">
        <v>45735</v>
      </c>
      <c r="D1524" s="3">
        <v>0.63277777777777777</v>
      </c>
      <c r="E1524">
        <f t="shared" si="207"/>
        <v>15</v>
      </c>
      <c r="F1524">
        <v>20</v>
      </c>
      <c r="G1524" t="s">
        <v>46</v>
      </c>
      <c r="H1524" t="s">
        <v>100</v>
      </c>
      <c r="I1524" t="s">
        <v>66</v>
      </c>
      <c r="J1524" t="s">
        <v>40</v>
      </c>
      <c r="K1524" t="s">
        <v>95</v>
      </c>
      <c r="L1524">
        <v>122.32</v>
      </c>
      <c r="M1524" t="s">
        <v>42</v>
      </c>
      <c r="N1524">
        <f t="shared" si="208"/>
        <v>0</v>
      </c>
      <c r="O1524" t="s">
        <v>34</v>
      </c>
      <c r="P1524" t="s">
        <v>5086</v>
      </c>
      <c r="Q1524">
        <v>0</v>
      </c>
      <c r="R1524">
        <v>219</v>
      </c>
      <c r="S1524">
        <f t="shared" si="209"/>
        <v>-0.72397273054348155</v>
      </c>
      <c r="T1524">
        <f t="shared" si="210"/>
        <v>0</v>
      </c>
      <c r="U1524">
        <f t="shared" si="211"/>
        <v>0</v>
      </c>
      <c r="V1524">
        <f t="shared" si="212"/>
        <v>1</v>
      </c>
      <c r="W1524">
        <f t="shared" si="213"/>
        <v>1</v>
      </c>
      <c r="X1524">
        <f t="shared" si="214"/>
        <v>0</v>
      </c>
      <c r="Y1524">
        <f t="shared" si="215"/>
        <v>0</v>
      </c>
    </row>
    <row r="1525" spans="1:25" x14ac:dyDescent="0.3">
      <c r="A1525" t="s">
        <v>5675</v>
      </c>
      <c r="B1525" t="s">
        <v>5676</v>
      </c>
      <c r="C1525" s="1">
        <v>45789</v>
      </c>
      <c r="D1525" s="3">
        <v>0.74982638888888886</v>
      </c>
      <c r="E1525">
        <f t="shared" ref="E1525:E1588" si="216">HOUR(D1525)</f>
        <v>17</v>
      </c>
      <c r="F1525">
        <v>63</v>
      </c>
      <c r="G1525" t="s">
        <v>18</v>
      </c>
      <c r="H1525" t="s">
        <v>90</v>
      </c>
      <c r="I1525" t="s">
        <v>66</v>
      </c>
      <c r="J1525" t="s">
        <v>21</v>
      </c>
      <c r="K1525" t="s">
        <v>22</v>
      </c>
      <c r="L1525">
        <v>122.25</v>
      </c>
      <c r="M1525" t="s">
        <v>42</v>
      </c>
      <c r="N1525">
        <f t="shared" si="208"/>
        <v>0</v>
      </c>
      <c r="O1525" t="s">
        <v>51</v>
      </c>
      <c r="P1525" t="s">
        <v>5677</v>
      </c>
      <c r="Q1525">
        <v>0</v>
      </c>
      <c r="R1525">
        <v>227</v>
      </c>
      <c r="S1525">
        <f t="shared" si="209"/>
        <v>-0.7249418287068079</v>
      </c>
      <c r="T1525">
        <f t="shared" si="210"/>
        <v>0</v>
      </c>
      <c r="U1525">
        <f t="shared" si="211"/>
        <v>0</v>
      </c>
      <c r="V1525">
        <f t="shared" si="212"/>
        <v>1</v>
      </c>
      <c r="W1525">
        <f t="shared" si="213"/>
        <v>1</v>
      </c>
      <c r="X1525">
        <f t="shared" si="214"/>
        <v>0</v>
      </c>
      <c r="Y1525">
        <f t="shared" si="215"/>
        <v>0</v>
      </c>
    </row>
    <row r="1526" spans="1:25" x14ac:dyDescent="0.3">
      <c r="A1526" t="s">
        <v>503</v>
      </c>
      <c r="B1526" t="s">
        <v>504</v>
      </c>
      <c r="C1526" s="1">
        <v>45800</v>
      </c>
      <c r="D1526" s="3">
        <v>0.62400462962962966</v>
      </c>
      <c r="E1526">
        <f t="shared" si="216"/>
        <v>14</v>
      </c>
      <c r="F1526">
        <v>44</v>
      </c>
      <c r="G1526" t="s">
        <v>46</v>
      </c>
      <c r="H1526" t="s">
        <v>142</v>
      </c>
      <c r="I1526" t="s">
        <v>105</v>
      </c>
      <c r="J1526" t="s">
        <v>76</v>
      </c>
      <c r="K1526" t="s">
        <v>22</v>
      </c>
      <c r="L1526">
        <v>121.78</v>
      </c>
      <c r="M1526" t="s">
        <v>115</v>
      </c>
      <c r="N1526">
        <f t="shared" si="208"/>
        <v>0</v>
      </c>
      <c r="O1526" t="s">
        <v>24</v>
      </c>
      <c r="P1526" t="s">
        <v>505</v>
      </c>
      <c r="Q1526">
        <v>0</v>
      </c>
      <c r="R1526">
        <v>182</v>
      </c>
      <c r="S1526">
        <f t="shared" si="209"/>
        <v>-0.73144863066057142</v>
      </c>
      <c r="T1526">
        <f t="shared" si="210"/>
        <v>0</v>
      </c>
      <c r="U1526">
        <f t="shared" si="211"/>
        <v>0</v>
      </c>
      <c r="V1526">
        <f t="shared" si="212"/>
        <v>1</v>
      </c>
      <c r="W1526">
        <f t="shared" si="213"/>
        <v>1</v>
      </c>
      <c r="X1526">
        <f t="shared" si="214"/>
        <v>0</v>
      </c>
      <c r="Y1526">
        <f t="shared" si="215"/>
        <v>0</v>
      </c>
    </row>
    <row r="1527" spans="1:25" x14ac:dyDescent="0.3">
      <c r="A1527" s="2" t="s">
        <v>1331</v>
      </c>
      <c r="B1527" t="s">
        <v>1332</v>
      </c>
      <c r="C1527" s="1">
        <v>45787</v>
      </c>
      <c r="D1527" s="3">
        <v>3.7268518518518519E-3</v>
      </c>
      <c r="E1527">
        <f t="shared" si="216"/>
        <v>0</v>
      </c>
      <c r="F1527">
        <v>32</v>
      </c>
      <c r="G1527" t="s">
        <v>46</v>
      </c>
      <c r="H1527" t="s">
        <v>19</v>
      </c>
      <c r="I1527" t="s">
        <v>71</v>
      </c>
      <c r="J1527" t="s">
        <v>31</v>
      </c>
      <c r="K1527" t="s">
        <v>120</v>
      </c>
      <c r="L1527">
        <v>121.78</v>
      </c>
      <c r="M1527" t="s">
        <v>33</v>
      </c>
      <c r="N1527">
        <f t="shared" si="208"/>
        <v>0</v>
      </c>
      <c r="O1527" t="s">
        <v>51</v>
      </c>
      <c r="P1527" t="s">
        <v>1333</v>
      </c>
      <c r="Q1527">
        <v>0</v>
      </c>
      <c r="R1527">
        <v>242</v>
      </c>
      <c r="S1527">
        <f t="shared" si="209"/>
        <v>-0.73144863066057142</v>
      </c>
      <c r="T1527">
        <f t="shared" si="210"/>
        <v>0</v>
      </c>
      <c r="U1527">
        <f t="shared" si="211"/>
        <v>1</v>
      </c>
      <c r="V1527">
        <f t="shared" si="212"/>
        <v>1</v>
      </c>
      <c r="W1527">
        <f t="shared" si="213"/>
        <v>3</v>
      </c>
      <c r="X1527">
        <f t="shared" si="214"/>
        <v>0</v>
      </c>
      <c r="Y1527">
        <f t="shared" si="215"/>
        <v>0</v>
      </c>
    </row>
    <row r="1528" spans="1:25" x14ac:dyDescent="0.3">
      <c r="A1528" t="s">
        <v>3713</v>
      </c>
      <c r="B1528" t="s">
        <v>3714</v>
      </c>
      <c r="C1528" s="1">
        <v>45815</v>
      </c>
      <c r="D1528" s="3">
        <v>0.57708333333333328</v>
      </c>
      <c r="E1528">
        <f t="shared" si="216"/>
        <v>13</v>
      </c>
      <c r="F1528">
        <v>44</v>
      </c>
      <c r="G1528" t="s">
        <v>46</v>
      </c>
      <c r="H1528" t="s">
        <v>80</v>
      </c>
      <c r="I1528" t="s">
        <v>30</v>
      </c>
      <c r="J1528" t="s">
        <v>40</v>
      </c>
      <c r="K1528" t="s">
        <v>32</v>
      </c>
      <c r="L1528">
        <v>121.55</v>
      </c>
      <c r="M1528" t="s">
        <v>33</v>
      </c>
      <c r="N1528">
        <f t="shared" si="208"/>
        <v>0</v>
      </c>
      <c r="O1528" t="s">
        <v>24</v>
      </c>
      <c r="P1528" t="s">
        <v>3715</v>
      </c>
      <c r="Q1528">
        <v>0</v>
      </c>
      <c r="R1528">
        <v>239</v>
      </c>
      <c r="S1528">
        <f t="shared" si="209"/>
        <v>-0.73463281034007266</v>
      </c>
      <c r="T1528">
        <f t="shared" si="210"/>
        <v>0</v>
      </c>
      <c r="U1528">
        <f t="shared" si="211"/>
        <v>0</v>
      </c>
      <c r="V1528">
        <f t="shared" si="212"/>
        <v>1</v>
      </c>
      <c r="W1528">
        <f t="shared" si="213"/>
        <v>1</v>
      </c>
      <c r="X1528">
        <f t="shared" si="214"/>
        <v>0</v>
      </c>
      <c r="Y1528">
        <f t="shared" si="215"/>
        <v>0</v>
      </c>
    </row>
    <row r="1529" spans="1:25" x14ac:dyDescent="0.3">
      <c r="A1529" t="s">
        <v>2426</v>
      </c>
      <c r="B1529" t="s">
        <v>2427</v>
      </c>
      <c r="C1529" s="1">
        <v>45871</v>
      </c>
      <c r="D1529" s="3">
        <v>0.55047453703703708</v>
      </c>
      <c r="E1529">
        <f t="shared" si="216"/>
        <v>13</v>
      </c>
      <c r="F1529">
        <v>51</v>
      </c>
      <c r="G1529" t="s">
        <v>28</v>
      </c>
      <c r="H1529" t="s">
        <v>90</v>
      </c>
      <c r="I1529" t="s">
        <v>110</v>
      </c>
      <c r="J1529" t="s">
        <v>49</v>
      </c>
      <c r="K1529" t="s">
        <v>120</v>
      </c>
      <c r="L1529">
        <v>121.48</v>
      </c>
      <c r="M1529" t="s">
        <v>42</v>
      </c>
      <c r="N1529">
        <f t="shared" si="208"/>
        <v>0</v>
      </c>
      <c r="O1529" t="s">
        <v>34</v>
      </c>
      <c r="P1529" t="s">
        <v>2428</v>
      </c>
      <c r="Q1529">
        <v>0</v>
      </c>
      <c r="R1529">
        <v>51</v>
      </c>
      <c r="S1529">
        <f t="shared" si="209"/>
        <v>-0.73560190850339902</v>
      </c>
      <c r="T1529">
        <f t="shared" si="210"/>
        <v>0</v>
      </c>
      <c r="U1529">
        <f t="shared" si="211"/>
        <v>0</v>
      </c>
      <c r="V1529">
        <f t="shared" si="212"/>
        <v>1</v>
      </c>
      <c r="W1529">
        <f t="shared" si="213"/>
        <v>1</v>
      </c>
      <c r="X1529">
        <f t="shared" si="214"/>
        <v>0</v>
      </c>
      <c r="Y1529">
        <f t="shared" si="215"/>
        <v>0</v>
      </c>
    </row>
    <row r="1530" spans="1:25" x14ac:dyDescent="0.3">
      <c r="A1530" t="s">
        <v>3842</v>
      </c>
      <c r="B1530" t="s">
        <v>3843</v>
      </c>
      <c r="C1530" s="1">
        <v>45720</v>
      </c>
      <c r="D1530" s="3">
        <v>0.67391203703703706</v>
      </c>
      <c r="E1530">
        <f t="shared" si="216"/>
        <v>16</v>
      </c>
      <c r="F1530">
        <v>64</v>
      </c>
      <c r="G1530" t="s">
        <v>60</v>
      </c>
      <c r="H1530" t="s">
        <v>100</v>
      </c>
      <c r="I1530" t="s">
        <v>85</v>
      </c>
      <c r="J1530" t="s">
        <v>49</v>
      </c>
      <c r="K1530" t="s">
        <v>114</v>
      </c>
      <c r="L1530">
        <v>121.42</v>
      </c>
      <c r="M1530" t="s">
        <v>33</v>
      </c>
      <c r="N1530">
        <f t="shared" si="208"/>
        <v>0</v>
      </c>
      <c r="O1530" t="s">
        <v>86</v>
      </c>
      <c r="P1530" t="s">
        <v>3844</v>
      </c>
      <c r="Q1530">
        <v>0</v>
      </c>
      <c r="R1530">
        <v>361</v>
      </c>
      <c r="S1530">
        <f t="shared" si="209"/>
        <v>-0.73643256407196467</v>
      </c>
      <c r="T1530">
        <f t="shared" si="210"/>
        <v>0</v>
      </c>
      <c r="U1530">
        <f t="shared" si="211"/>
        <v>0</v>
      </c>
      <c r="V1530">
        <f t="shared" si="212"/>
        <v>0</v>
      </c>
      <c r="W1530">
        <f t="shared" si="213"/>
        <v>0</v>
      </c>
      <c r="X1530">
        <f t="shared" si="214"/>
        <v>0</v>
      </c>
      <c r="Y1530">
        <f t="shared" si="215"/>
        <v>0</v>
      </c>
    </row>
    <row r="1531" spans="1:25" x14ac:dyDescent="0.3">
      <c r="A1531" t="s">
        <v>6467</v>
      </c>
      <c r="B1531" t="s">
        <v>6468</v>
      </c>
      <c r="C1531" s="1">
        <v>45857</v>
      </c>
      <c r="D1531" s="3">
        <v>0.56724537037037037</v>
      </c>
      <c r="E1531">
        <f t="shared" si="216"/>
        <v>13</v>
      </c>
      <c r="F1531">
        <v>60</v>
      </c>
      <c r="G1531" t="s">
        <v>18</v>
      </c>
      <c r="H1531" t="s">
        <v>185</v>
      </c>
      <c r="I1531" t="s">
        <v>71</v>
      </c>
      <c r="J1531" t="s">
        <v>40</v>
      </c>
      <c r="K1531" t="s">
        <v>168</v>
      </c>
      <c r="L1531">
        <v>121.29</v>
      </c>
      <c r="M1531" t="s">
        <v>42</v>
      </c>
      <c r="N1531">
        <f t="shared" si="208"/>
        <v>0</v>
      </c>
      <c r="O1531" t="s">
        <v>34</v>
      </c>
      <c r="P1531" t="s">
        <v>6469</v>
      </c>
      <c r="Q1531">
        <v>0</v>
      </c>
      <c r="R1531">
        <v>327</v>
      </c>
      <c r="S1531">
        <f t="shared" si="209"/>
        <v>-0.73823231780385656</v>
      </c>
      <c r="T1531">
        <f t="shared" si="210"/>
        <v>0</v>
      </c>
      <c r="U1531">
        <f t="shared" si="211"/>
        <v>0</v>
      </c>
      <c r="V1531">
        <f t="shared" si="212"/>
        <v>0</v>
      </c>
      <c r="W1531">
        <f t="shared" si="213"/>
        <v>0</v>
      </c>
      <c r="X1531">
        <f t="shared" si="214"/>
        <v>0</v>
      </c>
      <c r="Y1531">
        <f t="shared" si="215"/>
        <v>0</v>
      </c>
    </row>
    <row r="1532" spans="1:25" x14ac:dyDescent="0.3">
      <c r="A1532" t="s">
        <v>1028</v>
      </c>
      <c r="B1532" t="s">
        <v>1029</v>
      </c>
      <c r="C1532" s="1">
        <v>45717</v>
      </c>
      <c r="D1532" s="3">
        <v>0.31620370370370371</v>
      </c>
      <c r="E1532">
        <f t="shared" si="216"/>
        <v>7</v>
      </c>
      <c r="F1532">
        <v>34</v>
      </c>
      <c r="G1532" t="s">
        <v>18</v>
      </c>
      <c r="H1532" t="s">
        <v>90</v>
      </c>
      <c r="I1532" t="s">
        <v>66</v>
      </c>
      <c r="J1532" t="s">
        <v>132</v>
      </c>
      <c r="K1532" t="s">
        <v>32</v>
      </c>
      <c r="L1532">
        <v>121.22</v>
      </c>
      <c r="M1532" t="s">
        <v>115</v>
      </c>
      <c r="N1532">
        <f t="shared" si="208"/>
        <v>0</v>
      </c>
      <c r="O1532" t="s">
        <v>86</v>
      </c>
      <c r="P1532" t="s">
        <v>1030</v>
      </c>
      <c r="Q1532">
        <v>0</v>
      </c>
      <c r="R1532">
        <v>53</v>
      </c>
      <c r="S1532">
        <f t="shared" si="209"/>
        <v>-0.73920141596718314</v>
      </c>
      <c r="T1532">
        <f t="shared" si="210"/>
        <v>0</v>
      </c>
      <c r="U1532">
        <f t="shared" si="211"/>
        <v>0</v>
      </c>
      <c r="V1532">
        <f t="shared" si="212"/>
        <v>1</v>
      </c>
      <c r="W1532">
        <f t="shared" si="213"/>
        <v>1</v>
      </c>
      <c r="X1532">
        <f t="shared" si="214"/>
        <v>0</v>
      </c>
      <c r="Y1532">
        <f t="shared" si="215"/>
        <v>0</v>
      </c>
    </row>
    <row r="1533" spans="1:25" x14ac:dyDescent="0.3">
      <c r="A1533" t="s">
        <v>103</v>
      </c>
      <c r="B1533" t="s">
        <v>104</v>
      </c>
      <c r="C1533" s="1">
        <v>45709</v>
      </c>
      <c r="D1533" s="3">
        <v>0.27729166666666666</v>
      </c>
      <c r="E1533">
        <f t="shared" si="216"/>
        <v>6</v>
      </c>
      <c r="F1533">
        <v>41</v>
      </c>
      <c r="G1533" t="s">
        <v>46</v>
      </c>
      <c r="H1533" t="s">
        <v>47</v>
      </c>
      <c r="I1533" t="s">
        <v>105</v>
      </c>
      <c r="J1533" t="s">
        <v>49</v>
      </c>
      <c r="K1533" t="s">
        <v>22</v>
      </c>
      <c r="L1533">
        <v>121.02</v>
      </c>
      <c r="M1533" t="s">
        <v>6479</v>
      </c>
      <c r="N1533">
        <f t="shared" si="208"/>
        <v>1</v>
      </c>
      <c r="O1533" t="s">
        <v>24</v>
      </c>
      <c r="P1533" t="s">
        <v>107</v>
      </c>
      <c r="Q1533">
        <v>0</v>
      </c>
      <c r="R1533">
        <v>446</v>
      </c>
      <c r="S1533">
        <f t="shared" si="209"/>
        <v>-0.74197026786240172</v>
      </c>
      <c r="T1533">
        <f t="shared" si="210"/>
        <v>0</v>
      </c>
      <c r="U1533">
        <f t="shared" si="211"/>
        <v>0</v>
      </c>
      <c r="V1533">
        <f t="shared" si="212"/>
        <v>0</v>
      </c>
      <c r="W1533">
        <f t="shared" si="213"/>
        <v>2</v>
      </c>
      <c r="X1533">
        <f t="shared" si="214"/>
        <v>0</v>
      </c>
      <c r="Y1533">
        <f t="shared" si="215"/>
        <v>1</v>
      </c>
    </row>
    <row r="1534" spans="1:25" x14ac:dyDescent="0.3">
      <c r="A1534" t="s">
        <v>1037</v>
      </c>
      <c r="B1534" t="s">
        <v>1038</v>
      </c>
      <c r="C1534" s="1">
        <v>45714</v>
      </c>
      <c r="D1534" s="3">
        <v>0.3863773148148148</v>
      </c>
      <c r="E1534">
        <f t="shared" si="216"/>
        <v>9</v>
      </c>
      <c r="F1534">
        <v>29</v>
      </c>
      <c r="G1534" t="s">
        <v>18</v>
      </c>
      <c r="H1534" t="s">
        <v>175</v>
      </c>
      <c r="I1534" t="s">
        <v>105</v>
      </c>
      <c r="J1534" t="s">
        <v>40</v>
      </c>
      <c r="K1534" t="s">
        <v>62</v>
      </c>
      <c r="L1534">
        <v>120.83</v>
      </c>
      <c r="M1534" t="s">
        <v>23</v>
      </c>
      <c r="N1534">
        <f t="shared" si="208"/>
        <v>0</v>
      </c>
      <c r="O1534" t="s">
        <v>86</v>
      </c>
      <c r="P1534" t="s">
        <v>1039</v>
      </c>
      <c r="Q1534">
        <v>0</v>
      </c>
      <c r="R1534">
        <v>460</v>
      </c>
      <c r="S1534">
        <f t="shared" si="209"/>
        <v>-0.74460067716285927</v>
      </c>
      <c r="T1534">
        <f t="shared" si="210"/>
        <v>0</v>
      </c>
      <c r="U1534">
        <f t="shared" si="211"/>
        <v>0</v>
      </c>
      <c r="V1534">
        <f t="shared" si="212"/>
        <v>0</v>
      </c>
      <c r="W1534">
        <f t="shared" si="213"/>
        <v>0</v>
      </c>
      <c r="X1534">
        <f t="shared" si="214"/>
        <v>0</v>
      </c>
      <c r="Y1534">
        <f t="shared" si="215"/>
        <v>0</v>
      </c>
    </row>
    <row r="1535" spans="1:25" x14ac:dyDescent="0.3">
      <c r="A1535" t="s">
        <v>2681</v>
      </c>
      <c r="B1535" t="s">
        <v>2682</v>
      </c>
      <c r="C1535" s="1">
        <v>45792</v>
      </c>
      <c r="D1535" s="3">
        <v>0.13973379629629629</v>
      </c>
      <c r="E1535">
        <f t="shared" si="216"/>
        <v>3</v>
      </c>
      <c r="F1535">
        <v>18</v>
      </c>
      <c r="G1535" t="s">
        <v>6479</v>
      </c>
      <c r="H1535" t="s">
        <v>131</v>
      </c>
      <c r="I1535" t="s">
        <v>71</v>
      </c>
      <c r="J1535" t="s">
        <v>56</v>
      </c>
      <c r="K1535" t="s">
        <v>95</v>
      </c>
      <c r="L1535">
        <v>120.59</v>
      </c>
      <c r="M1535" t="s">
        <v>115</v>
      </c>
      <c r="N1535">
        <f t="shared" si="208"/>
        <v>0</v>
      </c>
      <c r="O1535" t="s">
        <v>51</v>
      </c>
      <c r="P1535" t="s">
        <v>2683</v>
      </c>
      <c r="Q1535">
        <v>0</v>
      </c>
      <c r="R1535">
        <v>176</v>
      </c>
      <c r="S1535">
        <f t="shared" si="209"/>
        <v>-0.74792329943712133</v>
      </c>
      <c r="T1535">
        <f t="shared" si="210"/>
        <v>0</v>
      </c>
      <c r="U1535">
        <f t="shared" si="211"/>
        <v>1</v>
      </c>
      <c r="V1535">
        <f t="shared" si="212"/>
        <v>1</v>
      </c>
      <c r="W1535">
        <f t="shared" si="213"/>
        <v>3</v>
      </c>
      <c r="X1535">
        <f t="shared" si="214"/>
        <v>0</v>
      </c>
      <c r="Y1535">
        <f t="shared" si="215"/>
        <v>0</v>
      </c>
    </row>
    <row r="1536" spans="1:25" x14ac:dyDescent="0.3">
      <c r="A1536" t="s">
        <v>3818</v>
      </c>
      <c r="B1536" t="s">
        <v>3819</v>
      </c>
      <c r="C1536" s="1">
        <v>45767</v>
      </c>
      <c r="D1536" s="3">
        <v>0.16815972222222222</v>
      </c>
      <c r="E1536">
        <f t="shared" si="216"/>
        <v>4</v>
      </c>
      <c r="F1536">
        <v>46</v>
      </c>
      <c r="G1536" t="s">
        <v>6479</v>
      </c>
      <c r="H1536" t="s">
        <v>90</v>
      </c>
      <c r="I1536" t="s">
        <v>105</v>
      </c>
      <c r="J1536" t="s">
        <v>21</v>
      </c>
      <c r="K1536" t="s">
        <v>168</v>
      </c>
      <c r="L1536">
        <v>120.56</v>
      </c>
      <c r="M1536" t="s">
        <v>33</v>
      </c>
      <c r="N1536">
        <f t="shared" si="208"/>
        <v>0</v>
      </c>
      <c r="O1536" t="s">
        <v>34</v>
      </c>
      <c r="P1536" t="s">
        <v>3820</v>
      </c>
      <c r="Q1536">
        <v>0</v>
      </c>
      <c r="R1536">
        <v>347</v>
      </c>
      <c r="S1536">
        <f t="shared" si="209"/>
        <v>-0.7483386272214041</v>
      </c>
      <c r="T1536">
        <f t="shared" si="210"/>
        <v>0</v>
      </c>
      <c r="U1536">
        <f t="shared" si="211"/>
        <v>1</v>
      </c>
      <c r="V1536">
        <f t="shared" si="212"/>
        <v>0</v>
      </c>
      <c r="W1536">
        <f t="shared" si="213"/>
        <v>2</v>
      </c>
      <c r="X1536">
        <f t="shared" si="214"/>
        <v>0</v>
      </c>
      <c r="Y1536">
        <f t="shared" si="215"/>
        <v>0</v>
      </c>
    </row>
    <row r="1537" spans="1:25" x14ac:dyDescent="0.3">
      <c r="A1537" t="s">
        <v>3659</v>
      </c>
      <c r="B1537" t="s">
        <v>3660</v>
      </c>
      <c r="C1537" s="1">
        <v>45799</v>
      </c>
      <c r="D1537" s="3">
        <v>0.17252314814814815</v>
      </c>
      <c r="E1537">
        <f t="shared" si="216"/>
        <v>4</v>
      </c>
      <c r="F1537">
        <v>32</v>
      </c>
      <c r="G1537" t="s">
        <v>46</v>
      </c>
      <c r="H1537" t="s">
        <v>185</v>
      </c>
      <c r="I1537" t="s">
        <v>30</v>
      </c>
      <c r="J1537" t="s">
        <v>40</v>
      </c>
      <c r="K1537" t="s">
        <v>41</v>
      </c>
      <c r="L1537">
        <v>120.39</v>
      </c>
      <c r="M1537" t="s">
        <v>23</v>
      </c>
      <c r="N1537">
        <f t="shared" si="208"/>
        <v>0</v>
      </c>
      <c r="O1537" t="s">
        <v>24</v>
      </c>
      <c r="P1537" t="s">
        <v>3661</v>
      </c>
      <c r="Q1537">
        <v>0</v>
      </c>
      <c r="R1537">
        <v>120</v>
      </c>
      <c r="S1537">
        <f t="shared" si="209"/>
        <v>-0.75069215133233991</v>
      </c>
      <c r="T1537">
        <f t="shared" si="210"/>
        <v>0</v>
      </c>
      <c r="U1537">
        <f t="shared" si="211"/>
        <v>1</v>
      </c>
      <c r="V1537">
        <f t="shared" si="212"/>
        <v>1</v>
      </c>
      <c r="W1537">
        <f t="shared" si="213"/>
        <v>3</v>
      </c>
      <c r="X1537">
        <f t="shared" si="214"/>
        <v>0</v>
      </c>
      <c r="Y1537">
        <f t="shared" si="215"/>
        <v>0</v>
      </c>
    </row>
    <row r="1538" spans="1:25" x14ac:dyDescent="0.3">
      <c r="A1538" t="s">
        <v>2297</v>
      </c>
      <c r="B1538" t="s">
        <v>2298</v>
      </c>
      <c r="C1538" s="1">
        <v>45741</v>
      </c>
      <c r="D1538" s="3">
        <v>9.1759259259259263E-2</v>
      </c>
      <c r="E1538">
        <f t="shared" si="216"/>
        <v>2</v>
      </c>
      <c r="F1538">
        <v>35</v>
      </c>
      <c r="G1538" t="s">
        <v>46</v>
      </c>
      <c r="H1538" t="s">
        <v>175</v>
      </c>
      <c r="I1538" t="s">
        <v>48</v>
      </c>
      <c r="J1538" t="s">
        <v>132</v>
      </c>
      <c r="K1538" t="s">
        <v>50</v>
      </c>
      <c r="L1538">
        <v>120.01</v>
      </c>
      <c r="M1538" t="s">
        <v>42</v>
      </c>
      <c r="N1538">
        <f t="shared" ref="N1538:N1601" si="217">IF(M1538="Unknown",1,0)</f>
        <v>0</v>
      </c>
      <c r="O1538" t="s">
        <v>34</v>
      </c>
      <c r="P1538" t="s">
        <v>2299</v>
      </c>
      <c r="Q1538">
        <v>0</v>
      </c>
      <c r="R1538">
        <v>52</v>
      </c>
      <c r="S1538">
        <f t="shared" ref="S1538:S1601" si="218">(L1538-$P$2137)/$P$2138</f>
        <v>-0.755952969933255</v>
      </c>
      <c r="T1538">
        <f t="shared" ref="T1538:T1601" si="219">IF(ABS(Z1538)&gt;3,1,0)</f>
        <v>0</v>
      </c>
      <c r="U1538">
        <f t="shared" ref="U1538:U1601" si="220">IF(AND(E1538&gt;=0,E1538&lt;=5),1,0)</f>
        <v>1</v>
      </c>
      <c r="V1538">
        <f t="shared" ref="V1538:V1601" si="221">IF(R1538&lt;AVERAGE($R:$R),1,0)</f>
        <v>1</v>
      </c>
      <c r="W1538">
        <f t="shared" ref="W1538:W1601" si="222">T1538*3+U1538*2+V1538*1+N1538*2</f>
        <v>3</v>
      </c>
      <c r="X1538">
        <f t="shared" ref="X1538:X1601" si="223">IF(W1538&gt;=5,1,0)</f>
        <v>0</v>
      </c>
      <c r="Y1538">
        <f t="shared" ref="Y1538:Y1601" si="224">IF(M1538="Unknown",1,0)</f>
        <v>0</v>
      </c>
    </row>
    <row r="1539" spans="1:25" x14ac:dyDescent="0.3">
      <c r="A1539" t="s">
        <v>3158</v>
      </c>
      <c r="B1539" t="s">
        <v>3159</v>
      </c>
      <c r="C1539" s="1">
        <v>45849</v>
      </c>
      <c r="D1539" s="3">
        <v>0.1723611111111111</v>
      </c>
      <c r="E1539">
        <f t="shared" si="216"/>
        <v>4</v>
      </c>
      <c r="F1539">
        <v>18</v>
      </c>
      <c r="G1539" t="s">
        <v>60</v>
      </c>
      <c r="H1539" t="s">
        <v>142</v>
      </c>
      <c r="I1539" t="s">
        <v>119</v>
      </c>
      <c r="J1539" t="s">
        <v>31</v>
      </c>
      <c r="K1539" t="s">
        <v>168</v>
      </c>
      <c r="L1539">
        <v>119.83</v>
      </c>
      <c r="M1539" t="s">
        <v>115</v>
      </c>
      <c r="N1539">
        <f t="shared" si="217"/>
        <v>0</v>
      </c>
      <c r="O1539" t="s">
        <v>34</v>
      </c>
      <c r="P1539" t="s">
        <v>3160</v>
      </c>
      <c r="Q1539">
        <v>0</v>
      </c>
      <c r="R1539">
        <v>120</v>
      </c>
      <c r="S1539">
        <f t="shared" si="218"/>
        <v>-0.75844493663895174</v>
      </c>
      <c r="T1539">
        <f t="shared" si="219"/>
        <v>0</v>
      </c>
      <c r="U1539">
        <f t="shared" si="220"/>
        <v>1</v>
      </c>
      <c r="V1539">
        <f t="shared" si="221"/>
        <v>1</v>
      </c>
      <c r="W1539">
        <f t="shared" si="222"/>
        <v>3</v>
      </c>
      <c r="X1539">
        <f t="shared" si="223"/>
        <v>0</v>
      </c>
      <c r="Y1539">
        <f t="shared" si="224"/>
        <v>0</v>
      </c>
    </row>
    <row r="1540" spans="1:25" x14ac:dyDescent="0.3">
      <c r="A1540" t="s">
        <v>4172</v>
      </c>
      <c r="B1540" t="s">
        <v>4173</v>
      </c>
      <c r="C1540" s="1">
        <v>45718</v>
      </c>
      <c r="D1540" s="3">
        <v>0.67254629629629625</v>
      </c>
      <c r="E1540">
        <f t="shared" si="216"/>
        <v>16</v>
      </c>
      <c r="F1540">
        <v>51</v>
      </c>
      <c r="G1540" t="s">
        <v>60</v>
      </c>
      <c r="H1540" t="s">
        <v>38</v>
      </c>
      <c r="I1540" t="s">
        <v>119</v>
      </c>
      <c r="J1540" t="s">
        <v>56</v>
      </c>
      <c r="K1540" t="s">
        <v>50</v>
      </c>
      <c r="L1540">
        <v>119.45</v>
      </c>
      <c r="M1540" t="s">
        <v>23</v>
      </c>
      <c r="N1540">
        <f t="shared" si="217"/>
        <v>0</v>
      </c>
      <c r="O1540" t="s">
        <v>86</v>
      </c>
      <c r="P1540" t="s">
        <v>4174</v>
      </c>
      <c r="Q1540">
        <v>0</v>
      </c>
      <c r="R1540">
        <v>60</v>
      </c>
      <c r="S1540">
        <f t="shared" si="218"/>
        <v>-0.76370575523986672</v>
      </c>
      <c r="T1540">
        <f t="shared" si="219"/>
        <v>0</v>
      </c>
      <c r="U1540">
        <f t="shared" si="220"/>
        <v>0</v>
      </c>
      <c r="V1540">
        <f t="shared" si="221"/>
        <v>1</v>
      </c>
      <c r="W1540">
        <f t="shared" si="222"/>
        <v>1</v>
      </c>
      <c r="X1540">
        <f t="shared" si="223"/>
        <v>0</v>
      </c>
      <c r="Y1540">
        <f t="shared" si="224"/>
        <v>0</v>
      </c>
    </row>
    <row r="1541" spans="1:25" x14ac:dyDescent="0.3">
      <c r="A1541" t="s">
        <v>4589</v>
      </c>
      <c r="B1541" t="s">
        <v>4590</v>
      </c>
      <c r="C1541" s="1">
        <v>45799</v>
      </c>
      <c r="D1541" s="3">
        <v>0.74502314814814818</v>
      </c>
      <c r="E1541">
        <f t="shared" si="216"/>
        <v>17</v>
      </c>
      <c r="F1541">
        <v>47</v>
      </c>
      <c r="G1541" t="s">
        <v>28</v>
      </c>
      <c r="H1541" t="s">
        <v>232</v>
      </c>
      <c r="I1541" t="s">
        <v>105</v>
      </c>
      <c r="J1541" t="s">
        <v>72</v>
      </c>
      <c r="K1541" t="s">
        <v>168</v>
      </c>
      <c r="L1541">
        <v>119.43</v>
      </c>
      <c r="M1541" t="s">
        <v>33</v>
      </c>
      <c r="N1541">
        <f t="shared" si="217"/>
        <v>0</v>
      </c>
      <c r="O1541" t="s">
        <v>34</v>
      </c>
      <c r="P1541" t="s">
        <v>4591</v>
      </c>
      <c r="Q1541">
        <v>0</v>
      </c>
      <c r="R1541">
        <v>80</v>
      </c>
      <c r="S1541">
        <f t="shared" si="218"/>
        <v>-0.76398264042938857</v>
      </c>
      <c r="T1541">
        <f t="shared" si="219"/>
        <v>0</v>
      </c>
      <c r="U1541">
        <f t="shared" si="220"/>
        <v>0</v>
      </c>
      <c r="V1541">
        <f t="shared" si="221"/>
        <v>1</v>
      </c>
      <c r="W1541">
        <f t="shared" si="222"/>
        <v>1</v>
      </c>
      <c r="X1541">
        <f t="shared" si="223"/>
        <v>0</v>
      </c>
      <c r="Y1541">
        <f t="shared" si="224"/>
        <v>0</v>
      </c>
    </row>
    <row r="1542" spans="1:25" x14ac:dyDescent="0.3">
      <c r="A1542" t="s">
        <v>3122</v>
      </c>
      <c r="B1542" t="s">
        <v>3123</v>
      </c>
      <c r="C1542" s="1">
        <v>45814</v>
      </c>
      <c r="D1542" s="3">
        <v>0.44519675925925928</v>
      </c>
      <c r="E1542">
        <f t="shared" si="216"/>
        <v>10</v>
      </c>
      <c r="F1542">
        <v>50</v>
      </c>
      <c r="G1542" t="s">
        <v>46</v>
      </c>
      <c r="H1542" t="s">
        <v>61</v>
      </c>
      <c r="I1542" t="s">
        <v>66</v>
      </c>
      <c r="J1542" t="s">
        <v>94</v>
      </c>
      <c r="K1542" t="s">
        <v>32</v>
      </c>
      <c r="L1542">
        <v>119.39</v>
      </c>
      <c r="M1542" t="s">
        <v>23</v>
      </c>
      <c r="N1542">
        <f t="shared" si="217"/>
        <v>0</v>
      </c>
      <c r="O1542" t="s">
        <v>34</v>
      </c>
      <c r="P1542" t="s">
        <v>3124</v>
      </c>
      <c r="Q1542">
        <v>0</v>
      </c>
      <c r="R1542">
        <v>274</v>
      </c>
      <c r="S1542">
        <f t="shared" si="218"/>
        <v>-0.76453641080843238</v>
      </c>
      <c r="T1542">
        <f t="shared" si="219"/>
        <v>0</v>
      </c>
      <c r="U1542">
        <f t="shared" si="220"/>
        <v>0</v>
      </c>
      <c r="V1542">
        <f t="shared" si="221"/>
        <v>0</v>
      </c>
      <c r="W1542">
        <f t="shared" si="222"/>
        <v>0</v>
      </c>
      <c r="X1542">
        <f t="shared" si="223"/>
        <v>0</v>
      </c>
      <c r="Y1542">
        <f t="shared" si="224"/>
        <v>0</v>
      </c>
    </row>
    <row r="1543" spans="1:25" x14ac:dyDescent="0.3">
      <c r="A1543" t="s">
        <v>3647</v>
      </c>
      <c r="B1543" t="s">
        <v>3648</v>
      </c>
      <c r="C1543" s="1">
        <v>45722</v>
      </c>
      <c r="D1543" s="3">
        <v>0.51849537037037041</v>
      </c>
      <c r="E1543">
        <f t="shared" si="216"/>
        <v>12</v>
      </c>
      <c r="F1543">
        <v>53</v>
      </c>
      <c r="G1543" t="s">
        <v>6479</v>
      </c>
      <c r="H1543" t="s">
        <v>131</v>
      </c>
      <c r="I1543" t="s">
        <v>39</v>
      </c>
      <c r="J1543" t="s">
        <v>21</v>
      </c>
      <c r="K1543" t="s">
        <v>62</v>
      </c>
      <c r="L1543">
        <v>119.26</v>
      </c>
      <c r="M1543" t="s">
        <v>6479</v>
      </c>
      <c r="N1543">
        <f t="shared" si="217"/>
        <v>1</v>
      </c>
      <c r="O1543" t="s">
        <v>34</v>
      </c>
      <c r="P1543" t="s">
        <v>3649</v>
      </c>
      <c r="Q1543">
        <v>0</v>
      </c>
      <c r="R1543">
        <v>131</v>
      </c>
      <c r="S1543">
        <f t="shared" si="218"/>
        <v>-0.76633616454032427</v>
      </c>
      <c r="T1543">
        <f t="shared" si="219"/>
        <v>0</v>
      </c>
      <c r="U1543">
        <f t="shared" si="220"/>
        <v>0</v>
      </c>
      <c r="V1543">
        <f t="shared" si="221"/>
        <v>1</v>
      </c>
      <c r="W1543">
        <f t="shared" si="222"/>
        <v>3</v>
      </c>
      <c r="X1543">
        <f t="shared" si="223"/>
        <v>0</v>
      </c>
      <c r="Y1543">
        <f t="shared" si="224"/>
        <v>1</v>
      </c>
    </row>
    <row r="1544" spans="1:25" x14ac:dyDescent="0.3">
      <c r="A1544" t="s">
        <v>5273</v>
      </c>
      <c r="B1544" t="s">
        <v>5274</v>
      </c>
      <c r="C1544" s="1">
        <v>45746</v>
      </c>
      <c r="D1544" s="3">
        <v>0.25452546296296297</v>
      </c>
      <c r="E1544">
        <f t="shared" si="216"/>
        <v>6</v>
      </c>
      <c r="F1544">
        <v>24</v>
      </c>
      <c r="G1544" t="s">
        <v>46</v>
      </c>
      <c r="H1544" t="s">
        <v>100</v>
      </c>
      <c r="I1544" t="s">
        <v>85</v>
      </c>
      <c r="J1544" t="s">
        <v>56</v>
      </c>
      <c r="K1544" t="s">
        <v>22</v>
      </c>
      <c r="L1544">
        <v>119.18</v>
      </c>
      <c r="M1544" t="s">
        <v>23</v>
      </c>
      <c r="N1544">
        <f t="shared" si="217"/>
        <v>0</v>
      </c>
      <c r="O1544" t="s">
        <v>51</v>
      </c>
      <c r="P1544" t="s">
        <v>5275</v>
      </c>
      <c r="Q1544">
        <v>0</v>
      </c>
      <c r="R1544">
        <v>416</v>
      </c>
      <c r="S1544">
        <f t="shared" si="218"/>
        <v>-0.76744370529841166</v>
      </c>
      <c r="T1544">
        <f t="shared" si="219"/>
        <v>0</v>
      </c>
      <c r="U1544">
        <f t="shared" si="220"/>
        <v>0</v>
      </c>
      <c r="V1544">
        <f t="shared" si="221"/>
        <v>0</v>
      </c>
      <c r="W1544">
        <f t="shared" si="222"/>
        <v>0</v>
      </c>
      <c r="X1544">
        <f t="shared" si="223"/>
        <v>0</v>
      </c>
      <c r="Y1544">
        <f t="shared" si="224"/>
        <v>0</v>
      </c>
    </row>
    <row r="1545" spans="1:25" x14ac:dyDescent="0.3">
      <c r="A1545" t="s">
        <v>2405</v>
      </c>
      <c r="B1545" t="s">
        <v>2406</v>
      </c>
      <c r="C1545" s="1">
        <v>45855</v>
      </c>
      <c r="D1545" s="3">
        <v>0.34546296296296297</v>
      </c>
      <c r="E1545">
        <f t="shared" si="216"/>
        <v>8</v>
      </c>
      <c r="F1545">
        <v>18</v>
      </c>
      <c r="G1545" t="s">
        <v>46</v>
      </c>
      <c r="H1545" t="s">
        <v>100</v>
      </c>
      <c r="I1545" t="s">
        <v>105</v>
      </c>
      <c r="J1545" t="s">
        <v>132</v>
      </c>
      <c r="K1545" t="s">
        <v>62</v>
      </c>
      <c r="L1545">
        <v>118.76</v>
      </c>
      <c r="M1545" t="s">
        <v>42</v>
      </c>
      <c r="N1545">
        <f t="shared" si="217"/>
        <v>0</v>
      </c>
      <c r="O1545" t="s">
        <v>24</v>
      </c>
      <c r="P1545" t="s">
        <v>2407</v>
      </c>
      <c r="Q1545">
        <v>0</v>
      </c>
      <c r="R1545">
        <v>389</v>
      </c>
      <c r="S1545">
        <f t="shared" si="218"/>
        <v>-0.77325829427837056</v>
      </c>
      <c r="T1545">
        <f t="shared" si="219"/>
        <v>0</v>
      </c>
      <c r="U1545">
        <f t="shared" si="220"/>
        <v>0</v>
      </c>
      <c r="V1545">
        <f t="shared" si="221"/>
        <v>0</v>
      </c>
      <c r="W1545">
        <f t="shared" si="222"/>
        <v>0</v>
      </c>
      <c r="X1545">
        <f t="shared" si="223"/>
        <v>0</v>
      </c>
      <c r="Y1545">
        <f t="shared" si="224"/>
        <v>0</v>
      </c>
    </row>
    <row r="1546" spans="1:25" x14ac:dyDescent="0.3">
      <c r="A1546" t="s">
        <v>4400</v>
      </c>
      <c r="B1546" t="s">
        <v>4401</v>
      </c>
      <c r="C1546" s="1">
        <v>45702</v>
      </c>
      <c r="D1546" s="3">
        <v>9.6273148148148149E-2</v>
      </c>
      <c r="E1546">
        <f t="shared" si="216"/>
        <v>2</v>
      </c>
      <c r="F1546">
        <v>60</v>
      </c>
      <c r="G1546" t="s">
        <v>60</v>
      </c>
      <c r="H1546" t="s">
        <v>131</v>
      </c>
      <c r="I1546" t="s">
        <v>48</v>
      </c>
      <c r="J1546" t="s">
        <v>132</v>
      </c>
      <c r="K1546" t="s">
        <v>95</v>
      </c>
      <c r="L1546">
        <v>118.74</v>
      </c>
      <c r="M1546" t="s">
        <v>23</v>
      </c>
      <c r="N1546">
        <f t="shared" si="217"/>
        <v>0</v>
      </c>
      <c r="O1546" t="s">
        <v>86</v>
      </c>
      <c r="P1546" t="s">
        <v>4402</v>
      </c>
      <c r="Q1546">
        <v>0</v>
      </c>
      <c r="R1546">
        <v>252</v>
      </c>
      <c r="S1546">
        <f t="shared" si="218"/>
        <v>-0.77353517946789252</v>
      </c>
      <c r="T1546">
        <f t="shared" si="219"/>
        <v>0</v>
      </c>
      <c r="U1546">
        <f t="shared" si="220"/>
        <v>1</v>
      </c>
      <c r="V1546">
        <f t="shared" si="221"/>
        <v>1</v>
      </c>
      <c r="W1546">
        <f t="shared" si="222"/>
        <v>3</v>
      </c>
      <c r="X1546">
        <f t="shared" si="223"/>
        <v>0</v>
      </c>
      <c r="Y1546">
        <f t="shared" si="224"/>
        <v>0</v>
      </c>
    </row>
    <row r="1547" spans="1:25" x14ac:dyDescent="0.3">
      <c r="A1547" t="s">
        <v>740</v>
      </c>
      <c r="B1547" t="s">
        <v>741</v>
      </c>
      <c r="C1547" s="1">
        <v>45718</v>
      </c>
      <c r="D1547" s="3">
        <v>0.57262731481481477</v>
      </c>
      <c r="E1547">
        <f t="shared" si="216"/>
        <v>13</v>
      </c>
      <c r="F1547">
        <v>23</v>
      </c>
      <c r="G1547" t="s">
        <v>28</v>
      </c>
      <c r="H1547" t="s">
        <v>84</v>
      </c>
      <c r="I1547" t="s">
        <v>85</v>
      </c>
      <c r="J1547" t="s">
        <v>132</v>
      </c>
      <c r="K1547" t="s">
        <v>62</v>
      </c>
      <c r="L1547">
        <v>118.66</v>
      </c>
      <c r="M1547" t="s">
        <v>23</v>
      </c>
      <c r="N1547">
        <f t="shared" si="217"/>
        <v>0</v>
      </c>
      <c r="O1547" t="s">
        <v>86</v>
      </c>
      <c r="P1547" t="s">
        <v>742</v>
      </c>
      <c r="Q1547">
        <v>0</v>
      </c>
      <c r="R1547">
        <v>104</v>
      </c>
      <c r="S1547">
        <f t="shared" si="218"/>
        <v>-0.77464272022597991</v>
      </c>
      <c r="T1547">
        <f t="shared" si="219"/>
        <v>0</v>
      </c>
      <c r="U1547">
        <f t="shared" si="220"/>
        <v>0</v>
      </c>
      <c r="V1547">
        <f t="shared" si="221"/>
        <v>1</v>
      </c>
      <c r="W1547">
        <f t="shared" si="222"/>
        <v>1</v>
      </c>
      <c r="X1547">
        <f t="shared" si="223"/>
        <v>0</v>
      </c>
      <c r="Y1547">
        <f t="shared" si="224"/>
        <v>0</v>
      </c>
    </row>
    <row r="1548" spans="1:25" x14ac:dyDescent="0.3">
      <c r="A1548" t="s">
        <v>3974</v>
      </c>
      <c r="B1548" t="s">
        <v>3975</v>
      </c>
      <c r="C1548" s="1">
        <v>45876</v>
      </c>
      <c r="D1548" s="3">
        <v>0.49967592592592591</v>
      </c>
      <c r="E1548">
        <f t="shared" si="216"/>
        <v>11</v>
      </c>
      <c r="F1548">
        <v>33</v>
      </c>
      <c r="G1548" t="s">
        <v>18</v>
      </c>
      <c r="H1548" t="s">
        <v>38</v>
      </c>
      <c r="I1548" t="s">
        <v>110</v>
      </c>
      <c r="J1548" t="s">
        <v>21</v>
      </c>
      <c r="K1548" t="s">
        <v>114</v>
      </c>
      <c r="L1548">
        <v>118.61</v>
      </c>
      <c r="M1548" t="s">
        <v>42</v>
      </c>
      <c r="N1548">
        <f t="shared" si="217"/>
        <v>0</v>
      </c>
      <c r="O1548" t="s">
        <v>24</v>
      </c>
      <c r="P1548" t="s">
        <v>3976</v>
      </c>
      <c r="Q1548">
        <v>0</v>
      </c>
      <c r="R1548">
        <v>423</v>
      </c>
      <c r="S1548">
        <f t="shared" si="218"/>
        <v>-0.77533493319978453</v>
      </c>
      <c r="T1548">
        <f t="shared" si="219"/>
        <v>0</v>
      </c>
      <c r="U1548">
        <f t="shared" si="220"/>
        <v>0</v>
      </c>
      <c r="V1548">
        <f t="shared" si="221"/>
        <v>0</v>
      </c>
      <c r="W1548">
        <f t="shared" si="222"/>
        <v>0</v>
      </c>
      <c r="X1548">
        <f t="shared" si="223"/>
        <v>0</v>
      </c>
      <c r="Y1548">
        <f t="shared" si="224"/>
        <v>0</v>
      </c>
    </row>
    <row r="1549" spans="1:25" x14ac:dyDescent="0.3">
      <c r="A1549" s="2" t="s">
        <v>2300</v>
      </c>
      <c r="B1549" t="s">
        <v>2301</v>
      </c>
      <c r="C1549" s="1">
        <v>45763</v>
      </c>
      <c r="D1549" s="3">
        <v>0.75427083333333333</v>
      </c>
      <c r="E1549">
        <f t="shared" si="216"/>
        <v>18</v>
      </c>
      <c r="F1549">
        <v>49</v>
      </c>
      <c r="G1549" t="s">
        <v>28</v>
      </c>
      <c r="H1549" t="s">
        <v>175</v>
      </c>
      <c r="I1549" t="s">
        <v>105</v>
      </c>
      <c r="J1549" t="s">
        <v>21</v>
      </c>
      <c r="K1549" t="s">
        <v>22</v>
      </c>
      <c r="L1549">
        <v>118.43</v>
      </c>
      <c r="M1549" t="s">
        <v>33</v>
      </c>
      <c r="N1549">
        <f t="shared" si="217"/>
        <v>0</v>
      </c>
      <c r="O1549" t="s">
        <v>34</v>
      </c>
      <c r="P1549" t="s">
        <v>2302</v>
      </c>
      <c r="Q1549">
        <v>0</v>
      </c>
      <c r="R1549">
        <v>152</v>
      </c>
      <c r="S1549">
        <f t="shared" si="218"/>
        <v>-0.77782689990548104</v>
      </c>
      <c r="T1549">
        <f t="shared" si="219"/>
        <v>0</v>
      </c>
      <c r="U1549">
        <f t="shared" si="220"/>
        <v>0</v>
      </c>
      <c r="V1549">
        <f t="shared" si="221"/>
        <v>1</v>
      </c>
      <c r="W1549">
        <f t="shared" si="222"/>
        <v>1</v>
      </c>
      <c r="X1549">
        <f t="shared" si="223"/>
        <v>0</v>
      </c>
      <c r="Y1549">
        <f t="shared" si="224"/>
        <v>0</v>
      </c>
    </row>
    <row r="1550" spans="1:25" x14ac:dyDescent="0.3">
      <c r="A1550" t="s">
        <v>4343</v>
      </c>
      <c r="B1550" t="s">
        <v>4344</v>
      </c>
      <c r="C1550" s="1">
        <v>45866</v>
      </c>
      <c r="D1550" s="3">
        <v>0.69682870370370376</v>
      </c>
      <c r="E1550">
        <f t="shared" si="216"/>
        <v>16</v>
      </c>
      <c r="F1550">
        <v>53</v>
      </c>
      <c r="G1550" t="s">
        <v>28</v>
      </c>
      <c r="H1550" t="s">
        <v>29</v>
      </c>
      <c r="I1550" t="s">
        <v>30</v>
      </c>
      <c r="J1550" t="s">
        <v>76</v>
      </c>
      <c r="K1550" t="s">
        <v>168</v>
      </c>
      <c r="L1550">
        <v>118.25</v>
      </c>
      <c r="M1550" t="s">
        <v>33</v>
      </c>
      <c r="N1550">
        <f t="shared" si="217"/>
        <v>0</v>
      </c>
      <c r="O1550" t="s">
        <v>86</v>
      </c>
      <c r="P1550" t="s">
        <v>4345</v>
      </c>
      <c r="Q1550">
        <v>0</v>
      </c>
      <c r="R1550">
        <v>215</v>
      </c>
      <c r="S1550">
        <f t="shared" si="218"/>
        <v>-0.78031886661117777</v>
      </c>
      <c r="T1550">
        <f t="shared" si="219"/>
        <v>0</v>
      </c>
      <c r="U1550">
        <f t="shared" si="220"/>
        <v>0</v>
      </c>
      <c r="V1550">
        <f t="shared" si="221"/>
        <v>1</v>
      </c>
      <c r="W1550">
        <f t="shared" si="222"/>
        <v>1</v>
      </c>
      <c r="X1550">
        <f t="shared" si="223"/>
        <v>0</v>
      </c>
      <c r="Y1550">
        <f t="shared" si="224"/>
        <v>0</v>
      </c>
    </row>
    <row r="1551" spans="1:25" x14ac:dyDescent="0.3">
      <c r="A1551" t="s">
        <v>2891</v>
      </c>
      <c r="B1551" t="s">
        <v>2892</v>
      </c>
      <c r="C1551" s="1">
        <v>45808</v>
      </c>
      <c r="D1551" s="3">
        <v>1.5185185185185185E-2</v>
      </c>
      <c r="E1551">
        <f t="shared" si="216"/>
        <v>0</v>
      </c>
      <c r="F1551">
        <v>35</v>
      </c>
      <c r="G1551" t="s">
        <v>60</v>
      </c>
      <c r="H1551" t="s">
        <v>142</v>
      </c>
      <c r="I1551" t="s">
        <v>66</v>
      </c>
      <c r="J1551" t="s">
        <v>132</v>
      </c>
      <c r="K1551" t="s">
        <v>95</v>
      </c>
      <c r="L1551">
        <v>118.17</v>
      </c>
      <c r="M1551" t="s">
        <v>33</v>
      </c>
      <c r="N1551">
        <f t="shared" si="217"/>
        <v>0</v>
      </c>
      <c r="O1551" t="s">
        <v>34</v>
      </c>
      <c r="P1551" t="s">
        <v>2893</v>
      </c>
      <c r="Q1551">
        <v>0</v>
      </c>
      <c r="R1551">
        <v>238</v>
      </c>
      <c r="S1551">
        <f t="shared" si="218"/>
        <v>-0.78142640736926516</v>
      </c>
      <c r="T1551">
        <f t="shared" si="219"/>
        <v>0</v>
      </c>
      <c r="U1551">
        <f t="shared" si="220"/>
        <v>1</v>
      </c>
      <c r="V1551">
        <f t="shared" si="221"/>
        <v>1</v>
      </c>
      <c r="W1551">
        <f t="shared" si="222"/>
        <v>3</v>
      </c>
      <c r="X1551">
        <f t="shared" si="223"/>
        <v>0</v>
      </c>
      <c r="Y1551">
        <f t="shared" si="224"/>
        <v>0</v>
      </c>
    </row>
    <row r="1552" spans="1:25" x14ac:dyDescent="0.3">
      <c r="A1552" t="s">
        <v>5744</v>
      </c>
      <c r="B1552" t="s">
        <v>5745</v>
      </c>
      <c r="C1552" s="1">
        <v>45861</v>
      </c>
      <c r="D1552" s="3">
        <v>0.40607638888888886</v>
      </c>
      <c r="E1552">
        <f t="shared" si="216"/>
        <v>9</v>
      </c>
      <c r="F1552">
        <v>45</v>
      </c>
      <c r="G1552" t="s">
        <v>60</v>
      </c>
      <c r="H1552" t="s">
        <v>232</v>
      </c>
      <c r="I1552" t="s">
        <v>48</v>
      </c>
      <c r="J1552" t="s">
        <v>40</v>
      </c>
      <c r="K1552" t="s">
        <v>41</v>
      </c>
      <c r="L1552">
        <v>118.15</v>
      </c>
      <c r="M1552" t="s">
        <v>33</v>
      </c>
      <c r="N1552">
        <f t="shared" si="217"/>
        <v>0</v>
      </c>
      <c r="O1552" t="s">
        <v>24</v>
      </c>
      <c r="P1552" t="s">
        <v>5746</v>
      </c>
      <c r="Q1552">
        <v>1</v>
      </c>
      <c r="R1552">
        <v>430</v>
      </c>
      <c r="S1552">
        <f t="shared" si="218"/>
        <v>-0.7817032925587869</v>
      </c>
      <c r="T1552">
        <f t="shared" si="219"/>
        <v>0</v>
      </c>
      <c r="U1552">
        <f t="shared" si="220"/>
        <v>0</v>
      </c>
      <c r="V1552">
        <f t="shared" si="221"/>
        <v>0</v>
      </c>
      <c r="W1552">
        <f t="shared" si="222"/>
        <v>0</v>
      </c>
      <c r="X1552">
        <f t="shared" si="223"/>
        <v>0</v>
      </c>
      <c r="Y1552">
        <f t="shared" si="224"/>
        <v>0</v>
      </c>
    </row>
    <row r="1553" spans="1:25" x14ac:dyDescent="0.3">
      <c r="A1553" t="s">
        <v>6338</v>
      </c>
      <c r="B1553" s="2" t="s">
        <v>6339</v>
      </c>
      <c r="C1553" s="1">
        <v>45796</v>
      </c>
      <c r="D1553" s="3">
        <v>0.34010416666666665</v>
      </c>
      <c r="E1553">
        <f t="shared" si="216"/>
        <v>8</v>
      </c>
      <c r="F1553">
        <v>43</v>
      </c>
      <c r="G1553" t="s">
        <v>46</v>
      </c>
      <c r="H1553" t="s">
        <v>142</v>
      </c>
      <c r="I1553" t="s">
        <v>66</v>
      </c>
      <c r="J1553" t="s">
        <v>49</v>
      </c>
      <c r="K1553" t="s">
        <v>168</v>
      </c>
      <c r="L1553">
        <v>118.14</v>
      </c>
      <c r="M1553" t="s">
        <v>42</v>
      </c>
      <c r="N1553">
        <f t="shared" si="217"/>
        <v>0</v>
      </c>
      <c r="O1553" t="s">
        <v>24</v>
      </c>
      <c r="P1553" t="s">
        <v>6340</v>
      </c>
      <c r="Q1553">
        <v>0</v>
      </c>
      <c r="R1553">
        <v>128</v>
      </c>
      <c r="S1553">
        <f t="shared" si="218"/>
        <v>-0.78184173515354793</v>
      </c>
      <c r="T1553">
        <f t="shared" si="219"/>
        <v>0</v>
      </c>
      <c r="U1553">
        <f t="shared" si="220"/>
        <v>0</v>
      </c>
      <c r="V1553">
        <f t="shared" si="221"/>
        <v>1</v>
      </c>
      <c r="W1553">
        <f t="shared" si="222"/>
        <v>1</v>
      </c>
      <c r="X1553">
        <f t="shared" si="223"/>
        <v>0</v>
      </c>
      <c r="Y1553">
        <f t="shared" si="224"/>
        <v>0</v>
      </c>
    </row>
    <row r="1554" spans="1:25" x14ac:dyDescent="0.3">
      <c r="A1554" t="s">
        <v>1952</v>
      </c>
      <c r="B1554" t="s">
        <v>1953</v>
      </c>
      <c r="C1554" s="1">
        <v>45858</v>
      </c>
      <c r="D1554" s="3">
        <v>0.86607638888888894</v>
      </c>
      <c r="E1554">
        <f t="shared" si="216"/>
        <v>20</v>
      </c>
      <c r="F1554">
        <v>59</v>
      </c>
      <c r="G1554" t="s">
        <v>28</v>
      </c>
      <c r="H1554" t="s">
        <v>189</v>
      </c>
      <c r="I1554" t="s">
        <v>30</v>
      </c>
      <c r="J1554" t="s">
        <v>127</v>
      </c>
      <c r="K1554" t="s">
        <v>114</v>
      </c>
      <c r="L1554">
        <v>117.99</v>
      </c>
      <c r="M1554" t="s">
        <v>23</v>
      </c>
      <c r="N1554">
        <f t="shared" si="217"/>
        <v>0</v>
      </c>
      <c r="O1554" t="s">
        <v>51</v>
      </c>
      <c r="P1554" t="s">
        <v>1954</v>
      </c>
      <c r="Q1554">
        <v>0</v>
      </c>
      <c r="R1554">
        <v>171</v>
      </c>
      <c r="S1554">
        <f t="shared" si="218"/>
        <v>-0.7839183740749619</v>
      </c>
      <c r="T1554">
        <f t="shared" si="219"/>
        <v>0</v>
      </c>
      <c r="U1554">
        <f t="shared" si="220"/>
        <v>0</v>
      </c>
      <c r="V1554">
        <f t="shared" si="221"/>
        <v>1</v>
      </c>
      <c r="W1554">
        <f t="shared" si="222"/>
        <v>1</v>
      </c>
      <c r="X1554">
        <f t="shared" si="223"/>
        <v>0</v>
      </c>
      <c r="Y1554">
        <f t="shared" si="224"/>
        <v>0</v>
      </c>
    </row>
    <row r="1555" spans="1:25" x14ac:dyDescent="0.3">
      <c r="A1555" t="s">
        <v>491</v>
      </c>
      <c r="B1555" t="s">
        <v>492</v>
      </c>
      <c r="C1555" s="1">
        <v>45876</v>
      </c>
      <c r="D1555" s="3">
        <v>0.92260416666666667</v>
      </c>
      <c r="E1555">
        <f t="shared" si="216"/>
        <v>22</v>
      </c>
      <c r="F1555">
        <v>22</v>
      </c>
      <c r="G1555" t="s">
        <v>18</v>
      </c>
      <c r="H1555" t="s">
        <v>70</v>
      </c>
      <c r="I1555" t="s">
        <v>30</v>
      </c>
      <c r="J1555" t="s">
        <v>21</v>
      </c>
      <c r="K1555" t="s">
        <v>22</v>
      </c>
      <c r="L1555">
        <v>117.89</v>
      </c>
      <c r="M1555" t="s">
        <v>33</v>
      </c>
      <c r="N1555">
        <f t="shared" si="217"/>
        <v>0</v>
      </c>
      <c r="O1555" t="s">
        <v>24</v>
      </c>
      <c r="P1555" t="s">
        <v>493</v>
      </c>
      <c r="Q1555">
        <v>0</v>
      </c>
      <c r="R1555">
        <v>415</v>
      </c>
      <c r="S1555">
        <f t="shared" si="218"/>
        <v>-0.78530280002257102</v>
      </c>
      <c r="T1555">
        <f t="shared" si="219"/>
        <v>0</v>
      </c>
      <c r="U1555">
        <f t="shared" si="220"/>
        <v>0</v>
      </c>
      <c r="V1555">
        <f t="shared" si="221"/>
        <v>0</v>
      </c>
      <c r="W1555">
        <f t="shared" si="222"/>
        <v>0</v>
      </c>
      <c r="X1555">
        <f t="shared" si="223"/>
        <v>0</v>
      </c>
      <c r="Y1555">
        <f t="shared" si="224"/>
        <v>0</v>
      </c>
    </row>
    <row r="1556" spans="1:25" x14ac:dyDescent="0.3">
      <c r="A1556" t="s">
        <v>2441</v>
      </c>
      <c r="B1556" t="s">
        <v>2442</v>
      </c>
      <c r="C1556" s="1">
        <v>45789</v>
      </c>
      <c r="D1556" s="3">
        <v>0.64094907407407409</v>
      </c>
      <c r="E1556">
        <f t="shared" si="216"/>
        <v>15</v>
      </c>
      <c r="F1556">
        <v>43</v>
      </c>
      <c r="G1556" t="s">
        <v>46</v>
      </c>
      <c r="H1556" t="s">
        <v>70</v>
      </c>
      <c r="I1556" t="s">
        <v>71</v>
      </c>
      <c r="J1556" t="s">
        <v>31</v>
      </c>
      <c r="K1556" t="s">
        <v>22</v>
      </c>
      <c r="L1556">
        <v>117.79</v>
      </c>
      <c r="M1556" t="s">
        <v>115</v>
      </c>
      <c r="N1556">
        <f t="shared" si="217"/>
        <v>0</v>
      </c>
      <c r="O1556" t="s">
        <v>51</v>
      </c>
      <c r="P1556" t="s">
        <v>2443</v>
      </c>
      <c r="Q1556">
        <v>0</v>
      </c>
      <c r="R1556">
        <v>67</v>
      </c>
      <c r="S1556">
        <f t="shared" si="218"/>
        <v>-0.78668722597018015</v>
      </c>
      <c r="T1556">
        <f t="shared" si="219"/>
        <v>0</v>
      </c>
      <c r="U1556">
        <f t="shared" si="220"/>
        <v>0</v>
      </c>
      <c r="V1556">
        <f t="shared" si="221"/>
        <v>1</v>
      </c>
      <c r="W1556">
        <f t="shared" si="222"/>
        <v>1</v>
      </c>
      <c r="X1556">
        <f t="shared" si="223"/>
        <v>0</v>
      </c>
      <c r="Y1556">
        <f t="shared" si="224"/>
        <v>0</v>
      </c>
    </row>
    <row r="1557" spans="1:25" x14ac:dyDescent="0.3">
      <c r="A1557" t="s">
        <v>6302</v>
      </c>
      <c r="B1557" t="s">
        <v>6303</v>
      </c>
      <c r="C1557" s="1">
        <v>45771</v>
      </c>
      <c r="D1557" s="3">
        <v>0.90785879629629629</v>
      </c>
      <c r="E1557">
        <f t="shared" si="216"/>
        <v>21</v>
      </c>
      <c r="F1557">
        <v>61</v>
      </c>
      <c r="G1557" t="s">
        <v>46</v>
      </c>
      <c r="H1557" t="s">
        <v>100</v>
      </c>
      <c r="I1557" t="s">
        <v>110</v>
      </c>
      <c r="J1557" t="s">
        <v>40</v>
      </c>
      <c r="K1557" t="s">
        <v>41</v>
      </c>
      <c r="L1557">
        <v>117.61</v>
      </c>
      <c r="M1557" t="s">
        <v>115</v>
      </c>
      <c r="N1557">
        <f t="shared" si="217"/>
        <v>0</v>
      </c>
      <c r="O1557" t="s">
        <v>24</v>
      </c>
      <c r="P1557" t="s">
        <v>6304</v>
      </c>
      <c r="Q1557">
        <v>0</v>
      </c>
      <c r="R1557">
        <v>107</v>
      </c>
      <c r="S1557">
        <f t="shared" si="218"/>
        <v>-0.78917919267587688</v>
      </c>
      <c r="T1557">
        <f t="shared" si="219"/>
        <v>0</v>
      </c>
      <c r="U1557">
        <f t="shared" si="220"/>
        <v>0</v>
      </c>
      <c r="V1557">
        <f t="shared" si="221"/>
        <v>1</v>
      </c>
      <c r="W1557">
        <f t="shared" si="222"/>
        <v>1</v>
      </c>
      <c r="X1557">
        <f t="shared" si="223"/>
        <v>0</v>
      </c>
      <c r="Y1557">
        <f t="shared" si="224"/>
        <v>0</v>
      </c>
    </row>
    <row r="1558" spans="1:25" x14ac:dyDescent="0.3">
      <c r="A1558" t="s">
        <v>6002</v>
      </c>
      <c r="B1558" t="s">
        <v>6003</v>
      </c>
      <c r="C1558" s="1">
        <v>45857</v>
      </c>
      <c r="D1558" s="3">
        <v>0.63556712962962958</v>
      </c>
      <c r="E1558">
        <f t="shared" si="216"/>
        <v>15</v>
      </c>
      <c r="F1558">
        <v>50</v>
      </c>
      <c r="G1558" t="s">
        <v>18</v>
      </c>
      <c r="H1558" t="s">
        <v>47</v>
      </c>
      <c r="I1558" t="s">
        <v>66</v>
      </c>
      <c r="J1558" t="s">
        <v>127</v>
      </c>
      <c r="K1558" t="s">
        <v>50</v>
      </c>
      <c r="L1558">
        <v>117.52</v>
      </c>
      <c r="M1558" t="s">
        <v>23</v>
      </c>
      <c r="N1558">
        <f t="shared" si="217"/>
        <v>0</v>
      </c>
      <c r="O1558" t="s">
        <v>51</v>
      </c>
      <c r="P1558" t="s">
        <v>6004</v>
      </c>
      <c r="Q1558">
        <v>0</v>
      </c>
      <c r="R1558">
        <v>99</v>
      </c>
      <c r="S1558">
        <f t="shared" si="218"/>
        <v>-0.79042517602872531</v>
      </c>
      <c r="T1558">
        <f t="shared" si="219"/>
        <v>0</v>
      </c>
      <c r="U1558">
        <f t="shared" si="220"/>
        <v>0</v>
      </c>
      <c r="V1558">
        <f t="shared" si="221"/>
        <v>1</v>
      </c>
      <c r="W1558">
        <f t="shared" si="222"/>
        <v>1</v>
      </c>
      <c r="X1558">
        <f t="shared" si="223"/>
        <v>0</v>
      </c>
      <c r="Y1558">
        <f t="shared" si="224"/>
        <v>0</v>
      </c>
    </row>
    <row r="1559" spans="1:25" x14ac:dyDescent="0.3">
      <c r="A1559" t="s">
        <v>1091</v>
      </c>
      <c r="B1559" t="s">
        <v>1092</v>
      </c>
      <c r="C1559" s="1">
        <v>45765</v>
      </c>
      <c r="D1559" s="3">
        <v>0.24085648148148148</v>
      </c>
      <c r="E1559">
        <f t="shared" si="216"/>
        <v>5</v>
      </c>
      <c r="F1559">
        <v>22</v>
      </c>
      <c r="G1559" t="s">
        <v>46</v>
      </c>
      <c r="H1559" t="s">
        <v>61</v>
      </c>
      <c r="I1559" t="s">
        <v>71</v>
      </c>
      <c r="J1559" t="s">
        <v>72</v>
      </c>
      <c r="K1559" t="s">
        <v>22</v>
      </c>
      <c r="L1559">
        <v>117.5</v>
      </c>
      <c r="M1559" t="s">
        <v>23</v>
      </c>
      <c r="N1559">
        <f t="shared" si="217"/>
        <v>0</v>
      </c>
      <c r="O1559" t="s">
        <v>34</v>
      </c>
      <c r="P1559" t="s">
        <v>1093</v>
      </c>
      <c r="Q1559">
        <v>0</v>
      </c>
      <c r="R1559">
        <v>202</v>
      </c>
      <c r="S1559">
        <f t="shared" si="218"/>
        <v>-0.79070206121824704</v>
      </c>
      <c r="T1559">
        <f t="shared" si="219"/>
        <v>0</v>
      </c>
      <c r="U1559">
        <f t="shared" si="220"/>
        <v>1</v>
      </c>
      <c r="V1559">
        <f t="shared" si="221"/>
        <v>1</v>
      </c>
      <c r="W1559">
        <f t="shared" si="222"/>
        <v>3</v>
      </c>
      <c r="X1559">
        <f t="shared" si="223"/>
        <v>0</v>
      </c>
      <c r="Y1559">
        <f t="shared" si="224"/>
        <v>0</v>
      </c>
    </row>
    <row r="1560" spans="1:25" x14ac:dyDescent="0.3">
      <c r="A1560" t="s">
        <v>122</v>
      </c>
      <c r="B1560" t="s">
        <v>123</v>
      </c>
      <c r="C1560" s="1">
        <v>45831</v>
      </c>
      <c r="D1560" s="3">
        <v>0.93616898148148153</v>
      </c>
      <c r="E1560">
        <f t="shared" si="216"/>
        <v>22</v>
      </c>
      <c r="F1560">
        <v>41</v>
      </c>
      <c r="G1560" t="s">
        <v>60</v>
      </c>
      <c r="H1560" t="s">
        <v>84</v>
      </c>
      <c r="I1560" t="s">
        <v>71</v>
      </c>
      <c r="J1560" t="s">
        <v>56</v>
      </c>
      <c r="K1560" t="s">
        <v>95</v>
      </c>
      <c r="L1560">
        <v>117.38</v>
      </c>
      <c r="M1560" t="s">
        <v>23</v>
      </c>
      <c r="N1560">
        <f t="shared" si="217"/>
        <v>0</v>
      </c>
      <c r="O1560" t="s">
        <v>24</v>
      </c>
      <c r="P1560" t="s">
        <v>124</v>
      </c>
      <c r="Q1560">
        <v>0</v>
      </c>
      <c r="R1560">
        <v>207</v>
      </c>
      <c r="S1560">
        <f t="shared" si="218"/>
        <v>-0.79236337235537824</v>
      </c>
      <c r="T1560">
        <f t="shared" si="219"/>
        <v>0</v>
      </c>
      <c r="U1560">
        <f t="shared" si="220"/>
        <v>0</v>
      </c>
      <c r="V1560">
        <f t="shared" si="221"/>
        <v>1</v>
      </c>
      <c r="W1560">
        <f t="shared" si="222"/>
        <v>1</v>
      </c>
      <c r="X1560">
        <f t="shared" si="223"/>
        <v>0</v>
      </c>
      <c r="Y1560">
        <f t="shared" si="224"/>
        <v>0</v>
      </c>
    </row>
    <row r="1561" spans="1:25" x14ac:dyDescent="0.3">
      <c r="A1561" s="2" t="s">
        <v>2960</v>
      </c>
      <c r="B1561" t="s">
        <v>2961</v>
      </c>
      <c r="C1561" s="1">
        <v>45722</v>
      </c>
      <c r="D1561" s="3">
        <v>0.68449074074074079</v>
      </c>
      <c r="E1561">
        <f t="shared" si="216"/>
        <v>16</v>
      </c>
      <c r="F1561">
        <v>23</v>
      </c>
      <c r="G1561" t="s">
        <v>46</v>
      </c>
      <c r="H1561" t="s">
        <v>131</v>
      </c>
      <c r="I1561" t="s">
        <v>119</v>
      </c>
      <c r="J1561" t="s">
        <v>40</v>
      </c>
      <c r="K1561" t="s">
        <v>168</v>
      </c>
      <c r="L1561">
        <v>117.3</v>
      </c>
      <c r="M1561" t="s">
        <v>33</v>
      </c>
      <c r="N1561">
        <f t="shared" si="217"/>
        <v>0</v>
      </c>
      <c r="O1561" t="s">
        <v>51</v>
      </c>
      <c r="P1561" t="s">
        <v>2962</v>
      </c>
      <c r="Q1561">
        <v>0</v>
      </c>
      <c r="R1561">
        <v>245</v>
      </c>
      <c r="S1561">
        <f t="shared" si="218"/>
        <v>-0.79347091311346563</v>
      </c>
      <c r="T1561">
        <f t="shared" si="219"/>
        <v>0</v>
      </c>
      <c r="U1561">
        <f t="shared" si="220"/>
        <v>0</v>
      </c>
      <c r="V1561">
        <f t="shared" si="221"/>
        <v>1</v>
      </c>
      <c r="W1561">
        <f t="shared" si="222"/>
        <v>1</v>
      </c>
      <c r="X1561">
        <f t="shared" si="223"/>
        <v>0</v>
      </c>
      <c r="Y1561">
        <f t="shared" si="224"/>
        <v>0</v>
      </c>
    </row>
    <row r="1562" spans="1:25" x14ac:dyDescent="0.3">
      <c r="A1562" t="s">
        <v>3911</v>
      </c>
      <c r="B1562" t="s">
        <v>3912</v>
      </c>
      <c r="C1562" s="1">
        <v>45707</v>
      </c>
      <c r="D1562" s="3">
        <v>9.284722222222222E-2</v>
      </c>
      <c r="E1562">
        <f t="shared" si="216"/>
        <v>2</v>
      </c>
      <c r="F1562" s="4">
        <v>41</v>
      </c>
      <c r="G1562" t="s">
        <v>46</v>
      </c>
      <c r="H1562" t="s">
        <v>142</v>
      </c>
      <c r="I1562" t="s">
        <v>71</v>
      </c>
      <c r="J1562" t="s">
        <v>31</v>
      </c>
      <c r="K1562" t="s">
        <v>95</v>
      </c>
      <c r="L1562">
        <v>117.18</v>
      </c>
      <c r="M1562" t="s">
        <v>33</v>
      </c>
      <c r="N1562">
        <f t="shared" si="217"/>
        <v>0</v>
      </c>
      <c r="O1562" t="s">
        <v>24</v>
      </c>
      <c r="P1562" t="s">
        <v>3913</v>
      </c>
      <c r="Q1562">
        <v>0</v>
      </c>
      <c r="R1562">
        <v>165</v>
      </c>
      <c r="S1562">
        <f t="shared" si="218"/>
        <v>-0.7951322242505966</v>
      </c>
      <c r="T1562">
        <f t="shared" si="219"/>
        <v>0</v>
      </c>
      <c r="U1562">
        <f t="shared" si="220"/>
        <v>1</v>
      </c>
      <c r="V1562">
        <f t="shared" si="221"/>
        <v>1</v>
      </c>
      <c r="W1562">
        <f t="shared" si="222"/>
        <v>3</v>
      </c>
      <c r="X1562">
        <f t="shared" si="223"/>
        <v>0</v>
      </c>
      <c r="Y1562">
        <f t="shared" si="224"/>
        <v>0</v>
      </c>
    </row>
    <row r="1563" spans="1:25" x14ac:dyDescent="0.3">
      <c r="A1563" t="s">
        <v>938</v>
      </c>
      <c r="B1563" t="s">
        <v>939</v>
      </c>
      <c r="C1563" s="1">
        <v>45840</v>
      </c>
      <c r="D1563" s="3">
        <v>0.56633101851851853</v>
      </c>
      <c r="E1563">
        <f t="shared" si="216"/>
        <v>13</v>
      </c>
      <c r="F1563">
        <v>28</v>
      </c>
      <c r="G1563" t="s">
        <v>46</v>
      </c>
      <c r="H1563" t="s">
        <v>61</v>
      </c>
      <c r="I1563" t="s">
        <v>30</v>
      </c>
      <c r="J1563" t="s">
        <v>76</v>
      </c>
      <c r="K1563" t="s">
        <v>95</v>
      </c>
      <c r="L1563">
        <v>116.96</v>
      </c>
      <c r="M1563" t="s">
        <v>33</v>
      </c>
      <c r="N1563">
        <f t="shared" si="217"/>
        <v>0</v>
      </c>
      <c r="O1563" t="s">
        <v>34</v>
      </c>
      <c r="P1563" t="s">
        <v>940</v>
      </c>
      <c r="Q1563">
        <v>0</v>
      </c>
      <c r="R1563">
        <v>99</v>
      </c>
      <c r="S1563">
        <f t="shared" si="218"/>
        <v>-0.79817796133533714</v>
      </c>
      <c r="T1563">
        <f t="shared" si="219"/>
        <v>0</v>
      </c>
      <c r="U1563">
        <f t="shared" si="220"/>
        <v>0</v>
      </c>
      <c r="V1563">
        <f t="shared" si="221"/>
        <v>1</v>
      </c>
      <c r="W1563">
        <f t="shared" si="222"/>
        <v>1</v>
      </c>
      <c r="X1563">
        <f t="shared" si="223"/>
        <v>0</v>
      </c>
      <c r="Y1563">
        <f t="shared" si="224"/>
        <v>0</v>
      </c>
    </row>
    <row r="1564" spans="1:25" x14ac:dyDescent="0.3">
      <c r="A1564" t="s">
        <v>1874</v>
      </c>
      <c r="B1564" t="s">
        <v>1875</v>
      </c>
      <c r="C1564" s="1">
        <v>45804</v>
      </c>
      <c r="D1564" s="3">
        <v>0.84664351851851849</v>
      </c>
      <c r="E1564">
        <f t="shared" si="216"/>
        <v>20</v>
      </c>
      <c r="F1564">
        <v>40</v>
      </c>
      <c r="G1564" t="s">
        <v>46</v>
      </c>
      <c r="H1564" t="s">
        <v>142</v>
      </c>
      <c r="I1564" t="s">
        <v>20</v>
      </c>
      <c r="J1564" t="s">
        <v>132</v>
      </c>
      <c r="K1564" t="s">
        <v>120</v>
      </c>
      <c r="L1564">
        <v>116.83</v>
      </c>
      <c r="M1564" t="s">
        <v>23</v>
      </c>
      <c r="N1564">
        <f t="shared" si="217"/>
        <v>0</v>
      </c>
      <c r="O1564" t="s">
        <v>34</v>
      </c>
      <c r="P1564" t="s">
        <v>1876</v>
      </c>
      <c r="Q1564">
        <v>0</v>
      </c>
      <c r="R1564">
        <v>203</v>
      </c>
      <c r="S1564">
        <f t="shared" si="218"/>
        <v>-0.79997771506722903</v>
      </c>
      <c r="T1564">
        <f t="shared" si="219"/>
        <v>0</v>
      </c>
      <c r="U1564">
        <f t="shared" si="220"/>
        <v>0</v>
      </c>
      <c r="V1564">
        <f t="shared" si="221"/>
        <v>1</v>
      </c>
      <c r="W1564">
        <f t="shared" si="222"/>
        <v>1</v>
      </c>
      <c r="X1564">
        <f t="shared" si="223"/>
        <v>0</v>
      </c>
      <c r="Y1564">
        <f t="shared" si="224"/>
        <v>0</v>
      </c>
    </row>
    <row r="1565" spans="1:25" x14ac:dyDescent="0.3">
      <c r="A1565" t="s">
        <v>3119</v>
      </c>
      <c r="B1565" t="s">
        <v>3120</v>
      </c>
      <c r="C1565" s="1">
        <v>45828</v>
      </c>
      <c r="D1565" s="3">
        <v>0.23885416666666667</v>
      </c>
      <c r="E1565">
        <f t="shared" si="216"/>
        <v>5</v>
      </c>
      <c r="F1565">
        <v>20</v>
      </c>
      <c r="G1565" t="s">
        <v>18</v>
      </c>
      <c r="H1565" t="s">
        <v>19</v>
      </c>
      <c r="I1565" t="s">
        <v>105</v>
      </c>
      <c r="J1565" t="s">
        <v>40</v>
      </c>
      <c r="K1565" t="s">
        <v>62</v>
      </c>
      <c r="L1565">
        <v>116.82</v>
      </c>
      <c r="M1565" t="s">
        <v>115</v>
      </c>
      <c r="N1565">
        <f t="shared" si="217"/>
        <v>0</v>
      </c>
      <c r="O1565" t="s">
        <v>51</v>
      </c>
      <c r="P1565" t="s">
        <v>3121</v>
      </c>
      <c r="Q1565">
        <v>0</v>
      </c>
      <c r="R1565">
        <v>377</v>
      </c>
      <c r="S1565">
        <f t="shared" si="218"/>
        <v>-0.80011615766199007</v>
      </c>
      <c r="T1565">
        <f t="shared" si="219"/>
        <v>0</v>
      </c>
      <c r="U1565">
        <f t="shared" si="220"/>
        <v>1</v>
      </c>
      <c r="V1565">
        <f t="shared" si="221"/>
        <v>0</v>
      </c>
      <c r="W1565">
        <f t="shared" si="222"/>
        <v>2</v>
      </c>
      <c r="X1565">
        <f t="shared" si="223"/>
        <v>0</v>
      </c>
      <c r="Y1565">
        <f t="shared" si="224"/>
        <v>0</v>
      </c>
    </row>
    <row r="1566" spans="1:25" x14ac:dyDescent="0.3">
      <c r="A1566" t="s">
        <v>3026</v>
      </c>
      <c r="B1566" t="s">
        <v>3027</v>
      </c>
      <c r="C1566" s="1">
        <v>45761</v>
      </c>
      <c r="D1566" s="3">
        <v>0.59702546296296299</v>
      </c>
      <c r="E1566">
        <f t="shared" si="216"/>
        <v>14</v>
      </c>
      <c r="F1566">
        <v>21</v>
      </c>
      <c r="G1566" t="s">
        <v>6479</v>
      </c>
      <c r="H1566" t="s">
        <v>100</v>
      </c>
      <c r="I1566" t="s">
        <v>66</v>
      </c>
      <c r="J1566" t="s">
        <v>31</v>
      </c>
      <c r="K1566" t="s">
        <v>120</v>
      </c>
      <c r="L1566">
        <v>116.62</v>
      </c>
      <c r="M1566" t="s">
        <v>33</v>
      </c>
      <c r="N1566">
        <f t="shared" si="217"/>
        <v>0</v>
      </c>
      <c r="O1566" t="s">
        <v>51</v>
      </c>
      <c r="P1566" t="s">
        <v>3028</v>
      </c>
      <c r="Q1566">
        <v>0</v>
      </c>
      <c r="R1566">
        <v>239</v>
      </c>
      <c r="S1566">
        <f t="shared" si="218"/>
        <v>-0.80288500955720843</v>
      </c>
      <c r="T1566">
        <f t="shared" si="219"/>
        <v>0</v>
      </c>
      <c r="U1566">
        <f t="shared" si="220"/>
        <v>0</v>
      </c>
      <c r="V1566">
        <f t="shared" si="221"/>
        <v>1</v>
      </c>
      <c r="W1566">
        <f t="shared" si="222"/>
        <v>1</v>
      </c>
      <c r="X1566">
        <f t="shared" si="223"/>
        <v>0</v>
      </c>
      <c r="Y1566">
        <f t="shared" si="224"/>
        <v>0</v>
      </c>
    </row>
    <row r="1567" spans="1:25" x14ac:dyDescent="0.3">
      <c r="A1567" t="s">
        <v>3554</v>
      </c>
      <c r="B1567" t="s">
        <v>3555</v>
      </c>
      <c r="C1567" s="1">
        <v>45783</v>
      </c>
      <c r="D1567" s="3">
        <v>0.59832175925925923</v>
      </c>
      <c r="E1567">
        <f t="shared" si="216"/>
        <v>14</v>
      </c>
      <c r="F1567">
        <v>35</v>
      </c>
      <c r="G1567" t="s">
        <v>46</v>
      </c>
      <c r="H1567" t="s">
        <v>90</v>
      </c>
      <c r="I1567" t="s">
        <v>119</v>
      </c>
      <c r="J1567" t="s">
        <v>127</v>
      </c>
      <c r="K1567" t="s">
        <v>120</v>
      </c>
      <c r="L1567">
        <v>116.45</v>
      </c>
      <c r="M1567" t="s">
        <v>42</v>
      </c>
      <c r="N1567">
        <f t="shared" si="217"/>
        <v>0</v>
      </c>
      <c r="O1567" t="s">
        <v>24</v>
      </c>
      <c r="P1567" t="s">
        <v>3556</v>
      </c>
      <c r="Q1567">
        <v>0</v>
      </c>
      <c r="R1567">
        <v>472</v>
      </c>
      <c r="S1567">
        <f t="shared" si="218"/>
        <v>-0.80523853366814413</v>
      </c>
      <c r="T1567">
        <f t="shared" si="219"/>
        <v>0</v>
      </c>
      <c r="U1567">
        <f t="shared" si="220"/>
        <v>0</v>
      </c>
      <c r="V1567">
        <f t="shared" si="221"/>
        <v>0</v>
      </c>
      <c r="W1567">
        <f t="shared" si="222"/>
        <v>0</v>
      </c>
      <c r="X1567">
        <f t="shared" si="223"/>
        <v>0</v>
      </c>
      <c r="Y1567">
        <f t="shared" si="224"/>
        <v>0</v>
      </c>
    </row>
    <row r="1568" spans="1:25" x14ac:dyDescent="0.3">
      <c r="A1568" t="s">
        <v>6086</v>
      </c>
      <c r="B1568" t="s">
        <v>6087</v>
      </c>
      <c r="C1568" s="1">
        <v>45859</v>
      </c>
      <c r="D1568" s="3">
        <v>4.6249999999999999E-2</v>
      </c>
      <c r="E1568">
        <f t="shared" si="216"/>
        <v>1</v>
      </c>
      <c r="F1568">
        <v>62</v>
      </c>
      <c r="G1568" t="s">
        <v>46</v>
      </c>
      <c r="H1568" t="s">
        <v>19</v>
      </c>
      <c r="I1568" t="s">
        <v>66</v>
      </c>
      <c r="J1568" t="s">
        <v>72</v>
      </c>
      <c r="K1568" t="s">
        <v>41</v>
      </c>
      <c r="L1568">
        <v>116.31</v>
      </c>
      <c r="M1568" t="s">
        <v>23</v>
      </c>
      <c r="N1568">
        <f t="shared" si="217"/>
        <v>0</v>
      </c>
      <c r="O1568" t="s">
        <v>34</v>
      </c>
      <c r="P1568" t="s">
        <v>6088</v>
      </c>
      <c r="Q1568">
        <v>0</v>
      </c>
      <c r="R1568">
        <v>488</v>
      </c>
      <c r="S1568">
        <f t="shared" si="218"/>
        <v>-0.80717672999479706</v>
      </c>
      <c r="T1568">
        <f t="shared" si="219"/>
        <v>0</v>
      </c>
      <c r="U1568">
        <f t="shared" si="220"/>
        <v>1</v>
      </c>
      <c r="V1568">
        <f t="shared" si="221"/>
        <v>0</v>
      </c>
      <c r="W1568">
        <f t="shared" si="222"/>
        <v>2</v>
      </c>
      <c r="X1568">
        <f t="shared" si="223"/>
        <v>0</v>
      </c>
      <c r="Y1568">
        <f t="shared" si="224"/>
        <v>0</v>
      </c>
    </row>
    <row r="1569" spans="1:25" x14ac:dyDescent="0.3">
      <c r="A1569" t="s">
        <v>68</v>
      </c>
      <c r="B1569" t="s">
        <v>69</v>
      </c>
      <c r="C1569" s="1">
        <v>45728</v>
      </c>
      <c r="D1569" s="3">
        <v>0.47592592592592592</v>
      </c>
      <c r="E1569">
        <f t="shared" si="216"/>
        <v>11</v>
      </c>
      <c r="F1569">
        <v>36</v>
      </c>
      <c r="G1569" t="s">
        <v>46</v>
      </c>
      <c r="H1569" t="s">
        <v>70</v>
      </c>
      <c r="I1569" t="s">
        <v>71</v>
      </c>
      <c r="J1569" t="s">
        <v>72</v>
      </c>
      <c r="K1569" t="s">
        <v>62</v>
      </c>
      <c r="L1569">
        <v>116.29</v>
      </c>
      <c r="M1569" t="s">
        <v>23</v>
      </c>
      <c r="N1569">
        <f t="shared" si="217"/>
        <v>0</v>
      </c>
      <c r="O1569" t="s">
        <v>51</v>
      </c>
      <c r="P1569" t="s">
        <v>73</v>
      </c>
      <c r="Q1569">
        <v>0</v>
      </c>
      <c r="R1569">
        <v>413</v>
      </c>
      <c r="S1569">
        <f t="shared" si="218"/>
        <v>-0.80745361518431891</v>
      </c>
      <c r="T1569">
        <f t="shared" si="219"/>
        <v>0</v>
      </c>
      <c r="U1569">
        <f t="shared" si="220"/>
        <v>0</v>
      </c>
      <c r="V1569">
        <f t="shared" si="221"/>
        <v>0</v>
      </c>
      <c r="W1569">
        <f t="shared" si="222"/>
        <v>0</v>
      </c>
      <c r="X1569">
        <f t="shared" si="223"/>
        <v>0</v>
      </c>
      <c r="Y1569">
        <f t="shared" si="224"/>
        <v>0</v>
      </c>
    </row>
    <row r="1570" spans="1:25" x14ac:dyDescent="0.3">
      <c r="A1570" s="2" t="s">
        <v>6038</v>
      </c>
      <c r="B1570" t="s">
        <v>6039</v>
      </c>
      <c r="C1570" s="1">
        <v>45861</v>
      </c>
      <c r="D1570" s="3">
        <v>8.548611111111111E-2</v>
      </c>
      <c r="E1570">
        <f t="shared" si="216"/>
        <v>2</v>
      </c>
      <c r="F1570">
        <v>37</v>
      </c>
      <c r="G1570" t="s">
        <v>18</v>
      </c>
      <c r="H1570" t="s">
        <v>80</v>
      </c>
      <c r="I1570" t="s">
        <v>119</v>
      </c>
      <c r="J1570" t="s">
        <v>72</v>
      </c>
      <c r="K1570" t="s">
        <v>62</v>
      </c>
      <c r="L1570">
        <v>116.27</v>
      </c>
      <c r="M1570" t="s">
        <v>42</v>
      </c>
      <c r="N1570">
        <f t="shared" si="217"/>
        <v>0</v>
      </c>
      <c r="O1570" t="s">
        <v>86</v>
      </c>
      <c r="P1570" t="s">
        <v>6040</v>
      </c>
      <c r="Q1570">
        <v>0</v>
      </c>
      <c r="R1570">
        <v>460</v>
      </c>
      <c r="S1570">
        <f t="shared" si="218"/>
        <v>-0.80773050037384087</v>
      </c>
      <c r="T1570">
        <f t="shared" si="219"/>
        <v>0</v>
      </c>
      <c r="U1570">
        <f t="shared" si="220"/>
        <v>1</v>
      </c>
      <c r="V1570">
        <f t="shared" si="221"/>
        <v>0</v>
      </c>
      <c r="W1570">
        <f t="shared" si="222"/>
        <v>2</v>
      </c>
      <c r="X1570">
        <f t="shared" si="223"/>
        <v>0</v>
      </c>
      <c r="Y1570">
        <f t="shared" si="224"/>
        <v>0</v>
      </c>
    </row>
    <row r="1571" spans="1:25" x14ac:dyDescent="0.3">
      <c r="A1571" t="s">
        <v>5399</v>
      </c>
      <c r="B1571" t="s">
        <v>5400</v>
      </c>
      <c r="C1571" s="1">
        <v>45725</v>
      </c>
      <c r="D1571" s="3">
        <v>0.79274305555555558</v>
      </c>
      <c r="E1571">
        <f t="shared" si="216"/>
        <v>19</v>
      </c>
      <c r="F1571">
        <v>40</v>
      </c>
      <c r="G1571" t="s">
        <v>46</v>
      </c>
      <c r="H1571" t="s">
        <v>142</v>
      </c>
      <c r="I1571" t="s">
        <v>110</v>
      </c>
      <c r="J1571" t="s">
        <v>132</v>
      </c>
      <c r="K1571" t="s">
        <v>41</v>
      </c>
      <c r="L1571">
        <v>116.19</v>
      </c>
      <c r="M1571" t="s">
        <v>42</v>
      </c>
      <c r="N1571">
        <f t="shared" si="217"/>
        <v>0</v>
      </c>
      <c r="O1571" t="s">
        <v>51</v>
      </c>
      <c r="P1571" t="s">
        <v>5401</v>
      </c>
      <c r="Q1571">
        <v>0</v>
      </c>
      <c r="R1571">
        <v>229</v>
      </c>
      <c r="S1571">
        <f t="shared" si="218"/>
        <v>-0.80883804113192825</v>
      </c>
      <c r="T1571">
        <f t="shared" si="219"/>
        <v>0</v>
      </c>
      <c r="U1571">
        <f t="shared" si="220"/>
        <v>0</v>
      </c>
      <c r="V1571">
        <f t="shared" si="221"/>
        <v>1</v>
      </c>
      <c r="W1571">
        <f t="shared" si="222"/>
        <v>1</v>
      </c>
      <c r="X1571">
        <f t="shared" si="223"/>
        <v>0</v>
      </c>
      <c r="Y1571">
        <f t="shared" si="224"/>
        <v>0</v>
      </c>
    </row>
    <row r="1572" spans="1:25" x14ac:dyDescent="0.3">
      <c r="A1572" t="s">
        <v>3953</v>
      </c>
      <c r="B1572" t="s">
        <v>3954</v>
      </c>
      <c r="C1572" s="1">
        <v>45758</v>
      </c>
      <c r="D1572" s="3">
        <v>0.85100694444444447</v>
      </c>
      <c r="E1572">
        <f t="shared" si="216"/>
        <v>20</v>
      </c>
      <c r="F1572">
        <v>52</v>
      </c>
      <c r="G1572" t="s">
        <v>46</v>
      </c>
      <c r="H1572" t="s">
        <v>90</v>
      </c>
      <c r="I1572" t="s">
        <v>39</v>
      </c>
      <c r="J1572" t="s">
        <v>94</v>
      </c>
      <c r="K1572" t="s">
        <v>95</v>
      </c>
      <c r="L1572">
        <v>116.12</v>
      </c>
      <c r="M1572" t="s">
        <v>42</v>
      </c>
      <c r="N1572">
        <f t="shared" si="217"/>
        <v>0</v>
      </c>
      <c r="O1572" t="s">
        <v>51</v>
      </c>
      <c r="P1572" t="s">
        <v>3955</v>
      </c>
      <c r="Q1572">
        <v>0</v>
      </c>
      <c r="R1572">
        <v>148</v>
      </c>
      <c r="S1572">
        <f t="shared" si="218"/>
        <v>-0.80980713929525461</v>
      </c>
      <c r="T1572">
        <f t="shared" si="219"/>
        <v>0</v>
      </c>
      <c r="U1572">
        <f t="shared" si="220"/>
        <v>0</v>
      </c>
      <c r="V1572">
        <f t="shared" si="221"/>
        <v>1</v>
      </c>
      <c r="W1572">
        <f t="shared" si="222"/>
        <v>1</v>
      </c>
      <c r="X1572">
        <f t="shared" si="223"/>
        <v>0</v>
      </c>
      <c r="Y1572">
        <f t="shared" si="224"/>
        <v>0</v>
      </c>
    </row>
    <row r="1573" spans="1:25" x14ac:dyDescent="0.3">
      <c r="A1573" t="s">
        <v>4817</v>
      </c>
      <c r="B1573" t="s">
        <v>4818</v>
      </c>
      <c r="C1573" s="1">
        <v>45861</v>
      </c>
      <c r="D1573" s="3">
        <v>0.90152777777777782</v>
      </c>
      <c r="E1573">
        <f t="shared" si="216"/>
        <v>21</v>
      </c>
      <c r="F1573">
        <v>21</v>
      </c>
      <c r="G1573" t="s">
        <v>46</v>
      </c>
      <c r="H1573" t="s">
        <v>90</v>
      </c>
      <c r="I1573" t="s">
        <v>48</v>
      </c>
      <c r="J1573" t="s">
        <v>56</v>
      </c>
      <c r="K1573" t="s">
        <v>22</v>
      </c>
      <c r="L1573">
        <v>116.06</v>
      </c>
      <c r="M1573" t="s">
        <v>23</v>
      </c>
      <c r="N1573">
        <f t="shared" si="217"/>
        <v>0</v>
      </c>
      <c r="O1573" t="s">
        <v>51</v>
      </c>
      <c r="P1573" t="s">
        <v>4819</v>
      </c>
      <c r="Q1573">
        <v>0</v>
      </c>
      <c r="R1573">
        <v>285</v>
      </c>
      <c r="S1573">
        <f t="shared" si="218"/>
        <v>-0.81063779486382015</v>
      </c>
      <c r="T1573">
        <f t="shared" si="219"/>
        <v>0</v>
      </c>
      <c r="U1573">
        <f t="shared" si="220"/>
        <v>0</v>
      </c>
      <c r="V1573">
        <f t="shared" si="221"/>
        <v>0</v>
      </c>
      <c r="W1573">
        <f t="shared" si="222"/>
        <v>0</v>
      </c>
      <c r="X1573">
        <f t="shared" si="223"/>
        <v>0</v>
      </c>
      <c r="Y1573">
        <f t="shared" si="224"/>
        <v>0</v>
      </c>
    </row>
    <row r="1574" spans="1:25" x14ac:dyDescent="0.3">
      <c r="A1574" t="s">
        <v>875</v>
      </c>
      <c r="B1574" t="s">
        <v>876</v>
      </c>
      <c r="C1574" s="1">
        <v>45717</v>
      </c>
      <c r="D1574" s="3">
        <v>0.99174768518518519</v>
      </c>
      <c r="E1574">
        <f t="shared" si="216"/>
        <v>23</v>
      </c>
      <c r="F1574">
        <v>33</v>
      </c>
      <c r="G1574" t="s">
        <v>46</v>
      </c>
      <c r="H1574" t="s">
        <v>239</v>
      </c>
      <c r="I1574" t="s">
        <v>48</v>
      </c>
      <c r="J1574" t="s">
        <v>127</v>
      </c>
      <c r="K1574" t="s">
        <v>101</v>
      </c>
      <c r="L1574">
        <v>115.92</v>
      </c>
      <c r="M1574" t="s">
        <v>115</v>
      </c>
      <c r="N1574">
        <f t="shared" si="217"/>
        <v>0</v>
      </c>
      <c r="O1574" t="s">
        <v>51</v>
      </c>
      <c r="P1574" t="s">
        <v>877</v>
      </c>
      <c r="Q1574">
        <v>0</v>
      </c>
      <c r="R1574">
        <v>290</v>
      </c>
      <c r="S1574">
        <f t="shared" si="218"/>
        <v>-0.81257599119047319</v>
      </c>
      <c r="T1574">
        <f t="shared" si="219"/>
        <v>0</v>
      </c>
      <c r="U1574">
        <f t="shared" si="220"/>
        <v>0</v>
      </c>
      <c r="V1574">
        <f t="shared" si="221"/>
        <v>0</v>
      </c>
      <c r="W1574">
        <f t="shared" si="222"/>
        <v>0</v>
      </c>
      <c r="X1574">
        <f t="shared" si="223"/>
        <v>0</v>
      </c>
      <c r="Y1574">
        <f t="shared" si="224"/>
        <v>0</v>
      </c>
    </row>
    <row r="1575" spans="1:25" x14ac:dyDescent="0.3">
      <c r="A1575" t="s">
        <v>4811</v>
      </c>
      <c r="B1575" t="s">
        <v>4812</v>
      </c>
      <c r="C1575" s="1">
        <v>45811</v>
      </c>
      <c r="D1575" s="3">
        <v>0.34862268518518519</v>
      </c>
      <c r="E1575">
        <f t="shared" si="216"/>
        <v>8</v>
      </c>
      <c r="F1575">
        <v>32</v>
      </c>
      <c r="G1575" t="s">
        <v>6479</v>
      </c>
      <c r="H1575" t="s">
        <v>232</v>
      </c>
      <c r="I1575" t="s">
        <v>66</v>
      </c>
      <c r="J1575" t="s">
        <v>72</v>
      </c>
      <c r="K1575" t="s">
        <v>114</v>
      </c>
      <c r="L1575">
        <v>115.86</v>
      </c>
      <c r="M1575" t="s">
        <v>42</v>
      </c>
      <c r="N1575">
        <f t="shared" si="217"/>
        <v>0</v>
      </c>
      <c r="O1575" t="s">
        <v>86</v>
      </c>
      <c r="P1575" t="s">
        <v>4813</v>
      </c>
      <c r="Q1575">
        <v>0</v>
      </c>
      <c r="R1575">
        <v>481</v>
      </c>
      <c r="S1575">
        <f t="shared" si="218"/>
        <v>-0.81340664675903873</v>
      </c>
      <c r="T1575">
        <f t="shared" si="219"/>
        <v>0</v>
      </c>
      <c r="U1575">
        <f t="shared" si="220"/>
        <v>0</v>
      </c>
      <c r="V1575">
        <f t="shared" si="221"/>
        <v>0</v>
      </c>
      <c r="W1575">
        <f t="shared" si="222"/>
        <v>0</v>
      </c>
      <c r="X1575">
        <f t="shared" si="223"/>
        <v>0</v>
      </c>
      <c r="Y1575">
        <f t="shared" si="224"/>
        <v>0</v>
      </c>
    </row>
    <row r="1576" spans="1:25" x14ac:dyDescent="0.3">
      <c r="A1576" t="s">
        <v>3212</v>
      </c>
      <c r="B1576" t="s">
        <v>3213</v>
      </c>
      <c r="C1576" s="1">
        <v>45725</v>
      </c>
      <c r="D1576" s="3">
        <v>0.875462962962963</v>
      </c>
      <c r="E1576">
        <f t="shared" si="216"/>
        <v>21</v>
      </c>
      <c r="F1576">
        <v>29</v>
      </c>
      <c r="G1576" t="s">
        <v>18</v>
      </c>
      <c r="H1576" t="s">
        <v>19</v>
      </c>
      <c r="I1576" t="s">
        <v>71</v>
      </c>
      <c r="J1576" t="s">
        <v>31</v>
      </c>
      <c r="K1576" t="s">
        <v>168</v>
      </c>
      <c r="L1576">
        <v>115.76</v>
      </c>
      <c r="M1576" t="s">
        <v>23</v>
      </c>
      <c r="N1576">
        <f t="shared" si="217"/>
        <v>0</v>
      </c>
      <c r="O1576" t="s">
        <v>34</v>
      </c>
      <c r="P1576" t="s">
        <v>3214</v>
      </c>
      <c r="Q1576">
        <v>0</v>
      </c>
      <c r="R1576">
        <v>489</v>
      </c>
      <c r="S1576">
        <f t="shared" si="218"/>
        <v>-0.81479107270664786</v>
      </c>
      <c r="T1576">
        <f t="shared" si="219"/>
        <v>0</v>
      </c>
      <c r="U1576">
        <f t="shared" si="220"/>
        <v>0</v>
      </c>
      <c r="V1576">
        <f t="shared" si="221"/>
        <v>0</v>
      </c>
      <c r="W1576">
        <f t="shared" si="222"/>
        <v>0</v>
      </c>
      <c r="X1576">
        <f t="shared" si="223"/>
        <v>0</v>
      </c>
      <c r="Y1576">
        <f t="shared" si="224"/>
        <v>0</v>
      </c>
    </row>
    <row r="1577" spans="1:25" x14ac:dyDescent="0.3">
      <c r="A1577" t="s">
        <v>3167</v>
      </c>
      <c r="B1577" t="s">
        <v>3168</v>
      </c>
      <c r="C1577" s="1">
        <v>45874</v>
      </c>
      <c r="D1577" s="3">
        <v>0.92487268518518517</v>
      </c>
      <c r="E1577">
        <f t="shared" si="216"/>
        <v>22</v>
      </c>
      <c r="F1577">
        <v>34</v>
      </c>
      <c r="G1577" t="s">
        <v>46</v>
      </c>
      <c r="H1577" t="s">
        <v>55</v>
      </c>
      <c r="I1577" t="s">
        <v>30</v>
      </c>
      <c r="J1577" t="s">
        <v>72</v>
      </c>
      <c r="K1577" t="s">
        <v>32</v>
      </c>
      <c r="L1577">
        <v>115.62</v>
      </c>
      <c r="M1577" t="s">
        <v>6479</v>
      </c>
      <c r="N1577">
        <f t="shared" si="217"/>
        <v>1</v>
      </c>
      <c r="O1577" t="s">
        <v>34</v>
      </c>
      <c r="P1577" t="s">
        <v>3169</v>
      </c>
      <c r="Q1577">
        <v>0</v>
      </c>
      <c r="R1577">
        <v>450</v>
      </c>
      <c r="S1577">
        <f t="shared" si="218"/>
        <v>-0.81672926903330079</v>
      </c>
      <c r="T1577">
        <f t="shared" si="219"/>
        <v>0</v>
      </c>
      <c r="U1577">
        <f t="shared" si="220"/>
        <v>0</v>
      </c>
      <c r="V1577">
        <f t="shared" si="221"/>
        <v>0</v>
      </c>
      <c r="W1577">
        <f t="shared" si="222"/>
        <v>2</v>
      </c>
      <c r="X1577">
        <f t="shared" si="223"/>
        <v>0</v>
      </c>
      <c r="Y1577">
        <f t="shared" si="224"/>
        <v>1</v>
      </c>
    </row>
    <row r="1578" spans="1:25" x14ac:dyDescent="0.3">
      <c r="A1578" t="s">
        <v>2759</v>
      </c>
      <c r="B1578" t="s">
        <v>2760</v>
      </c>
      <c r="C1578" s="1">
        <v>45794</v>
      </c>
      <c r="D1578" s="3">
        <v>0.11275462962962964</v>
      </c>
      <c r="E1578">
        <f t="shared" si="216"/>
        <v>2</v>
      </c>
      <c r="F1578">
        <v>64</v>
      </c>
      <c r="G1578" t="s">
        <v>28</v>
      </c>
      <c r="H1578" t="s">
        <v>47</v>
      </c>
      <c r="I1578" t="s">
        <v>20</v>
      </c>
      <c r="J1578" t="s">
        <v>94</v>
      </c>
      <c r="K1578" t="s">
        <v>41</v>
      </c>
      <c r="L1578">
        <v>115.48</v>
      </c>
      <c r="M1578" t="s">
        <v>42</v>
      </c>
      <c r="N1578">
        <f t="shared" si="217"/>
        <v>0</v>
      </c>
      <c r="O1578" t="s">
        <v>24</v>
      </c>
      <c r="P1578" t="s">
        <v>2761</v>
      </c>
      <c r="Q1578">
        <v>0</v>
      </c>
      <c r="R1578">
        <v>101</v>
      </c>
      <c r="S1578">
        <f t="shared" si="218"/>
        <v>-0.81866746535995383</v>
      </c>
      <c r="T1578">
        <f t="shared" si="219"/>
        <v>0</v>
      </c>
      <c r="U1578">
        <f t="shared" si="220"/>
        <v>1</v>
      </c>
      <c r="V1578">
        <f t="shared" si="221"/>
        <v>1</v>
      </c>
      <c r="W1578">
        <f t="shared" si="222"/>
        <v>3</v>
      </c>
      <c r="X1578">
        <f t="shared" si="223"/>
        <v>0</v>
      </c>
      <c r="Y1578">
        <f t="shared" si="224"/>
        <v>0</v>
      </c>
    </row>
    <row r="1579" spans="1:25" x14ac:dyDescent="0.3">
      <c r="A1579" t="s">
        <v>1016</v>
      </c>
      <c r="B1579" t="s">
        <v>1017</v>
      </c>
      <c r="C1579" s="1">
        <v>45757</v>
      </c>
      <c r="D1579" s="3">
        <v>0.28271990740740743</v>
      </c>
      <c r="E1579">
        <f t="shared" si="216"/>
        <v>6</v>
      </c>
      <c r="F1579" s="4">
        <v>41</v>
      </c>
      <c r="G1579" t="s">
        <v>18</v>
      </c>
      <c r="H1579" t="s">
        <v>61</v>
      </c>
      <c r="I1579" t="s">
        <v>85</v>
      </c>
      <c r="J1579" t="s">
        <v>132</v>
      </c>
      <c r="K1579" t="s">
        <v>41</v>
      </c>
      <c r="L1579">
        <v>115.37</v>
      </c>
      <c r="M1579" t="s">
        <v>115</v>
      </c>
      <c r="N1579">
        <f t="shared" si="217"/>
        <v>0</v>
      </c>
      <c r="O1579" t="s">
        <v>24</v>
      </c>
      <c r="P1579" t="s">
        <v>1018</v>
      </c>
      <c r="Q1579">
        <v>0</v>
      </c>
      <c r="R1579">
        <v>384</v>
      </c>
      <c r="S1579">
        <f t="shared" si="218"/>
        <v>-0.82019033390232399</v>
      </c>
      <c r="T1579">
        <f t="shared" si="219"/>
        <v>0</v>
      </c>
      <c r="U1579">
        <f t="shared" si="220"/>
        <v>0</v>
      </c>
      <c r="V1579">
        <f t="shared" si="221"/>
        <v>0</v>
      </c>
      <c r="W1579">
        <f t="shared" si="222"/>
        <v>0</v>
      </c>
      <c r="X1579">
        <f t="shared" si="223"/>
        <v>0</v>
      </c>
      <c r="Y1579">
        <f t="shared" si="224"/>
        <v>0</v>
      </c>
    </row>
    <row r="1580" spans="1:25" x14ac:dyDescent="0.3">
      <c r="A1580" t="s">
        <v>4595</v>
      </c>
      <c r="B1580" t="s">
        <v>4596</v>
      </c>
      <c r="C1580" s="1">
        <v>45837</v>
      </c>
      <c r="D1580" s="3">
        <v>0.60041666666666671</v>
      </c>
      <c r="E1580">
        <f t="shared" si="216"/>
        <v>14</v>
      </c>
      <c r="F1580">
        <v>52</v>
      </c>
      <c r="G1580" t="s">
        <v>60</v>
      </c>
      <c r="H1580" t="s">
        <v>167</v>
      </c>
      <c r="I1580" t="s">
        <v>85</v>
      </c>
      <c r="J1580" t="s">
        <v>49</v>
      </c>
      <c r="K1580" t="s">
        <v>101</v>
      </c>
      <c r="L1580">
        <v>115.32</v>
      </c>
      <c r="M1580" t="s">
        <v>33</v>
      </c>
      <c r="N1580">
        <f t="shared" si="217"/>
        <v>0</v>
      </c>
      <c r="O1580" t="s">
        <v>86</v>
      </c>
      <c r="P1580" t="s">
        <v>4597</v>
      </c>
      <c r="Q1580">
        <v>0</v>
      </c>
      <c r="R1580">
        <v>308</v>
      </c>
      <c r="S1580">
        <f t="shared" si="218"/>
        <v>-0.82088254687612872</v>
      </c>
      <c r="T1580">
        <f t="shared" si="219"/>
        <v>0</v>
      </c>
      <c r="U1580">
        <f t="shared" si="220"/>
        <v>0</v>
      </c>
      <c r="V1580">
        <f t="shared" si="221"/>
        <v>0</v>
      </c>
      <c r="W1580">
        <f t="shared" si="222"/>
        <v>0</v>
      </c>
      <c r="X1580">
        <f t="shared" si="223"/>
        <v>0</v>
      </c>
      <c r="Y1580">
        <f t="shared" si="224"/>
        <v>0</v>
      </c>
    </row>
    <row r="1581" spans="1:25" x14ac:dyDescent="0.3">
      <c r="A1581" t="s">
        <v>4283</v>
      </c>
      <c r="B1581" t="s">
        <v>4284</v>
      </c>
      <c r="C1581" s="1">
        <v>45757</v>
      </c>
      <c r="D1581" s="3">
        <v>0.21435185185185185</v>
      </c>
      <c r="E1581">
        <f t="shared" si="216"/>
        <v>5</v>
      </c>
      <c r="F1581">
        <v>19</v>
      </c>
      <c r="G1581" t="s">
        <v>46</v>
      </c>
      <c r="H1581" t="s">
        <v>312</v>
      </c>
      <c r="I1581" t="s">
        <v>119</v>
      </c>
      <c r="J1581" t="s">
        <v>76</v>
      </c>
      <c r="K1581" t="s">
        <v>114</v>
      </c>
      <c r="L1581">
        <v>115.28</v>
      </c>
      <c r="M1581" t="s">
        <v>42</v>
      </c>
      <c r="N1581">
        <f t="shared" si="217"/>
        <v>0</v>
      </c>
      <c r="O1581" t="s">
        <v>86</v>
      </c>
      <c r="P1581" t="s">
        <v>4285</v>
      </c>
      <c r="Q1581">
        <v>0</v>
      </c>
      <c r="R1581">
        <v>173</v>
      </c>
      <c r="S1581">
        <f t="shared" si="218"/>
        <v>-0.8214363172551723</v>
      </c>
      <c r="T1581">
        <f t="shared" si="219"/>
        <v>0</v>
      </c>
      <c r="U1581">
        <f t="shared" si="220"/>
        <v>1</v>
      </c>
      <c r="V1581">
        <f t="shared" si="221"/>
        <v>1</v>
      </c>
      <c r="W1581">
        <f t="shared" si="222"/>
        <v>3</v>
      </c>
      <c r="X1581">
        <f t="shared" si="223"/>
        <v>0</v>
      </c>
      <c r="Y1581">
        <f t="shared" si="224"/>
        <v>0</v>
      </c>
    </row>
    <row r="1582" spans="1:25" x14ac:dyDescent="0.3">
      <c r="A1582" t="s">
        <v>5963</v>
      </c>
      <c r="B1582" t="s">
        <v>5964</v>
      </c>
      <c r="C1582" s="1">
        <v>45822</v>
      </c>
      <c r="D1582" s="3">
        <v>0.44230324074074073</v>
      </c>
      <c r="E1582">
        <f t="shared" si="216"/>
        <v>10</v>
      </c>
      <c r="F1582" s="4">
        <v>41</v>
      </c>
      <c r="G1582" t="s">
        <v>46</v>
      </c>
      <c r="H1582" t="s">
        <v>80</v>
      </c>
      <c r="I1582" t="s">
        <v>39</v>
      </c>
      <c r="J1582" t="s">
        <v>72</v>
      </c>
      <c r="K1582" t="s">
        <v>62</v>
      </c>
      <c r="L1582">
        <v>115.15</v>
      </c>
      <c r="M1582" t="s">
        <v>33</v>
      </c>
      <c r="N1582">
        <f t="shared" si="217"/>
        <v>0</v>
      </c>
      <c r="O1582" t="s">
        <v>51</v>
      </c>
      <c r="P1582" t="s">
        <v>5965</v>
      </c>
      <c r="Q1582">
        <v>0</v>
      </c>
      <c r="R1582">
        <v>356</v>
      </c>
      <c r="S1582">
        <f t="shared" si="218"/>
        <v>-0.82323607098706431</v>
      </c>
      <c r="T1582">
        <f t="shared" si="219"/>
        <v>0</v>
      </c>
      <c r="U1582">
        <f t="shared" si="220"/>
        <v>0</v>
      </c>
      <c r="V1582">
        <f t="shared" si="221"/>
        <v>0</v>
      </c>
      <c r="W1582">
        <f t="shared" si="222"/>
        <v>0</v>
      </c>
      <c r="X1582">
        <f t="shared" si="223"/>
        <v>0</v>
      </c>
      <c r="Y1582">
        <f t="shared" si="224"/>
        <v>0</v>
      </c>
    </row>
    <row r="1583" spans="1:25" x14ac:dyDescent="0.3">
      <c r="A1583" t="s">
        <v>1619</v>
      </c>
      <c r="B1583" t="s">
        <v>1620</v>
      </c>
      <c r="C1583" s="1">
        <v>45713</v>
      </c>
      <c r="D1583" s="3">
        <v>0.61054398148148148</v>
      </c>
      <c r="E1583">
        <f t="shared" si="216"/>
        <v>14</v>
      </c>
      <c r="F1583">
        <v>50</v>
      </c>
      <c r="G1583" t="s">
        <v>18</v>
      </c>
      <c r="H1583" t="s">
        <v>19</v>
      </c>
      <c r="I1583" t="s">
        <v>30</v>
      </c>
      <c r="J1583" t="s">
        <v>31</v>
      </c>
      <c r="K1583" t="s">
        <v>32</v>
      </c>
      <c r="L1583">
        <v>115.14</v>
      </c>
      <c r="M1583" t="s">
        <v>115</v>
      </c>
      <c r="N1583">
        <f t="shared" si="217"/>
        <v>0</v>
      </c>
      <c r="O1583" t="s">
        <v>86</v>
      </c>
      <c r="P1583" t="s">
        <v>1621</v>
      </c>
      <c r="Q1583">
        <v>0</v>
      </c>
      <c r="R1583">
        <v>408</v>
      </c>
      <c r="S1583">
        <f t="shared" si="218"/>
        <v>-0.82337451358182523</v>
      </c>
      <c r="T1583">
        <f t="shared" si="219"/>
        <v>0</v>
      </c>
      <c r="U1583">
        <f t="shared" si="220"/>
        <v>0</v>
      </c>
      <c r="V1583">
        <f t="shared" si="221"/>
        <v>0</v>
      </c>
      <c r="W1583">
        <f t="shared" si="222"/>
        <v>0</v>
      </c>
      <c r="X1583">
        <f t="shared" si="223"/>
        <v>0</v>
      </c>
      <c r="Y1583">
        <f t="shared" si="224"/>
        <v>0</v>
      </c>
    </row>
    <row r="1584" spans="1:25" x14ac:dyDescent="0.3">
      <c r="A1584" t="s">
        <v>1061</v>
      </c>
      <c r="B1584" t="s">
        <v>1062</v>
      </c>
      <c r="C1584" s="1">
        <v>45722</v>
      </c>
      <c r="D1584" s="3">
        <v>1.1516203703703704E-2</v>
      </c>
      <c r="E1584">
        <f t="shared" si="216"/>
        <v>0</v>
      </c>
      <c r="F1584">
        <v>25</v>
      </c>
      <c r="G1584" t="s">
        <v>46</v>
      </c>
      <c r="H1584" t="s">
        <v>29</v>
      </c>
      <c r="I1584" t="s">
        <v>105</v>
      </c>
      <c r="J1584" t="s">
        <v>49</v>
      </c>
      <c r="K1584" t="s">
        <v>32</v>
      </c>
      <c r="L1584">
        <v>115.13</v>
      </c>
      <c r="M1584" t="s">
        <v>23</v>
      </c>
      <c r="N1584">
        <f t="shared" si="217"/>
        <v>0</v>
      </c>
      <c r="O1584" t="s">
        <v>51</v>
      </c>
      <c r="P1584" t="s">
        <v>1063</v>
      </c>
      <c r="Q1584">
        <v>0</v>
      </c>
      <c r="R1584">
        <v>419</v>
      </c>
      <c r="S1584">
        <f t="shared" si="218"/>
        <v>-0.82351295617658626</v>
      </c>
      <c r="T1584">
        <f t="shared" si="219"/>
        <v>0</v>
      </c>
      <c r="U1584">
        <f t="shared" si="220"/>
        <v>1</v>
      </c>
      <c r="V1584">
        <f t="shared" si="221"/>
        <v>0</v>
      </c>
      <c r="W1584">
        <f t="shared" si="222"/>
        <v>2</v>
      </c>
      <c r="X1584">
        <f t="shared" si="223"/>
        <v>0</v>
      </c>
      <c r="Y1584">
        <f t="shared" si="224"/>
        <v>0</v>
      </c>
    </row>
    <row r="1585" spans="1:25" x14ac:dyDescent="0.3">
      <c r="A1585" t="s">
        <v>5915</v>
      </c>
      <c r="B1585" t="s">
        <v>5916</v>
      </c>
      <c r="C1585" s="1">
        <v>45830</v>
      </c>
      <c r="D1585" s="3">
        <v>0.94037037037037041</v>
      </c>
      <c r="E1585">
        <f t="shared" si="216"/>
        <v>22</v>
      </c>
      <c r="F1585">
        <v>35</v>
      </c>
      <c r="G1585" t="s">
        <v>60</v>
      </c>
      <c r="H1585" t="s">
        <v>61</v>
      </c>
      <c r="I1585" t="s">
        <v>119</v>
      </c>
      <c r="J1585" t="s">
        <v>94</v>
      </c>
      <c r="K1585" t="s">
        <v>168</v>
      </c>
      <c r="L1585">
        <v>114.94</v>
      </c>
      <c r="M1585" t="s">
        <v>33</v>
      </c>
      <c r="N1585">
        <f t="shared" si="217"/>
        <v>0</v>
      </c>
      <c r="O1585" t="s">
        <v>86</v>
      </c>
      <c r="P1585" t="s">
        <v>5917</v>
      </c>
      <c r="Q1585">
        <v>0</v>
      </c>
      <c r="R1585">
        <v>416</v>
      </c>
      <c r="S1585">
        <f t="shared" si="218"/>
        <v>-0.82614336547704381</v>
      </c>
      <c r="T1585">
        <f t="shared" si="219"/>
        <v>0</v>
      </c>
      <c r="U1585">
        <f t="shared" si="220"/>
        <v>0</v>
      </c>
      <c r="V1585">
        <f t="shared" si="221"/>
        <v>0</v>
      </c>
      <c r="W1585">
        <f t="shared" si="222"/>
        <v>0</v>
      </c>
      <c r="X1585">
        <f t="shared" si="223"/>
        <v>0</v>
      </c>
      <c r="Y1585">
        <f t="shared" si="224"/>
        <v>0</v>
      </c>
    </row>
    <row r="1586" spans="1:25" x14ac:dyDescent="0.3">
      <c r="A1586" t="s">
        <v>1892</v>
      </c>
      <c r="B1586" t="s">
        <v>1893</v>
      </c>
      <c r="C1586" s="1">
        <v>45729</v>
      </c>
      <c r="D1586" s="3">
        <v>0.98944444444444446</v>
      </c>
      <c r="E1586">
        <f t="shared" si="216"/>
        <v>23</v>
      </c>
      <c r="F1586">
        <v>31</v>
      </c>
      <c r="G1586" t="s">
        <v>60</v>
      </c>
      <c r="H1586" t="s">
        <v>167</v>
      </c>
      <c r="I1586" t="s">
        <v>30</v>
      </c>
      <c r="J1586" t="s">
        <v>127</v>
      </c>
      <c r="K1586" t="s">
        <v>41</v>
      </c>
      <c r="L1586">
        <v>114.81</v>
      </c>
      <c r="M1586" t="s">
        <v>33</v>
      </c>
      <c r="N1586">
        <f t="shared" si="217"/>
        <v>0</v>
      </c>
      <c r="O1586" t="s">
        <v>24</v>
      </c>
      <c r="P1586" t="s">
        <v>1894</v>
      </c>
      <c r="Q1586">
        <v>0</v>
      </c>
      <c r="R1586">
        <v>183</v>
      </c>
      <c r="S1586">
        <f t="shared" si="218"/>
        <v>-0.82794311920893571</v>
      </c>
      <c r="T1586">
        <f t="shared" si="219"/>
        <v>0</v>
      </c>
      <c r="U1586">
        <f t="shared" si="220"/>
        <v>0</v>
      </c>
      <c r="V1586">
        <f t="shared" si="221"/>
        <v>1</v>
      </c>
      <c r="W1586">
        <f t="shared" si="222"/>
        <v>1</v>
      </c>
      <c r="X1586">
        <f t="shared" si="223"/>
        <v>0</v>
      </c>
      <c r="Y1586">
        <f t="shared" si="224"/>
        <v>0</v>
      </c>
    </row>
    <row r="1587" spans="1:25" x14ac:dyDescent="0.3">
      <c r="A1587" t="s">
        <v>767</v>
      </c>
      <c r="B1587" t="s">
        <v>768</v>
      </c>
      <c r="C1587" s="1">
        <v>45720</v>
      </c>
      <c r="D1587" s="3">
        <v>0.74828703703703703</v>
      </c>
      <c r="E1587">
        <f t="shared" si="216"/>
        <v>17</v>
      </c>
      <c r="F1587">
        <v>23</v>
      </c>
      <c r="G1587" t="s">
        <v>46</v>
      </c>
      <c r="H1587" t="s">
        <v>55</v>
      </c>
      <c r="I1587" t="s">
        <v>71</v>
      </c>
      <c r="J1587" t="s">
        <v>31</v>
      </c>
      <c r="K1587" t="s">
        <v>22</v>
      </c>
      <c r="L1587">
        <v>114.76</v>
      </c>
      <c r="M1587" t="s">
        <v>42</v>
      </c>
      <c r="N1587">
        <f t="shared" si="217"/>
        <v>0</v>
      </c>
      <c r="O1587" t="s">
        <v>24</v>
      </c>
      <c r="P1587" t="s">
        <v>769</v>
      </c>
      <c r="Q1587">
        <v>0</v>
      </c>
      <c r="R1587">
        <v>388</v>
      </c>
      <c r="S1587">
        <f t="shared" si="218"/>
        <v>-0.82863533218274033</v>
      </c>
      <c r="T1587">
        <f t="shared" si="219"/>
        <v>0</v>
      </c>
      <c r="U1587">
        <f t="shared" si="220"/>
        <v>0</v>
      </c>
      <c r="V1587">
        <f t="shared" si="221"/>
        <v>0</v>
      </c>
      <c r="W1587">
        <f t="shared" si="222"/>
        <v>0</v>
      </c>
      <c r="X1587">
        <f t="shared" si="223"/>
        <v>0</v>
      </c>
      <c r="Y1587">
        <f t="shared" si="224"/>
        <v>0</v>
      </c>
    </row>
    <row r="1588" spans="1:25" x14ac:dyDescent="0.3">
      <c r="A1588" t="s">
        <v>3563</v>
      </c>
      <c r="B1588" t="s">
        <v>3564</v>
      </c>
      <c r="C1588" s="1">
        <v>45800</v>
      </c>
      <c r="D1588" s="3">
        <v>0.93619212962962961</v>
      </c>
      <c r="E1588">
        <f t="shared" si="216"/>
        <v>22</v>
      </c>
      <c r="F1588">
        <v>64</v>
      </c>
      <c r="G1588" t="s">
        <v>6479</v>
      </c>
      <c r="H1588" t="s">
        <v>29</v>
      </c>
      <c r="I1588" t="s">
        <v>105</v>
      </c>
      <c r="J1588" t="s">
        <v>132</v>
      </c>
      <c r="K1588" t="s">
        <v>120</v>
      </c>
      <c r="L1588">
        <v>114.41</v>
      </c>
      <c r="M1588" t="s">
        <v>42</v>
      </c>
      <c r="N1588">
        <f t="shared" si="217"/>
        <v>0</v>
      </c>
      <c r="O1588" t="s">
        <v>86</v>
      </c>
      <c r="P1588" t="s">
        <v>3565</v>
      </c>
      <c r="Q1588">
        <v>0</v>
      </c>
      <c r="R1588">
        <v>233</v>
      </c>
      <c r="S1588">
        <f t="shared" si="218"/>
        <v>-0.83348082299937287</v>
      </c>
      <c r="T1588">
        <f t="shared" si="219"/>
        <v>0</v>
      </c>
      <c r="U1588">
        <f t="shared" si="220"/>
        <v>0</v>
      </c>
      <c r="V1588">
        <f t="shared" si="221"/>
        <v>1</v>
      </c>
      <c r="W1588">
        <f t="shared" si="222"/>
        <v>1</v>
      </c>
      <c r="X1588">
        <f t="shared" si="223"/>
        <v>0</v>
      </c>
      <c r="Y1588">
        <f t="shared" si="224"/>
        <v>0</v>
      </c>
    </row>
    <row r="1589" spans="1:25" x14ac:dyDescent="0.3">
      <c r="A1589" t="s">
        <v>5450</v>
      </c>
      <c r="B1589" t="s">
        <v>5451</v>
      </c>
      <c r="C1589" s="1">
        <v>45740</v>
      </c>
      <c r="D1589" s="3">
        <v>0.23046296296296295</v>
      </c>
      <c r="E1589">
        <f t="shared" ref="E1589:E1652" si="225">HOUR(D1589)</f>
        <v>5</v>
      </c>
      <c r="F1589">
        <v>19</v>
      </c>
      <c r="G1589" t="s">
        <v>18</v>
      </c>
      <c r="H1589" t="s">
        <v>80</v>
      </c>
      <c r="I1589" t="s">
        <v>48</v>
      </c>
      <c r="J1589" t="s">
        <v>49</v>
      </c>
      <c r="K1589" t="s">
        <v>168</v>
      </c>
      <c r="L1589">
        <v>114.25</v>
      </c>
      <c r="M1589" t="s">
        <v>115</v>
      </c>
      <c r="N1589">
        <f t="shared" si="217"/>
        <v>0</v>
      </c>
      <c r="O1589" t="s">
        <v>86</v>
      </c>
      <c r="P1589" t="s">
        <v>5452</v>
      </c>
      <c r="Q1589">
        <v>0</v>
      </c>
      <c r="R1589">
        <v>212</v>
      </c>
      <c r="S1589">
        <f t="shared" si="218"/>
        <v>-0.83569590451554754</v>
      </c>
      <c r="T1589">
        <f t="shared" si="219"/>
        <v>0</v>
      </c>
      <c r="U1589">
        <f t="shared" si="220"/>
        <v>1</v>
      </c>
      <c r="V1589">
        <f t="shared" si="221"/>
        <v>1</v>
      </c>
      <c r="W1589">
        <f t="shared" si="222"/>
        <v>3</v>
      </c>
      <c r="X1589">
        <f t="shared" si="223"/>
        <v>0</v>
      </c>
      <c r="Y1589">
        <f t="shared" si="224"/>
        <v>0</v>
      </c>
    </row>
    <row r="1590" spans="1:25" x14ac:dyDescent="0.3">
      <c r="A1590" t="s">
        <v>1436</v>
      </c>
      <c r="B1590" t="s">
        <v>1437</v>
      </c>
      <c r="C1590" s="1">
        <v>45860</v>
      </c>
      <c r="D1590" s="3">
        <v>0.61473379629629632</v>
      </c>
      <c r="E1590">
        <f t="shared" si="225"/>
        <v>14</v>
      </c>
      <c r="F1590">
        <v>49</v>
      </c>
      <c r="G1590" t="s">
        <v>46</v>
      </c>
      <c r="H1590" t="s">
        <v>312</v>
      </c>
      <c r="I1590" t="s">
        <v>48</v>
      </c>
      <c r="J1590" t="s">
        <v>56</v>
      </c>
      <c r="K1590" t="s">
        <v>168</v>
      </c>
      <c r="L1590">
        <v>114.22</v>
      </c>
      <c r="M1590" t="s">
        <v>33</v>
      </c>
      <c r="N1590">
        <f t="shared" si="217"/>
        <v>0</v>
      </c>
      <c r="O1590" t="s">
        <v>86</v>
      </c>
      <c r="P1590" t="s">
        <v>1438</v>
      </c>
      <c r="Q1590">
        <v>0</v>
      </c>
      <c r="R1590">
        <v>194</v>
      </c>
      <c r="S1590">
        <f t="shared" si="218"/>
        <v>-0.83611123229983031</v>
      </c>
      <c r="T1590">
        <f t="shared" si="219"/>
        <v>0</v>
      </c>
      <c r="U1590">
        <f t="shared" si="220"/>
        <v>0</v>
      </c>
      <c r="V1590">
        <f t="shared" si="221"/>
        <v>1</v>
      </c>
      <c r="W1590">
        <f t="shared" si="222"/>
        <v>1</v>
      </c>
      <c r="X1590">
        <f t="shared" si="223"/>
        <v>0</v>
      </c>
      <c r="Y1590">
        <f t="shared" si="224"/>
        <v>0</v>
      </c>
    </row>
    <row r="1591" spans="1:25" x14ac:dyDescent="0.3">
      <c r="A1591" t="s">
        <v>3032</v>
      </c>
      <c r="B1591" t="s">
        <v>3033</v>
      </c>
      <c r="C1591" s="1">
        <v>45862</v>
      </c>
      <c r="D1591" s="3">
        <v>0.52576388888888892</v>
      </c>
      <c r="E1591">
        <f t="shared" si="225"/>
        <v>12</v>
      </c>
      <c r="F1591">
        <v>23</v>
      </c>
      <c r="G1591" t="s">
        <v>46</v>
      </c>
      <c r="H1591" t="s">
        <v>38</v>
      </c>
      <c r="I1591" t="s">
        <v>39</v>
      </c>
      <c r="J1591" t="s">
        <v>56</v>
      </c>
      <c r="K1591" t="s">
        <v>95</v>
      </c>
      <c r="L1591">
        <v>114.2</v>
      </c>
      <c r="M1591" t="s">
        <v>42</v>
      </c>
      <c r="N1591">
        <f t="shared" si="217"/>
        <v>0</v>
      </c>
      <c r="O1591" t="s">
        <v>86</v>
      </c>
      <c r="P1591" t="s">
        <v>3034</v>
      </c>
      <c r="Q1591">
        <v>0</v>
      </c>
      <c r="R1591">
        <v>138</v>
      </c>
      <c r="S1591">
        <f t="shared" si="218"/>
        <v>-0.83638811748935216</v>
      </c>
      <c r="T1591">
        <f t="shared" si="219"/>
        <v>0</v>
      </c>
      <c r="U1591">
        <f t="shared" si="220"/>
        <v>0</v>
      </c>
      <c r="V1591">
        <f t="shared" si="221"/>
        <v>1</v>
      </c>
      <c r="W1591">
        <f t="shared" si="222"/>
        <v>1</v>
      </c>
      <c r="X1591">
        <f t="shared" si="223"/>
        <v>0</v>
      </c>
      <c r="Y1591">
        <f t="shared" si="224"/>
        <v>0</v>
      </c>
    </row>
    <row r="1592" spans="1:25" x14ac:dyDescent="0.3">
      <c r="A1592" t="s">
        <v>5342</v>
      </c>
      <c r="B1592" t="s">
        <v>5343</v>
      </c>
      <c r="C1592" s="1">
        <v>45822</v>
      </c>
      <c r="D1592" s="3">
        <v>0.57437499999999997</v>
      </c>
      <c r="E1592">
        <f t="shared" si="225"/>
        <v>13</v>
      </c>
      <c r="F1592">
        <v>39</v>
      </c>
      <c r="G1592" t="s">
        <v>60</v>
      </c>
      <c r="H1592" t="s">
        <v>80</v>
      </c>
      <c r="I1592" t="s">
        <v>66</v>
      </c>
      <c r="J1592" t="s">
        <v>56</v>
      </c>
      <c r="K1592" t="s">
        <v>50</v>
      </c>
      <c r="L1592">
        <v>114.13</v>
      </c>
      <c r="M1592" t="s">
        <v>23</v>
      </c>
      <c r="N1592">
        <f t="shared" si="217"/>
        <v>0</v>
      </c>
      <c r="O1592" t="s">
        <v>24</v>
      </c>
      <c r="P1592" t="s">
        <v>5344</v>
      </c>
      <c r="Q1592">
        <v>0</v>
      </c>
      <c r="R1592">
        <v>59</v>
      </c>
      <c r="S1592">
        <f t="shared" si="218"/>
        <v>-0.83735721565267873</v>
      </c>
      <c r="T1592">
        <f t="shared" si="219"/>
        <v>0</v>
      </c>
      <c r="U1592">
        <f t="shared" si="220"/>
        <v>0</v>
      </c>
      <c r="V1592">
        <f t="shared" si="221"/>
        <v>1</v>
      </c>
      <c r="W1592">
        <f t="shared" si="222"/>
        <v>1</v>
      </c>
      <c r="X1592">
        <f t="shared" si="223"/>
        <v>0</v>
      </c>
      <c r="Y1592">
        <f t="shared" si="224"/>
        <v>0</v>
      </c>
    </row>
    <row r="1593" spans="1:25" x14ac:dyDescent="0.3">
      <c r="A1593" s="2" t="s">
        <v>602</v>
      </c>
      <c r="B1593" t="s">
        <v>603</v>
      </c>
      <c r="C1593" s="1">
        <v>45797</v>
      </c>
      <c r="D1593" s="3">
        <v>0.28354166666666669</v>
      </c>
      <c r="E1593">
        <f t="shared" si="225"/>
        <v>6</v>
      </c>
      <c r="F1593">
        <v>37</v>
      </c>
      <c r="G1593" t="s">
        <v>60</v>
      </c>
      <c r="H1593" t="s">
        <v>239</v>
      </c>
      <c r="I1593" t="s">
        <v>30</v>
      </c>
      <c r="J1593" t="s">
        <v>127</v>
      </c>
      <c r="K1593" t="s">
        <v>120</v>
      </c>
      <c r="L1593">
        <v>114.1</v>
      </c>
      <c r="M1593" t="s">
        <v>23</v>
      </c>
      <c r="N1593">
        <f t="shared" si="217"/>
        <v>0</v>
      </c>
      <c r="O1593" t="s">
        <v>86</v>
      </c>
      <c r="P1593" t="s">
        <v>604</v>
      </c>
      <c r="Q1593">
        <v>0</v>
      </c>
      <c r="R1593">
        <v>427</v>
      </c>
      <c r="S1593">
        <f t="shared" si="218"/>
        <v>-0.8377725434369615</v>
      </c>
      <c r="T1593">
        <f t="shared" si="219"/>
        <v>0</v>
      </c>
      <c r="U1593">
        <f t="shared" si="220"/>
        <v>0</v>
      </c>
      <c r="V1593">
        <f t="shared" si="221"/>
        <v>0</v>
      </c>
      <c r="W1593">
        <f t="shared" si="222"/>
        <v>0</v>
      </c>
      <c r="X1593">
        <f t="shared" si="223"/>
        <v>0</v>
      </c>
      <c r="Y1593">
        <f t="shared" si="224"/>
        <v>0</v>
      </c>
    </row>
    <row r="1594" spans="1:25" x14ac:dyDescent="0.3">
      <c r="A1594" t="s">
        <v>779</v>
      </c>
      <c r="B1594" t="s">
        <v>780</v>
      </c>
      <c r="C1594" s="1">
        <v>45719</v>
      </c>
      <c r="D1594" s="3">
        <v>0.88454861111111116</v>
      </c>
      <c r="E1594">
        <f t="shared" si="225"/>
        <v>21</v>
      </c>
      <c r="F1594">
        <v>33</v>
      </c>
      <c r="G1594" t="s">
        <v>46</v>
      </c>
      <c r="H1594" t="s">
        <v>167</v>
      </c>
      <c r="I1594" t="s">
        <v>85</v>
      </c>
      <c r="J1594" t="s">
        <v>40</v>
      </c>
      <c r="K1594" t="s">
        <v>95</v>
      </c>
      <c r="L1594">
        <v>114.1</v>
      </c>
      <c r="M1594" t="s">
        <v>115</v>
      </c>
      <c r="N1594">
        <f t="shared" si="217"/>
        <v>0</v>
      </c>
      <c r="O1594" t="s">
        <v>34</v>
      </c>
      <c r="P1594" t="s">
        <v>781</v>
      </c>
      <c r="Q1594">
        <v>0</v>
      </c>
      <c r="R1594">
        <v>209</v>
      </c>
      <c r="S1594">
        <f t="shared" si="218"/>
        <v>-0.8377725434369615</v>
      </c>
      <c r="T1594">
        <f t="shared" si="219"/>
        <v>0</v>
      </c>
      <c r="U1594">
        <f t="shared" si="220"/>
        <v>0</v>
      </c>
      <c r="V1594">
        <f t="shared" si="221"/>
        <v>1</v>
      </c>
      <c r="W1594">
        <f t="shared" si="222"/>
        <v>1</v>
      </c>
      <c r="X1594">
        <f t="shared" si="223"/>
        <v>0</v>
      </c>
      <c r="Y1594">
        <f t="shared" si="224"/>
        <v>0</v>
      </c>
    </row>
    <row r="1595" spans="1:25" x14ac:dyDescent="0.3">
      <c r="A1595" t="s">
        <v>695</v>
      </c>
      <c r="B1595" t="s">
        <v>696</v>
      </c>
      <c r="C1595" s="1">
        <v>45756</v>
      </c>
      <c r="D1595" s="3">
        <v>0.29185185185185186</v>
      </c>
      <c r="E1595">
        <f t="shared" si="225"/>
        <v>7</v>
      </c>
      <c r="F1595">
        <v>54</v>
      </c>
      <c r="G1595" t="s">
        <v>18</v>
      </c>
      <c r="H1595" t="s">
        <v>232</v>
      </c>
      <c r="I1595" t="s">
        <v>110</v>
      </c>
      <c r="J1595" t="s">
        <v>76</v>
      </c>
      <c r="K1595" t="s">
        <v>101</v>
      </c>
      <c r="L1595">
        <v>114.07</v>
      </c>
      <c r="M1595" t="s">
        <v>33</v>
      </c>
      <c r="N1595">
        <f t="shared" si="217"/>
        <v>0</v>
      </c>
      <c r="O1595" t="s">
        <v>34</v>
      </c>
      <c r="P1595" t="s">
        <v>697</v>
      </c>
      <c r="Q1595">
        <v>0</v>
      </c>
      <c r="R1595">
        <v>339</v>
      </c>
      <c r="S1595">
        <f t="shared" si="218"/>
        <v>-0.83818787122124427</v>
      </c>
      <c r="T1595">
        <f t="shared" si="219"/>
        <v>0</v>
      </c>
      <c r="U1595">
        <f t="shared" si="220"/>
        <v>0</v>
      </c>
      <c r="V1595">
        <f t="shared" si="221"/>
        <v>0</v>
      </c>
      <c r="W1595">
        <f t="shared" si="222"/>
        <v>0</v>
      </c>
      <c r="X1595">
        <f t="shared" si="223"/>
        <v>0</v>
      </c>
      <c r="Y1595">
        <f t="shared" si="224"/>
        <v>0</v>
      </c>
    </row>
    <row r="1596" spans="1:25" x14ac:dyDescent="0.3">
      <c r="A1596" t="s">
        <v>1205</v>
      </c>
      <c r="B1596" t="s">
        <v>1206</v>
      </c>
      <c r="C1596" s="1">
        <v>45719</v>
      </c>
      <c r="D1596" s="3">
        <v>0.86829861111111106</v>
      </c>
      <c r="E1596">
        <f t="shared" si="225"/>
        <v>20</v>
      </c>
      <c r="F1596" s="4">
        <v>41</v>
      </c>
      <c r="G1596" t="s">
        <v>46</v>
      </c>
      <c r="H1596" t="s">
        <v>312</v>
      </c>
      <c r="I1596" t="s">
        <v>85</v>
      </c>
      <c r="J1596" t="s">
        <v>94</v>
      </c>
      <c r="K1596" t="s">
        <v>62</v>
      </c>
      <c r="L1596">
        <v>114.04</v>
      </c>
      <c r="M1596" t="s">
        <v>42</v>
      </c>
      <c r="N1596">
        <f t="shared" si="217"/>
        <v>0</v>
      </c>
      <c r="O1596" t="s">
        <v>34</v>
      </c>
      <c r="P1596" t="s">
        <v>1207</v>
      </c>
      <c r="Q1596">
        <v>0</v>
      </c>
      <c r="R1596">
        <v>410</v>
      </c>
      <c r="S1596">
        <f t="shared" si="218"/>
        <v>-0.83860319900552693</v>
      </c>
      <c r="T1596">
        <f t="shared" si="219"/>
        <v>0</v>
      </c>
      <c r="U1596">
        <f t="shared" si="220"/>
        <v>0</v>
      </c>
      <c r="V1596">
        <f t="shared" si="221"/>
        <v>0</v>
      </c>
      <c r="W1596">
        <f t="shared" si="222"/>
        <v>0</v>
      </c>
      <c r="X1596">
        <f t="shared" si="223"/>
        <v>0</v>
      </c>
      <c r="Y1596">
        <f t="shared" si="224"/>
        <v>0</v>
      </c>
    </row>
    <row r="1597" spans="1:25" x14ac:dyDescent="0.3">
      <c r="A1597" t="s">
        <v>2387</v>
      </c>
      <c r="B1597" t="s">
        <v>2388</v>
      </c>
      <c r="C1597" s="1">
        <v>45862</v>
      </c>
      <c r="D1597" s="3">
        <v>0.58553240740740742</v>
      </c>
      <c r="E1597">
        <f t="shared" si="225"/>
        <v>14</v>
      </c>
      <c r="F1597">
        <v>36</v>
      </c>
      <c r="G1597" t="s">
        <v>60</v>
      </c>
      <c r="H1597" t="s">
        <v>90</v>
      </c>
      <c r="I1597" t="s">
        <v>39</v>
      </c>
      <c r="J1597" t="s">
        <v>40</v>
      </c>
      <c r="K1597" t="s">
        <v>50</v>
      </c>
      <c r="L1597">
        <v>114.01</v>
      </c>
      <c r="M1597" t="s">
        <v>115</v>
      </c>
      <c r="N1597">
        <f t="shared" si="217"/>
        <v>0</v>
      </c>
      <c r="O1597" t="s">
        <v>51</v>
      </c>
      <c r="P1597" t="s">
        <v>2389</v>
      </c>
      <c r="Q1597">
        <v>0</v>
      </c>
      <c r="R1597">
        <v>389</v>
      </c>
      <c r="S1597">
        <f t="shared" si="218"/>
        <v>-0.8390185267898097</v>
      </c>
      <c r="T1597">
        <f t="shared" si="219"/>
        <v>0</v>
      </c>
      <c r="U1597">
        <f t="shared" si="220"/>
        <v>0</v>
      </c>
      <c r="V1597">
        <f t="shared" si="221"/>
        <v>0</v>
      </c>
      <c r="W1597">
        <f t="shared" si="222"/>
        <v>0</v>
      </c>
      <c r="X1597">
        <f t="shared" si="223"/>
        <v>0</v>
      </c>
      <c r="Y1597">
        <f t="shared" si="224"/>
        <v>0</v>
      </c>
    </row>
    <row r="1598" spans="1:25" x14ac:dyDescent="0.3">
      <c r="A1598" t="s">
        <v>1556</v>
      </c>
      <c r="B1598" t="s">
        <v>1557</v>
      </c>
      <c r="C1598" s="1">
        <v>45786</v>
      </c>
      <c r="D1598" s="3">
        <v>0.91053240740740737</v>
      </c>
      <c r="E1598">
        <f t="shared" si="225"/>
        <v>21</v>
      </c>
      <c r="F1598">
        <v>51</v>
      </c>
      <c r="G1598" t="s">
        <v>60</v>
      </c>
      <c r="H1598" t="s">
        <v>167</v>
      </c>
      <c r="I1598" t="s">
        <v>39</v>
      </c>
      <c r="J1598" t="s">
        <v>49</v>
      </c>
      <c r="K1598" t="s">
        <v>62</v>
      </c>
      <c r="L1598">
        <v>114</v>
      </c>
      <c r="M1598" t="s">
        <v>115</v>
      </c>
      <c r="N1598">
        <f t="shared" si="217"/>
        <v>0</v>
      </c>
      <c r="O1598" t="s">
        <v>34</v>
      </c>
      <c r="P1598" t="s">
        <v>1558</v>
      </c>
      <c r="Q1598">
        <v>0</v>
      </c>
      <c r="R1598">
        <v>206</v>
      </c>
      <c r="S1598">
        <f t="shared" si="218"/>
        <v>-0.83915696938457063</v>
      </c>
      <c r="T1598">
        <f t="shared" si="219"/>
        <v>0</v>
      </c>
      <c r="U1598">
        <f t="shared" si="220"/>
        <v>0</v>
      </c>
      <c r="V1598">
        <f t="shared" si="221"/>
        <v>1</v>
      </c>
      <c r="W1598">
        <f t="shared" si="222"/>
        <v>1</v>
      </c>
      <c r="X1598">
        <f t="shared" si="223"/>
        <v>0</v>
      </c>
      <c r="Y1598">
        <f t="shared" si="224"/>
        <v>0</v>
      </c>
    </row>
    <row r="1599" spans="1:25" x14ac:dyDescent="0.3">
      <c r="A1599" t="s">
        <v>2177</v>
      </c>
      <c r="B1599" t="s">
        <v>2178</v>
      </c>
      <c r="C1599" s="1">
        <v>45708</v>
      </c>
      <c r="D1599" s="3">
        <v>0.97241898148148154</v>
      </c>
      <c r="E1599">
        <f t="shared" si="225"/>
        <v>23</v>
      </c>
      <c r="F1599">
        <v>33</v>
      </c>
      <c r="G1599" t="s">
        <v>46</v>
      </c>
      <c r="H1599" t="s">
        <v>70</v>
      </c>
      <c r="I1599" t="s">
        <v>39</v>
      </c>
      <c r="J1599" t="s">
        <v>40</v>
      </c>
      <c r="K1599" t="s">
        <v>101</v>
      </c>
      <c r="L1599">
        <v>114</v>
      </c>
      <c r="M1599" t="s">
        <v>23</v>
      </c>
      <c r="N1599">
        <f t="shared" si="217"/>
        <v>0</v>
      </c>
      <c r="O1599" t="s">
        <v>34</v>
      </c>
      <c r="P1599" t="s">
        <v>2179</v>
      </c>
      <c r="Q1599">
        <v>0</v>
      </c>
      <c r="R1599">
        <v>490</v>
      </c>
      <c r="S1599">
        <f t="shared" si="218"/>
        <v>-0.83915696938457063</v>
      </c>
      <c r="T1599">
        <f t="shared" si="219"/>
        <v>0</v>
      </c>
      <c r="U1599">
        <f t="shared" si="220"/>
        <v>0</v>
      </c>
      <c r="V1599">
        <f t="shared" si="221"/>
        <v>0</v>
      </c>
      <c r="W1599">
        <f t="shared" si="222"/>
        <v>0</v>
      </c>
      <c r="X1599">
        <f t="shared" si="223"/>
        <v>0</v>
      </c>
      <c r="Y1599">
        <f t="shared" si="224"/>
        <v>0</v>
      </c>
    </row>
    <row r="1600" spans="1:25" x14ac:dyDescent="0.3">
      <c r="A1600" t="s">
        <v>3893</v>
      </c>
      <c r="B1600" t="s">
        <v>3894</v>
      </c>
      <c r="C1600" s="1">
        <v>45848</v>
      </c>
      <c r="D1600" s="3">
        <v>0.68646990740740743</v>
      </c>
      <c r="E1600">
        <f t="shared" si="225"/>
        <v>16</v>
      </c>
      <c r="F1600">
        <v>50</v>
      </c>
      <c r="G1600" t="s">
        <v>60</v>
      </c>
      <c r="H1600" t="s">
        <v>167</v>
      </c>
      <c r="I1600" t="s">
        <v>30</v>
      </c>
      <c r="J1600" t="s">
        <v>40</v>
      </c>
      <c r="K1600" t="s">
        <v>95</v>
      </c>
      <c r="L1600">
        <v>113.97</v>
      </c>
      <c r="M1600" t="s">
        <v>42</v>
      </c>
      <c r="N1600">
        <f t="shared" si="217"/>
        <v>0</v>
      </c>
      <c r="O1600" t="s">
        <v>86</v>
      </c>
      <c r="P1600" t="s">
        <v>3895</v>
      </c>
      <c r="Q1600">
        <v>0</v>
      </c>
      <c r="R1600">
        <v>149</v>
      </c>
      <c r="S1600">
        <f t="shared" si="218"/>
        <v>-0.83957229716885351</v>
      </c>
      <c r="T1600">
        <f t="shared" si="219"/>
        <v>0</v>
      </c>
      <c r="U1600">
        <f t="shared" si="220"/>
        <v>0</v>
      </c>
      <c r="V1600">
        <f t="shared" si="221"/>
        <v>1</v>
      </c>
      <c r="W1600">
        <f t="shared" si="222"/>
        <v>1</v>
      </c>
      <c r="X1600">
        <f t="shared" si="223"/>
        <v>0</v>
      </c>
      <c r="Y1600">
        <f t="shared" si="224"/>
        <v>0</v>
      </c>
    </row>
    <row r="1601" spans="1:25" x14ac:dyDescent="0.3">
      <c r="A1601" t="s">
        <v>74</v>
      </c>
      <c r="B1601" t="s">
        <v>75</v>
      </c>
      <c r="C1601" s="1">
        <v>45875</v>
      </c>
      <c r="D1601" s="3">
        <v>0.84531250000000002</v>
      </c>
      <c r="E1601">
        <f t="shared" si="225"/>
        <v>20</v>
      </c>
      <c r="F1601">
        <v>40</v>
      </c>
      <c r="G1601" t="s">
        <v>60</v>
      </c>
      <c r="H1601" t="s">
        <v>70</v>
      </c>
      <c r="I1601" t="s">
        <v>39</v>
      </c>
      <c r="J1601" t="s">
        <v>76</v>
      </c>
      <c r="K1601" t="s">
        <v>50</v>
      </c>
      <c r="L1601">
        <v>113.85</v>
      </c>
      <c r="M1601" t="s">
        <v>33</v>
      </c>
      <c r="N1601">
        <f t="shared" si="217"/>
        <v>0</v>
      </c>
      <c r="O1601" t="s">
        <v>34</v>
      </c>
      <c r="P1601" t="s">
        <v>77</v>
      </c>
      <c r="Q1601">
        <v>0</v>
      </c>
      <c r="R1601">
        <v>481</v>
      </c>
      <c r="S1601">
        <f t="shared" si="218"/>
        <v>-0.84123360830598459</v>
      </c>
      <c r="T1601">
        <f t="shared" si="219"/>
        <v>0</v>
      </c>
      <c r="U1601">
        <f t="shared" si="220"/>
        <v>0</v>
      </c>
      <c r="V1601">
        <f t="shared" si="221"/>
        <v>0</v>
      </c>
      <c r="W1601">
        <f t="shared" si="222"/>
        <v>0</v>
      </c>
      <c r="X1601">
        <f t="shared" si="223"/>
        <v>0</v>
      </c>
      <c r="Y1601">
        <f t="shared" si="224"/>
        <v>0</v>
      </c>
    </row>
    <row r="1602" spans="1:25" x14ac:dyDescent="0.3">
      <c r="A1602" t="s">
        <v>1208</v>
      </c>
      <c r="B1602" t="s">
        <v>1209</v>
      </c>
      <c r="C1602" s="1">
        <v>45764</v>
      </c>
      <c r="D1602" s="3">
        <v>0.78756944444444443</v>
      </c>
      <c r="E1602">
        <f t="shared" si="225"/>
        <v>18</v>
      </c>
      <c r="F1602">
        <v>44</v>
      </c>
      <c r="G1602" t="s">
        <v>99</v>
      </c>
      <c r="H1602" t="s">
        <v>61</v>
      </c>
      <c r="I1602" t="s">
        <v>48</v>
      </c>
      <c r="J1602" t="s">
        <v>40</v>
      </c>
      <c r="K1602" t="s">
        <v>32</v>
      </c>
      <c r="L1602">
        <v>113.65</v>
      </c>
      <c r="M1602" t="s">
        <v>115</v>
      </c>
      <c r="N1602">
        <f t="shared" ref="N1602:N1665" si="226">IF(M1602="Unknown",1,0)</f>
        <v>0</v>
      </c>
      <c r="O1602" t="s">
        <v>86</v>
      </c>
      <c r="P1602" t="s">
        <v>1210</v>
      </c>
      <c r="Q1602">
        <v>0</v>
      </c>
      <c r="R1602">
        <v>485</v>
      </c>
      <c r="S1602">
        <f t="shared" ref="S1602:S1665" si="227">(L1602-$P$2137)/$P$2138</f>
        <v>-0.84400246020120295</v>
      </c>
      <c r="T1602">
        <f t="shared" ref="T1602:T1665" si="228">IF(ABS(Z1602)&gt;3,1,0)</f>
        <v>0</v>
      </c>
      <c r="U1602">
        <f t="shared" ref="U1602:U1665" si="229">IF(AND(E1602&gt;=0,E1602&lt;=5),1,0)</f>
        <v>0</v>
      </c>
      <c r="V1602">
        <f t="shared" ref="V1602:V1665" si="230">IF(R1602&lt;AVERAGE($R:$R),1,0)</f>
        <v>0</v>
      </c>
      <c r="W1602">
        <f t="shared" ref="W1602:W1665" si="231">T1602*3+U1602*2+V1602*1+N1602*2</f>
        <v>0</v>
      </c>
      <c r="X1602">
        <f t="shared" ref="X1602:X1665" si="232">IF(W1602&gt;=5,1,0)</f>
        <v>0</v>
      </c>
      <c r="Y1602">
        <f t="shared" ref="Y1602:Y1665" si="233">IF(M1602="Unknown",1,0)</f>
        <v>0</v>
      </c>
    </row>
    <row r="1603" spans="1:25" x14ac:dyDescent="0.3">
      <c r="A1603" t="s">
        <v>2651</v>
      </c>
      <c r="B1603" t="s">
        <v>2652</v>
      </c>
      <c r="C1603" s="1">
        <v>45871</v>
      </c>
      <c r="D1603" s="3">
        <v>5.4178240740740742E-2</v>
      </c>
      <c r="E1603">
        <f t="shared" si="225"/>
        <v>1</v>
      </c>
      <c r="F1603">
        <v>49</v>
      </c>
      <c r="G1603" t="s">
        <v>46</v>
      </c>
      <c r="H1603" t="s">
        <v>142</v>
      </c>
      <c r="I1603" t="s">
        <v>30</v>
      </c>
      <c r="J1603" t="s">
        <v>127</v>
      </c>
      <c r="K1603" t="s">
        <v>22</v>
      </c>
      <c r="L1603">
        <v>113.51</v>
      </c>
      <c r="M1603" t="s">
        <v>42</v>
      </c>
      <c r="N1603">
        <f t="shared" si="226"/>
        <v>0</v>
      </c>
      <c r="O1603" t="s">
        <v>24</v>
      </c>
      <c r="P1603" t="s">
        <v>2653</v>
      </c>
      <c r="Q1603">
        <v>0</v>
      </c>
      <c r="R1603">
        <v>105</v>
      </c>
      <c r="S1603">
        <f t="shared" si="227"/>
        <v>-0.84594065652785588</v>
      </c>
      <c r="T1603">
        <f t="shared" si="228"/>
        <v>0</v>
      </c>
      <c r="U1603">
        <f t="shared" si="229"/>
        <v>1</v>
      </c>
      <c r="V1603">
        <f t="shared" si="230"/>
        <v>1</v>
      </c>
      <c r="W1603">
        <f t="shared" si="231"/>
        <v>3</v>
      </c>
      <c r="X1603">
        <f t="shared" si="232"/>
        <v>0</v>
      </c>
      <c r="Y1603">
        <f t="shared" si="233"/>
        <v>0</v>
      </c>
    </row>
    <row r="1604" spans="1:25" x14ac:dyDescent="0.3">
      <c r="A1604" t="s">
        <v>1508</v>
      </c>
      <c r="B1604" t="s">
        <v>1509</v>
      </c>
      <c r="C1604" s="1">
        <v>45760</v>
      </c>
      <c r="D1604" s="3">
        <v>0.76004629629629628</v>
      </c>
      <c r="E1604">
        <f t="shared" si="225"/>
        <v>18</v>
      </c>
      <c r="F1604">
        <v>22</v>
      </c>
      <c r="G1604" t="s">
        <v>18</v>
      </c>
      <c r="H1604" t="s">
        <v>55</v>
      </c>
      <c r="I1604" t="s">
        <v>48</v>
      </c>
      <c r="J1604" t="s">
        <v>127</v>
      </c>
      <c r="K1604" t="s">
        <v>95</v>
      </c>
      <c r="L1604">
        <v>113.48</v>
      </c>
      <c r="M1604" t="s">
        <v>23</v>
      </c>
      <c r="N1604">
        <f t="shared" si="226"/>
        <v>0</v>
      </c>
      <c r="O1604" t="s">
        <v>51</v>
      </c>
      <c r="P1604" t="s">
        <v>1510</v>
      </c>
      <c r="Q1604">
        <v>0</v>
      </c>
      <c r="R1604">
        <v>220</v>
      </c>
      <c r="S1604">
        <f t="shared" si="227"/>
        <v>-0.84635598431213865</v>
      </c>
      <c r="T1604">
        <f t="shared" si="228"/>
        <v>0</v>
      </c>
      <c r="U1604">
        <f t="shared" si="229"/>
        <v>0</v>
      </c>
      <c r="V1604">
        <f t="shared" si="230"/>
        <v>1</v>
      </c>
      <c r="W1604">
        <f t="shared" si="231"/>
        <v>1</v>
      </c>
      <c r="X1604">
        <f t="shared" si="232"/>
        <v>0</v>
      </c>
      <c r="Y1604">
        <f t="shared" si="233"/>
        <v>0</v>
      </c>
    </row>
    <row r="1605" spans="1:25" x14ac:dyDescent="0.3">
      <c r="A1605" t="s">
        <v>2870</v>
      </c>
      <c r="B1605" t="s">
        <v>2871</v>
      </c>
      <c r="C1605" s="1">
        <v>45740</v>
      </c>
      <c r="D1605" s="3">
        <v>0.3507986111111111</v>
      </c>
      <c r="E1605">
        <f t="shared" si="225"/>
        <v>8</v>
      </c>
      <c r="F1605">
        <v>37</v>
      </c>
      <c r="G1605" t="s">
        <v>28</v>
      </c>
      <c r="H1605" t="s">
        <v>175</v>
      </c>
      <c r="I1605" t="s">
        <v>119</v>
      </c>
      <c r="J1605" t="s">
        <v>76</v>
      </c>
      <c r="K1605" t="s">
        <v>114</v>
      </c>
      <c r="L1605">
        <v>113.47</v>
      </c>
      <c r="M1605" t="s">
        <v>23</v>
      </c>
      <c r="N1605">
        <f t="shared" si="226"/>
        <v>0</v>
      </c>
      <c r="O1605" t="s">
        <v>86</v>
      </c>
      <c r="P1605" t="s">
        <v>2872</v>
      </c>
      <c r="Q1605">
        <v>0</v>
      </c>
      <c r="R1605">
        <v>447</v>
      </c>
      <c r="S1605">
        <f t="shared" si="227"/>
        <v>-0.84649442690689969</v>
      </c>
      <c r="T1605">
        <f t="shared" si="228"/>
        <v>0</v>
      </c>
      <c r="U1605">
        <f t="shared" si="229"/>
        <v>0</v>
      </c>
      <c r="V1605">
        <f t="shared" si="230"/>
        <v>0</v>
      </c>
      <c r="W1605">
        <f t="shared" si="231"/>
        <v>0</v>
      </c>
      <c r="X1605">
        <f t="shared" si="232"/>
        <v>0</v>
      </c>
      <c r="Y1605">
        <f t="shared" si="233"/>
        <v>0</v>
      </c>
    </row>
    <row r="1606" spans="1:25" x14ac:dyDescent="0.3">
      <c r="A1606" t="s">
        <v>1733</v>
      </c>
      <c r="B1606" t="s">
        <v>1734</v>
      </c>
      <c r="C1606" s="1">
        <v>45842</v>
      </c>
      <c r="D1606" s="3">
        <v>0.59469907407407407</v>
      </c>
      <c r="E1606">
        <f t="shared" si="225"/>
        <v>14</v>
      </c>
      <c r="F1606">
        <v>54</v>
      </c>
      <c r="G1606" t="s">
        <v>28</v>
      </c>
      <c r="H1606" t="s">
        <v>38</v>
      </c>
      <c r="I1606" t="s">
        <v>39</v>
      </c>
      <c r="J1606" t="s">
        <v>132</v>
      </c>
      <c r="K1606" t="s">
        <v>32</v>
      </c>
      <c r="L1606">
        <v>113.43</v>
      </c>
      <c r="M1606" t="s">
        <v>33</v>
      </c>
      <c r="N1606">
        <f t="shared" si="226"/>
        <v>0</v>
      </c>
      <c r="O1606" t="s">
        <v>86</v>
      </c>
      <c r="P1606" t="s">
        <v>1735</v>
      </c>
      <c r="Q1606">
        <v>0</v>
      </c>
      <c r="R1606">
        <v>487</v>
      </c>
      <c r="S1606">
        <f t="shared" si="227"/>
        <v>-0.84704819728594327</v>
      </c>
      <c r="T1606">
        <f t="shared" si="228"/>
        <v>0</v>
      </c>
      <c r="U1606">
        <f t="shared" si="229"/>
        <v>0</v>
      </c>
      <c r="V1606">
        <f t="shared" si="230"/>
        <v>0</v>
      </c>
      <c r="W1606">
        <f t="shared" si="231"/>
        <v>0</v>
      </c>
      <c r="X1606">
        <f t="shared" si="232"/>
        <v>0</v>
      </c>
      <c r="Y1606">
        <f t="shared" si="233"/>
        <v>0</v>
      </c>
    </row>
    <row r="1607" spans="1:25" x14ac:dyDescent="0.3">
      <c r="A1607" t="s">
        <v>295</v>
      </c>
      <c r="B1607" t="s">
        <v>296</v>
      </c>
      <c r="C1607" s="1">
        <v>45864</v>
      </c>
      <c r="D1607" s="3">
        <v>0.93108796296296292</v>
      </c>
      <c r="E1607">
        <f t="shared" si="225"/>
        <v>22</v>
      </c>
      <c r="F1607">
        <v>53</v>
      </c>
      <c r="G1607" t="s">
        <v>46</v>
      </c>
      <c r="H1607" t="s">
        <v>61</v>
      </c>
      <c r="I1607" t="s">
        <v>39</v>
      </c>
      <c r="J1607" t="s">
        <v>31</v>
      </c>
      <c r="K1607" t="s">
        <v>114</v>
      </c>
      <c r="L1607">
        <v>113.29</v>
      </c>
      <c r="M1607" t="s">
        <v>33</v>
      </c>
      <c r="N1607">
        <f t="shared" si="226"/>
        <v>0</v>
      </c>
      <c r="O1607" t="s">
        <v>51</v>
      </c>
      <c r="P1607" t="s">
        <v>297</v>
      </c>
      <c r="Q1607">
        <v>0</v>
      </c>
      <c r="R1607">
        <v>146</v>
      </c>
      <c r="S1607">
        <f t="shared" si="227"/>
        <v>-0.8489863936125962</v>
      </c>
      <c r="T1607">
        <f t="shared" si="228"/>
        <v>0</v>
      </c>
      <c r="U1607">
        <f t="shared" si="229"/>
        <v>0</v>
      </c>
      <c r="V1607">
        <f t="shared" si="230"/>
        <v>1</v>
      </c>
      <c r="W1607">
        <f t="shared" si="231"/>
        <v>1</v>
      </c>
      <c r="X1607">
        <f t="shared" si="232"/>
        <v>0</v>
      </c>
      <c r="Y1607">
        <f t="shared" si="233"/>
        <v>0</v>
      </c>
    </row>
    <row r="1608" spans="1:25" x14ac:dyDescent="0.3">
      <c r="A1608" t="s">
        <v>1706</v>
      </c>
      <c r="B1608" t="s">
        <v>1707</v>
      </c>
      <c r="C1608" s="1">
        <v>45809</v>
      </c>
      <c r="D1608" s="3">
        <v>0.64967592592592593</v>
      </c>
      <c r="E1608">
        <f t="shared" si="225"/>
        <v>15</v>
      </c>
      <c r="F1608">
        <v>21</v>
      </c>
      <c r="G1608" t="s">
        <v>46</v>
      </c>
      <c r="H1608" t="s">
        <v>312</v>
      </c>
      <c r="I1608" t="s">
        <v>71</v>
      </c>
      <c r="J1608" t="s">
        <v>49</v>
      </c>
      <c r="K1608" t="s">
        <v>32</v>
      </c>
      <c r="L1608">
        <v>113.2</v>
      </c>
      <c r="M1608" t="s">
        <v>23</v>
      </c>
      <c r="N1608">
        <f t="shared" si="226"/>
        <v>0</v>
      </c>
      <c r="O1608" t="s">
        <v>86</v>
      </c>
      <c r="P1608" t="s">
        <v>1708</v>
      </c>
      <c r="Q1608">
        <v>0</v>
      </c>
      <c r="R1608">
        <v>336</v>
      </c>
      <c r="S1608">
        <f t="shared" si="227"/>
        <v>-0.85023237696544463</v>
      </c>
      <c r="T1608">
        <f t="shared" si="228"/>
        <v>0</v>
      </c>
      <c r="U1608">
        <f t="shared" si="229"/>
        <v>0</v>
      </c>
      <c r="V1608">
        <f t="shared" si="230"/>
        <v>0</v>
      </c>
      <c r="W1608">
        <f t="shared" si="231"/>
        <v>0</v>
      </c>
      <c r="X1608">
        <f t="shared" si="232"/>
        <v>0</v>
      </c>
      <c r="Y1608">
        <f t="shared" si="233"/>
        <v>0</v>
      </c>
    </row>
    <row r="1609" spans="1:25" x14ac:dyDescent="0.3">
      <c r="A1609" t="s">
        <v>4856</v>
      </c>
      <c r="B1609" t="s">
        <v>4857</v>
      </c>
      <c r="C1609" s="1">
        <v>45881</v>
      </c>
      <c r="D1609" s="3">
        <v>0.42662037037037037</v>
      </c>
      <c r="E1609">
        <f t="shared" si="225"/>
        <v>10</v>
      </c>
      <c r="F1609">
        <v>24</v>
      </c>
      <c r="G1609" t="s">
        <v>18</v>
      </c>
      <c r="H1609" t="s">
        <v>19</v>
      </c>
      <c r="I1609" t="s">
        <v>71</v>
      </c>
      <c r="J1609" t="s">
        <v>94</v>
      </c>
      <c r="K1609" t="s">
        <v>50</v>
      </c>
      <c r="L1609">
        <v>113.15</v>
      </c>
      <c r="M1609" t="s">
        <v>42</v>
      </c>
      <c r="N1609">
        <f t="shared" si="226"/>
        <v>0</v>
      </c>
      <c r="O1609" t="s">
        <v>34</v>
      </c>
      <c r="P1609" t="s">
        <v>4858</v>
      </c>
      <c r="Q1609">
        <v>0</v>
      </c>
      <c r="R1609">
        <v>385</v>
      </c>
      <c r="S1609">
        <f t="shared" si="227"/>
        <v>-0.85092458993924924</v>
      </c>
      <c r="T1609">
        <f t="shared" si="228"/>
        <v>0</v>
      </c>
      <c r="U1609">
        <f t="shared" si="229"/>
        <v>0</v>
      </c>
      <c r="V1609">
        <f t="shared" si="230"/>
        <v>0</v>
      </c>
      <c r="W1609">
        <f t="shared" si="231"/>
        <v>0</v>
      </c>
      <c r="X1609">
        <f t="shared" si="232"/>
        <v>0</v>
      </c>
      <c r="Y1609">
        <f t="shared" si="233"/>
        <v>0</v>
      </c>
    </row>
    <row r="1610" spans="1:25" x14ac:dyDescent="0.3">
      <c r="A1610" t="s">
        <v>1940</v>
      </c>
      <c r="B1610" t="s">
        <v>1941</v>
      </c>
      <c r="C1610" s="1">
        <v>45845</v>
      </c>
      <c r="D1610" s="3">
        <v>0.1698263888888889</v>
      </c>
      <c r="E1610">
        <f t="shared" si="225"/>
        <v>4</v>
      </c>
      <c r="F1610">
        <v>24</v>
      </c>
      <c r="G1610" t="s">
        <v>18</v>
      </c>
      <c r="H1610" t="s">
        <v>142</v>
      </c>
      <c r="I1610" t="s">
        <v>39</v>
      </c>
      <c r="J1610" t="s">
        <v>56</v>
      </c>
      <c r="K1610" t="s">
        <v>50</v>
      </c>
      <c r="L1610">
        <v>113.14</v>
      </c>
      <c r="M1610" t="s">
        <v>42</v>
      </c>
      <c r="N1610">
        <f t="shared" si="226"/>
        <v>0</v>
      </c>
      <c r="O1610" t="s">
        <v>86</v>
      </c>
      <c r="P1610" t="s">
        <v>1942</v>
      </c>
      <c r="Q1610">
        <v>0</v>
      </c>
      <c r="R1610">
        <v>270</v>
      </c>
      <c r="S1610">
        <f t="shared" si="227"/>
        <v>-0.85106303253401017</v>
      </c>
      <c r="T1610">
        <f t="shared" si="228"/>
        <v>0</v>
      </c>
      <c r="U1610">
        <f t="shared" si="229"/>
        <v>1</v>
      </c>
      <c r="V1610">
        <f t="shared" si="230"/>
        <v>1</v>
      </c>
      <c r="W1610">
        <f t="shared" si="231"/>
        <v>3</v>
      </c>
      <c r="X1610">
        <f t="shared" si="232"/>
        <v>0</v>
      </c>
      <c r="Y1610">
        <f t="shared" si="233"/>
        <v>0</v>
      </c>
    </row>
    <row r="1611" spans="1:25" x14ac:dyDescent="0.3">
      <c r="A1611" t="s">
        <v>5033</v>
      </c>
      <c r="B1611" t="s">
        <v>5034</v>
      </c>
      <c r="C1611" s="1">
        <v>45758</v>
      </c>
      <c r="D1611" s="3">
        <v>0.38032407407407409</v>
      </c>
      <c r="E1611">
        <f t="shared" si="225"/>
        <v>9</v>
      </c>
      <c r="F1611">
        <v>25</v>
      </c>
      <c r="G1611" t="s">
        <v>28</v>
      </c>
      <c r="H1611" t="s">
        <v>142</v>
      </c>
      <c r="I1611" t="s">
        <v>20</v>
      </c>
      <c r="J1611" t="s">
        <v>31</v>
      </c>
      <c r="K1611" t="s">
        <v>41</v>
      </c>
      <c r="L1611">
        <v>113.14</v>
      </c>
      <c r="M1611" t="s">
        <v>115</v>
      </c>
      <c r="N1611">
        <f t="shared" si="226"/>
        <v>0</v>
      </c>
      <c r="O1611" t="s">
        <v>24</v>
      </c>
      <c r="P1611" t="s">
        <v>5035</v>
      </c>
      <c r="Q1611">
        <v>0</v>
      </c>
      <c r="R1611">
        <v>303</v>
      </c>
      <c r="S1611">
        <f t="shared" si="227"/>
        <v>-0.85106303253401017</v>
      </c>
      <c r="T1611">
        <f t="shared" si="228"/>
        <v>0</v>
      </c>
      <c r="U1611">
        <f t="shared" si="229"/>
        <v>0</v>
      </c>
      <c r="V1611">
        <f t="shared" si="230"/>
        <v>0</v>
      </c>
      <c r="W1611">
        <f t="shared" si="231"/>
        <v>0</v>
      </c>
      <c r="X1611">
        <f t="shared" si="232"/>
        <v>0</v>
      </c>
      <c r="Y1611">
        <f t="shared" si="233"/>
        <v>0</v>
      </c>
    </row>
    <row r="1612" spans="1:25" x14ac:dyDescent="0.3">
      <c r="A1612" t="s">
        <v>1157</v>
      </c>
      <c r="B1612" t="s">
        <v>1158</v>
      </c>
      <c r="C1612" s="1">
        <v>45778</v>
      </c>
      <c r="D1612" s="3">
        <v>0.2131712962962963</v>
      </c>
      <c r="E1612">
        <f t="shared" si="225"/>
        <v>5</v>
      </c>
      <c r="F1612">
        <v>49</v>
      </c>
      <c r="G1612" t="s">
        <v>60</v>
      </c>
      <c r="H1612" t="s">
        <v>142</v>
      </c>
      <c r="I1612" t="s">
        <v>71</v>
      </c>
      <c r="J1612" t="s">
        <v>31</v>
      </c>
      <c r="K1612" t="s">
        <v>168</v>
      </c>
      <c r="L1612">
        <v>113.11</v>
      </c>
      <c r="M1612" t="s">
        <v>23</v>
      </c>
      <c r="N1612">
        <f t="shared" si="226"/>
        <v>0</v>
      </c>
      <c r="O1612" t="s">
        <v>86</v>
      </c>
      <c r="P1612" t="s">
        <v>1159</v>
      </c>
      <c r="Q1612">
        <v>0</v>
      </c>
      <c r="R1612">
        <v>245</v>
      </c>
      <c r="S1612">
        <f t="shared" si="227"/>
        <v>-0.85147836031829294</v>
      </c>
      <c r="T1612">
        <f t="shared" si="228"/>
        <v>0</v>
      </c>
      <c r="U1612">
        <f t="shared" si="229"/>
        <v>1</v>
      </c>
      <c r="V1612">
        <f t="shared" si="230"/>
        <v>1</v>
      </c>
      <c r="W1612">
        <f t="shared" si="231"/>
        <v>3</v>
      </c>
      <c r="X1612">
        <f t="shared" si="232"/>
        <v>0</v>
      </c>
      <c r="Y1612">
        <f t="shared" si="233"/>
        <v>0</v>
      </c>
    </row>
    <row r="1613" spans="1:25" x14ac:dyDescent="0.3">
      <c r="A1613" t="s">
        <v>3347</v>
      </c>
      <c r="B1613" t="s">
        <v>3348</v>
      </c>
      <c r="C1613" s="1">
        <v>45814</v>
      </c>
      <c r="D1613" s="3">
        <v>2.9224537037037038E-2</v>
      </c>
      <c r="E1613">
        <f t="shared" si="225"/>
        <v>0</v>
      </c>
      <c r="F1613">
        <v>56</v>
      </c>
      <c r="G1613" t="s">
        <v>60</v>
      </c>
      <c r="H1613" t="s">
        <v>90</v>
      </c>
      <c r="I1613" t="s">
        <v>39</v>
      </c>
      <c r="J1613" t="s">
        <v>56</v>
      </c>
      <c r="K1613" t="s">
        <v>114</v>
      </c>
      <c r="L1613">
        <v>113.11</v>
      </c>
      <c r="M1613" t="s">
        <v>33</v>
      </c>
      <c r="N1613">
        <f t="shared" si="226"/>
        <v>0</v>
      </c>
      <c r="O1613" t="s">
        <v>86</v>
      </c>
      <c r="P1613" t="s">
        <v>3349</v>
      </c>
      <c r="Q1613">
        <v>0</v>
      </c>
      <c r="R1613">
        <v>380</v>
      </c>
      <c r="S1613">
        <f t="shared" si="227"/>
        <v>-0.85147836031829294</v>
      </c>
      <c r="T1613">
        <f t="shared" si="228"/>
        <v>0</v>
      </c>
      <c r="U1613">
        <f t="shared" si="229"/>
        <v>1</v>
      </c>
      <c r="V1613">
        <f t="shared" si="230"/>
        <v>0</v>
      </c>
      <c r="W1613">
        <f t="shared" si="231"/>
        <v>2</v>
      </c>
      <c r="X1613">
        <f t="shared" si="232"/>
        <v>0</v>
      </c>
      <c r="Y1613">
        <f t="shared" si="233"/>
        <v>0</v>
      </c>
    </row>
    <row r="1614" spans="1:25" x14ac:dyDescent="0.3">
      <c r="A1614" t="s">
        <v>209</v>
      </c>
      <c r="B1614" t="s">
        <v>210</v>
      </c>
      <c r="C1614" s="1">
        <v>45793</v>
      </c>
      <c r="D1614" s="3">
        <v>0.67313657407407412</v>
      </c>
      <c r="E1614">
        <f t="shared" si="225"/>
        <v>16</v>
      </c>
      <c r="F1614">
        <v>42</v>
      </c>
      <c r="G1614" t="s">
        <v>60</v>
      </c>
      <c r="H1614" t="s">
        <v>19</v>
      </c>
      <c r="I1614" t="s">
        <v>71</v>
      </c>
      <c r="J1614" t="s">
        <v>72</v>
      </c>
      <c r="K1614" t="s">
        <v>41</v>
      </c>
      <c r="L1614">
        <v>113.08</v>
      </c>
      <c r="M1614" t="s">
        <v>6479</v>
      </c>
      <c r="N1614">
        <f t="shared" si="226"/>
        <v>1</v>
      </c>
      <c r="O1614" t="s">
        <v>34</v>
      </c>
      <c r="P1614" t="s">
        <v>211</v>
      </c>
      <c r="Q1614">
        <v>0</v>
      </c>
      <c r="R1614">
        <v>211</v>
      </c>
      <c r="S1614">
        <f t="shared" si="227"/>
        <v>-0.85189368810257571</v>
      </c>
      <c r="T1614">
        <f t="shared" si="228"/>
        <v>0</v>
      </c>
      <c r="U1614">
        <f t="shared" si="229"/>
        <v>0</v>
      </c>
      <c r="V1614">
        <f t="shared" si="230"/>
        <v>1</v>
      </c>
      <c r="W1614">
        <f t="shared" si="231"/>
        <v>3</v>
      </c>
      <c r="X1614">
        <f t="shared" si="232"/>
        <v>0</v>
      </c>
      <c r="Y1614">
        <f t="shared" si="233"/>
        <v>1</v>
      </c>
    </row>
    <row r="1615" spans="1:25" x14ac:dyDescent="0.3">
      <c r="A1615" t="s">
        <v>1058</v>
      </c>
      <c r="B1615" t="s">
        <v>1059</v>
      </c>
      <c r="C1615" s="1">
        <v>45832</v>
      </c>
      <c r="D1615" s="3">
        <v>0.3244097222222222</v>
      </c>
      <c r="E1615">
        <f t="shared" si="225"/>
        <v>7</v>
      </c>
      <c r="F1615">
        <v>62</v>
      </c>
      <c r="G1615" t="s">
        <v>18</v>
      </c>
      <c r="H1615" t="s">
        <v>131</v>
      </c>
      <c r="I1615" t="s">
        <v>39</v>
      </c>
      <c r="J1615" t="s">
        <v>94</v>
      </c>
      <c r="K1615" t="s">
        <v>32</v>
      </c>
      <c r="L1615">
        <v>113.05</v>
      </c>
      <c r="M1615" t="s">
        <v>33</v>
      </c>
      <c r="N1615">
        <f t="shared" si="226"/>
        <v>0</v>
      </c>
      <c r="O1615" t="s">
        <v>34</v>
      </c>
      <c r="P1615" t="s">
        <v>1060</v>
      </c>
      <c r="Q1615">
        <v>0</v>
      </c>
      <c r="R1615">
        <v>313</v>
      </c>
      <c r="S1615">
        <f t="shared" si="227"/>
        <v>-0.85230901588685859</v>
      </c>
      <c r="T1615">
        <f t="shared" si="228"/>
        <v>0</v>
      </c>
      <c r="U1615">
        <f t="shared" si="229"/>
        <v>0</v>
      </c>
      <c r="V1615">
        <f t="shared" si="230"/>
        <v>0</v>
      </c>
      <c r="W1615">
        <f t="shared" si="231"/>
        <v>0</v>
      </c>
      <c r="X1615">
        <f t="shared" si="232"/>
        <v>0</v>
      </c>
      <c r="Y1615">
        <f t="shared" si="233"/>
        <v>0</v>
      </c>
    </row>
    <row r="1616" spans="1:25" x14ac:dyDescent="0.3">
      <c r="A1616" t="s">
        <v>3716</v>
      </c>
      <c r="B1616" t="s">
        <v>3717</v>
      </c>
      <c r="C1616" s="1">
        <v>45744</v>
      </c>
      <c r="D1616" s="3">
        <v>0.67084490740740743</v>
      </c>
      <c r="E1616">
        <f t="shared" si="225"/>
        <v>16</v>
      </c>
      <c r="F1616">
        <v>34</v>
      </c>
      <c r="G1616" t="s">
        <v>6479</v>
      </c>
      <c r="H1616" t="s">
        <v>167</v>
      </c>
      <c r="I1616" t="s">
        <v>119</v>
      </c>
      <c r="J1616" t="s">
        <v>31</v>
      </c>
      <c r="K1616" t="s">
        <v>168</v>
      </c>
      <c r="L1616">
        <v>113.04</v>
      </c>
      <c r="M1616" t="s">
        <v>23</v>
      </c>
      <c r="N1616">
        <f t="shared" si="226"/>
        <v>0</v>
      </c>
      <c r="O1616" t="s">
        <v>86</v>
      </c>
      <c r="P1616" t="s">
        <v>3718</v>
      </c>
      <c r="Q1616">
        <v>0</v>
      </c>
      <c r="R1616">
        <v>389</v>
      </c>
      <c r="S1616">
        <f t="shared" si="227"/>
        <v>-0.8524474584816194</v>
      </c>
      <c r="T1616">
        <f t="shared" si="228"/>
        <v>0</v>
      </c>
      <c r="U1616">
        <f t="shared" si="229"/>
        <v>0</v>
      </c>
      <c r="V1616">
        <f t="shared" si="230"/>
        <v>0</v>
      </c>
      <c r="W1616">
        <f t="shared" si="231"/>
        <v>0</v>
      </c>
      <c r="X1616">
        <f t="shared" si="232"/>
        <v>0</v>
      </c>
      <c r="Y1616">
        <f t="shared" si="233"/>
        <v>0</v>
      </c>
    </row>
    <row r="1617" spans="1:25" x14ac:dyDescent="0.3">
      <c r="A1617" t="s">
        <v>5852</v>
      </c>
      <c r="B1617" t="s">
        <v>5853</v>
      </c>
      <c r="C1617" s="1">
        <v>45797</v>
      </c>
      <c r="D1617" s="3">
        <v>0.53217592592592589</v>
      </c>
      <c r="E1617">
        <f t="shared" si="225"/>
        <v>12</v>
      </c>
      <c r="F1617">
        <v>49</v>
      </c>
      <c r="G1617" t="s">
        <v>60</v>
      </c>
      <c r="H1617" t="s">
        <v>19</v>
      </c>
      <c r="I1617" t="s">
        <v>20</v>
      </c>
      <c r="J1617" t="s">
        <v>72</v>
      </c>
      <c r="K1617" t="s">
        <v>62</v>
      </c>
      <c r="L1617">
        <v>113</v>
      </c>
      <c r="M1617" t="s">
        <v>23</v>
      </c>
      <c r="N1617">
        <f t="shared" si="226"/>
        <v>0</v>
      </c>
      <c r="O1617" t="s">
        <v>24</v>
      </c>
      <c r="P1617" t="s">
        <v>5854</v>
      </c>
      <c r="Q1617">
        <v>0</v>
      </c>
      <c r="R1617">
        <v>306</v>
      </c>
      <c r="S1617">
        <f t="shared" si="227"/>
        <v>-0.8530012288606631</v>
      </c>
      <c r="T1617">
        <f t="shared" si="228"/>
        <v>0</v>
      </c>
      <c r="U1617">
        <f t="shared" si="229"/>
        <v>0</v>
      </c>
      <c r="V1617">
        <f t="shared" si="230"/>
        <v>0</v>
      </c>
      <c r="W1617">
        <f t="shared" si="231"/>
        <v>0</v>
      </c>
      <c r="X1617">
        <f t="shared" si="232"/>
        <v>0</v>
      </c>
      <c r="Y1617">
        <f t="shared" si="233"/>
        <v>0</v>
      </c>
    </row>
    <row r="1618" spans="1:25" x14ac:dyDescent="0.3">
      <c r="A1618" t="s">
        <v>1949</v>
      </c>
      <c r="B1618" t="s">
        <v>1950</v>
      </c>
      <c r="C1618" s="1">
        <v>45815</v>
      </c>
      <c r="D1618" s="3">
        <v>0.49042824074074076</v>
      </c>
      <c r="E1618">
        <f t="shared" si="225"/>
        <v>11</v>
      </c>
      <c r="F1618">
        <v>57</v>
      </c>
      <c r="G1618" t="s">
        <v>28</v>
      </c>
      <c r="H1618" t="s">
        <v>55</v>
      </c>
      <c r="I1618" t="s">
        <v>66</v>
      </c>
      <c r="J1618" t="s">
        <v>76</v>
      </c>
      <c r="K1618" t="s">
        <v>41</v>
      </c>
      <c r="L1618">
        <v>112.9</v>
      </c>
      <c r="M1618" t="s">
        <v>33</v>
      </c>
      <c r="N1618">
        <f t="shared" si="226"/>
        <v>0</v>
      </c>
      <c r="O1618" t="s">
        <v>86</v>
      </c>
      <c r="P1618" t="s">
        <v>1951</v>
      </c>
      <c r="Q1618">
        <v>0</v>
      </c>
      <c r="R1618">
        <v>127</v>
      </c>
      <c r="S1618">
        <f t="shared" si="227"/>
        <v>-0.85438565480827233</v>
      </c>
      <c r="T1618">
        <f t="shared" si="228"/>
        <v>0</v>
      </c>
      <c r="U1618">
        <f t="shared" si="229"/>
        <v>0</v>
      </c>
      <c r="V1618">
        <f t="shared" si="230"/>
        <v>1</v>
      </c>
      <c r="W1618">
        <f t="shared" si="231"/>
        <v>1</v>
      </c>
      <c r="X1618">
        <f t="shared" si="232"/>
        <v>0</v>
      </c>
      <c r="Y1618">
        <f t="shared" si="233"/>
        <v>0</v>
      </c>
    </row>
    <row r="1619" spans="1:25" x14ac:dyDescent="0.3">
      <c r="A1619" t="s">
        <v>476</v>
      </c>
      <c r="B1619" t="s">
        <v>477</v>
      </c>
      <c r="C1619" s="1">
        <v>45714</v>
      </c>
      <c r="D1619" s="3">
        <v>0.43482638888888892</v>
      </c>
      <c r="E1619">
        <f t="shared" si="225"/>
        <v>10</v>
      </c>
      <c r="F1619">
        <v>54</v>
      </c>
      <c r="G1619" t="s">
        <v>18</v>
      </c>
      <c r="H1619" t="s">
        <v>90</v>
      </c>
      <c r="I1619" t="s">
        <v>66</v>
      </c>
      <c r="J1619" t="s">
        <v>56</v>
      </c>
      <c r="K1619" t="s">
        <v>95</v>
      </c>
      <c r="L1619">
        <v>112.89</v>
      </c>
      <c r="M1619" t="s">
        <v>33</v>
      </c>
      <c r="N1619">
        <f t="shared" si="226"/>
        <v>0</v>
      </c>
      <c r="O1619" t="s">
        <v>34</v>
      </c>
      <c r="P1619" t="s">
        <v>478</v>
      </c>
      <c r="Q1619">
        <v>0</v>
      </c>
      <c r="R1619">
        <v>396</v>
      </c>
      <c r="S1619">
        <f t="shared" si="227"/>
        <v>-0.85452409740303326</v>
      </c>
      <c r="T1619">
        <f t="shared" si="228"/>
        <v>0</v>
      </c>
      <c r="U1619">
        <f t="shared" si="229"/>
        <v>0</v>
      </c>
      <c r="V1619">
        <f t="shared" si="230"/>
        <v>0</v>
      </c>
      <c r="W1619">
        <f t="shared" si="231"/>
        <v>0</v>
      </c>
      <c r="X1619">
        <f t="shared" si="232"/>
        <v>0</v>
      </c>
      <c r="Y1619">
        <f t="shared" si="233"/>
        <v>0</v>
      </c>
    </row>
    <row r="1620" spans="1:25" x14ac:dyDescent="0.3">
      <c r="A1620" t="s">
        <v>2558</v>
      </c>
      <c r="B1620" t="s">
        <v>2559</v>
      </c>
      <c r="C1620" s="1">
        <v>45756</v>
      </c>
      <c r="D1620" s="3">
        <v>0.73953703703703699</v>
      </c>
      <c r="E1620">
        <f t="shared" si="225"/>
        <v>17</v>
      </c>
      <c r="F1620">
        <v>27</v>
      </c>
      <c r="G1620" t="s">
        <v>18</v>
      </c>
      <c r="H1620" t="s">
        <v>131</v>
      </c>
      <c r="I1620" t="s">
        <v>71</v>
      </c>
      <c r="J1620" t="s">
        <v>72</v>
      </c>
      <c r="K1620" t="s">
        <v>114</v>
      </c>
      <c r="L1620">
        <v>112.72</v>
      </c>
      <c r="M1620" t="s">
        <v>115</v>
      </c>
      <c r="N1620">
        <f t="shared" si="226"/>
        <v>0</v>
      </c>
      <c r="O1620" t="s">
        <v>86</v>
      </c>
      <c r="P1620" t="s">
        <v>2560</v>
      </c>
      <c r="Q1620">
        <v>0</v>
      </c>
      <c r="R1620">
        <v>392</v>
      </c>
      <c r="S1620">
        <f t="shared" si="227"/>
        <v>-0.85687762151396907</v>
      </c>
      <c r="T1620">
        <f t="shared" si="228"/>
        <v>0</v>
      </c>
      <c r="U1620">
        <f t="shared" si="229"/>
        <v>0</v>
      </c>
      <c r="V1620">
        <f t="shared" si="230"/>
        <v>0</v>
      </c>
      <c r="W1620">
        <f t="shared" si="231"/>
        <v>0</v>
      </c>
      <c r="X1620">
        <f t="shared" si="232"/>
        <v>0</v>
      </c>
      <c r="Y1620">
        <f t="shared" si="233"/>
        <v>0</v>
      </c>
    </row>
    <row r="1621" spans="1:25" x14ac:dyDescent="0.3">
      <c r="A1621" t="s">
        <v>6290</v>
      </c>
      <c r="B1621" t="s">
        <v>6291</v>
      </c>
      <c r="C1621" s="1">
        <v>45793</v>
      </c>
      <c r="D1621" s="3">
        <v>0.41599537037037038</v>
      </c>
      <c r="E1621">
        <f t="shared" si="225"/>
        <v>9</v>
      </c>
      <c r="F1621">
        <v>64</v>
      </c>
      <c r="G1621" t="s">
        <v>18</v>
      </c>
      <c r="H1621" t="s">
        <v>61</v>
      </c>
      <c r="I1621" t="s">
        <v>48</v>
      </c>
      <c r="J1621" t="s">
        <v>76</v>
      </c>
      <c r="K1621" t="s">
        <v>114</v>
      </c>
      <c r="L1621">
        <v>112.63</v>
      </c>
      <c r="M1621" t="s">
        <v>33</v>
      </c>
      <c r="N1621">
        <f t="shared" si="226"/>
        <v>0</v>
      </c>
      <c r="O1621" t="s">
        <v>86</v>
      </c>
      <c r="P1621" t="s">
        <v>6292</v>
      </c>
      <c r="Q1621">
        <v>1</v>
      </c>
      <c r="R1621">
        <v>437</v>
      </c>
      <c r="S1621">
        <f t="shared" si="227"/>
        <v>-0.85812360486681738</v>
      </c>
      <c r="T1621">
        <f t="shared" si="228"/>
        <v>0</v>
      </c>
      <c r="U1621">
        <f t="shared" si="229"/>
        <v>0</v>
      </c>
      <c r="V1621">
        <f t="shared" si="230"/>
        <v>0</v>
      </c>
      <c r="W1621">
        <f t="shared" si="231"/>
        <v>0</v>
      </c>
      <c r="X1621">
        <f t="shared" si="232"/>
        <v>0</v>
      </c>
      <c r="Y1621">
        <f t="shared" si="233"/>
        <v>0</v>
      </c>
    </row>
    <row r="1622" spans="1:25" x14ac:dyDescent="0.3">
      <c r="A1622" t="s">
        <v>3227</v>
      </c>
      <c r="B1622" t="s">
        <v>3228</v>
      </c>
      <c r="C1622" s="1">
        <v>45784</v>
      </c>
      <c r="D1622" s="3">
        <v>0.38199074074074074</v>
      </c>
      <c r="E1622">
        <f t="shared" si="225"/>
        <v>9</v>
      </c>
      <c r="F1622">
        <v>39</v>
      </c>
      <c r="G1622" t="s">
        <v>60</v>
      </c>
      <c r="H1622" t="s">
        <v>19</v>
      </c>
      <c r="I1622" t="s">
        <v>110</v>
      </c>
      <c r="J1622" t="s">
        <v>94</v>
      </c>
      <c r="K1622" t="s">
        <v>50</v>
      </c>
      <c r="L1622">
        <v>112.42</v>
      </c>
      <c r="M1622" t="s">
        <v>42</v>
      </c>
      <c r="N1622">
        <f t="shared" si="226"/>
        <v>0</v>
      </c>
      <c r="O1622" t="s">
        <v>51</v>
      </c>
      <c r="P1622" t="s">
        <v>3229</v>
      </c>
      <c r="Q1622">
        <v>0</v>
      </c>
      <c r="R1622">
        <v>346</v>
      </c>
      <c r="S1622">
        <f t="shared" si="227"/>
        <v>-0.86103089935679678</v>
      </c>
      <c r="T1622">
        <f t="shared" si="228"/>
        <v>0</v>
      </c>
      <c r="U1622">
        <f t="shared" si="229"/>
        <v>0</v>
      </c>
      <c r="V1622">
        <f t="shared" si="230"/>
        <v>0</v>
      </c>
      <c r="W1622">
        <f t="shared" si="231"/>
        <v>0</v>
      </c>
      <c r="X1622">
        <f t="shared" si="232"/>
        <v>0</v>
      </c>
      <c r="Y1622">
        <f t="shared" si="233"/>
        <v>0</v>
      </c>
    </row>
    <row r="1623" spans="1:25" x14ac:dyDescent="0.3">
      <c r="A1623" t="s">
        <v>1394</v>
      </c>
      <c r="B1623" t="s">
        <v>1395</v>
      </c>
      <c r="C1623" s="1">
        <v>45734</v>
      </c>
      <c r="D1623" s="3">
        <v>0.43635416666666665</v>
      </c>
      <c r="E1623">
        <f t="shared" si="225"/>
        <v>10</v>
      </c>
      <c r="F1623">
        <v>36</v>
      </c>
      <c r="G1623" t="s">
        <v>6479</v>
      </c>
      <c r="H1623" t="s">
        <v>185</v>
      </c>
      <c r="I1623" t="s">
        <v>20</v>
      </c>
      <c r="J1623" t="s">
        <v>127</v>
      </c>
      <c r="K1623" t="s">
        <v>114</v>
      </c>
      <c r="L1623">
        <v>111.9</v>
      </c>
      <c r="M1623" t="s">
        <v>115</v>
      </c>
      <c r="N1623">
        <f t="shared" si="226"/>
        <v>0</v>
      </c>
      <c r="O1623" t="s">
        <v>51</v>
      </c>
      <c r="P1623" t="s">
        <v>1396</v>
      </c>
      <c r="Q1623">
        <v>0</v>
      </c>
      <c r="R1623">
        <v>141</v>
      </c>
      <c r="S1623">
        <f t="shared" si="227"/>
        <v>-0.8682299142843648</v>
      </c>
      <c r="T1623">
        <f t="shared" si="228"/>
        <v>0</v>
      </c>
      <c r="U1623">
        <f t="shared" si="229"/>
        <v>0</v>
      </c>
      <c r="V1623">
        <f t="shared" si="230"/>
        <v>1</v>
      </c>
      <c r="W1623">
        <f t="shared" si="231"/>
        <v>1</v>
      </c>
      <c r="X1623">
        <f t="shared" si="232"/>
        <v>0</v>
      </c>
      <c r="Y1623">
        <f t="shared" si="233"/>
        <v>0</v>
      </c>
    </row>
    <row r="1624" spans="1:25" x14ac:dyDescent="0.3">
      <c r="A1624" t="s">
        <v>5255</v>
      </c>
      <c r="B1624" t="s">
        <v>5256</v>
      </c>
      <c r="C1624" s="1">
        <v>45739</v>
      </c>
      <c r="D1624" s="3">
        <v>0.19395833333333334</v>
      </c>
      <c r="E1624">
        <f t="shared" si="225"/>
        <v>4</v>
      </c>
      <c r="F1624">
        <v>62</v>
      </c>
      <c r="G1624" t="s">
        <v>60</v>
      </c>
      <c r="H1624" t="s">
        <v>47</v>
      </c>
      <c r="I1624" t="s">
        <v>119</v>
      </c>
      <c r="J1624" t="s">
        <v>31</v>
      </c>
      <c r="K1624" t="s">
        <v>168</v>
      </c>
      <c r="L1624">
        <v>111.63</v>
      </c>
      <c r="M1624" t="s">
        <v>33</v>
      </c>
      <c r="N1624">
        <f t="shared" si="226"/>
        <v>0</v>
      </c>
      <c r="O1624" t="s">
        <v>86</v>
      </c>
      <c r="P1624" t="s">
        <v>5257</v>
      </c>
      <c r="Q1624">
        <v>0</v>
      </c>
      <c r="R1624">
        <v>401</v>
      </c>
      <c r="S1624">
        <f t="shared" si="227"/>
        <v>-0.87196786434290985</v>
      </c>
      <c r="T1624">
        <f t="shared" si="228"/>
        <v>0</v>
      </c>
      <c r="U1624">
        <f t="shared" si="229"/>
        <v>1</v>
      </c>
      <c r="V1624">
        <f t="shared" si="230"/>
        <v>0</v>
      </c>
      <c r="W1624">
        <f t="shared" si="231"/>
        <v>2</v>
      </c>
      <c r="X1624">
        <f t="shared" si="232"/>
        <v>0</v>
      </c>
      <c r="Y1624">
        <f t="shared" si="233"/>
        <v>0</v>
      </c>
    </row>
    <row r="1625" spans="1:25" x14ac:dyDescent="0.3">
      <c r="A1625" t="s">
        <v>4676</v>
      </c>
      <c r="B1625" t="s">
        <v>4677</v>
      </c>
      <c r="C1625" s="1">
        <v>45797</v>
      </c>
      <c r="D1625" s="3">
        <v>0.65208333333333335</v>
      </c>
      <c r="E1625">
        <f t="shared" si="225"/>
        <v>15</v>
      </c>
      <c r="F1625">
        <v>50</v>
      </c>
      <c r="G1625" t="s">
        <v>60</v>
      </c>
      <c r="H1625" t="s">
        <v>239</v>
      </c>
      <c r="I1625" t="s">
        <v>105</v>
      </c>
      <c r="J1625" t="s">
        <v>40</v>
      </c>
      <c r="K1625" t="s">
        <v>101</v>
      </c>
      <c r="L1625">
        <v>111.52</v>
      </c>
      <c r="M1625" t="s">
        <v>42</v>
      </c>
      <c r="N1625">
        <f t="shared" si="226"/>
        <v>0</v>
      </c>
      <c r="O1625" t="s">
        <v>24</v>
      </c>
      <c r="P1625" t="s">
        <v>4678</v>
      </c>
      <c r="Q1625">
        <v>0</v>
      </c>
      <c r="R1625">
        <v>109</v>
      </c>
      <c r="S1625">
        <f t="shared" si="227"/>
        <v>-0.87349073288528001</v>
      </c>
      <c r="T1625">
        <f t="shared" si="228"/>
        <v>0</v>
      </c>
      <c r="U1625">
        <f t="shared" si="229"/>
        <v>0</v>
      </c>
      <c r="V1625">
        <f t="shared" si="230"/>
        <v>1</v>
      </c>
      <c r="W1625">
        <f t="shared" si="231"/>
        <v>1</v>
      </c>
      <c r="X1625">
        <f t="shared" si="232"/>
        <v>0</v>
      </c>
      <c r="Y1625">
        <f t="shared" si="233"/>
        <v>0</v>
      </c>
    </row>
    <row r="1626" spans="1:25" x14ac:dyDescent="0.3">
      <c r="A1626" t="s">
        <v>4985</v>
      </c>
      <c r="B1626" t="s">
        <v>4986</v>
      </c>
      <c r="C1626" s="1">
        <v>45771</v>
      </c>
      <c r="D1626" s="3">
        <v>0.6381944444444444</v>
      </c>
      <c r="E1626">
        <f t="shared" si="225"/>
        <v>15</v>
      </c>
      <c r="F1626">
        <v>26</v>
      </c>
      <c r="G1626" t="s">
        <v>18</v>
      </c>
      <c r="H1626" t="s">
        <v>19</v>
      </c>
      <c r="I1626" t="s">
        <v>30</v>
      </c>
      <c r="J1626" t="s">
        <v>94</v>
      </c>
      <c r="K1626" t="s">
        <v>50</v>
      </c>
      <c r="L1626">
        <v>111.47</v>
      </c>
      <c r="M1626" t="s">
        <v>23</v>
      </c>
      <c r="N1626">
        <f t="shared" si="226"/>
        <v>0</v>
      </c>
      <c r="O1626" t="s">
        <v>86</v>
      </c>
      <c r="P1626" t="s">
        <v>4987</v>
      </c>
      <c r="Q1626">
        <v>0</v>
      </c>
      <c r="R1626">
        <v>354</v>
      </c>
      <c r="S1626">
        <f t="shared" si="227"/>
        <v>-0.87418294585908463</v>
      </c>
      <c r="T1626">
        <f t="shared" si="228"/>
        <v>0</v>
      </c>
      <c r="U1626">
        <f t="shared" si="229"/>
        <v>0</v>
      </c>
      <c r="V1626">
        <f t="shared" si="230"/>
        <v>0</v>
      </c>
      <c r="W1626">
        <f t="shared" si="231"/>
        <v>0</v>
      </c>
      <c r="X1626">
        <f t="shared" si="232"/>
        <v>0</v>
      </c>
      <c r="Y1626">
        <f t="shared" si="233"/>
        <v>0</v>
      </c>
    </row>
    <row r="1627" spans="1:25" x14ac:dyDescent="0.3">
      <c r="A1627" t="s">
        <v>2588</v>
      </c>
      <c r="B1627" t="s">
        <v>2589</v>
      </c>
      <c r="C1627" s="1">
        <v>45834</v>
      </c>
      <c r="D1627" s="3">
        <v>0.80185185185185182</v>
      </c>
      <c r="E1627">
        <f t="shared" si="225"/>
        <v>19</v>
      </c>
      <c r="F1627">
        <v>30</v>
      </c>
      <c r="G1627" t="s">
        <v>46</v>
      </c>
      <c r="H1627" t="s">
        <v>84</v>
      </c>
      <c r="I1627" t="s">
        <v>66</v>
      </c>
      <c r="J1627" t="s">
        <v>21</v>
      </c>
      <c r="K1627" t="s">
        <v>95</v>
      </c>
      <c r="L1627">
        <v>111.46</v>
      </c>
      <c r="M1627" t="s">
        <v>42</v>
      </c>
      <c r="N1627">
        <f t="shared" si="226"/>
        <v>0</v>
      </c>
      <c r="O1627" t="s">
        <v>51</v>
      </c>
      <c r="P1627" t="s">
        <v>2590</v>
      </c>
      <c r="Q1627">
        <v>0</v>
      </c>
      <c r="R1627">
        <v>238</v>
      </c>
      <c r="S1627">
        <f t="shared" si="227"/>
        <v>-0.87432138845384555</v>
      </c>
      <c r="T1627">
        <f t="shared" si="228"/>
        <v>0</v>
      </c>
      <c r="U1627">
        <f t="shared" si="229"/>
        <v>0</v>
      </c>
      <c r="V1627">
        <f t="shared" si="230"/>
        <v>1</v>
      </c>
      <c r="W1627">
        <f t="shared" si="231"/>
        <v>1</v>
      </c>
      <c r="X1627">
        <f t="shared" si="232"/>
        <v>0</v>
      </c>
      <c r="Y1627">
        <f t="shared" si="233"/>
        <v>0</v>
      </c>
    </row>
    <row r="1628" spans="1:25" x14ac:dyDescent="0.3">
      <c r="A1628" t="s">
        <v>2600</v>
      </c>
      <c r="B1628" t="s">
        <v>2601</v>
      </c>
      <c r="C1628" s="1">
        <v>45806</v>
      </c>
      <c r="D1628" s="3">
        <v>0.47233796296296299</v>
      </c>
      <c r="E1628">
        <f t="shared" si="225"/>
        <v>11</v>
      </c>
      <c r="F1628">
        <v>28</v>
      </c>
      <c r="G1628" t="s">
        <v>46</v>
      </c>
      <c r="H1628" t="s">
        <v>84</v>
      </c>
      <c r="I1628" t="s">
        <v>119</v>
      </c>
      <c r="J1628" t="s">
        <v>127</v>
      </c>
      <c r="K1628" t="s">
        <v>168</v>
      </c>
      <c r="L1628">
        <v>111.15</v>
      </c>
      <c r="M1628" t="s">
        <v>115</v>
      </c>
      <c r="N1628">
        <f t="shared" si="226"/>
        <v>0</v>
      </c>
      <c r="O1628" t="s">
        <v>24</v>
      </c>
      <c r="P1628" t="s">
        <v>2602</v>
      </c>
      <c r="Q1628">
        <v>0</v>
      </c>
      <c r="R1628">
        <v>118</v>
      </c>
      <c r="S1628">
        <f t="shared" si="227"/>
        <v>-0.87861310889143407</v>
      </c>
      <c r="T1628">
        <f t="shared" si="228"/>
        <v>0</v>
      </c>
      <c r="U1628">
        <f t="shared" si="229"/>
        <v>0</v>
      </c>
      <c r="V1628">
        <f t="shared" si="230"/>
        <v>1</v>
      </c>
      <c r="W1628">
        <f t="shared" si="231"/>
        <v>1</v>
      </c>
      <c r="X1628">
        <f t="shared" si="232"/>
        <v>0</v>
      </c>
      <c r="Y1628">
        <f t="shared" si="233"/>
        <v>0</v>
      </c>
    </row>
    <row r="1629" spans="1:25" x14ac:dyDescent="0.3">
      <c r="A1629" t="s">
        <v>3524</v>
      </c>
      <c r="B1629" t="s">
        <v>3525</v>
      </c>
      <c r="C1629" s="1">
        <v>45818</v>
      </c>
      <c r="D1629" s="3">
        <v>0.14707175925925925</v>
      </c>
      <c r="E1629">
        <f t="shared" si="225"/>
        <v>3</v>
      </c>
      <c r="F1629">
        <v>25</v>
      </c>
      <c r="G1629" t="s">
        <v>46</v>
      </c>
      <c r="H1629" t="s">
        <v>142</v>
      </c>
      <c r="I1629" t="s">
        <v>110</v>
      </c>
      <c r="J1629" t="s">
        <v>94</v>
      </c>
      <c r="K1629" t="s">
        <v>62</v>
      </c>
      <c r="L1629">
        <v>111.06</v>
      </c>
      <c r="M1629" t="s">
        <v>42</v>
      </c>
      <c r="N1629">
        <f t="shared" si="226"/>
        <v>0</v>
      </c>
      <c r="O1629" t="s">
        <v>34</v>
      </c>
      <c r="P1629" t="s">
        <v>3526</v>
      </c>
      <c r="Q1629">
        <v>0</v>
      </c>
      <c r="R1629">
        <v>180</v>
      </c>
      <c r="S1629">
        <f t="shared" si="227"/>
        <v>-0.87985909224428249</v>
      </c>
      <c r="T1629">
        <f t="shared" si="228"/>
        <v>0</v>
      </c>
      <c r="U1629">
        <f t="shared" si="229"/>
        <v>1</v>
      </c>
      <c r="V1629">
        <f t="shared" si="230"/>
        <v>1</v>
      </c>
      <c r="W1629">
        <f t="shared" si="231"/>
        <v>3</v>
      </c>
      <c r="X1629">
        <f t="shared" si="232"/>
        <v>0</v>
      </c>
      <c r="Y1629">
        <f t="shared" si="233"/>
        <v>0</v>
      </c>
    </row>
    <row r="1630" spans="1:25" x14ac:dyDescent="0.3">
      <c r="A1630" t="s">
        <v>4250</v>
      </c>
      <c r="B1630" t="s">
        <v>4251</v>
      </c>
      <c r="C1630" s="1">
        <v>45741</v>
      </c>
      <c r="D1630" s="3">
        <v>0.84528935185185183</v>
      </c>
      <c r="E1630">
        <f t="shared" si="225"/>
        <v>20</v>
      </c>
      <c r="F1630">
        <v>51</v>
      </c>
      <c r="G1630" t="s">
        <v>60</v>
      </c>
      <c r="H1630" t="s">
        <v>185</v>
      </c>
      <c r="I1630" t="s">
        <v>48</v>
      </c>
      <c r="J1630" t="s">
        <v>31</v>
      </c>
      <c r="K1630" t="s">
        <v>22</v>
      </c>
      <c r="L1630">
        <v>110.84</v>
      </c>
      <c r="M1630" t="s">
        <v>23</v>
      </c>
      <c r="N1630">
        <f t="shared" si="226"/>
        <v>0</v>
      </c>
      <c r="O1630" t="s">
        <v>34</v>
      </c>
      <c r="P1630" t="s">
        <v>4252</v>
      </c>
      <c r="Q1630">
        <v>0</v>
      </c>
      <c r="R1630">
        <v>343</v>
      </c>
      <c r="S1630">
        <f t="shared" si="227"/>
        <v>-0.88290482932902281</v>
      </c>
      <c r="T1630">
        <f t="shared" si="228"/>
        <v>0</v>
      </c>
      <c r="U1630">
        <f t="shared" si="229"/>
        <v>0</v>
      </c>
      <c r="V1630">
        <f t="shared" si="230"/>
        <v>0</v>
      </c>
      <c r="W1630">
        <f t="shared" si="231"/>
        <v>0</v>
      </c>
      <c r="X1630">
        <f t="shared" si="232"/>
        <v>0</v>
      </c>
      <c r="Y1630">
        <f t="shared" si="233"/>
        <v>0</v>
      </c>
    </row>
    <row r="1631" spans="1:25" x14ac:dyDescent="0.3">
      <c r="A1631" t="s">
        <v>4523</v>
      </c>
      <c r="B1631" t="s">
        <v>4524</v>
      </c>
      <c r="C1631" s="1">
        <v>45709</v>
      </c>
      <c r="D1631" s="3">
        <v>0.67930555555555561</v>
      </c>
      <c r="E1631">
        <f t="shared" si="225"/>
        <v>16</v>
      </c>
      <c r="F1631">
        <v>43</v>
      </c>
      <c r="G1631" t="s">
        <v>46</v>
      </c>
      <c r="H1631" t="s">
        <v>70</v>
      </c>
      <c r="I1631" t="s">
        <v>119</v>
      </c>
      <c r="J1631" t="s">
        <v>76</v>
      </c>
      <c r="K1631" t="s">
        <v>101</v>
      </c>
      <c r="L1631">
        <v>110.72</v>
      </c>
      <c r="M1631" t="s">
        <v>42</v>
      </c>
      <c r="N1631">
        <f t="shared" si="226"/>
        <v>0</v>
      </c>
      <c r="O1631" t="s">
        <v>34</v>
      </c>
      <c r="P1631" t="s">
        <v>4525</v>
      </c>
      <c r="Q1631">
        <v>0</v>
      </c>
      <c r="R1631">
        <v>385</v>
      </c>
      <c r="S1631">
        <f t="shared" si="227"/>
        <v>-0.88456614046615389</v>
      </c>
      <c r="T1631">
        <f t="shared" si="228"/>
        <v>0</v>
      </c>
      <c r="U1631">
        <f t="shared" si="229"/>
        <v>0</v>
      </c>
      <c r="V1631">
        <f t="shared" si="230"/>
        <v>0</v>
      </c>
      <c r="W1631">
        <f t="shared" si="231"/>
        <v>0</v>
      </c>
      <c r="X1631">
        <f t="shared" si="232"/>
        <v>0</v>
      </c>
      <c r="Y1631">
        <f t="shared" si="233"/>
        <v>0</v>
      </c>
    </row>
    <row r="1632" spans="1:25" x14ac:dyDescent="0.3">
      <c r="A1632" t="s">
        <v>1589</v>
      </c>
      <c r="B1632" t="s">
        <v>1590</v>
      </c>
      <c r="C1632" s="1">
        <v>45790</v>
      </c>
      <c r="D1632" s="3">
        <v>0.92584490740740744</v>
      </c>
      <c r="E1632">
        <f t="shared" si="225"/>
        <v>22</v>
      </c>
      <c r="F1632">
        <v>33</v>
      </c>
      <c r="G1632" t="s">
        <v>99</v>
      </c>
      <c r="H1632" t="s">
        <v>90</v>
      </c>
      <c r="I1632" t="s">
        <v>119</v>
      </c>
      <c r="J1632" t="s">
        <v>21</v>
      </c>
      <c r="K1632" t="s">
        <v>114</v>
      </c>
      <c r="L1632">
        <v>110.7</v>
      </c>
      <c r="M1632" t="s">
        <v>33</v>
      </c>
      <c r="N1632">
        <f t="shared" si="226"/>
        <v>0</v>
      </c>
      <c r="O1632" t="s">
        <v>86</v>
      </c>
      <c r="P1632" t="s">
        <v>1591</v>
      </c>
      <c r="Q1632">
        <v>1</v>
      </c>
      <c r="R1632">
        <v>380</v>
      </c>
      <c r="S1632">
        <f t="shared" si="227"/>
        <v>-0.88484302565567574</v>
      </c>
      <c r="T1632">
        <f t="shared" si="228"/>
        <v>0</v>
      </c>
      <c r="U1632">
        <f t="shared" si="229"/>
        <v>0</v>
      </c>
      <c r="V1632">
        <f t="shared" si="230"/>
        <v>0</v>
      </c>
      <c r="W1632">
        <f t="shared" si="231"/>
        <v>0</v>
      </c>
      <c r="X1632">
        <f t="shared" si="232"/>
        <v>0</v>
      </c>
      <c r="Y1632">
        <f t="shared" si="233"/>
        <v>0</v>
      </c>
    </row>
    <row r="1633" spans="1:25" x14ac:dyDescent="0.3">
      <c r="A1633" t="s">
        <v>911</v>
      </c>
      <c r="B1633" t="s">
        <v>912</v>
      </c>
      <c r="C1633" s="1">
        <v>45773</v>
      </c>
      <c r="D1633" s="3">
        <v>0.98356481481481484</v>
      </c>
      <c r="E1633">
        <f t="shared" si="225"/>
        <v>23</v>
      </c>
      <c r="F1633">
        <v>52</v>
      </c>
      <c r="G1633" t="s">
        <v>60</v>
      </c>
      <c r="H1633" t="s">
        <v>239</v>
      </c>
      <c r="I1633" t="s">
        <v>66</v>
      </c>
      <c r="J1633" t="s">
        <v>94</v>
      </c>
      <c r="K1633" t="s">
        <v>168</v>
      </c>
      <c r="L1633">
        <v>110.64</v>
      </c>
      <c r="M1633" t="s">
        <v>115</v>
      </c>
      <c r="N1633">
        <f t="shared" si="226"/>
        <v>0</v>
      </c>
      <c r="O1633" t="s">
        <v>51</v>
      </c>
      <c r="P1633" t="s">
        <v>913</v>
      </c>
      <c r="Q1633">
        <v>0</v>
      </c>
      <c r="R1633">
        <v>361</v>
      </c>
      <c r="S1633">
        <f t="shared" si="227"/>
        <v>-0.88567368122424128</v>
      </c>
      <c r="T1633">
        <f t="shared" si="228"/>
        <v>0</v>
      </c>
      <c r="U1633">
        <f t="shared" si="229"/>
        <v>0</v>
      </c>
      <c r="V1633">
        <f t="shared" si="230"/>
        <v>0</v>
      </c>
      <c r="W1633">
        <f t="shared" si="231"/>
        <v>0</v>
      </c>
      <c r="X1633">
        <f t="shared" si="232"/>
        <v>0</v>
      </c>
      <c r="Y1633">
        <f t="shared" si="233"/>
        <v>0</v>
      </c>
    </row>
    <row r="1634" spans="1:25" x14ac:dyDescent="0.3">
      <c r="A1634" t="s">
        <v>4247</v>
      </c>
      <c r="B1634" t="s">
        <v>4248</v>
      </c>
      <c r="C1634" s="1">
        <v>45852</v>
      </c>
      <c r="D1634" s="3">
        <v>0.29481481481481481</v>
      </c>
      <c r="E1634">
        <f t="shared" si="225"/>
        <v>7</v>
      </c>
      <c r="F1634">
        <v>57</v>
      </c>
      <c r="G1634" t="s">
        <v>46</v>
      </c>
      <c r="H1634" t="s">
        <v>80</v>
      </c>
      <c r="I1634" t="s">
        <v>105</v>
      </c>
      <c r="J1634" t="s">
        <v>72</v>
      </c>
      <c r="K1634" t="s">
        <v>95</v>
      </c>
      <c r="L1634">
        <v>110.56</v>
      </c>
      <c r="M1634" t="s">
        <v>23</v>
      </c>
      <c r="N1634">
        <f t="shared" si="226"/>
        <v>0</v>
      </c>
      <c r="O1634" t="s">
        <v>86</v>
      </c>
      <c r="P1634" t="s">
        <v>4249</v>
      </c>
      <c r="Q1634">
        <v>0</v>
      </c>
      <c r="R1634">
        <v>68</v>
      </c>
      <c r="S1634">
        <f t="shared" si="227"/>
        <v>-0.88678122198232867</v>
      </c>
      <c r="T1634">
        <f t="shared" si="228"/>
        <v>0</v>
      </c>
      <c r="U1634">
        <f t="shared" si="229"/>
        <v>0</v>
      </c>
      <c r="V1634">
        <f t="shared" si="230"/>
        <v>1</v>
      </c>
      <c r="W1634">
        <f t="shared" si="231"/>
        <v>1</v>
      </c>
      <c r="X1634">
        <f t="shared" si="232"/>
        <v>0</v>
      </c>
      <c r="Y1634">
        <f t="shared" si="233"/>
        <v>0</v>
      </c>
    </row>
    <row r="1635" spans="1:25" x14ac:dyDescent="0.3">
      <c r="A1635" t="s">
        <v>5552</v>
      </c>
      <c r="B1635" t="s">
        <v>5553</v>
      </c>
      <c r="C1635" s="1">
        <v>45800</v>
      </c>
      <c r="D1635" s="3">
        <v>0.44721064814814815</v>
      </c>
      <c r="E1635">
        <f t="shared" si="225"/>
        <v>10</v>
      </c>
      <c r="F1635">
        <v>25</v>
      </c>
      <c r="G1635" t="s">
        <v>60</v>
      </c>
      <c r="H1635" t="s">
        <v>84</v>
      </c>
      <c r="I1635" t="s">
        <v>48</v>
      </c>
      <c r="J1635" t="s">
        <v>49</v>
      </c>
      <c r="K1635" t="s">
        <v>114</v>
      </c>
      <c r="L1635">
        <v>110.52</v>
      </c>
      <c r="M1635" t="s">
        <v>115</v>
      </c>
      <c r="N1635">
        <f t="shared" si="226"/>
        <v>0</v>
      </c>
      <c r="O1635" t="s">
        <v>86</v>
      </c>
      <c r="P1635" t="s">
        <v>5554</v>
      </c>
      <c r="Q1635">
        <v>0</v>
      </c>
      <c r="R1635">
        <v>408</v>
      </c>
      <c r="S1635">
        <f t="shared" si="227"/>
        <v>-0.88733499236137248</v>
      </c>
      <c r="T1635">
        <f t="shared" si="228"/>
        <v>0</v>
      </c>
      <c r="U1635">
        <f t="shared" si="229"/>
        <v>0</v>
      </c>
      <c r="V1635">
        <f t="shared" si="230"/>
        <v>0</v>
      </c>
      <c r="W1635">
        <f t="shared" si="231"/>
        <v>0</v>
      </c>
      <c r="X1635">
        <f t="shared" si="232"/>
        <v>0</v>
      </c>
      <c r="Y1635">
        <f t="shared" si="233"/>
        <v>0</v>
      </c>
    </row>
    <row r="1636" spans="1:25" x14ac:dyDescent="0.3">
      <c r="A1636" t="s">
        <v>4391</v>
      </c>
      <c r="B1636" t="s">
        <v>4392</v>
      </c>
      <c r="C1636" s="1">
        <v>45786</v>
      </c>
      <c r="D1636" s="3">
        <v>0.94173611111111111</v>
      </c>
      <c r="E1636">
        <f t="shared" si="225"/>
        <v>22</v>
      </c>
      <c r="F1636">
        <v>34</v>
      </c>
      <c r="G1636" t="s">
        <v>60</v>
      </c>
      <c r="H1636" t="s">
        <v>90</v>
      </c>
      <c r="I1636" t="s">
        <v>119</v>
      </c>
      <c r="J1636" t="s">
        <v>76</v>
      </c>
      <c r="K1636" t="s">
        <v>62</v>
      </c>
      <c r="L1636">
        <v>110.27</v>
      </c>
      <c r="M1636" t="s">
        <v>115</v>
      </c>
      <c r="N1636">
        <f t="shared" si="226"/>
        <v>0</v>
      </c>
      <c r="O1636" t="s">
        <v>34</v>
      </c>
      <c r="P1636" t="s">
        <v>4393</v>
      </c>
      <c r="Q1636">
        <v>0</v>
      </c>
      <c r="R1636">
        <v>261</v>
      </c>
      <c r="S1636">
        <f t="shared" si="227"/>
        <v>-0.89079605723039557</v>
      </c>
      <c r="T1636">
        <f t="shared" si="228"/>
        <v>0</v>
      </c>
      <c r="U1636">
        <f t="shared" si="229"/>
        <v>0</v>
      </c>
      <c r="V1636">
        <f t="shared" si="230"/>
        <v>1</v>
      </c>
      <c r="W1636">
        <f t="shared" si="231"/>
        <v>1</v>
      </c>
      <c r="X1636">
        <f t="shared" si="232"/>
        <v>0</v>
      </c>
      <c r="Y1636">
        <f t="shared" si="233"/>
        <v>0</v>
      </c>
    </row>
    <row r="1637" spans="1:25" x14ac:dyDescent="0.3">
      <c r="A1637" t="s">
        <v>4451</v>
      </c>
      <c r="B1637" t="s">
        <v>4452</v>
      </c>
      <c r="C1637" s="1">
        <v>45746</v>
      </c>
      <c r="D1637" s="3">
        <v>0.63633101851851848</v>
      </c>
      <c r="E1637">
        <f t="shared" si="225"/>
        <v>15</v>
      </c>
      <c r="F1637">
        <v>34</v>
      </c>
      <c r="G1637" t="s">
        <v>46</v>
      </c>
      <c r="H1637" t="s">
        <v>175</v>
      </c>
      <c r="I1637" t="s">
        <v>48</v>
      </c>
      <c r="J1637" t="s">
        <v>21</v>
      </c>
      <c r="K1637" t="s">
        <v>62</v>
      </c>
      <c r="L1637">
        <v>110.2</v>
      </c>
      <c r="M1637" t="s">
        <v>33</v>
      </c>
      <c r="N1637">
        <f t="shared" si="226"/>
        <v>0</v>
      </c>
      <c r="O1637" t="s">
        <v>34</v>
      </c>
      <c r="P1637" t="s">
        <v>4453</v>
      </c>
      <c r="Q1637">
        <v>0</v>
      </c>
      <c r="R1637">
        <v>436</v>
      </c>
      <c r="S1637">
        <f t="shared" si="227"/>
        <v>-0.89176515539372192</v>
      </c>
      <c r="T1637">
        <f t="shared" si="228"/>
        <v>0</v>
      </c>
      <c r="U1637">
        <f t="shared" si="229"/>
        <v>0</v>
      </c>
      <c r="V1637">
        <f t="shared" si="230"/>
        <v>0</v>
      </c>
      <c r="W1637">
        <f t="shared" si="231"/>
        <v>0</v>
      </c>
      <c r="X1637">
        <f t="shared" si="232"/>
        <v>0</v>
      </c>
      <c r="Y1637">
        <f t="shared" si="233"/>
        <v>0</v>
      </c>
    </row>
    <row r="1638" spans="1:25" x14ac:dyDescent="0.3">
      <c r="A1638" t="s">
        <v>1799</v>
      </c>
      <c r="B1638" t="s">
        <v>1800</v>
      </c>
      <c r="C1638" s="1">
        <v>45871</v>
      </c>
      <c r="D1638" s="3">
        <v>0.89271990740740736</v>
      </c>
      <c r="E1638">
        <f t="shared" si="225"/>
        <v>21</v>
      </c>
      <c r="F1638">
        <v>37</v>
      </c>
      <c r="G1638" t="s">
        <v>18</v>
      </c>
      <c r="H1638" t="s">
        <v>19</v>
      </c>
      <c r="I1638" t="s">
        <v>71</v>
      </c>
      <c r="J1638" t="s">
        <v>40</v>
      </c>
      <c r="K1638" t="s">
        <v>41</v>
      </c>
      <c r="L1638">
        <v>110.17</v>
      </c>
      <c r="M1638" t="s">
        <v>23</v>
      </c>
      <c r="N1638">
        <f t="shared" si="226"/>
        <v>0</v>
      </c>
      <c r="O1638" t="s">
        <v>51</v>
      </c>
      <c r="P1638" t="s">
        <v>1801</v>
      </c>
      <c r="Q1638">
        <v>0</v>
      </c>
      <c r="R1638">
        <v>401</v>
      </c>
      <c r="S1638">
        <f t="shared" si="227"/>
        <v>-0.8921804831780048</v>
      </c>
      <c r="T1638">
        <f t="shared" si="228"/>
        <v>0</v>
      </c>
      <c r="U1638">
        <f t="shared" si="229"/>
        <v>0</v>
      </c>
      <c r="V1638">
        <f t="shared" si="230"/>
        <v>0</v>
      </c>
      <c r="W1638">
        <f t="shared" si="231"/>
        <v>0</v>
      </c>
      <c r="X1638">
        <f t="shared" si="232"/>
        <v>0</v>
      </c>
      <c r="Y1638">
        <f t="shared" si="233"/>
        <v>0</v>
      </c>
    </row>
    <row r="1639" spans="1:25" x14ac:dyDescent="0.3">
      <c r="A1639" t="s">
        <v>2228</v>
      </c>
      <c r="B1639" t="s">
        <v>2229</v>
      </c>
      <c r="C1639" s="1">
        <v>45818</v>
      </c>
      <c r="D1639" s="3">
        <v>0.54252314814814817</v>
      </c>
      <c r="E1639">
        <f t="shared" si="225"/>
        <v>13</v>
      </c>
      <c r="F1639">
        <v>34</v>
      </c>
      <c r="G1639" t="s">
        <v>46</v>
      </c>
      <c r="H1639" t="s">
        <v>312</v>
      </c>
      <c r="I1639" t="s">
        <v>105</v>
      </c>
      <c r="J1639" t="s">
        <v>56</v>
      </c>
      <c r="K1639" t="s">
        <v>101</v>
      </c>
      <c r="L1639">
        <v>109.9</v>
      </c>
      <c r="M1639" t="s">
        <v>42</v>
      </c>
      <c r="N1639">
        <f t="shared" si="226"/>
        <v>0</v>
      </c>
      <c r="O1639" t="s">
        <v>86</v>
      </c>
      <c r="P1639" t="s">
        <v>2230</v>
      </c>
      <c r="Q1639">
        <v>0</v>
      </c>
      <c r="R1639">
        <v>344</v>
      </c>
      <c r="S1639">
        <f t="shared" si="227"/>
        <v>-0.89591843323654963</v>
      </c>
      <c r="T1639">
        <f t="shared" si="228"/>
        <v>0</v>
      </c>
      <c r="U1639">
        <f t="shared" si="229"/>
        <v>0</v>
      </c>
      <c r="V1639">
        <f t="shared" si="230"/>
        <v>0</v>
      </c>
      <c r="W1639">
        <f t="shared" si="231"/>
        <v>0</v>
      </c>
      <c r="X1639">
        <f t="shared" si="232"/>
        <v>0</v>
      </c>
      <c r="Y1639">
        <f t="shared" si="233"/>
        <v>0</v>
      </c>
    </row>
    <row r="1640" spans="1:25" x14ac:dyDescent="0.3">
      <c r="A1640" t="s">
        <v>2324</v>
      </c>
      <c r="B1640" t="s">
        <v>2325</v>
      </c>
      <c r="C1640" s="1">
        <v>45881</v>
      </c>
      <c r="D1640" s="3">
        <v>0.947662037037037</v>
      </c>
      <c r="E1640">
        <f t="shared" si="225"/>
        <v>22</v>
      </c>
      <c r="F1640">
        <v>30</v>
      </c>
      <c r="G1640" t="s">
        <v>46</v>
      </c>
      <c r="H1640" t="s">
        <v>90</v>
      </c>
      <c r="I1640" t="s">
        <v>39</v>
      </c>
      <c r="J1640" t="s">
        <v>31</v>
      </c>
      <c r="K1640" t="s">
        <v>114</v>
      </c>
      <c r="L1640">
        <v>109.4</v>
      </c>
      <c r="M1640" t="s">
        <v>42</v>
      </c>
      <c r="N1640">
        <f t="shared" si="226"/>
        <v>0</v>
      </c>
      <c r="O1640" t="s">
        <v>34</v>
      </c>
      <c r="P1640" t="s">
        <v>2326</v>
      </c>
      <c r="Q1640">
        <v>0</v>
      </c>
      <c r="R1640">
        <v>357</v>
      </c>
      <c r="S1640">
        <f t="shared" si="227"/>
        <v>-0.90284056297459592</v>
      </c>
      <c r="T1640">
        <f t="shared" si="228"/>
        <v>0</v>
      </c>
      <c r="U1640">
        <f t="shared" si="229"/>
        <v>0</v>
      </c>
      <c r="V1640">
        <f t="shared" si="230"/>
        <v>0</v>
      </c>
      <c r="W1640">
        <f t="shared" si="231"/>
        <v>0</v>
      </c>
      <c r="X1640">
        <f t="shared" si="232"/>
        <v>0</v>
      </c>
      <c r="Y1640">
        <f t="shared" si="233"/>
        <v>0</v>
      </c>
    </row>
    <row r="1641" spans="1:25" x14ac:dyDescent="0.3">
      <c r="A1641" t="s">
        <v>5111</v>
      </c>
      <c r="B1641" t="s">
        <v>5112</v>
      </c>
      <c r="C1641" s="1">
        <v>45803</v>
      </c>
      <c r="D1641" s="3">
        <v>0.41620370370370369</v>
      </c>
      <c r="E1641">
        <f t="shared" si="225"/>
        <v>9</v>
      </c>
      <c r="F1641">
        <v>41</v>
      </c>
      <c r="G1641" t="s">
        <v>99</v>
      </c>
      <c r="H1641" t="s">
        <v>55</v>
      </c>
      <c r="I1641" t="s">
        <v>66</v>
      </c>
      <c r="J1641" t="s">
        <v>49</v>
      </c>
      <c r="K1641" t="s">
        <v>32</v>
      </c>
      <c r="L1641">
        <v>109.12</v>
      </c>
      <c r="M1641" t="s">
        <v>33</v>
      </c>
      <c r="N1641">
        <f t="shared" si="226"/>
        <v>0</v>
      </c>
      <c r="O1641" t="s">
        <v>51</v>
      </c>
      <c r="P1641" t="s">
        <v>5113</v>
      </c>
      <c r="Q1641">
        <v>0</v>
      </c>
      <c r="R1641">
        <v>411</v>
      </c>
      <c r="S1641">
        <f t="shared" si="227"/>
        <v>-0.90671695562790178</v>
      </c>
      <c r="T1641">
        <f t="shared" si="228"/>
        <v>0</v>
      </c>
      <c r="U1641">
        <f t="shared" si="229"/>
        <v>0</v>
      </c>
      <c r="V1641">
        <f t="shared" si="230"/>
        <v>0</v>
      </c>
      <c r="W1641">
        <f t="shared" si="231"/>
        <v>0</v>
      </c>
      <c r="X1641">
        <f t="shared" si="232"/>
        <v>0</v>
      </c>
      <c r="Y1641">
        <f t="shared" si="233"/>
        <v>0</v>
      </c>
    </row>
    <row r="1642" spans="1:25" x14ac:dyDescent="0.3">
      <c r="A1642" t="s">
        <v>6353</v>
      </c>
      <c r="B1642" t="s">
        <v>6354</v>
      </c>
      <c r="C1642" s="1">
        <v>45722</v>
      </c>
      <c r="D1642" s="3">
        <v>0.16770833333333332</v>
      </c>
      <c r="E1642">
        <f t="shared" si="225"/>
        <v>4</v>
      </c>
      <c r="F1642">
        <v>54</v>
      </c>
      <c r="G1642" t="s">
        <v>46</v>
      </c>
      <c r="H1642" t="s">
        <v>61</v>
      </c>
      <c r="I1642" t="s">
        <v>30</v>
      </c>
      <c r="J1642" t="s">
        <v>127</v>
      </c>
      <c r="K1642" t="s">
        <v>101</v>
      </c>
      <c r="L1642">
        <v>108.94</v>
      </c>
      <c r="M1642" t="s">
        <v>42</v>
      </c>
      <c r="N1642">
        <f t="shared" si="226"/>
        <v>0</v>
      </c>
      <c r="O1642" t="s">
        <v>34</v>
      </c>
      <c r="P1642" t="s">
        <v>6355</v>
      </c>
      <c r="Q1642">
        <v>0</v>
      </c>
      <c r="R1642">
        <v>494</v>
      </c>
      <c r="S1642">
        <f t="shared" si="227"/>
        <v>-0.90920892233359851</v>
      </c>
      <c r="T1642">
        <f t="shared" si="228"/>
        <v>0</v>
      </c>
      <c r="U1642">
        <f t="shared" si="229"/>
        <v>1</v>
      </c>
      <c r="V1642">
        <f t="shared" si="230"/>
        <v>0</v>
      </c>
      <c r="W1642">
        <f t="shared" si="231"/>
        <v>2</v>
      </c>
      <c r="X1642">
        <f t="shared" si="232"/>
        <v>0</v>
      </c>
      <c r="Y1642">
        <f t="shared" si="233"/>
        <v>0</v>
      </c>
    </row>
    <row r="1643" spans="1:25" x14ac:dyDescent="0.3">
      <c r="A1643" t="s">
        <v>1430</v>
      </c>
      <c r="B1643" t="s">
        <v>1431</v>
      </c>
      <c r="C1643" s="1">
        <v>45845</v>
      </c>
      <c r="D1643" s="3">
        <v>0.71646990740740746</v>
      </c>
      <c r="E1643">
        <f t="shared" si="225"/>
        <v>17</v>
      </c>
      <c r="F1643">
        <v>64</v>
      </c>
      <c r="G1643" t="s">
        <v>46</v>
      </c>
      <c r="H1643" t="s">
        <v>167</v>
      </c>
      <c r="I1643" t="s">
        <v>85</v>
      </c>
      <c r="J1643" t="s">
        <v>21</v>
      </c>
      <c r="K1643" t="s">
        <v>101</v>
      </c>
      <c r="L1643">
        <v>108.61</v>
      </c>
      <c r="M1643" t="s">
        <v>115</v>
      </c>
      <c r="N1643">
        <f t="shared" si="226"/>
        <v>0</v>
      </c>
      <c r="O1643" t="s">
        <v>86</v>
      </c>
      <c r="P1643" t="s">
        <v>1432</v>
      </c>
      <c r="Q1643">
        <v>0</v>
      </c>
      <c r="R1643">
        <v>115</v>
      </c>
      <c r="S1643">
        <f t="shared" si="227"/>
        <v>-0.91377752796070899</v>
      </c>
      <c r="T1643">
        <f t="shared" si="228"/>
        <v>0</v>
      </c>
      <c r="U1643">
        <f t="shared" si="229"/>
        <v>0</v>
      </c>
      <c r="V1643">
        <f t="shared" si="230"/>
        <v>1</v>
      </c>
      <c r="W1643">
        <f t="shared" si="231"/>
        <v>1</v>
      </c>
      <c r="X1643">
        <f t="shared" si="232"/>
        <v>0</v>
      </c>
      <c r="Y1643">
        <f t="shared" si="233"/>
        <v>0</v>
      </c>
    </row>
    <row r="1644" spans="1:25" x14ac:dyDescent="0.3">
      <c r="A1644" t="s">
        <v>1127</v>
      </c>
      <c r="B1644" t="s">
        <v>1128</v>
      </c>
      <c r="C1644" s="1">
        <v>45768</v>
      </c>
      <c r="D1644" s="3">
        <v>0.46086805555555554</v>
      </c>
      <c r="E1644">
        <f t="shared" si="225"/>
        <v>11</v>
      </c>
      <c r="F1644">
        <v>52</v>
      </c>
      <c r="G1644" t="s">
        <v>99</v>
      </c>
      <c r="H1644" t="s">
        <v>61</v>
      </c>
      <c r="I1644" t="s">
        <v>48</v>
      </c>
      <c r="J1644" t="s">
        <v>21</v>
      </c>
      <c r="K1644" t="s">
        <v>120</v>
      </c>
      <c r="L1644">
        <v>108.07</v>
      </c>
      <c r="M1644" t="s">
        <v>115</v>
      </c>
      <c r="N1644">
        <f t="shared" si="226"/>
        <v>0</v>
      </c>
      <c r="O1644" t="s">
        <v>24</v>
      </c>
      <c r="P1644" t="s">
        <v>1129</v>
      </c>
      <c r="Q1644">
        <v>0</v>
      </c>
      <c r="R1644">
        <v>270</v>
      </c>
      <c r="S1644">
        <f t="shared" si="227"/>
        <v>-0.92125342807779909</v>
      </c>
      <c r="T1644">
        <f t="shared" si="228"/>
        <v>0</v>
      </c>
      <c r="U1644">
        <f t="shared" si="229"/>
        <v>0</v>
      </c>
      <c r="V1644">
        <f t="shared" si="230"/>
        <v>1</v>
      </c>
      <c r="W1644">
        <f t="shared" si="231"/>
        <v>1</v>
      </c>
      <c r="X1644">
        <f t="shared" si="232"/>
        <v>0</v>
      </c>
      <c r="Y1644">
        <f t="shared" si="233"/>
        <v>0</v>
      </c>
    </row>
    <row r="1645" spans="1:25" x14ac:dyDescent="0.3">
      <c r="A1645" t="s">
        <v>5165</v>
      </c>
      <c r="B1645" t="s">
        <v>5166</v>
      </c>
      <c r="C1645" s="1">
        <v>45745</v>
      </c>
      <c r="D1645" s="3">
        <v>0.83545138888888892</v>
      </c>
      <c r="E1645">
        <f t="shared" si="225"/>
        <v>20</v>
      </c>
      <c r="F1645">
        <v>60</v>
      </c>
      <c r="G1645" t="s">
        <v>28</v>
      </c>
      <c r="H1645" t="s">
        <v>312</v>
      </c>
      <c r="I1645" t="s">
        <v>119</v>
      </c>
      <c r="J1645" t="s">
        <v>40</v>
      </c>
      <c r="K1645" t="s">
        <v>41</v>
      </c>
      <c r="L1645">
        <v>108.05</v>
      </c>
      <c r="M1645" t="s">
        <v>115</v>
      </c>
      <c r="N1645">
        <f t="shared" si="226"/>
        <v>0</v>
      </c>
      <c r="O1645" t="s">
        <v>51</v>
      </c>
      <c r="P1645" t="s">
        <v>5167</v>
      </c>
      <c r="Q1645">
        <v>0</v>
      </c>
      <c r="R1645">
        <v>482</v>
      </c>
      <c r="S1645">
        <f t="shared" si="227"/>
        <v>-0.92153031326732082</v>
      </c>
      <c r="T1645">
        <f t="shared" si="228"/>
        <v>0</v>
      </c>
      <c r="U1645">
        <f t="shared" si="229"/>
        <v>0</v>
      </c>
      <c r="V1645">
        <f t="shared" si="230"/>
        <v>0</v>
      </c>
      <c r="W1645">
        <f t="shared" si="231"/>
        <v>0</v>
      </c>
      <c r="X1645">
        <f t="shared" si="232"/>
        <v>0</v>
      </c>
      <c r="Y1645">
        <f t="shared" si="233"/>
        <v>0</v>
      </c>
    </row>
    <row r="1646" spans="1:25" x14ac:dyDescent="0.3">
      <c r="A1646" t="s">
        <v>4913</v>
      </c>
      <c r="B1646" t="s">
        <v>4914</v>
      </c>
      <c r="C1646" s="1">
        <v>45818</v>
      </c>
      <c r="D1646" s="3">
        <v>0.5133564814814815</v>
      </c>
      <c r="E1646">
        <f t="shared" si="225"/>
        <v>12</v>
      </c>
      <c r="F1646">
        <v>52</v>
      </c>
      <c r="G1646" t="s">
        <v>18</v>
      </c>
      <c r="H1646" t="s">
        <v>189</v>
      </c>
      <c r="I1646" t="s">
        <v>48</v>
      </c>
      <c r="J1646" t="s">
        <v>76</v>
      </c>
      <c r="K1646" t="s">
        <v>62</v>
      </c>
      <c r="L1646">
        <v>107.96</v>
      </c>
      <c r="M1646" t="s">
        <v>33</v>
      </c>
      <c r="N1646">
        <f t="shared" si="226"/>
        <v>0</v>
      </c>
      <c r="O1646" t="s">
        <v>86</v>
      </c>
      <c r="P1646" t="s">
        <v>4915</v>
      </c>
      <c r="Q1646">
        <v>0</v>
      </c>
      <c r="R1646">
        <v>478</v>
      </c>
      <c r="S1646">
        <f t="shared" si="227"/>
        <v>-0.92277629662016925</v>
      </c>
      <c r="T1646">
        <f t="shared" si="228"/>
        <v>0</v>
      </c>
      <c r="U1646">
        <f t="shared" si="229"/>
        <v>0</v>
      </c>
      <c r="V1646">
        <f t="shared" si="230"/>
        <v>0</v>
      </c>
      <c r="W1646">
        <f t="shared" si="231"/>
        <v>0</v>
      </c>
      <c r="X1646">
        <f t="shared" si="232"/>
        <v>0</v>
      </c>
      <c r="Y1646">
        <f t="shared" si="233"/>
        <v>0</v>
      </c>
    </row>
    <row r="1647" spans="1:25" x14ac:dyDescent="0.3">
      <c r="A1647" t="s">
        <v>3137</v>
      </c>
      <c r="B1647" t="s">
        <v>3138</v>
      </c>
      <c r="C1647" s="1">
        <v>45784</v>
      </c>
      <c r="D1647" s="3">
        <v>0.76283564814814819</v>
      </c>
      <c r="E1647">
        <f t="shared" si="225"/>
        <v>18</v>
      </c>
      <c r="F1647" s="4">
        <v>41</v>
      </c>
      <c r="G1647" t="s">
        <v>46</v>
      </c>
      <c r="H1647" t="s">
        <v>239</v>
      </c>
      <c r="I1647" t="s">
        <v>110</v>
      </c>
      <c r="J1647" t="s">
        <v>94</v>
      </c>
      <c r="K1647" t="s">
        <v>32</v>
      </c>
      <c r="L1647">
        <v>107.64</v>
      </c>
      <c r="M1647" t="s">
        <v>42</v>
      </c>
      <c r="N1647">
        <f t="shared" si="226"/>
        <v>0</v>
      </c>
      <c r="O1647" t="s">
        <v>34</v>
      </c>
      <c r="P1647" t="s">
        <v>3139</v>
      </c>
      <c r="Q1647">
        <v>0</v>
      </c>
      <c r="R1647">
        <v>435</v>
      </c>
      <c r="S1647">
        <f t="shared" si="227"/>
        <v>-0.92720645965251869</v>
      </c>
      <c r="T1647">
        <f t="shared" si="228"/>
        <v>0</v>
      </c>
      <c r="U1647">
        <f t="shared" si="229"/>
        <v>0</v>
      </c>
      <c r="V1647">
        <f t="shared" si="230"/>
        <v>0</v>
      </c>
      <c r="W1647">
        <f t="shared" si="231"/>
        <v>0</v>
      </c>
      <c r="X1647">
        <f t="shared" si="232"/>
        <v>0</v>
      </c>
      <c r="Y1647">
        <f t="shared" si="233"/>
        <v>0</v>
      </c>
    </row>
    <row r="1648" spans="1:25" x14ac:dyDescent="0.3">
      <c r="A1648" t="s">
        <v>1553</v>
      </c>
      <c r="B1648" t="s">
        <v>1554</v>
      </c>
      <c r="C1648" s="1">
        <v>45839</v>
      </c>
      <c r="D1648" s="3">
        <v>0.44520833333333332</v>
      </c>
      <c r="E1648">
        <f t="shared" si="225"/>
        <v>10</v>
      </c>
      <c r="F1648">
        <v>53</v>
      </c>
      <c r="G1648" t="s">
        <v>60</v>
      </c>
      <c r="H1648" t="s">
        <v>100</v>
      </c>
      <c r="I1648" t="s">
        <v>105</v>
      </c>
      <c r="J1648" t="s">
        <v>56</v>
      </c>
      <c r="K1648" t="s">
        <v>32</v>
      </c>
      <c r="L1648">
        <v>107.52</v>
      </c>
      <c r="M1648" t="s">
        <v>33</v>
      </c>
      <c r="N1648">
        <f t="shared" si="226"/>
        <v>0</v>
      </c>
      <c r="O1648" t="s">
        <v>34</v>
      </c>
      <c r="P1648" t="s">
        <v>1555</v>
      </c>
      <c r="Q1648">
        <v>0</v>
      </c>
      <c r="R1648">
        <v>302</v>
      </c>
      <c r="S1648">
        <f t="shared" si="227"/>
        <v>-0.92886777078964988</v>
      </c>
      <c r="T1648">
        <f t="shared" si="228"/>
        <v>0</v>
      </c>
      <c r="U1648">
        <f t="shared" si="229"/>
        <v>0</v>
      </c>
      <c r="V1648">
        <f t="shared" si="230"/>
        <v>0</v>
      </c>
      <c r="W1648">
        <f t="shared" si="231"/>
        <v>0</v>
      </c>
      <c r="X1648">
        <f t="shared" si="232"/>
        <v>0</v>
      </c>
      <c r="Y1648">
        <f t="shared" si="233"/>
        <v>0</v>
      </c>
    </row>
    <row r="1649" spans="1:25" x14ac:dyDescent="0.3">
      <c r="A1649" t="s">
        <v>5174</v>
      </c>
      <c r="B1649" t="s">
        <v>5175</v>
      </c>
      <c r="C1649" s="1">
        <v>45878</v>
      </c>
      <c r="D1649" s="3">
        <v>0.13091435185185185</v>
      </c>
      <c r="E1649">
        <f t="shared" si="225"/>
        <v>3</v>
      </c>
      <c r="F1649">
        <v>40</v>
      </c>
      <c r="G1649" t="s">
        <v>18</v>
      </c>
      <c r="H1649" t="s">
        <v>175</v>
      </c>
      <c r="I1649" t="s">
        <v>119</v>
      </c>
      <c r="J1649" t="s">
        <v>94</v>
      </c>
      <c r="K1649" t="s">
        <v>50</v>
      </c>
      <c r="L1649">
        <v>107.44</v>
      </c>
      <c r="M1649" t="s">
        <v>33</v>
      </c>
      <c r="N1649">
        <f t="shared" si="226"/>
        <v>0</v>
      </c>
      <c r="O1649" t="s">
        <v>51</v>
      </c>
      <c r="P1649" t="s">
        <v>5176</v>
      </c>
      <c r="Q1649">
        <v>0</v>
      </c>
      <c r="R1649">
        <v>298</v>
      </c>
      <c r="S1649">
        <f t="shared" si="227"/>
        <v>-0.92997531154773716</v>
      </c>
      <c r="T1649">
        <f t="shared" si="228"/>
        <v>0</v>
      </c>
      <c r="U1649">
        <f t="shared" si="229"/>
        <v>1</v>
      </c>
      <c r="V1649">
        <f t="shared" si="230"/>
        <v>0</v>
      </c>
      <c r="W1649">
        <f t="shared" si="231"/>
        <v>2</v>
      </c>
      <c r="X1649">
        <f t="shared" si="232"/>
        <v>0</v>
      </c>
      <c r="Y1649">
        <f t="shared" si="233"/>
        <v>0</v>
      </c>
    </row>
    <row r="1650" spans="1:25" x14ac:dyDescent="0.3">
      <c r="A1650" t="s">
        <v>5459</v>
      </c>
      <c r="B1650" t="s">
        <v>5460</v>
      </c>
      <c r="C1650" s="1">
        <v>45728</v>
      </c>
      <c r="D1650" s="3">
        <v>0.37692129629629628</v>
      </c>
      <c r="E1650">
        <f t="shared" si="225"/>
        <v>9</v>
      </c>
      <c r="F1650">
        <v>37</v>
      </c>
      <c r="G1650" t="s">
        <v>60</v>
      </c>
      <c r="H1650" t="s">
        <v>175</v>
      </c>
      <c r="I1650" t="s">
        <v>105</v>
      </c>
      <c r="J1650" t="s">
        <v>31</v>
      </c>
      <c r="K1650" t="s">
        <v>101</v>
      </c>
      <c r="L1650">
        <v>107.4</v>
      </c>
      <c r="M1650" t="s">
        <v>42</v>
      </c>
      <c r="N1650">
        <f t="shared" si="226"/>
        <v>0</v>
      </c>
      <c r="O1650" t="s">
        <v>86</v>
      </c>
      <c r="P1650" t="s">
        <v>5461</v>
      </c>
      <c r="Q1650">
        <v>0</v>
      </c>
      <c r="R1650">
        <v>250</v>
      </c>
      <c r="S1650">
        <f t="shared" si="227"/>
        <v>-0.93052908192678085</v>
      </c>
      <c r="T1650">
        <f t="shared" si="228"/>
        <v>0</v>
      </c>
      <c r="U1650">
        <f t="shared" si="229"/>
        <v>0</v>
      </c>
      <c r="V1650">
        <f t="shared" si="230"/>
        <v>1</v>
      </c>
      <c r="W1650">
        <f t="shared" si="231"/>
        <v>1</v>
      </c>
      <c r="X1650">
        <f t="shared" si="232"/>
        <v>0</v>
      </c>
      <c r="Y1650">
        <f t="shared" si="233"/>
        <v>0</v>
      </c>
    </row>
    <row r="1651" spans="1:25" x14ac:dyDescent="0.3">
      <c r="A1651" t="s">
        <v>4133</v>
      </c>
      <c r="B1651" t="s">
        <v>4134</v>
      </c>
      <c r="C1651" s="1">
        <v>45865</v>
      </c>
      <c r="D1651" s="3">
        <v>0.77598379629629632</v>
      </c>
      <c r="E1651">
        <f t="shared" si="225"/>
        <v>18</v>
      </c>
      <c r="F1651" s="4">
        <v>41</v>
      </c>
      <c r="G1651" t="s">
        <v>106</v>
      </c>
      <c r="H1651" t="s">
        <v>189</v>
      </c>
      <c r="I1651" t="s">
        <v>66</v>
      </c>
      <c r="J1651" t="s">
        <v>132</v>
      </c>
      <c r="K1651" t="s">
        <v>62</v>
      </c>
      <c r="L1651">
        <v>107.11</v>
      </c>
      <c r="M1651" t="s">
        <v>115</v>
      </c>
      <c r="N1651">
        <f t="shared" si="226"/>
        <v>0</v>
      </c>
      <c r="O1651" t="s">
        <v>24</v>
      </c>
      <c r="P1651" t="s">
        <v>4135</v>
      </c>
      <c r="Q1651">
        <v>0</v>
      </c>
      <c r="R1651">
        <v>151</v>
      </c>
      <c r="S1651">
        <f t="shared" si="227"/>
        <v>-0.93454391717484775</v>
      </c>
      <c r="T1651">
        <f t="shared" si="228"/>
        <v>0</v>
      </c>
      <c r="U1651">
        <f t="shared" si="229"/>
        <v>0</v>
      </c>
      <c r="V1651">
        <f t="shared" si="230"/>
        <v>1</v>
      </c>
      <c r="W1651">
        <f t="shared" si="231"/>
        <v>1</v>
      </c>
      <c r="X1651">
        <f t="shared" si="232"/>
        <v>0</v>
      </c>
      <c r="Y1651">
        <f t="shared" si="233"/>
        <v>0</v>
      </c>
    </row>
    <row r="1652" spans="1:25" x14ac:dyDescent="0.3">
      <c r="A1652" t="s">
        <v>2501</v>
      </c>
      <c r="B1652" t="s">
        <v>2502</v>
      </c>
      <c r="C1652" s="1">
        <v>45853</v>
      </c>
      <c r="D1652" s="3">
        <v>0.64883101851851854</v>
      </c>
      <c r="E1652">
        <f t="shared" si="225"/>
        <v>15</v>
      </c>
      <c r="F1652">
        <v>55</v>
      </c>
      <c r="G1652" t="s">
        <v>46</v>
      </c>
      <c r="H1652" t="s">
        <v>29</v>
      </c>
      <c r="I1652" t="s">
        <v>85</v>
      </c>
      <c r="J1652" t="s">
        <v>72</v>
      </c>
      <c r="K1652" t="s">
        <v>168</v>
      </c>
      <c r="L1652">
        <v>107.04</v>
      </c>
      <c r="M1652" t="s">
        <v>33</v>
      </c>
      <c r="N1652">
        <f t="shared" si="226"/>
        <v>0</v>
      </c>
      <c r="O1652" t="s">
        <v>24</v>
      </c>
      <c r="P1652" t="s">
        <v>2503</v>
      </c>
      <c r="Q1652">
        <v>0</v>
      </c>
      <c r="R1652">
        <v>94</v>
      </c>
      <c r="S1652">
        <f t="shared" si="227"/>
        <v>-0.9355130153381741</v>
      </c>
      <c r="T1652">
        <f t="shared" si="228"/>
        <v>0</v>
      </c>
      <c r="U1652">
        <f t="shared" si="229"/>
        <v>0</v>
      </c>
      <c r="V1652">
        <f t="shared" si="230"/>
        <v>1</v>
      </c>
      <c r="W1652">
        <f t="shared" si="231"/>
        <v>1</v>
      </c>
      <c r="X1652">
        <f t="shared" si="232"/>
        <v>0</v>
      </c>
      <c r="Y1652">
        <f t="shared" si="233"/>
        <v>0</v>
      </c>
    </row>
    <row r="1653" spans="1:25" x14ac:dyDescent="0.3">
      <c r="A1653" t="s">
        <v>4490</v>
      </c>
      <c r="B1653" t="s">
        <v>4491</v>
      </c>
      <c r="C1653" s="1">
        <v>45729</v>
      </c>
      <c r="D1653" s="3">
        <v>0.666412037037037</v>
      </c>
      <c r="E1653">
        <f t="shared" ref="E1653:E1716" si="234">HOUR(D1653)</f>
        <v>15</v>
      </c>
      <c r="F1653">
        <v>33</v>
      </c>
      <c r="G1653" t="s">
        <v>60</v>
      </c>
      <c r="H1653" t="s">
        <v>90</v>
      </c>
      <c r="I1653" t="s">
        <v>20</v>
      </c>
      <c r="J1653" t="s">
        <v>49</v>
      </c>
      <c r="K1653" t="s">
        <v>101</v>
      </c>
      <c r="L1653">
        <v>106.88</v>
      </c>
      <c r="M1653" t="s">
        <v>6479</v>
      </c>
      <c r="N1653">
        <f t="shared" si="226"/>
        <v>1</v>
      </c>
      <c r="O1653" t="s">
        <v>86</v>
      </c>
      <c r="P1653" t="s">
        <v>4492</v>
      </c>
      <c r="Q1653">
        <v>0</v>
      </c>
      <c r="R1653">
        <v>288</v>
      </c>
      <c r="S1653">
        <f t="shared" si="227"/>
        <v>-0.93772809685434899</v>
      </c>
      <c r="T1653">
        <f t="shared" si="228"/>
        <v>0</v>
      </c>
      <c r="U1653">
        <f t="shared" si="229"/>
        <v>0</v>
      </c>
      <c r="V1653">
        <f t="shared" si="230"/>
        <v>0</v>
      </c>
      <c r="W1653">
        <f t="shared" si="231"/>
        <v>2</v>
      </c>
      <c r="X1653">
        <f t="shared" si="232"/>
        <v>0</v>
      </c>
      <c r="Y1653">
        <f t="shared" si="233"/>
        <v>1</v>
      </c>
    </row>
    <row r="1654" spans="1:25" x14ac:dyDescent="0.3">
      <c r="A1654" t="s">
        <v>5144</v>
      </c>
      <c r="B1654" t="s">
        <v>5145</v>
      </c>
      <c r="C1654" s="1">
        <v>45865</v>
      </c>
      <c r="D1654" s="3">
        <v>0.53489583333333335</v>
      </c>
      <c r="E1654">
        <f t="shared" si="234"/>
        <v>12</v>
      </c>
      <c r="F1654">
        <v>42</v>
      </c>
      <c r="G1654" t="s">
        <v>46</v>
      </c>
      <c r="H1654" t="s">
        <v>38</v>
      </c>
      <c r="I1654" t="s">
        <v>39</v>
      </c>
      <c r="J1654" t="s">
        <v>132</v>
      </c>
      <c r="K1654" t="s">
        <v>62</v>
      </c>
      <c r="L1654">
        <v>106.61</v>
      </c>
      <c r="M1654" t="s">
        <v>33</v>
      </c>
      <c r="N1654">
        <f t="shared" si="226"/>
        <v>0</v>
      </c>
      <c r="O1654" t="s">
        <v>24</v>
      </c>
      <c r="P1654" t="s">
        <v>5146</v>
      </c>
      <c r="Q1654">
        <v>0</v>
      </c>
      <c r="R1654">
        <v>137</v>
      </c>
      <c r="S1654">
        <f t="shared" si="227"/>
        <v>-0.94146604691289393</v>
      </c>
      <c r="T1654">
        <f t="shared" si="228"/>
        <v>0</v>
      </c>
      <c r="U1654">
        <f t="shared" si="229"/>
        <v>0</v>
      </c>
      <c r="V1654">
        <f t="shared" si="230"/>
        <v>1</v>
      </c>
      <c r="W1654">
        <f t="shared" si="231"/>
        <v>1</v>
      </c>
      <c r="X1654">
        <f t="shared" si="232"/>
        <v>0</v>
      </c>
      <c r="Y1654">
        <f t="shared" si="233"/>
        <v>0</v>
      </c>
    </row>
    <row r="1655" spans="1:25" x14ac:dyDescent="0.3">
      <c r="A1655" t="s">
        <v>4940</v>
      </c>
      <c r="B1655" t="s">
        <v>4941</v>
      </c>
      <c r="C1655" s="1">
        <v>45715</v>
      </c>
      <c r="D1655" s="3">
        <v>0.19761574074074073</v>
      </c>
      <c r="E1655">
        <f t="shared" si="234"/>
        <v>4</v>
      </c>
      <c r="F1655">
        <v>52</v>
      </c>
      <c r="G1655" t="s">
        <v>18</v>
      </c>
      <c r="H1655" t="s">
        <v>167</v>
      </c>
      <c r="I1655" t="s">
        <v>66</v>
      </c>
      <c r="J1655" t="s">
        <v>72</v>
      </c>
      <c r="K1655" t="s">
        <v>120</v>
      </c>
      <c r="L1655">
        <v>106.58</v>
      </c>
      <c r="M1655" t="s">
        <v>115</v>
      </c>
      <c r="N1655">
        <f t="shared" si="226"/>
        <v>0</v>
      </c>
      <c r="O1655" t="s">
        <v>86</v>
      </c>
      <c r="P1655" t="s">
        <v>4942</v>
      </c>
      <c r="Q1655">
        <v>1</v>
      </c>
      <c r="R1655">
        <v>454</v>
      </c>
      <c r="S1655">
        <f t="shared" si="227"/>
        <v>-0.9418813746971767</v>
      </c>
      <c r="T1655">
        <f t="shared" si="228"/>
        <v>0</v>
      </c>
      <c r="U1655">
        <f t="shared" si="229"/>
        <v>1</v>
      </c>
      <c r="V1655">
        <f t="shared" si="230"/>
        <v>0</v>
      </c>
      <c r="W1655">
        <f t="shared" si="231"/>
        <v>2</v>
      </c>
      <c r="X1655">
        <f t="shared" si="232"/>
        <v>0</v>
      </c>
      <c r="Y1655">
        <f t="shared" si="233"/>
        <v>0</v>
      </c>
    </row>
    <row r="1656" spans="1:25" x14ac:dyDescent="0.3">
      <c r="A1656" t="s">
        <v>827</v>
      </c>
      <c r="B1656" t="s">
        <v>828</v>
      </c>
      <c r="C1656" s="1">
        <v>45823</v>
      </c>
      <c r="D1656" s="3">
        <v>0.86575231481481485</v>
      </c>
      <c r="E1656">
        <f t="shared" si="234"/>
        <v>20</v>
      </c>
      <c r="F1656">
        <v>58</v>
      </c>
      <c r="G1656" t="s">
        <v>99</v>
      </c>
      <c r="H1656" t="s">
        <v>90</v>
      </c>
      <c r="I1656" t="s">
        <v>105</v>
      </c>
      <c r="J1656" t="s">
        <v>49</v>
      </c>
      <c r="K1656" t="s">
        <v>101</v>
      </c>
      <c r="L1656">
        <v>106.52</v>
      </c>
      <c r="M1656" t="s">
        <v>33</v>
      </c>
      <c r="N1656">
        <f t="shared" si="226"/>
        <v>0</v>
      </c>
      <c r="O1656" t="s">
        <v>51</v>
      </c>
      <c r="P1656" t="s">
        <v>829</v>
      </c>
      <c r="Q1656">
        <v>0</v>
      </c>
      <c r="R1656">
        <v>59</v>
      </c>
      <c r="S1656">
        <f t="shared" si="227"/>
        <v>-0.94271203026574235</v>
      </c>
      <c r="T1656">
        <f t="shared" si="228"/>
        <v>0</v>
      </c>
      <c r="U1656">
        <f t="shared" si="229"/>
        <v>0</v>
      </c>
      <c r="V1656">
        <f t="shared" si="230"/>
        <v>1</v>
      </c>
      <c r="W1656">
        <f t="shared" si="231"/>
        <v>1</v>
      </c>
      <c r="X1656">
        <f t="shared" si="232"/>
        <v>0</v>
      </c>
      <c r="Y1656">
        <f t="shared" si="233"/>
        <v>0</v>
      </c>
    </row>
    <row r="1657" spans="1:25" x14ac:dyDescent="0.3">
      <c r="A1657" t="s">
        <v>5822</v>
      </c>
      <c r="B1657" t="s">
        <v>5823</v>
      </c>
      <c r="C1657" s="1">
        <v>45837</v>
      </c>
      <c r="D1657" s="3">
        <v>0.29335648148148147</v>
      </c>
      <c r="E1657">
        <f t="shared" si="234"/>
        <v>7</v>
      </c>
      <c r="F1657">
        <v>61</v>
      </c>
      <c r="G1657" t="s">
        <v>18</v>
      </c>
      <c r="H1657" t="s">
        <v>239</v>
      </c>
      <c r="I1657" t="s">
        <v>20</v>
      </c>
      <c r="J1657" t="s">
        <v>49</v>
      </c>
      <c r="K1657" t="s">
        <v>114</v>
      </c>
      <c r="L1657">
        <v>106.46</v>
      </c>
      <c r="M1657" t="s">
        <v>42</v>
      </c>
      <c r="N1657">
        <f t="shared" si="226"/>
        <v>0</v>
      </c>
      <c r="O1657" t="s">
        <v>34</v>
      </c>
      <c r="P1657" t="s">
        <v>5824</v>
      </c>
      <c r="Q1657">
        <v>0</v>
      </c>
      <c r="R1657">
        <v>60</v>
      </c>
      <c r="S1657">
        <f t="shared" si="227"/>
        <v>-0.94354268583430789</v>
      </c>
      <c r="T1657">
        <f t="shared" si="228"/>
        <v>0</v>
      </c>
      <c r="U1657">
        <f t="shared" si="229"/>
        <v>0</v>
      </c>
      <c r="V1657">
        <f t="shared" si="230"/>
        <v>1</v>
      </c>
      <c r="W1657">
        <f t="shared" si="231"/>
        <v>1</v>
      </c>
      <c r="X1657">
        <f t="shared" si="232"/>
        <v>0</v>
      </c>
      <c r="Y1657">
        <f t="shared" si="233"/>
        <v>0</v>
      </c>
    </row>
    <row r="1658" spans="1:25" x14ac:dyDescent="0.3">
      <c r="A1658" t="s">
        <v>2636</v>
      </c>
      <c r="B1658" t="s">
        <v>2637</v>
      </c>
      <c r="C1658" s="1">
        <v>45758</v>
      </c>
      <c r="D1658" s="3">
        <v>0.5047800925925926</v>
      </c>
      <c r="E1658">
        <f t="shared" si="234"/>
        <v>12</v>
      </c>
      <c r="F1658">
        <v>20</v>
      </c>
      <c r="G1658" t="s">
        <v>46</v>
      </c>
      <c r="H1658" t="s">
        <v>84</v>
      </c>
      <c r="I1658" t="s">
        <v>48</v>
      </c>
      <c r="J1658" t="s">
        <v>49</v>
      </c>
      <c r="K1658" t="s">
        <v>101</v>
      </c>
      <c r="L1658">
        <v>106.39</v>
      </c>
      <c r="M1658" t="s">
        <v>115</v>
      </c>
      <c r="N1658">
        <f t="shared" si="226"/>
        <v>0</v>
      </c>
      <c r="O1658" t="s">
        <v>86</v>
      </c>
      <c r="P1658" t="s">
        <v>2638</v>
      </c>
      <c r="Q1658">
        <v>0</v>
      </c>
      <c r="R1658">
        <v>157</v>
      </c>
      <c r="S1658">
        <f t="shared" si="227"/>
        <v>-0.94451178399763425</v>
      </c>
      <c r="T1658">
        <f t="shared" si="228"/>
        <v>0</v>
      </c>
      <c r="U1658">
        <f t="shared" si="229"/>
        <v>0</v>
      </c>
      <c r="V1658">
        <f t="shared" si="230"/>
        <v>1</v>
      </c>
      <c r="W1658">
        <f t="shared" si="231"/>
        <v>1</v>
      </c>
      <c r="X1658">
        <f t="shared" si="232"/>
        <v>0</v>
      </c>
      <c r="Y1658">
        <f t="shared" si="233"/>
        <v>0</v>
      </c>
    </row>
    <row r="1659" spans="1:25" x14ac:dyDescent="0.3">
      <c r="A1659" t="s">
        <v>2267</v>
      </c>
      <c r="B1659" t="s">
        <v>2268</v>
      </c>
      <c r="C1659" s="1">
        <v>45759</v>
      </c>
      <c r="D1659" s="3">
        <v>0.10909722222222222</v>
      </c>
      <c r="E1659">
        <f t="shared" si="234"/>
        <v>2</v>
      </c>
      <c r="F1659">
        <v>22</v>
      </c>
      <c r="G1659" t="s">
        <v>46</v>
      </c>
      <c r="H1659" t="s">
        <v>142</v>
      </c>
      <c r="I1659" t="s">
        <v>48</v>
      </c>
      <c r="J1659" t="s">
        <v>127</v>
      </c>
      <c r="K1659" t="s">
        <v>50</v>
      </c>
      <c r="L1659">
        <v>106.36</v>
      </c>
      <c r="M1659" t="s">
        <v>115</v>
      </c>
      <c r="N1659">
        <f t="shared" si="226"/>
        <v>0</v>
      </c>
      <c r="O1659" t="s">
        <v>34</v>
      </c>
      <c r="P1659" t="s">
        <v>2269</v>
      </c>
      <c r="Q1659">
        <v>0</v>
      </c>
      <c r="R1659">
        <v>384</v>
      </c>
      <c r="S1659">
        <f t="shared" si="227"/>
        <v>-0.94492711178191702</v>
      </c>
      <c r="T1659">
        <f t="shared" si="228"/>
        <v>0</v>
      </c>
      <c r="U1659">
        <f t="shared" si="229"/>
        <v>1</v>
      </c>
      <c r="V1659">
        <f t="shared" si="230"/>
        <v>0</v>
      </c>
      <c r="W1659">
        <f t="shared" si="231"/>
        <v>2</v>
      </c>
      <c r="X1659">
        <f t="shared" si="232"/>
        <v>0</v>
      </c>
      <c r="Y1659">
        <f t="shared" si="233"/>
        <v>0</v>
      </c>
    </row>
    <row r="1660" spans="1:25" x14ac:dyDescent="0.3">
      <c r="A1660" t="s">
        <v>530</v>
      </c>
      <c r="B1660" t="s">
        <v>531</v>
      </c>
      <c r="C1660" s="1">
        <v>45731</v>
      </c>
      <c r="D1660" s="3">
        <v>0.94827546296296295</v>
      </c>
      <c r="E1660">
        <f t="shared" si="234"/>
        <v>22</v>
      </c>
      <c r="F1660">
        <v>49</v>
      </c>
      <c r="G1660" t="s">
        <v>46</v>
      </c>
      <c r="H1660" t="s">
        <v>61</v>
      </c>
      <c r="I1660" t="s">
        <v>119</v>
      </c>
      <c r="J1660" t="s">
        <v>94</v>
      </c>
      <c r="K1660" t="s">
        <v>114</v>
      </c>
      <c r="L1660">
        <v>106.24</v>
      </c>
      <c r="M1660" t="s">
        <v>33</v>
      </c>
      <c r="N1660">
        <f t="shared" si="226"/>
        <v>0</v>
      </c>
      <c r="O1660" t="s">
        <v>86</v>
      </c>
      <c r="P1660" t="s">
        <v>532</v>
      </c>
      <c r="Q1660">
        <v>0</v>
      </c>
      <c r="R1660">
        <v>168</v>
      </c>
      <c r="S1660">
        <f t="shared" si="227"/>
        <v>-0.94658842291904821</v>
      </c>
      <c r="T1660">
        <f t="shared" si="228"/>
        <v>0</v>
      </c>
      <c r="U1660">
        <f t="shared" si="229"/>
        <v>0</v>
      </c>
      <c r="V1660">
        <f t="shared" si="230"/>
        <v>1</v>
      </c>
      <c r="W1660">
        <f t="shared" si="231"/>
        <v>1</v>
      </c>
      <c r="X1660">
        <f t="shared" si="232"/>
        <v>0</v>
      </c>
      <c r="Y1660">
        <f t="shared" si="233"/>
        <v>0</v>
      </c>
    </row>
    <row r="1661" spans="1:25" x14ac:dyDescent="0.3">
      <c r="A1661" t="s">
        <v>488</v>
      </c>
      <c r="B1661" t="s">
        <v>489</v>
      </c>
      <c r="C1661" s="1">
        <v>45742</v>
      </c>
      <c r="D1661" s="3">
        <v>0.99031250000000004</v>
      </c>
      <c r="E1661">
        <f t="shared" si="234"/>
        <v>23</v>
      </c>
      <c r="F1661">
        <v>18</v>
      </c>
      <c r="G1661" t="s">
        <v>18</v>
      </c>
      <c r="H1661" t="s">
        <v>38</v>
      </c>
      <c r="I1661" t="s">
        <v>105</v>
      </c>
      <c r="J1661" t="s">
        <v>49</v>
      </c>
      <c r="K1661" t="s">
        <v>32</v>
      </c>
      <c r="L1661">
        <v>106.22</v>
      </c>
      <c r="M1661" t="s">
        <v>33</v>
      </c>
      <c r="N1661">
        <f t="shared" si="226"/>
        <v>0</v>
      </c>
      <c r="O1661" t="s">
        <v>34</v>
      </c>
      <c r="P1661" t="s">
        <v>490</v>
      </c>
      <c r="Q1661">
        <v>0</v>
      </c>
      <c r="R1661">
        <v>124</v>
      </c>
      <c r="S1661">
        <f t="shared" si="227"/>
        <v>-0.94686530810856995</v>
      </c>
      <c r="T1661">
        <f t="shared" si="228"/>
        <v>0</v>
      </c>
      <c r="U1661">
        <f t="shared" si="229"/>
        <v>0</v>
      </c>
      <c r="V1661">
        <f t="shared" si="230"/>
        <v>1</v>
      </c>
      <c r="W1661">
        <f t="shared" si="231"/>
        <v>1</v>
      </c>
      <c r="X1661">
        <f t="shared" si="232"/>
        <v>0</v>
      </c>
      <c r="Y1661">
        <f t="shared" si="233"/>
        <v>0</v>
      </c>
    </row>
    <row r="1662" spans="1:25" x14ac:dyDescent="0.3">
      <c r="A1662" t="s">
        <v>6284</v>
      </c>
      <c r="B1662" t="s">
        <v>6285</v>
      </c>
      <c r="C1662" s="1">
        <v>45750</v>
      </c>
      <c r="D1662" s="3">
        <v>0.53188657407407403</v>
      </c>
      <c r="E1662">
        <f t="shared" si="234"/>
        <v>12</v>
      </c>
      <c r="F1662">
        <v>60</v>
      </c>
      <c r="G1662" t="s">
        <v>46</v>
      </c>
      <c r="H1662" t="s">
        <v>19</v>
      </c>
      <c r="I1662" t="s">
        <v>85</v>
      </c>
      <c r="J1662" t="s">
        <v>49</v>
      </c>
      <c r="K1662" t="s">
        <v>95</v>
      </c>
      <c r="L1662">
        <v>106.21</v>
      </c>
      <c r="M1662" t="s">
        <v>33</v>
      </c>
      <c r="N1662">
        <f t="shared" si="226"/>
        <v>0</v>
      </c>
      <c r="O1662" t="s">
        <v>86</v>
      </c>
      <c r="P1662" t="s">
        <v>6286</v>
      </c>
      <c r="Q1662">
        <v>0</v>
      </c>
      <c r="R1662">
        <v>175</v>
      </c>
      <c r="S1662">
        <f t="shared" si="227"/>
        <v>-0.94700375070333098</v>
      </c>
      <c r="T1662">
        <f t="shared" si="228"/>
        <v>0</v>
      </c>
      <c r="U1662">
        <f t="shared" si="229"/>
        <v>0</v>
      </c>
      <c r="V1662">
        <f t="shared" si="230"/>
        <v>1</v>
      </c>
      <c r="W1662">
        <f t="shared" si="231"/>
        <v>1</v>
      </c>
      <c r="X1662">
        <f t="shared" si="232"/>
        <v>0</v>
      </c>
      <c r="Y1662">
        <f t="shared" si="233"/>
        <v>0</v>
      </c>
    </row>
    <row r="1663" spans="1:25" x14ac:dyDescent="0.3">
      <c r="A1663" t="s">
        <v>1073</v>
      </c>
      <c r="B1663" t="s">
        <v>1074</v>
      </c>
      <c r="C1663" s="1">
        <v>45719</v>
      </c>
      <c r="D1663" s="3">
        <v>0.52561342592592597</v>
      </c>
      <c r="E1663">
        <f t="shared" si="234"/>
        <v>12</v>
      </c>
      <c r="F1663">
        <v>38</v>
      </c>
      <c r="G1663" t="s">
        <v>18</v>
      </c>
      <c r="H1663" t="s">
        <v>38</v>
      </c>
      <c r="I1663" t="s">
        <v>110</v>
      </c>
      <c r="J1663" t="s">
        <v>127</v>
      </c>
      <c r="K1663" t="s">
        <v>114</v>
      </c>
      <c r="L1663">
        <v>106.2</v>
      </c>
      <c r="M1663" t="s">
        <v>115</v>
      </c>
      <c r="N1663">
        <f t="shared" si="226"/>
        <v>0</v>
      </c>
      <c r="O1663" t="s">
        <v>34</v>
      </c>
      <c r="P1663" t="s">
        <v>1075</v>
      </c>
      <c r="Q1663">
        <v>0</v>
      </c>
      <c r="R1663">
        <v>96</v>
      </c>
      <c r="S1663">
        <f t="shared" si="227"/>
        <v>-0.94714219329809179</v>
      </c>
      <c r="T1663">
        <f t="shared" si="228"/>
        <v>0</v>
      </c>
      <c r="U1663">
        <f t="shared" si="229"/>
        <v>0</v>
      </c>
      <c r="V1663">
        <f t="shared" si="230"/>
        <v>1</v>
      </c>
      <c r="W1663">
        <f t="shared" si="231"/>
        <v>1</v>
      </c>
      <c r="X1663">
        <f t="shared" si="232"/>
        <v>0</v>
      </c>
      <c r="Y1663">
        <f t="shared" si="233"/>
        <v>0</v>
      </c>
    </row>
    <row r="1664" spans="1:25" x14ac:dyDescent="0.3">
      <c r="A1664" t="s">
        <v>4805</v>
      </c>
      <c r="B1664" t="s">
        <v>4806</v>
      </c>
      <c r="C1664" s="1">
        <v>45848</v>
      </c>
      <c r="D1664" s="3">
        <v>0.42804398148148148</v>
      </c>
      <c r="E1664">
        <f t="shared" si="234"/>
        <v>10</v>
      </c>
      <c r="F1664">
        <v>32</v>
      </c>
      <c r="G1664" t="s">
        <v>28</v>
      </c>
      <c r="H1664" t="s">
        <v>47</v>
      </c>
      <c r="I1664" t="s">
        <v>110</v>
      </c>
      <c r="J1664" t="s">
        <v>56</v>
      </c>
      <c r="K1664" t="s">
        <v>41</v>
      </c>
      <c r="L1664">
        <v>106.19</v>
      </c>
      <c r="M1664" t="s">
        <v>42</v>
      </c>
      <c r="N1664">
        <f t="shared" si="226"/>
        <v>0</v>
      </c>
      <c r="O1664" t="s">
        <v>34</v>
      </c>
      <c r="P1664" t="s">
        <v>4807</v>
      </c>
      <c r="Q1664">
        <v>0</v>
      </c>
      <c r="R1664">
        <v>205</v>
      </c>
      <c r="S1664">
        <f t="shared" si="227"/>
        <v>-0.94728063589285283</v>
      </c>
      <c r="T1664">
        <f t="shared" si="228"/>
        <v>0</v>
      </c>
      <c r="U1664">
        <f t="shared" si="229"/>
        <v>0</v>
      </c>
      <c r="V1664">
        <f t="shared" si="230"/>
        <v>1</v>
      </c>
      <c r="W1664">
        <f t="shared" si="231"/>
        <v>1</v>
      </c>
      <c r="X1664">
        <f t="shared" si="232"/>
        <v>0</v>
      </c>
      <c r="Y1664">
        <f t="shared" si="233"/>
        <v>0</v>
      </c>
    </row>
    <row r="1665" spans="1:25" x14ac:dyDescent="0.3">
      <c r="A1665" t="s">
        <v>845</v>
      </c>
      <c r="B1665" t="s">
        <v>846</v>
      </c>
      <c r="C1665" s="1">
        <v>45812</v>
      </c>
      <c r="D1665" s="3">
        <v>0.46332175925925928</v>
      </c>
      <c r="E1665">
        <f t="shared" si="234"/>
        <v>11</v>
      </c>
      <c r="F1665">
        <v>18</v>
      </c>
      <c r="G1665" t="s">
        <v>18</v>
      </c>
      <c r="H1665" t="s">
        <v>55</v>
      </c>
      <c r="I1665" t="s">
        <v>20</v>
      </c>
      <c r="J1665" t="s">
        <v>94</v>
      </c>
      <c r="K1665" t="s">
        <v>50</v>
      </c>
      <c r="L1665">
        <v>106.16</v>
      </c>
      <c r="M1665" t="s">
        <v>115</v>
      </c>
      <c r="N1665">
        <f t="shared" si="226"/>
        <v>0</v>
      </c>
      <c r="O1665" t="s">
        <v>24</v>
      </c>
      <c r="P1665" t="s">
        <v>847</v>
      </c>
      <c r="Q1665">
        <v>0</v>
      </c>
      <c r="R1665">
        <v>129</v>
      </c>
      <c r="S1665">
        <f t="shared" si="227"/>
        <v>-0.9476959636771356</v>
      </c>
      <c r="T1665">
        <f t="shared" si="228"/>
        <v>0</v>
      </c>
      <c r="U1665">
        <f t="shared" si="229"/>
        <v>0</v>
      </c>
      <c r="V1665">
        <f t="shared" si="230"/>
        <v>1</v>
      </c>
      <c r="W1665">
        <f t="shared" si="231"/>
        <v>1</v>
      </c>
      <c r="X1665">
        <f t="shared" si="232"/>
        <v>0</v>
      </c>
      <c r="Y1665">
        <f t="shared" si="233"/>
        <v>0</v>
      </c>
    </row>
    <row r="1666" spans="1:25" x14ac:dyDescent="0.3">
      <c r="A1666" t="s">
        <v>1973</v>
      </c>
      <c r="B1666" t="s">
        <v>1974</v>
      </c>
      <c r="C1666" s="1">
        <v>45817</v>
      </c>
      <c r="D1666" s="3">
        <v>0.17728009259259259</v>
      </c>
      <c r="E1666">
        <f t="shared" si="234"/>
        <v>4</v>
      </c>
      <c r="F1666">
        <v>55</v>
      </c>
      <c r="G1666" t="s">
        <v>18</v>
      </c>
      <c r="H1666" t="s">
        <v>38</v>
      </c>
      <c r="I1666" t="s">
        <v>39</v>
      </c>
      <c r="J1666" t="s">
        <v>76</v>
      </c>
      <c r="K1666" t="s">
        <v>114</v>
      </c>
      <c r="L1666">
        <v>106.12</v>
      </c>
      <c r="M1666" t="s">
        <v>115</v>
      </c>
      <c r="N1666">
        <f t="shared" ref="N1666:N1729" si="235">IF(M1666="Unknown",1,0)</f>
        <v>0</v>
      </c>
      <c r="O1666" t="s">
        <v>51</v>
      </c>
      <c r="P1666" t="s">
        <v>1975</v>
      </c>
      <c r="Q1666">
        <v>0</v>
      </c>
      <c r="R1666">
        <v>195</v>
      </c>
      <c r="S1666">
        <f t="shared" ref="S1666:S1729" si="236">(L1666-$P$2137)/$P$2138</f>
        <v>-0.94824973405617918</v>
      </c>
      <c r="T1666">
        <f t="shared" ref="T1666:T1729" si="237">IF(ABS(Z1666)&gt;3,1,0)</f>
        <v>0</v>
      </c>
      <c r="U1666">
        <f t="shared" ref="U1666:U1729" si="238">IF(AND(E1666&gt;=0,E1666&lt;=5),1,0)</f>
        <v>1</v>
      </c>
      <c r="V1666">
        <f t="shared" ref="V1666:V1729" si="239">IF(R1666&lt;AVERAGE($R:$R),1,0)</f>
        <v>1</v>
      </c>
      <c r="W1666">
        <f t="shared" ref="W1666:W1729" si="240">T1666*3+U1666*2+V1666*1+N1666*2</f>
        <v>3</v>
      </c>
      <c r="X1666">
        <f t="shared" ref="X1666:X1729" si="241">IF(W1666&gt;=5,1,0)</f>
        <v>0</v>
      </c>
      <c r="Y1666">
        <f t="shared" ref="Y1666:Y1729" si="242">IF(M1666="Unknown",1,0)</f>
        <v>0</v>
      </c>
    </row>
    <row r="1667" spans="1:25" x14ac:dyDescent="0.3">
      <c r="A1667" t="s">
        <v>3371</v>
      </c>
      <c r="B1667" t="s">
        <v>3372</v>
      </c>
      <c r="C1667" s="1">
        <v>45742</v>
      </c>
      <c r="D1667" s="3">
        <v>4.6435185185185184E-2</v>
      </c>
      <c r="E1667">
        <f t="shared" si="234"/>
        <v>1</v>
      </c>
      <c r="F1667">
        <v>64</v>
      </c>
      <c r="G1667" t="s">
        <v>18</v>
      </c>
      <c r="H1667" t="s">
        <v>38</v>
      </c>
      <c r="I1667" t="s">
        <v>39</v>
      </c>
      <c r="J1667" t="s">
        <v>132</v>
      </c>
      <c r="K1667" t="s">
        <v>32</v>
      </c>
      <c r="L1667">
        <v>106.09</v>
      </c>
      <c r="M1667" t="s">
        <v>23</v>
      </c>
      <c r="N1667">
        <f t="shared" si="235"/>
        <v>0</v>
      </c>
      <c r="O1667" t="s">
        <v>86</v>
      </c>
      <c r="P1667" t="s">
        <v>3373</v>
      </c>
      <c r="Q1667">
        <v>0</v>
      </c>
      <c r="R1667">
        <v>443</v>
      </c>
      <c r="S1667">
        <f t="shared" si="236"/>
        <v>-0.94866506184046195</v>
      </c>
      <c r="T1667">
        <f t="shared" si="237"/>
        <v>0</v>
      </c>
      <c r="U1667">
        <f t="shared" si="238"/>
        <v>1</v>
      </c>
      <c r="V1667">
        <f t="shared" si="239"/>
        <v>0</v>
      </c>
      <c r="W1667">
        <f t="shared" si="240"/>
        <v>2</v>
      </c>
      <c r="X1667">
        <f t="shared" si="241"/>
        <v>0</v>
      </c>
      <c r="Y1667">
        <f t="shared" si="242"/>
        <v>0</v>
      </c>
    </row>
    <row r="1668" spans="1:25" x14ac:dyDescent="0.3">
      <c r="A1668" t="s">
        <v>323</v>
      </c>
      <c r="B1668" t="s">
        <v>324</v>
      </c>
      <c r="C1668" s="1">
        <v>45876</v>
      </c>
      <c r="D1668" s="3">
        <v>0.24467592592592594</v>
      </c>
      <c r="E1668">
        <f t="shared" si="234"/>
        <v>5</v>
      </c>
      <c r="F1668">
        <v>38</v>
      </c>
      <c r="G1668" t="s">
        <v>60</v>
      </c>
      <c r="H1668" t="s">
        <v>90</v>
      </c>
      <c r="I1668" t="s">
        <v>110</v>
      </c>
      <c r="J1668" t="s">
        <v>49</v>
      </c>
      <c r="K1668" t="s">
        <v>62</v>
      </c>
      <c r="L1668">
        <v>105.98</v>
      </c>
      <c r="M1668" t="s">
        <v>42</v>
      </c>
      <c r="N1668">
        <f t="shared" si="235"/>
        <v>0</v>
      </c>
      <c r="O1668" t="s">
        <v>24</v>
      </c>
      <c r="P1668" t="s">
        <v>325</v>
      </c>
      <c r="Q1668">
        <v>0</v>
      </c>
      <c r="R1668">
        <v>98</v>
      </c>
      <c r="S1668">
        <f t="shared" si="236"/>
        <v>-0.95018793038283211</v>
      </c>
      <c r="T1668">
        <f t="shared" si="237"/>
        <v>0</v>
      </c>
      <c r="U1668">
        <f t="shared" si="238"/>
        <v>1</v>
      </c>
      <c r="V1668">
        <f t="shared" si="239"/>
        <v>1</v>
      </c>
      <c r="W1668">
        <f t="shared" si="240"/>
        <v>3</v>
      </c>
      <c r="X1668">
        <f t="shared" si="241"/>
        <v>0</v>
      </c>
      <c r="Y1668">
        <f t="shared" si="242"/>
        <v>0</v>
      </c>
    </row>
    <row r="1669" spans="1:25" x14ac:dyDescent="0.3">
      <c r="A1669" t="s">
        <v>2645</v>
      </c>
      <c r="B1669" t="s">
        <v>2646</v>
      </c>
      <c r="C1669" s="1">
        <v>45764</v>
      </c>
      <c r="D1669" s="3">
        <v>0.88483796296296291</v>
      </c>
      <c r="E1669">
        <f t="shared" si="234"/>
        <v>21</v>
      </c>
      <c r="F1669">
        <v>44</v>
      </c>
      <c r="G1669" t="s">
        <v>46</v>
      </c>
      <c r="H1669" t="s">
        <v>232</v>
      </c>
      <c r="I1669" t="s">
        <v>39</v>
      </c>
      <c r="J1669" t="s">
        <v>132</v>
      </c>
      <c r="K1669" t="s">
        <v>95</v>
      </c>
      <c r="L1669">
        <v>105.98</v>
      </c>
      <c r="M1669" t="s">
        <v>33</v>
      </c>
      <c r="N1669">
        <f t="shared" si="235"/>
        <v>0</v>
      </c>
      <c r="O1669" t="s">
        <v>51</v>
      </c>
      <c r="P1669" t="s">
        <v>2647</v>
      </c>
      <c r="Q1669">
        <v>0</v>
      </c>
      <c r="R1669">
        <v>406</v>
      </c>
      <c r="S1669">
        <f t="shared" si="236"/>
        <v>-0.95018793038283211</v>
      </c>
      <c r="T1669">
        <f t="shared" si="237"/>
        <v>0</v>
      </c>
      <c r="U1669">
        <f t="shared" si="238"/>
        <v>0</v>
      </c>
      <c r="V1669">
        <f t="shared" si="239"/>
        <v>0</v>
      </c>
      <c r="W1669">
        <f t="shared" si="240"/>
        <v>0</v>
      </c>
      <c r="X1669">
        <f t="shared" si="241"/>
        <v>0</v>
      </c>
      <c r="Y1669">
        <f t="shared" si="242"/>
        <v>0</v>
      </c>
    </row>
    <row r="1670" spans="1:25" x14ac:dyDescent="0.3">
      <c r="A1670" t="s">
        <v>3191</v>
      </c>
      <c r="B1670" t="s">
        <v>3192</v>
      </c>
      <c r="C1670" s="1">
        <v>45815</v>
      </c>
      <c r="D1670" s="3">
        <v>0.56975694444444447</v>
      </c>
      <c r="E1670">
        <f t="shared" si="234"/>
        <v>13</v>
      </c>
      <c r="F1670">
        <v>48</v>
      </c>
      <c r="G1670" t="s">
        <v>18</v>
      </c>
      <c r="H1670" t="s">
        <v>185</v>
      </c>
      <c r="I1670" t="s">
        <v>71</v>
      </c>
      <c r="J1670" t="s">
        <v>31</v>
      </c>
      <c r="K1670" t="s">
        <v>114</v>
      </c>
      <c r="L1670">
        <v>105.74</v>
      </c>
      <c r="M1670" t="s">
        <v>33</v>
      </c>
      <c r="N1670">
        <f t="shared" si="235"/>
        <v>0</v>
      </c>
      <c r="O1670" t="s">
        <v>51</v>
      </c>
      <c r="P1670" t="s">
        <v>3193</v>
      </c>
      <c r="Q1670">
        <v>0</v>
      </c>
      <c r="R1670">
        <v>145</v>
      </c>
      <c r="S1670">
        <f t="shared" si="236"/>
        <v>-0.95351055265709439</v>
      </c>
      <c r="T1670">
        <f t="shared" si="237"/>
        <v>0</v>
      </c>
      <c r="U1670">
        <f t="shared" si="238"/>
        <v>0</v>
      </c>
      <c r="V1670">
        <f t="shared" si="239"/>
        <v>1</v>
      </c>
      <c r="W1670">
        <f t="shared" si="240"/>
        <v>1</v>
      </c>
      <c r="X1670">
        <f t="shared" si="241"/>
        <v>0</v>
      </c>
      <c r="Y1670">
        <f t="shared" si="242"/>
        <v>0</v>
      </c>
    </row>
    <row r="1671" spans="1:25" x14ac:dyDescent="0.3">
      <c r="A1671" t="s">
        <v>788</v>
      </c>
      <c r="B1671" t="s">
        <v>789</v>
      </c>
      <c r="C1671" s="1">
        <v>45720</v>
      </c>
      <c r="D1671" s="3">
        <v>6.1898148148148147E-2</v>
      </c>
      <c r="E1671">
        <f t="shared" si="234"/>
        <v>1</v>
      </c>
      <c r="F1671">
        <v>23</v>
      </c>
      <c r="G1671" t="s">
        <v>18</v>
      </c>
      <c r="H1671" t="s">
        <v>55</v>
      </c>
      <c r="I1671" t="s">
        <v>110</v>
      </c>
      <c r="J1671" t="s">
        <v>132</v>
      </c>
      <c r="K1671" t="s">
        <v>95</v>
      </c>
      <c r="L1671">
        <v>105.69</v>
      </c>
      <c r="M1671" t="s">
        <v>23</v>
      </c>
      <c r="N1671">
        <f t="shared" si="235"/>
        <v>0</v>
      </c>
      <c r="O1671" t="s">
        <v>34</v>
      </c>
      <c r="P1671" t="s">
        <v>790</v>
      </c>
      <c r="Q1671">
        <v>0</v>
      </c>
      <c r="R1671">
        <v>414</v>
      </c>
      <c r="S1671">
        <f t="shared" si="236"/>
        <v>-0.95420276563089901</v>
      </c>
      <c r="T1671">
        <f t="shared" si="237"/>
        <v>0</v>
      </c>
      <c r="U1671">
        <f t="shared" si="238"/>
        <v>1</v>
      </c>
      <c r="V1671">
        <f t="shared" si="239"/>
        <v>0</v>
      </c>
      <c r="W1671">
        <f t="shared" si="240"/>
        <v>2</v>
      </c>
      <c r="X1671">
        <f t="shared" si="241"/>
        <v>0</v>
      </c>
      <c r="Y1671">
        <f t="shared" si="242"/>
        <v>0</v>
      </c>
    </row>
    <row r="1672" spans="1:25" x14ac:dyDescent="0.3">
      <c r="A1672" t="s">
        <v>3434</v>
      </c>
      <c r="B1672" t="s">
        <v>3435</v>
      </c>
      <c r="C1672" s="1">
        <v>45818</v>
      </c>
      <c r="D1672" s="3">
        <v>0.48542824074074076</v>
      </c>
      <c r="E1672">
        <f t="shared" si="234"/>
        <v>11</v>
      </c>
      <c r="F1672">
        <v>30</v>
      </c>
      <c r="G1672" t="s">
        <v>28</v>
      </c>
      <c r="H1672" t="s">
        <v>185</v>
      </c>
      <c r="I1672" t="s">
        <v>85</v>
      </c>
      <c r="J1672" t="s">
        <v>49</v>
      </c>
      <c r="K1672" t="s">
        <v>50</v>
      </c>
      <c r="L1672">
        <v>105.69</v>
      </c>
      <c r="M1672" t="s">
        <v>33</v>
      </c>
      <c r="N1672">
        <f t="shared" si="235"/>
        <v>0</v>
      </c>
      <c r="O1672" t="s">
        <v>51</v>
      </c>
      <c r="P1672" t="s">
        <v>3436</v>
      </c>
      <c r="Q1672">
        <v>0</v>
      </c>
      <c r="R1672">
        <v>133</v>
      </c>
      <c r="S1672">
        <f t="shared" si="236"/>
        <v>-0.95420276563089901</v>
      </c>
      <c r="T1672">
        <f t="shared" si="237"/>
        <v>0</v>
      </c>
      <c r="U1672">
        <f t="shared" si="238"/>
        <v>0</v>
      </c>
      <c r="V1672">
        <f t="shared" si="239"/>
        <v>1</v>
      </c>
      <c r="W1672">
        <f t="shared" si="240"/>
        <v>1</v>
      </c>
      <c r="X1672">
        <f t="shared" si="241"/>
        <v>0</v>
      </c>
      <c r="Y1672">
        <f t="shared" si="242"/>
        <v>0</v>
      </c>
    </row>
    <row r="1673" spans="1:25" x14ac:dyDescent="0.3">
      <c r="A1673" t="s">
        <v>1778</v>
      </c>
      <c r="B1673" t="s">
        <v>1779</v>
      </c>
      <c r="C1673" s="1">
        <v>45832</v>
      </c>
      <c r="D1673" s="3">
        <v>0.13111111111111112</v>
      </c>
      <c r="E1673">
        <f t="shared" si="234"/>
        <v>3</v>
      </c>
      <c r="F1673">
        <v>30</v>
      </c>
      <c r="G1673" t="s">
        <v>28</v>
      </c>
      <c r="H1673" t="s">
        <v>38</v>
      </c>
      <c r="I1673" t="s">
        <v>39</v>
      </c>
      <c r="J1673" t="s">
        <v>127</v>
      </c>
      <c r="K1673" t="s">
        <v>41</v>
      </c>
      <c r="L1673">
        <v>105.59</v>
      </c>
      <c r="M1673" t="s">
        <v>23</v>
      </c>
      <c r="N1673">
        <f t="shared" si="235"/>
        <v>0</v>
      </c>
      <c r="O1673" t="s">
        <v>86</v>
      </c>
      <c r="P1673" t="s">
        <v>1780</v>
      </c>
      <c r="Q1673">
        <v>0</v>
      </c>
      <c r="R1673">
        <v>463</v>
      </c>
      <c r="S1673">
        <f t="shared" si="236"/>
        <v>-0.95558719157850813</v>
      </c>
      <c r="T1673">
        <f t="shared" si="237"/>
        <v>0</v>
      </c>
      <c r="U1673">
        <f t="shared" si="238"/>
        <v>1</v>
      </c>
      <c r="V1673">
        <f t="shared" si="239"/>
        <v>0</v>
      </c>
      <c r="W1673">
        <f t="shared" si="240"/>
        <v>2</v>
      </c>
      <c r="X1673">
        <f t="shared" si="241"/>
        <v>0</v>
      </c>
      <c r="Y1673">
        <f t="shared" si="242"/>
        <v>0</v>
      </c>
    </row>
    <row r="1674" spans="1:25" x14ac:dyDescent="0.3">
      <c r="A1674" t="s">
        <v>2621</v>
      </c>
      <c r="B1674" t="s">
        <v>2622</v>
      </c>
      <c r="C1674" s="1">
        <v>45827</v>
      </c>
      <c r="D1674" s="3">
        <v>0.15694444444444444</v>
      </c>
      <c r="E1674">
        <f t="shared" si="234"/>
        <v>3</v>
      </c>
      <c r="F1674">
        <v>25</v>
      </c>
      <c r="G1674" t="s">
        <v>46</v>
      </c>
      <c r="H1674" t="s">
        <v>167</v>
      </c>
      <c r="I1674" t="s">
        <v>71</v>
      </c>
      <c r="J1674" t="s">
        <v>49</v>
      </c>
      <c r="K1674" t="s">
        <v>22</v>
      </c>
      <c r="L1674">
        <v>105.57</v>
      </c>
      <c r="M1674" t="s">
        <v>42</v>
      </c>
      <c r="N1674">
        <f t="shared" si="235"/>
        <v>0</v>
      </c>
      <c r="O1674" t="s">
        <v>24</v>
      </c>
      <c r="P1674" t="s">
        <v>2623</v>
      </c>
      <c r="Q1674">
        <v>0</v>
      </c>
      <c r="R1674">
        <v>105</v>
      </c>
      <c r="S1674">
        <f t="shared" si="236"/>
        <v>-0.9558640767680302</v>
      </c>
      <c r="T1674">
        <f t="shared" si="237"/>
        <v>0</v>
      </c>
      <c r="U1674">
        <f t="shared" si="238"/>
        <v>1</v>
      </c>
      <c r="V1674">
        <f t="shared" si="239"/>
        <v>1</v>
      </c>
      <c r="W1674">
        <f t="shared" si="240"/>
        <v>3</v>
      </c>
      <c r="X1674">
        <f t="shared" si="241"/>
        <v>0</v>
      </c>
      <c r="Y1674">
        <f t="shared" si="242"/>
        <v>0</v>
      </c>
    </row>
    <row r="1675" spans="1:25" x14ac:dyDescent="0.3">
      <c r="A1675" t="s">
        <v>4214</v>
      </c>
      <c r="B1675" t="s">
        <v>4215</v>
      </c>
      <c r="C1675" s="1">
        <v>45726</v>
      </c>
      <c r="D1675" s="3">
        <v>0.96987268518518521</v>
      </c>
      <c r="E1675">
        <f t="shared" si="234"/>
        <v>23</v>
      </c>
      <c r="F1675">
        <v>42</v>
      </c>
      <c r="G1675" t="s">
        <v>46</v>
      </c>
      <c r="H1675" t="s">
        <v>312</v>
      </c>
      <c r="I1675" t="s">
        <v>48</v>
      </c>
      <c r="J1675" t="s">
        <v>40</v>
      </c>
      <c r="K1675" t="s">
        <v>41</v>
      </c>
      <c r="L1675">
        <v>105.5</v>
      </c>
      <c r="M1675" t="s">
        <v>33</v>
      </c>
      <c r="N1675">
        <f t="shared" si="235"/>
        <v>0</v>
      </c>
      <c r="O1675" t="s">
        <v>86</v>
      </c>
      <c r="P1675" t="s">
        <v>4216</v>
      </c>
      <c r="Q1675">
        <v>0</v>
      </c>
      <c r="R1675">
        <v>264</v>
      </c>
      <c r="S1675">
        <f t="shared" si="236"/>
        <v>-0.95683317493135656</v>
      </c>
      <c r="T1675">
        <f t="shared" si="237"/>
        <v>0</v>
      </c>
      <c r="U1675">
        <f t="shared" si="238"/>
        <v>0</v>
      </c>
      <c r="V1675">
        <f t="shared" si="239"/>
        <v>1</v>
      </c>
      <c r="W1675">
        <f t="shared" si="240"/>
        <v>1</v>
      </c>
      <c r="X1675">
        <f t="shared" si="241"/>
        <v>0</v>
      </c>
      <c r="Y1675">
        <f t="shared" si="242"/>
        <v>0</v>
      </c>
    </row>
    <row r="1676" spans="1:25" x14ac:dyDescent="0.3">
      <c r="A1676" s="2" t="s">
        <v>1964</v>
      </c>
      <c r="B1676" t="s">
        <v>1965</v>
      </c>
      <c r="C1676" s="1">
        <v>45816</v>
      </c>
      <c r="D1676" s="3">
        <v>0.20008101851851851</v>
      </c>
      <c r="E1676">
        <f t="shared" si="234"/>
        <v>4</v>
      </c>
      <c r="F1676">
        <v>22</v>
      </c>
      <c r="G1676" t="s">
        <v>60</v>
      </c>
      <c r="H1676" t="s">
        <v>142</v>
      </c>
      <c r="I1676" t="s">
        <v>39</v>
      </c>
      <c r="J1676" t="s">
        <v>40</v>
      </c>
      <c r="K1676" t="s">
        <v>168</v>
      </c>
      <c r="L1676">
        <v>105.35</v>
      </c>
      <c r="M1676" t="s">
        <v>33</v>
      </c>
      <c r="N1676">
        <f t="shared" si="235"/>
        <v>0</v>
      </c>
      <c r="O1676" t="s">
        <v>34</v>
      </c>
      <c r="P1676" t="s">
        <v>1966</v>
      </c>
      <c r="Q1676">
        <v>0</v>
      </c>
      <c r="R1676">
        <v>163</v>
      </c>
      <c r="S1676">
        <f t="shared" si="236"/>
        <v>-0.95890981385277052</v>
      </c>
      <c r="T1676">
        <f t="shared" si="237"/>
        <v>0</v>
      </c>
      <c r="U1676">
        <f t="shared" si="238"/>
        <v>1</v>
      </c>
      <c r="V1676">
        <f t="shared" si="239"/>
        <v>1</v>
      </c>
      <c r="W1676">
        <f t="shared" si="240"/>
        <v>3</v>
      </c>
      <c r="X1676">
        <f t="shared" si="241"/>
        <v>0</v>
      </c>
      <c r="Y1676">
        <f t="shared" si="242"/>
        <v>0</v>
      </c>
    </row>
    <row r="1677" spans="1:25" x14ac:dyDescent="0.3">
      <c r="A1677" t="s">
        <v>4106</v>
      </c>
      <c r="B1677" s="2" t="s">
        <v>4107</v>
      </c>
      <c r="C1677" s="1">
        <v>45839</v>
      </c>
      <c r="D1677" s="3">
        <v>0.49258101851851854</v>
      </c>
      <c r="E1677">
        <f t="shared" si="234"/>
        <v>11</v>
      </c>
      <c r="F1677">
        <v>27</v>
      </c>
      <c r="G1677" t="s">
        <v>46</v>
      </c>
      <c r="H1677" t="s">
        <v>84</v>
      </c>
      <c r="I1677" t="s">
        <v>66</v>
      </c>
      <c r="J1677" t="s">
        <v>127</v>
      </c>
      <c r="K1677" t="s">
        <v>50</v>
      </c>
      <c r="L1677">
        <v>104.82</v>
      </c>
      <c r="M1677" t="s">
        <v>115</v>
      </c>
      <c r="N1677">
        <f t="shared" si="235"/>
        <v>0</v>
      </c>
      <c r="O1677" t="s">
        <v>24</v>
      </c>
      <c r="P1677" t="s">
        <v>4108</v>
      </c>
      <c r="Q1677">
        <v>0</v>
      </c>
      <c r="R1677">
        <v>409</v>
      </c>
      <c r="S1677">
        <f t="shared" si="236"/>
        <v>-0.96624727137509947</v>
      </c>
      <c r="T1677">
        <f t="shared" si="237"/>
        <v>0</v>
      </c>
      <c r="U1677">
        <f t="shared" si="238"/>
        <v>0</v>
      </c>
      <c r="V1677">
        <f t="shared" si="239"/>
        <v>0</v>
      </c>
      <c r="W1677">
        <f t="shared" si="240"/>
        <v>0</v>
      </c>
      <c r="X1677">
        <f t="shared" si="241"/>
        <v>0</v>
      </c>
      <c r="Y1677">
        <f t="shared" si="242"/>
        <v>0</v>
      </c>
    </row>
    <row r="1678" spans="1:25" x14ac:dyDescent="0.3">
      <c r="A1678" t="s">
        <v>2876</v>
      </c>
      <c r="B1678" t="s">
        <v>2877</v>
      </c>
      <c r="C1678" s="1">
        <v>45779</v>
      </c>
      <c r="D1678" s="3">
        <v>0.93405092592592598</v>
      </c>
      <c r="E1678">
        <f t="shared" si="234"/>
        <v>22</v>
      </c>
      <c r="F1678">
        <v>21</v>
      </c>
      <c r="G1678" t="s">
        <v>18</v>
      </c>
      <c r="H1678" t="s">
        <v>47</v>
      </c>
      <c r="I1678" t="s">
        <v>110</v>
      </c>
      <c r="J1678" t="s">
        <v>56</v>
      </c>
      <c r="K1678" t="s">
        <v>114</v>
      </c>
      <c r="L1678">
        <v>104.75</v>
      </c>
      <c r="M1678" t="s">
        <v>33</v>
      </c>
      <c r="N1678">
        <f t="shared" si="235"/>
        <v>0</v>
      </c>
      <c r="O1678" t="s">
        <v>86</v>
      </c>
      <c r="P1678" t="s">
        <v>2878</v>
      </c>
      <c r="Q1678">
        <v>0</v>
      </c>
      <c r="R1678">
        <v>195</v>
      </c>
      <c r="S1678">
        <f t="shared" si="236"/>
        <v>-0.96721636953842594</v>
      </c>
      <c r="T1678">
        <f t="shared" si="237"/>
        <v>0</v>
      </c>
      <c r="U1678">
        <f t="shared" si="238"/>
        <v>0</v>
      </c>
      <c r="V1678">
        <f t="shared" si="239"/>
        <v>1</v>
      </c>
      <c r="W1678">
        <f t="shared" si="240"/>
        <v>1</v>
      </c>
      <c r="X1678">
        <f t="shared" si="241"/>
        <v>0</v>
      </c>
      <c r="Y1678">
        <f t="shared" si="242"/>
        <v>0</v>
      </c>
    </row>
    <row r="1679" spans="1:25" x14ac:dyDescent="0.3">
      <c r="A1679" t="s">
        <v>3611</v>
      </c>
      <c r="B1679" t="s">
        <v>3612</v>
      </c>
      <c r="C1679" s="1">
        <v>45738</v>
      </c>
      <c r="D1679" s="3">
        <v>0.90077546296296296</v>
      </c>
      <c r="E1679">
        <f t="shared" si="234"/>
        <v>21</v>
      </c>
      <c r="F1679">
        <v>31</v>
      </c>
      <c r="G1679" t="s">
        <v>18</v>
      </c>
      <c r="H1679" t="s">
        <v>185</v>
      </c>
      <c r="I1679" t="s">
        <v>39</v>
      </c>
      <c r="J1679" t="s">
        <v>31</v>
      </c>
      <c r="K1679" t="s">
        <v>62</v>
      </c>
      <c r="L1679">
        <v>104.37</v>
      </c>
      <c r="M1679" t="s">
        <v>42</v>
      </c>
      <c r="N1679">
        <f t="shared" si="235"/>
        <v>0</v>
      </c>
      <c r="O1679" t="s">
        <v>34</v>
      </c>
      <c r="P1679" t="s">
        <v>3613</v>
      </c>
      <c r="Q1679">
        <v>0</v>
      </c>
      <c r="R1679">
        <v>79</v>
      </c>
      <c r="S1679">
        <f t="shared" si="236"/>
        <v>-0.97247718813934092</v>
      </c>
      <c r="T1679">
        <f t="shared" si="237"/>
        <v>0</v>
      </c>
      <c r="U1679">
        <f t="shared" si="238"/>
        <v>0</v>
      </c>
      <c r="V1679">
        <f t="shared" si="239"/>
        <v>1</v>
      </c>
      <c r="W1679">
        <f t="shared" si="240"/>
        <v>1</v>
      </c>
      <c r="X1679">
        <f t="shared" si="241"/>
        <v>0</v>
      </c>
      <c r="Y1679">
        <f t="shared" si="242"/>
        <v>0</v>
      </c>
    </row>
    <row r="1680" spans="1:25" x14ac:dyDescent="0.3">
      <c r="A1680" t="s">
        <v>2003</v>
      </c>
      <c r="B1680" t="s">
        <v>2004</v>
      </c>
      <c r="C1680" s="1">
        <v>45814</v>
      </c>
      <c r="D1680" s="3">
        <v>0.31347222222222221</v>
      </c>
      <c r="E1680">
        <f t="shared" si="234"/>
        <v>7</v>
      </c>
      <c r="F1680">
        <v>62</v>
      </c>
      <c r="G1680" t="s">
        <v>46</v>
      </c>
      <c r="H1680" t="s">
        <v>80</v>
      </c>
      <c r="I1680" t="s">
        <v>119</v>
      </c>
      <c r="J1680" t="s">
        <v>76</v>
      </c>
      <c r="K1680" t="s">
        <v>22</v>
      </c>
      <c r="L1680">
        <v>104.24</v>
      </c>
      <c r="M1680" t="s">
        <v>115</v>
      </c>
      <c r="N1680">
        <f t="shared" si="235"/>
        <v>0</v>
      </c>
      <c r="O1680" t="s">
        <v>51</v>
      </c>
      <c r="P1680" t="s">
        <v>2005</v>
      </c>
      <c r="Q1680">
        <v>1</v>
      </c>
      <c r="R1680">
        <v>107</v>
      </c>
      <c r="S1680">
        <f t="shared" si="236"/>
        <v>-0.97427694187123315</v>
      </c>
      <c r="T1680">
        <f t="shared" si="237"/>
        <v>0</v>
      </c>
      <c r="U1680">
        <f t="shared" si="238"/>
        <v>0</v>
      </c>
      <c r="V1680">
        <f t="shared" si="239"/>
        <v>1</v>
      </c>
      <c r="W1680">
        <f t="shared" si="240"/>
        <v>1</v>
      </c>
      <c r="X1680">
        <f t="shared" si="241"/>
        <v>0</v>
      </c>
      <c r="Y1680">
        <f t="shared" si="242"/>
        <v>0</v>
      </c>
    </row>
    <row r="1681" spans="1:25" x14ac:dyDescent="0.3">
      <c r="A1681" t="s">
        <v>4868</v>
      </c>
      <c r="B1681" t="s">
        <v>4869</v>
      </c>
      <c r="C1681" s="1">
        <v>45703</v>
      </c>
      <c r="D1681" s="3">
        <v>0.61799768518518516</v>
      </c>
      <c r="E1681">
        <f t="shared" si="234"/>
        <v>14</v>
      </c>
      <c r="F1681">
        <v>46</v>
      </c>
      <c r="G1681" t="s">
        <v>46</v>
      </c>
      <c r="H1681" t="s">
        <v>232</v>
      </c>
      <c r="I1681" t="s">
        <v>105</v>
      </c>
      <c r="J1681" t="s">
        <v>31</v>
      </c>
      <c r="K1681" t="s">
        <v>62</v>
      </c>
      <c r="L1681">
        <v>104.19</v>
      </c>
      <c r="M1681" t="s">
        <v>42</v>
      </c>
      <c r="N1681">
        <f t="shared" si="235"/>
        <v>0</v>
      </c>
      <c r="O1681" t="s">
        <v>24</v>
      </c>
      <c r="P1681" t="s">
        <v>4870</v>
      </c>
      <c r="Q1681">
        <v>0</v>
      </c>
      <c r="R1681">
        <v>317</v>
      </c>
      <c r="S1681">
        <f t="shared" si="236"/>
        <v>-0.97496915484503766</v>
      </c>
      <c r="T1681">
        <f t="shared" si="237"/>
        <v>0</v>
      </c>
      <c r="U1681">
        <f t="shared" si="238"/>
        <v>0</v>
      </c>
      <c r="V1681">
        <f t="shared" si="239"/>
        <v>0</v>
      </c>
      <c r="W1681">
        <f t="shared" si="240"/>
        <v>0</v>
      </c>
      <c r="X1681">
        <f t="shared" si="241"/>
        <v>0</v>
      </c>
      <c r="Y1681">
        <f t="shared" si="242"/>
        <v>0</v>
      </c>
    </row>
    <row r="1682" spans="1:25" x14ac:dyDescent="0.3">
      <c r="A1682" t="s">
        <v>5609</v>
      </c>
      <c r="B1682" t="s">
        <v>5610</v>
      </c>
      <c r="C1682" s="1">
        <v>45723</v>
      </c>
      <c r="D1682" s="3">
        <v>1.4733796296296297E-2</v>
      </c>
      <c r="E1682">
        <f t="shared" si="234"/>
        <v>0</v>
      </c>
      <c r="F1682">
        <v>47</v>
      </c>
      <c r="G1682" t="s">
        <v>6479</v>
      </c>
      <c r="H1682" t="s">
        <v>29</v>
      </c>
      <c r="I1682" t="s">
        <v>119</v>
      </c>
      <c r="J1682" t="s">
        <v>94</v>
      </c>
      <c r="K1682" t="s">
        <v>41</v>
      </c>
      <c r="L1682">
        <v>104</v>
      </c>
      <c r="M1682" t="s">
        <v>23</v>
      </c>
      <c r="N1682">
        <f t="shared" si="235"/>
        <v>0</v>
      </c>
      <c r="O1682" t="s">
        <v>86</v>
      </c>
      <c r="P1682" t="s">
        <v>5611</v>
      </c>
      <c r="Q1682">
        <v>0</v>
      </c>
      <c r="R1682">
        <v>198</v>
      </c>
      <c r="S1682">
        <f t="shared" si="236"/>
        <v>-0.9775995641454952</v>
      </c>
      <c r="T1682">
        <f t="shared" si="237"/>
        <v>0</v>
      </c>
      <c r="U1682">
        <f t="shared" si="238"/>
        <v>1</v>
      </c>
      <c r="V1682">
        <f t="shared" si="239"/>
        <v>1</v>
      </c>
      <c r="W1682">
        <f t="shared" si="240"/>
        <v>3</v>
      </c>
      <c r="X1682">
        <f t="shared" si="241"/>
        <v>0</v>
      </c>
      <c r="Y1682">
        <f t="shared" si="242"/>
        <v>0</v>
      </c>
    </row>
    <row r="1683" spans="1:25" x14ac:dyDescent="0.3">
      <c r="A1683" t="s">
        <v>3758</v>
      </c>
      <c r="B1683" t="s">
        <v>3759</v>
      </c>
      <c r="C1683" s="1">
        <v>45807</v>
      </c>
      <c r="D1683" s="3">
        <v>0.92967592592592596</v>
      </c>
      <c r="E1683">
        <f t="shared" si="234"/>
        <v>22</v>
      </c>
      <c r="F1683">
        <v>38</v>
      </c>
      <c r="G1683" t="s">
        <v>46</v>
      </c>
      <c r="H1683" t="s">
        <v>100</v>
      </c>
      <c r="I1683" t="s">
        <v>20</v>
      </c>
      <c r="J1683" t="s">
        <v>94</v>
      </c>
      <c r="K1683" t="s">
        <v>114</v>
      </c>
      <c r="L1683">
        <v>103.94</v>
      </c>
      <c r="M1683" t="s">
        <v>33</v>
      </c>
      <c r="N1683">
        <f t="shared" si="235"/>
        <v>0</v>
      </c>
      <c r="O1683" t="s">
        <v>24</v>
      </c>
      <c r="P1683" t="s">
        <v>3760</v>
      </c>
      <c r="Q1683">
        <v>0</v>
      </c>
      <c r="R1683">
        <v>476</v>
      </c>
      <c r="S1683">
        <f t="shared" si="236"/>
        <v>-0.97843021971406086</v>
      </c>
      <c r="T1683">
        <f t="shared" si="237"/>
        <v>0</v>
      </c>
      <c r="U1683">
        <f t="shared" si="238"/>
        <v>0</v>
      </c>
      <c r="V1683">
        <f t="shared" si="239"/>
        <v>0</v>
      </c>
      <c r="W1683">
        <f t="shared" si="240"/>
        <v>0</v>
      </c>
      <c r="X1683">
        <f t="shared" si="241"/>
        <v>0</v>
      </c>
      <c r="Y1683">
        <f t="shared" si="242"/>
        <v>0</v>
      </c>
    </row>
    <row r="1684" spans="1:25" x14ac:dyDescent="0.3">
      <c r="A1684" t="s">
        <v>268</v>
      </c>
      <c r="B1684" t="s">
        <v>269</v>
      </c>
      <c r="C1684" s="1">
        <v>45871</v>
      </c>
      <c r="D1684" s="3">
        <v>0.85715277777777776</v>
      </c>
      <c r="E1684">
        <f t="shared" si="234"/>
        <v>20</v>
      </c>
      <c r="F1684">
        <v>23</v>
      </c>
      <c r="G1684" t="s">
        <v>46</v>
      </c>
      <c r="H1684" t="s">
        <v>61</v>
      </c>
      <c r="I1684" t="s">
        <v>85</v>
      </c>
      <c r="J1684" t="s">
        <v>127</v>
      </c>
      <c r="K1684" t="s">
        <v>50</v>
      </c>
      <c r="L1684">
        <v>103.81</v>
      </c>
      <c r="M1684" t="s">
        <v>115</v>
      </c>
      <c r="N1684">
        <f t="shared" si="235"/>
        <v>0</v>
      </c>
      <c r="O1684" t="s">
        <v>51</v>
      </c>
      <c r="P1684" t="s">
        <v>270</v>
      </c>
      <c r="Q1684">
        <v>0</v>
      </c>
      <c r="R1684">
        <v>499</v>
      </c>
      <c r="S1684">
        <f t="shared" si="236"/>
        <v>-0.98022997344595275</v>
      </c>
      <c r="T1684">
        <f t="shared" si="237"/>
        <v>0</v>
      </c>
      <c r="U1684">
        <f t="shared" si="238"/>
        <v>0</v>
      </c>
      <c r="V1684">
        <f t="shared" si="239"/>
        <v>0</v>
      </c>
      <c r="W1684">
        <f t="shared" si="240"/>
        <v>0</v>
      </c>
      <c r="X1684">
        <f t="shared" si="241"/>
        <v>0</v>
      </c>
      <c r="Y1684">
        <f t="shared" si="242"/>
        <v>0</v>
      </c>
    </row>
    <row r="1685" spans="1:25" x14ac:dyDescent="0.3">
      <c r="A1685" t="s">
        <v>5231</v>
      </c>
      <c r="B1685" t="s">
        <v>5232</v>
      </c>
      <c r="C1685" s="1">
        <v>45864</v>
      </c>
      <c r="D1685" s="3">
        <v>0.68386574074074069</v>
      </c>
      <c r="E1685">
        <f t="shared" si="234"/>
        <v>16</v>
      </c>
      <c r="F1685">
        <v>63</v>
      </c>
      <c r="G1685" t="s">
        <v>60</v>
      </c>
      <c r="H1685" t="s">
        <v>142</v>
      </c>
      <c r="I1685" t="s">
        <v>71</v>
      </c>
      <c r="J1685" t="s">
        <v>31</v>
      </c>
      <c r="K1685" t="s">
        <v>32</v>
      </c>
      <c r="L1685">
        <v>103.81</v>
      </c>
      <c r="M1685" t="s">
        <v>33</v>
      </c>
      <c r="N1685">
        <f t="shared" si="235"/>
        <v>0</v>
      </c>
      <c r="O1685" t="s">
        <v>51</v>
      </c>
      <c r="P1685" t="s">
        <v>5233</v>
      </c>
      <c r="Q1685">
        <v>0</v>
      </c>
      <c r="R1685">
        <v>353</v>
      </c>
      <c r="S1685">
        <f t="shared" si="236"/>
        <v>-0.98022997344595275</v>
      </c>
      <c r="T1685">
        <f t="shared" si="237"/>
        <v>0</v>
      </c>
      <c r="U1685">
        <f t="shared" si="238"/>
        <v>0</v>
      </c>
      <c r="V1685">
        <f t="shared" si="239"/>
        <v>0</v>
      </c>
      <c r="W1685">
        <f t="shared" si="240"/>
        <v>0</v>
      </c>
      <c r="X1685">
        <f t="shared" si="241"/>
        <v>0</v>
      </c>
      <c r="Y1685">
        <f t="shared" si="242"/>
        <v>0</v>
      </c>
    </row>
    <row r="1686" spans="1:25" x14ac:dyDescent="0.3">
      <c r="A1686" t="s">
        <v>5621</v>
      </c>
      <c r="B1686" t="s">
        <v>5622</v>
      </c>
      <c r="C1686" s="1">
        <v>45866</v>
      </c>
      <c r="D1686" s="3">
        <v>0.82371527777777775</v>
      </c>
      <c r="E1686">
        <f t="shared" si="234"/>
        <v>19</v>
      </c>
      <c r="F1686">
        <v>61</v>
      </c>
      <c r="G1686" t="s">
        <v>46</v>
      </c>
      <c r="H1686" t="s">
        <v>185</v>
      </c>
      <c r="I1686" t="s">
        <v>39</v>
      </c>
      <c r="J1686" t="s">
        <v>127</v>
      </c>
      <c r="K1686" t="s">
        <v>50</v>
      </c>
      <c r="L1686">
        <v>103.47</v>
      </c>
      <c r="M1686" t="s">
        <v>33</v>
      </c>
      <c r="N1686">
        <f t="shared" si="235"/>
        <v>0</v>
      </c>
      <c r="O1686" t="s">
        <v>86</v>
      </c>
      <c r="P1686" t="s">
        <v>5623</v>
      </c>
      <c r="Q1686">
        <v>0</v>
      </c>
      <c r="R1686">
        <v>458</v>
      </c>
      <c r="S1686">
        <f t="shared" si="236"/>
        <v>-0.98493702166782426</v>
      </c>
      <c r="T1686">
        <f t="shared" si="237"/>
        <v>0</v>
      </c>
      <c r="U1686">
        <f t="shared" si="238"/>
        <v>0</v>
      </c>
      <c r="V1686">
        <f t="shared" si="239"/>
        <v>0</v>
      </c>
      <c r="W1686">
        <f t="shared" si="240"/>
        <v>0</v>
      </c>
      <c r="X1686">
        <f t="shared" si="241"/>
        <v>0</v>
      </c>
      <c r="Y1686">
        <f t="shared" si="242"/>
        <v>0</v>
      </c>
    </row>
    <row r="1687" spans="1:25" x14ac:dyDescent="0.3">
      <c r="A1687" t="s">
        <v>5522</v>
      </c>
      <c r="B1687" t="s">
        <v>5523</v>
      </c>
      <c r="C1687" s="1">
        <v>45855</v>
      </c>
      <c r="D1687" s="3">
        <v>0.7258796296296296</v>
      </c>
      <c r="E1687">
        <f t="shared" si="234"/>
        <v>17</v>
      </c>
      <c r="F1687">
        <v>51</v>
      </c>
      <c r="G1687" t="s">
        <v>46</v>
      </c>
      <c r="H1687" t="s">
        <v>100</v>
      </c>
      <c r="I1687" t="s">
        <v>85</v>
      </c>
      <c r="J1687" t="s">
        <v>49</v>
      </c>
      <c r="K1687" t="s">
        <v>101</v>
      </c>
      <c r="L1687">
        <v>103.16</v>
      </c>
      <c r="M1687" t="s">
        <v>115</v>
      </c>
      <c r="N1687">
        <f t="shared" si="235"/>
        <v>0</v>
      </c>
      <c r="O1687" t="s">
        <v>24</v>
      </c>
      <c r="P1687" t="s">
        <v>5524</v>
      </c>
      <c r="Q1687">
        <v>0</v>
      </c>
      <c r="R1687">
        <v>475</v>
      </c>
      <c r="S1687">
        <f t="shared" si="236"/>
        <v>-0.98922874210541289</v>
      </c>
      <c r="T1687">
        <f t="shared" si="237"/>
        <v>0</v>
      </c>
      <c r="U1687">
        <f t="shared" si="238"/>
        <v>0</v>
      </c>
      <c r="V1687">
        <f t="shared" si="239"/>
        <v>0</v>
      </c>
      <c r="W1687">
        <f t="shared" si="240"/>
        <v>0</v>
      </c>
      <c r="X1687">
        <f t="shared" si="241"/>
        <v>0</v>
      </c>
      <c r="Y1687">
        <f t="shared" si="242"/>
        <v>0</v>
      </c>
    </row>
    <row r="1688" spans="1:25" x14ac:dyDescent="0.3">
      <c r="A1688" t="s">
        <v>4949</v>
      </c>
      <c r="B1688" t="s">
        <v>4950</v>
      </c>
      <c r="C1688" s="1">
        <v>45860</v>
      </c>
      <c r="D1688" s="3">
        <v>0.87263888888888885</v>
      </c>
      <c r="E1688">
        <f t="shared" si="234"/>
        <v>20</v>
      </c>
      <c r="F1688">
        <v>64</v>
      </c>
      <c r="G1688" t="s">
        <v>18</v>
      </c>
      <c r="H1688" t="s">
        <v>19</v>
      </c>
      <c r="I1688" t="s">
        <v>39</v>
      </c>
      <c r="J1688" t="s">
        <v>127</v>
      </c>
      <c r="K1688" t="s">
        <v>50</v>
      </c>
      <c r="L1688">
        <v>103.1</v>
      </c>
      <c r="M1688" t="s">
        <v>115</v>
      </c>
      <c r="N1688">
        <f t="shared" si="235"/>
        <v>0</v>
      </c>
      <c r="O1688" t="s">
        <v>34</v>
      </c>
      <c r="P1688" t="s">
        <v>4951</v>
      </c>
      <c r="Q1688">
        <v>0</v>
      </c>
      <c r="R1688">
        <v>393</v>
      </c>
      <c r="S1688">
        <f t="shared" si="236"/>
        <v>-0.99005939767397855</v>
      </c>
      <c r="T1688">
        <f t="shared" si="237"/>
        <v>0</v>
      </c>
      <c r="U1688">
        <f t="shared" si="238"/>
        <v>0</v>
      </c>
      <c r="V1688">
        <f t="shared" si="239"/>
        <v>0</v>
      </c>
      <c r="W1688">
        <f t="shared" si="240"/>
        <v>0</v>
      </c>
      <c r="X1688">
        <f t="shared" si="241"/>
        <v>0</v>
      </c>
      <c r="Y1688">
        <f t="shared" si="242"/>
        <v>0</v>
      </c>
    </row>
    <row r="1689" spans="1:25" x14ac:dyDescent="0.3">
      <c r="A1689" t="s">
        <v>617</v>
      </c>
      <c r="B1689" t="s">
        <v>618</v>
      </c>
      <c r="C1689" s="1">
        <v>45855</v>
      </c>
      <c r="D1689" s="3">
        <v>0.99651620370370375</v>
      </c>
      <c r="E1689">
        <f t="shared" si="234"/>
        <v>23</v>
      </c>
      <c r="F1689">
        <v>56</v>
      </c>
      <c r="G1689" t="s">
        <v>60</v>
      </c>
      <c r="H1689" t="s">
        <v>142</v>
      </c>
      <c r="I1689" t="s">
        <v>110</v>
      </c>
      <c r="J1689" t="s">
        <v>132</v>
      </c>
      <c r="K1689" t="s">
        <v>62</v>
      </c>
      <c r="L1689">
        <v>103.05</v>
      </c>
      <c r="M1689" t="s">
        <v>23</v>
      </c>
      <c r="N1689">
        <f t="shared" si="235"/>
        <v>0</v>
      </c>
      <c r="O1689" t="s">
        <v>51</v>
      </c>
      <c r="P1689" t="s">
        <v>619</v>
      </c>
      <c r="Q1689">
        <v>0</v>
      </c>
      <c r="R1689">
        <v>455</v>
      </c>
      <c r="S1689">
        <f t="shared" si="236"/>
        <v>-0.99075161064778305</v>
      </c>
      <c r="T1689">
        <f t="shared" si="237"/>
        <v>0</v>
      </c>
      <c r="U1689">
        <f t="shared" si="238"/>
        <v>0</v>
      </c>
      <c r="V1689">
        <f t="shared" si="239"/>
        <v>0</v>
      </c>
      <c r="W1689">
        <f t="shared" si="240"/>
        <v>0</v>
      </c>
      <c r="X1689">
        <f t="shared" si="241"/>
        <v>0</v>
      </c>
      <c r="Y1689">
        <f t="shared" si="242"/>
        <v>0</v>
      </c>
    </row>
    <row r="1690" spans="1:25" x14ac:dyDescent="0.3">
      <c r="A1690" t="s">
        <v>6179</v>
      </c>
      <c r="B1690" t="s">
        <v>6180</v>
      </c>
      <c r="C1690" s="1">
        <v>45862</v>
      </c>
      <c r="D1690" s="3">
        <v>7.0231481481481478E-2</v>
      </c>
      <c r="E1690">
        <f t="shared" si="234"/>
        <v>1</v>
      </c>
      <c r="F1690">
        <v>34</v>
      </c>
      <c r="G1690" t="s">
        <v>18</v>
      </c>
      <c r="H1690" t="s">
        <v>47</v>
      </c>
      <c r="I1690" t="s">
        <v>110</v>
      </c>
      <c r="J1690" t="s">
        <v>127</v>
      </c>
      <c r="K1690" t="s">
        <v>50</v>
      </c>
      <c r="L1690">
        <v>103.04</v>
      </c>
      <c r="M1690" t="s">
        <v>33</v>
      </c>
      <c r="N1690">
        <f t="shared" si="235"/>
        <v>0</v>
      </c>
      <c r="O1690" t="s">
        <v>86</v>
      </c>
      <c r="P1690" t="s">
        <v>6181</v>
      </c>
      <c r="Q1690">
        <v>0</v>
      </c>
      <c r="R1690">
        <v>143</v>
      </c>
      <c r="S1690">
        <f t="shared" si="236"/>
        <v>-0.99089005324254387</v>
      </c>
      <c r="T1690">
        <f t="shared" si="237"/>
        <v>0</v>
      </c>
      <c r="U1690">
        <f t="shared" si="238"/>
        <v>1</v>
      </c>
      <c r="V1690">
        <f t="shared" si="239"/>
        <v>1</v>
      </c>
      <c r="W1690">
        <f t="shared" si="240"/>
        <v>3</v>
      </c>
      <c r="X1690">
        <f t="shared" si="241"/>
        <v>0</v>
      </c>
      <c r="Y1690">
        <f t="shared" si="242"/>
        <v>0</v>
      </c>
    </row>
    <row r="1691" spans="1:25" x14ac:dyDescent="0.3">
      <c r="A1691" t="s">
        <v>2048</v>
      </c>
      <c r="B1691" t="s">
        <v>2049</v>
      </c>
      <c r="C1691" s="1">
        <v>45756</v>
      </c>
      <c r="D1691" s="3">
        <v>0.50393518518518521</v>
      </c>
      <c r="E1691">
        <f t="shared" si="234"/>
        <v>12</v>
      </c>
      <c r="F1691">
        <v>30</v>
      </c>
      <c r="G1691" t="s">
        <v>28</v>
      </c>
      <c r="H1691" t="s">
        <v>100</v>
      </c>
      <c r="I1691" t="s">
        <v>66</v>
      </c>
      <c r="J1691" t="s">
        <v>31</v>
      </c>
      <c r="K1691" t="s">
        <v>50</v>
      </c>
      <c r="L1691">
        <v>102.85</v>
      </c>
      <c r="M1691" t="s">
        <v>42</v>
      </c>
      <c r="N1691">
        <f t="shared" si="235"/>
        <v>0</v>
      </c>
      <c r="O1691" t="s">
        <v>51</v>
      </c>
      <c r="P1691" t="s">
        <v>2050</v>
      </c>
      <c r="Q1691">
        <v>0</v>
      </c>
      <c r="R1691">
        <v>203</v>
      </c>
      <c r="S1691">
        <f t="shared" si="236"/>
        <v>-0.99352046254300164</v>
      </c>
      <c r="T1691">
        <f t="shared" si="237"/>
        <v>0</v>
      </c>
      <c r="U1691">
        <f t="shared" si="238"/>
        <v>0</v>
      </c>
      <c r="V1691">
        <f t="shared" si="239"/>
        <v>1</v>
      </c>
      <c r="W1691">
        <f t="shared" si="240"/>
        <v>1</v>
      </c>
      <c r="X1691">
        <f t="shared" si="241"/>
        <v>0</v>
      </c>
      <c r="Y1691">
        <f t="shared" si="242"/>
        <v>0</v>
      </c>
    </row>
    <row r="1692" spans="1:25" x14ac:dyDescent="0.3">
      <c r="A1692" t="s">
        <v>413</v>
      </c>
      <c r="B1692" t="s">
        <v>414</v>
      </c>
      <c r="C1692" s="1">
        <v>45829</v>
      </c>
      <c r="D1692" s="3">
        <v>0.67245370370370372</v>
      </c>
      <c r="E1692">
        <f t="shared" si="234"/>
        <v>16</v>
      </c>
      <c r="F1692">
        <v>56</v>
      </c>
      <c r="G1692" t="s">
        <v>60</v>
      </c>
      <c r="H1692" t="s">
        <v>167</v>
      </c>
      <c r="I1692" t="s">
        <v>30</v>
      </c>
      <c r="J1692" t="s">
        <v>132</v>
      </c>
      <c r="K1692" t="s">
        <v>95</v>
      </c>
      <c r="L1692">
        <v>102.82</v>
      </c>
      <c r="M1692" t="s">
        <v>33</v>
      </c>
      <c r="N1692">
        <f t="shared" si="235"/>
        <v>0</v>
      </c>
      <c r="O1692" t="s">
        <v>34</v>
      </c>
      <c r="P1692" t="s">
        <v>415</v>
      </c>
      <c r="Q1692">
        <v>0</v>
      </c>
      <c r="R1692">
        <v>249</v>
      </c>
      <c r="S1692">
        <f t="shared" si="236"/>
        <v>-0.99393579032728441</v>
      </c>
      <c r="T1692">
        <f t="shared" si="237"/>
        <v>0</v>
      </c>
      <c r="U1692">
        <f t="shared" si="238"/>
        <v>0</v>
      </c>
      <c r="V1692">
        <f t="shared" si="239"/>
        <v>1</v>
      </c>
      <c r="W1692">
        <f t="shared" si="240"/>
        <v>1</v>
      </c>
      <c r="X1692">
        <f t="shared" si="241"/>
        <v>0</v>
      </c>
      <c r="Y1692">
        <f t="shared" si="242"/>
        <v>0</v>
      </c>
    </row>
    <row r="1693" spans="1:25" x14ac:dyDescent="0.3">
      <c r="A1693" t="s">
        <v>569</v>
      </c>
      <c r="B1693" t="s">
        <v>570</v>
      </c>
      <c r="C1693" s="1">
        <v>45830</v>
      </c>
      <c r="D1693" s="3">
        <v>0.73908564814814814</v>
      </c>
      <c r="E1693">
        <f t="shared" si="234"/>
        <v>17</v>
      </c>
      <c r="F1693">
        <v>24</v>
      </c>
      <c r="G1693" t="s">
        <v>46</v>
      </c>
      <c r="H1693" t="s">
        <v>29</v>
      </c>
      <c r="I1693" t="s">
        <v>119</v>
      </c>
      <c r="J1693" t="s">
        <v>31</v>
      </c>
      <c r="K1693" t="s">
        <v>22</v>
      </c>
      <c r="L1693">
        <v>102.66</v>
      </c>
      <c r="M1693" t="s">
        <v>42</v>
      </c>
      <c r="N1693">
        <f t="shared" si="235"/>
        <v>0</v>
      </c>
      <c r="O1693" t="s">
        <v>34</v>
      </c>
      <c r="P1693" t="s">
        <v>571</v>
      </c>
      <c r="Q1693">
        <v>0</v>
      </c>
      <c r="R1693">
        <v>471</v>
      </c>
      <c r="S1693">
        <f t="shared" si="236"/>
        <v>-0.99615087184345918</v>
      </c>
      <c r="T1693">
        <f t="shared" si="237"/>
        <v>0</v>
      </c>
      <c r="U1693">
        <f t="shared" si="238"/>
        <v>0</v>
      </c>
      <c r="V1693">
        <f t="shared" si="239"/>
        <v>0</v>
      </c>
      <c r="W1693">
        <f t="shared" si="240"/>
        <v>0</v>
      </c>
      <c r="X1693">
        <f t="shared" si="241"/>
        <v>0</v>
      </c>
      <c r="Y1693">
        <f t="shared" si="242"/>
        <v>0</v>
      </c>
    </row>
    <row r="1694" spans="1:25" x14ac:dyDescent="0.3">
      <c r="A1694" t="s">
        <v>1418</v>
      </c>
      <c r="B1694" t="s">
        <v>1419</v>
      </c>
      <c r="C1694" s="1">
        <v>45765</v>
      </c>
      <c r="D1694" s="3">
        <v>0.78489583333333335</v>
      </c>
      <c r="E1694">
        <f t="shared" si="234"/>
        <v>18</v>
      </c>
      <c r="F1694">
        <v>26</v>
      </c>
      <c r="G1694" t="s">
        <v>46</v>
      </c>
      <c r="H1694" t="s">
        <v>38</v>
      </c>
      <c r="I1694" t="s">
        <v>20</v>
      </c>
      <c r="J1694" t="s">
        <v>76</v>
      </c>
      <c r="K1694" t="s">
        <v>22</v>
      </c>
      <c r="L1694">
        <v>102.64</v>
      </c>
      <c r="M1694" t="s">
        <v>23</v>
      </c>
      <c r="N1694">
        <f t="shared" si="235"/>
        <v>0</v>
      </c>
      <c r="O1694" t="s">
        <v>34</v>
      </c>
      <c r="P1694" t="s">
        <v>1420</v>
      </c>
      <c r="Q1694">
        <v>0</v>
      </c>
      <c r="R1694">
        <v>334</v>
      </c>
      <c r="S1694">
        <f t="shared" si="236"/>
        <v>-0.99642775703298092</v>
      </c>
      <c r="T1694">
        <f t="shared" si="237"/>
        <v>0</v>
      </c>
      <c r="U1694">
        <f t="shared" si="238"/>
        <v>0</v>
      </c>
      <c r="V1694">
        <f t="shared" si="239"/>
        <v>0</v>
      </c>
      <c r="W1694">
        <f t="shared" si="240"/>
        <v>0</v>
      </c>
      <c r="X1694">
        <f t="shared" si="241"/>
        <v>0</v>
      </c>
      <c r="Y1694">
        <f t="shared" si="242"/>
        <v>0</v>
      </c>
    </row>
    <row r="1695" spans="1:25" x14ac:dyDescent="0.3">
      <c r="A1695" t="s">
        <v>2282</v>
      </c>
      <c r="B1695" t="s">
        <v>2283</v>
      </c>
      <c r="C1695" s="1">
        <v>45709</v>
      </c>
      <c r="D1695" s="3">
        <v>0.38673611111111111</v>
      </c>
      <c r="E1695">
        <f t="shared" si="234"/>
        <v>9</v>
      </c>
      <c r="F1695">
        <v>47</v>
      </c>
      <c r="G1695" t="s">
        <v>28</v>
      </c>
      <c r="H1695" t="s">
        <v>90</v>
      </c>
      <c r="I1695" t="s">
        <v>85</v>
      </c>
      <c r="J1695" t="s">
        <v>94</v>
      </c>
      <c r="K1695" t="s">
        <v>114</v>
      </c>
      <c r="L1695">
        <v>102.63</v>
      </c>
      <c r="M1695" t="s">
        <v>42</v>
      </c>
      <c r="N1695">
        <f t="shared" si="235"/>
        <v>0</v>
      </c>
      <c r="O1695" t="s">
        <v>24</v>
      </c>
      <c r="P1695" t="s">
        <v>2284</v>
      </c>
      <c r="Q1695">
        <v>0</v>
      </c>
      <c r="R1695">
        <v>380</v>
      </c>
      <c r="S1695">
        <f t="shared" si="236"/>
        <v>-0.99656619962774196</v>
      </c>
      <c r="T1695">
        <f t="shared" si="237"/>
        <v>0</v>
      </c>
      <c r="U1695">
        <f t="shared" si="238"/>
        <v>0</v>
      </c>
      <c r="V1695">
        <f t="shared" si="239"/>
        <v>0</v>
      </c>
      <c r="W1695">
        <f t="shared" si="240"/>
        <v>0</v>
      </c>
      <c r="X1695">
        <f t="shared" si="241"/>
        <v>0</v>
      </c>
      <c r="Y1695">
        <f t="shared" si="242"/>
        <v>0</v>
      </c>
    </row>
    <row r="1696" spans="1:25" x14ac:dyDescent="0.3">
      <c r="A1696" t="s">
        <v>5648</v>
      </c>
      <c r="B1696" t="s">
        <v>5649</v>
      </c>
      <c r="C1696" s="1">
        <v>45873</v>
      </c>
      <c r="D1696" s="3">
        <v>0.8872916666666667</v>
      </c>
      <c r="E1696">
        <f t="shared" si="234"/>
        <v>21</v>
      </c>
      <c r="F1696">
        <v>25</v>
      </c>
      <c r="G1696" t="s">
        <v>46</v>
      </c>
      <c r="H1696" t="s">
        <v>232</v>
      </c>
      <c r="I1696" t="s">
        <v>85</v>
      </c>
      <c r="J1696" t="s">
        <v>132</v>
      </c>
      <c r="K1696" t="s">
        <v>95</v>
      </c>
      <c r="L1696">
        <v>102.46</v>
      </c>
      <c r="M1696" t="s">
        <v>23</v>
      </c>
      <c r="N1696">
        <f t="shared" si="235"/>
        <v>0</v>
      </c>
      <c r="O1696" t="s">
        <v>24</v>
      </c>
      <c r="P1696" t="s">
        <v>5650</v>
      </c>
      <c r="Q1696">
        <v>0</v>
      </c>
      <c r="R1696">
        <v>318</v>
      </c>
      <c r="S1696">
        <f t="shared" si="236"/>
        <v>-0.99891972373867766</v>
      </c>
      <c r="T1696">
        <f t="shared" si="237"/>
        <v>0</v>
      </c>
      <c r="U1696">
        <f t="shared" si="238"/>
        <v>0</v>
      </c>
      <c r="V1696">
        <f t="shared" si="239"/>
        <v>0</v>
      </c>
      <c r="W1696">
        <f t="shared" si="240"/>
        <v>0</v>
      </c>
      <c r="X1696">
        <f t="shared" si="241"/>
        <v>0</v>
      </c>
      <c r="Y1696">
        <f t="shared" si="242"/>
        <v>0</v>
      </c>
    </row>
    <row r="1697" spans="1:25" x14ac:dyDescent="0.3">
      <c r="A1697" t="s">
        <v>5198</v>
      </c>
      <c r="B1697" t="s">
        <v>5199</v>
      </c>
      <c r="C1697" s="1">
        <v>45804</v>
      </c>
      <c r="D1697" s="3">
        <v>0.72122685185185187</v>
      </c>
      <c r="E1697">
        <f t="shared" si="234"/>
        <v>17</v>
      </c>
      <c r="F1697" s="4">
        <v>41</v>
      </c>
      <c r="G1697" t="s">
        <v>46</v>
      </c>
      <c r="H1697" t="s">
        <v>175</v>
      </c>
      <c r="I1697" t="s">
        <v>66</v>
      </c>
      <c r="J1697" t="s">
        <v>56</v>
      </c>
      <c r="K1697" t="s">
        <v>22</v>
      </c>
      <c r="L1697">
        <v>102.27</v>
      </c>
      <c r="M1697" t="s">
        <v>23</v>
      </c>
      <c r="N1697">
        <f t="shared" si="235"/>
        <v>0</v>
      </c>
      <c r="O1697" t="s">
        <v>24</v>
      </c>
      <c r="P1697" t="s">
        <v>5200</v>
      </c>
      <c r="Q1697">
        <v>0</v>
      </c>
      <c r="R1697">
        <v>264</v>
      </c>
      <c r="S1697">
        <f t="shared" si="236"/>
        <v>-1.0015501330391352</v>
      </c>
      <c r="T1697">
        <f t="shared" si="237"/>
        <v>0</v>
      </c>
      <c r="U1697">
        <f t="shared" si="238"/>
        <v>0</v>
      </c>
      <c r="V1697">
        <f t="shared" si="239"/>
        <v>1</v>
      </c>
      <c r="W1697">
        <f t="shared" si="240"/>
        <v>1</v>
      </c>
      <c r="X1697">
        <f t="shared" si="241"/>
        <v>0</v>
      </c>
      <c r="Y1697">
        <f t="shared" si="242"/>
        <v>0</v>
      </c>
    </row>
    <row r="1698" spans="1:25" x14ac:dyDescent="0.3">
      <c r="A1698" t="s">
        <v>4883</v>
      </c>
      <c r="B1698" t="s">
        <v>4884</v>
      </c>
      <c r="C1698" s="1">
        <v>45804</v>
      </c>
      <c r="D1698" s="3">
        <v>0.32101851851851854</v>
      </c>
      <c r="E1698">
        <f t="shared" si="234"/>
        <v>7</v>
      </c>
      <c r="F1698">
        <v>51</v>
      </c>
      <c r="G1698" t="s">
        <v>46</v>
      </c>
      <c r="H1698" t="s">
        <v>312</v>
      </c>
      <c r="I1698" t="s">
        <v>110</v>
      </c>
      <c r="J1698" t="s">
        <v>76</v>
      </c>
      <c r="K1698" t="s">
        <v>50</v>
      </c>
      <c r="L1698">
        <v>102.21</v>
      </c>
      <c r="M1698" t="s">
        <v>42</v>
      </c>
      <c r="N1698">
        <f t="shared" si="235"/>
        <v>0</v>
      </c>
      <c r="O1698" t="s">
        <v>34</v>
      </c>
      <c r="P1698" t="s">
        <v>4885</v>
      </c>
      <c r="Q1698">
        <v>0</v>
      </c>
      <c r="R1698">
        <v>297</v>
      </c>
      <c r="S1698">
        <f t="shared" si="236"/>
        <v>-1.0023807886077007</v>
      </c>
      <c r="T1698">
        <f t="shared" si="237"/>
        <v>0</v>
      </c>
      <c r="U1698">
        <f t="shared" si="238"/>
        <v>0</v>
      </c>
      <c r="V1698">
        <f t="shared" si="239"/>
        <v>0</v>
      </c>
      <c r="W1698">
        <f t="shared" si="240"/>
        <v>0</v>
      </c>
      <c r="X1698">
        <f t="shared" si="241"/>
        <v>0</v>
      </c>
      <c r="Y1698">
        <f t="shared" si="242"/>
        <v>0</v>
      </c>
    </row>
    <row r="1699" spans="1:25" x14ac:dyDescent="0.3">
      <c r="A1699" t="s">
        <v>183</v>
      </c>
      <c r="B1699" t="s">
        <v>184</v>
      </c>
      <c r="C1699" s="1">
        <v>45773</v>
      </c>
      <c r="D1699" s="3">
        <v>8.9120370370370364E-2</v>
      </c>
      <c r="E1699">
        <f t="shared" si="234"/>
        <v>2</v>
      </c>
      <c r="F1699">
        <v>20</v>
      </c>
      <c r="G1699" t="s">
        <v>60</v>
      </c>
      <c r="H1699" t="s">
        <v>185</v>
      </c>
      <c r="I1699" t="s">
        <v>66</v>
      </c>
      <c r="J1699" t="s">
        <v>56</v>
      </c>
      <c r="K1699" t="s">
        <v>41</v>
      </c>
      <c r="L1699">
        <v>102.09</v>
      </c>
      <c r="M1699" t="s">
        <v>33</v>
      </c>
      <c r="N1699">
        <f t="shared" si="235"/>
        <v>0</v>
      </c>
      <c r="O1699" t="s">
        <v>86</v>
      </c>
      <c r="P1699" t="s">
        <v>186</v>
      </c>
      <c r="Q1699">
        <v>0</v>
      </c>
      <c r="R1699">
        <v>443</v>
      </c>
      <c r="S1699">
        <f t="shared" si="236"/>
        <v>-1.0040420997448318</v>
      </c>
      <c r="T1699">
        <f t="shared" si="237"/>
        <v>0</v>
      </c>
      <c r="U1699">
        <f t="shared" si="238"/>
        <v>1</v>
      </c>
      <c r="V1699">
        <f t="shared" si="239"/>
        <v>0</v>
      </c>
      <c r="W1699">
        <f t="shared" si="240"/>
        <v>2</v>
      </c>
      <c r="X1699">
        <f t="shared" si="241"/>
        <v>0</v>
      </c>
      <c r="Y1699">
        <f t="shared" si="242"/>
        <v>0</v>
      </c>
    </row>
    <row r="1700" spans="1:25" x14ac:dyDescent="0.3">
      <c r="A1700" t="s">
        <v>4952</v>
      </c>
      <c r="B1700" t="s">
        <v>4953</v>
      </c>
      <c r="C1700" s="1">
        <v>45714</v>
      </c>
      <c r="D1700" s="3">
        <v>0.56504629629629632</v>
      </c>
      <c r="E1700">
        <f t="shared" si="234"/>
        <v>13</v>
      </c>
      <c r="F1700">
        <v>42</v>
      </c>
      <c r="G1700" t="s">
        <v>28</v>
      </c>
      <c r="H1700" t="s">
        <v>167</v>
      </c>
      <c r="I1700" t="s">
        <v>39</v>
      </c>
      <c r="J1700" t="s">
        <v>132</v>
      </c>
      <c r="K1700" t="s">
        <v>120</v>
      </c>
      <c r="L1700">
        <v>102.08</v>
      </c>
      <c r="M1700" t="s">
        <v>115</v>
      </c>
      <c r="N1700">
        <f t="shared" si="235"/>
        <v>0</v>
      </c>
      <c r="O1700" t="s">
        <v>24</v>
      </c>
      <c r="P1700" t="s">
        <v>4954</v>
      </c>
      <c r="Q1700">
        <v>0</v>
      </c>
      <c r="R1700">
        <v>400</v>
      </c>
      <c r="S1700">
        <f t="shared" si="236"/>
        <v>-1.0041805423395929</v>
      </c>
      <c r="T1700">
        <f t="shared" si="237"/>
        <v>0</v>
      </c>
      <c r="U1700">
        <f t="shared" si="238"/>
        <v>0</v>
      </c>
      <c r="V1700">
        <f t="shared" si="239"/>
        <v>0</v>
      </c>
      <c r="W1700">
        <f t="shared" si="240"/>
        <v>0</v>
      </c>
      <c r="X1700">
        <f t="shared" si="241"/>
        <v>0</v>
      </c>
      <c r="Y1700">
        <f t="shared" si="242"/>
        <v>0</v>
      </c>
    </row>
    <row r="1701" spans="1:25" x14ac:dyDescent="0.3">
      <c r="A1701" t="s">
        <v>2564</v>
      </c>
      <c r="B1701" t="s">
        <v>2565</v>
      </c>
      <c r="C1701" s="1">
        <v>45768</v>
      </c>
      <c r="D1701" s="3">
        <v>0.32126157407407407</v>
      </c>
      <c r="E1701">
        <f t="shared" si="234"/>
        <v>7</v>
      </c>
      <c r="F1701">
        <v>27</v>
      </c>
      <c r="G1701" t="s">
        <v>46</v>
      </c>
      <c r="H1701" t="s">
        <v>131</v>
      </c>
      <c r="I1701" t="s">
        <v>48</v>
      </c>
      <c r="J1701" t="s">
        <v>72</v>
      </c>
      <c r="K1701" t="s">
        <v>168</v>
      </c>
      <c r="L1701">
        <v>102.01</v>
      </c>
      <c r="M1701" t="s">
        <v>6479</v>
      </c>
      <c r="N1701">
        <f t="shared" si="235"/>
        <v>1</v>
      </c>
      <c r="O1701" t="s">
        <v>51</v>
      </c>
      <c r="P1701" t="s">
        <v>2566</v>
      </c>
      <c r="Q1701">
        <v>0</v>
      </c>
      <c r="R1701">
        <v>67</v>
      </c>
      <c r="S1701">
        <f t="shared" si="236"/>
        <v>-1.0051496405029192</v>
      </c>
      <c r="T1701">
        <f t="shared" si="237"/>
        <v>0</v>
      </c>
      <c r="U1701">
        <f t="shared" si="238"/>
        <v>0</v>
      </c>
      <c r="V1701">
        <f t="shared" si="239"/>
        <v>1</v>
      </c>
      <c r="W1701">
        <f t="shared" si="240"/>
        <v>3</v>
      </c>
      <c r="X1701">
        <f t="shared" si="241"/>
        <v>0</v>
      </c>
      <c r="Y1701">
        <f t="shared" si="242"/>
        <v>1</v>
      </c>
    </row>
    <row r="1702" spans="1:25" x14ac:dyDescent="0.3">
      <c r="A1702" t="s">
        <v>5153</v>
      </c>
      <c r="B1702" t="s">
        <v>5154</v>
      </c>
      <c r="C1702" s="1">
        <v>45731</v>
      </c>
      <c r="D1702" s="3">
        <v>0.79818287037037039</v>
      </c>
      <c r="E1702">
        <f t="shared" si="234"/>
        <v>19</v>
      </c>
      <c r="F1702" s="4">
        <v>41</v>
      </c>
      <c r="G1702" t="s">
        <v>18</v>
      </c>
      <c r="H1702" t="s">
        <v>185</v>
      </c>
      <c r="I1702" t="s">
        <v>66</v>
      </c>
      <c r="J1702" t="s">
        <v>21</v>
      </c>
      <c r="K1702" t="s">
        <v>32</v>
      </c>
      <c r="L1702">
        <v>101.73</v>
      </c>
      <c r="M1702" t="s">
        <v>33</v>
      </c>
      <c r="N1702">
        <f t="shared" si="235"/>
        <v>0</v>
      </c>
      <c r="O1702" t="s">
        <v>34</v>
      </c>
      <c r="P1702" t="s">
        <v>5155</v>
      </c>
      <c r="Q1702">
        <v>0</v>
      </c>
      <c r="R1702">
        <v>228</v>
      </c>
      <c r="S1702">
        <f t="shared" si="236"/>
        <v>-1.0090260331562251</v>
      </c>
      <c r="T1702">
        <f t="shared" si="237"/>
        <v>0</v>
      </c>
      <c r="U1702">
        <f t="shared" si="238"/>
        <v>0</v>
      </c>
      <c r="V1702">
        <f t="shared" si="239"/>
        <v>1</v>
      </c>
      <c r="W1702">
        <f t="shared" si="240"/>
        <v>1</v>
      </c>
      <c r="X1702">
        <f t="shared" si="241"/>
        <v>0</v>
      </c>
      <c r="Y1702">
        <f t="shared" si="242"/>
        <v>0</v>
      </c>
    </row>
    <row r="1703" spans="1:25" x14ac:dyDescent="0.3">
      <c r="A1703" t="s">
        <v>5666</v>
      </c>
      <c r="B1703" t="s">
        <v>5667</v>
      </c>
      <c r="C1703" s="1">
        <v>45781</v>
      </c>
      <c r="D1703" s="3">
        <v>0.66363425925925923</v>
      </c>
      <c r="E1703">
        <f t="shared" si="234"/>
        <v>15</v>
      </c>
      <c r="F1703">
        <v>35</v>
      </c>
      <c r="G1703" t="s">
        <v>46</v>
      </c>
      <c r="H1703" t="s">
        <v>142</v>
      </c>
      <c r="I1703" t="s">
        <v>39</v>
      </c>
      <c r="J1703" t="s">
        <v>40</v>
      </c>
      <c r="K1703" t="s">
        <v>168</v>
      </c>
      <c r="L1703">
        <v>101.43</v>
      </c>
      <c r="M1703" t="s">
        <v>33</v>
      </c>
      <c r="N1703">
        <f t="shared" si="235"/>
        <v>0</v>
      </c>
      <c r="O1703" t="s">
        <v>86</v>
      </c>
      <c r="P1703" t="s">
        <v>5668</v>
      </c>
      <c r="Q1703">
        <v>0</v>
      </c>
      <c r="R1703">
        <v>381</v>
      </c>
      <c r="S1703">
        <f t="shared" si="236"/>
        <v>-1.0131793109990528</v>
      </c>
      <c r="T1703">
        <f t="shared" si="237"/>
        <v>0</v>
      </c>
      <c r="U1703">
        <f t="shared" si="238"/>
        <v>0</v>
      </c>
      <c r="V1703">
        <f t="shared" si="239"/>
        <v>0</v>
      </c>
      <c r="W1703">
        <f t="shared" si="240"/>
        <v>0</v>
      </c>
      <c r="X1703">
        <f t="shared" si="241"/>
        <v>0</v>
      </c>
      <c r="Y1703">
        <f t="shared" si="242"/>
        <v>0</v>
      </c>
    </row>
    <row r="1704" spans="1:25" x14ac:dyDescent="0.3">
      <c r="A1704" t="s">
        <v>4814</v>
      </c>
      <c r="B1704" t="s">
        <v>4815</v>
      </c>
      <c r="C1704" s="1">
        <v>45845</v>
      </c>
      <c r="D1704" s="3">
        <v>0.54678240740740736</v>
      </c>
      <c r="E1704">
        <f t="shared" si="234"/>
        <v>13</v>
      </c>
      <c r="F1704">
        <v>41</v>
      </c>
      <c r="G1704" t="s">
        <v>18</v>
      </c>
      <c r="H1704" t="s">
        <v>167</v>
      </c>
      <c r="I1704" t="s">
        <v>71</v>
      </c>
      <c r="J1704" t="s">
        <v>49</v>
      </c>
      <c r="K1704" t="s">
        <v>120</v>
      </c>
      <c r="L1704">
        <v>101.33</v>
      </c>
      <c r="M1704" t="s">
        <v>115</v>
      </c>
      <c r="N1704">
        <f t="shared" si="235"/>
        <v>0</v>
      </c>
      <c r="O1704" t="s">
        <v>86</v>
      </c>
      <c r="P1704" t="s">
        <v>4816</v>
      </c>
      <c r="Q1704">
        <v>0</v>
      </c>
      <c r="R1704">
        <v>477</v>
      </c>
      <c r="S1704">
        <f t="shared" si="236"/>
        <v>-1.014563736946662</v>
      </c>
      <c r="T1704">
        <f t="shared" si="237"/>
        <v>0</v>
      </c>
      <c r="U1704">
        <f t="shared" si="238"/>
        <v>0</v>
      </c>
      <c r="V1704">
        <f t="shared" si="239"/>
        <v>0</v>
      </c>
      <c r="W1704">
        <f t="shared" si="240"/>
        <v>0</v>
      </c>
      <c r="X1704">
        <f t="shared" si="241"/>
        <v>0</v>
      </c>
      <c r="Y1704">
        <f t="shared" si="242"/>
        <v>0</v>
      </c>
    </row>
    <row r="1705" spans="1:25" x14ac:dyDescent="0.3">
      <c r="A1705" t="s">
        <v>1367</v>
      </c>
      <c r="B1705" t="s">
        <v>1368</v>
      </c>
      <c r="C1705" s="1">
        <v>45878</v>
      </c>
      <c r="D1705" s="3">
        <v>0.35160879629629632</v>
      </c>
      <c r="E1705">
        <f t="shared" si="234"/>
        <v>8</v>
      </c>
      <c r="F1705">
        <v>49</v>
      </c>
      <c r="G1705" t="s">
        <v>60</v>
      </c>
      <c r="H1705" t="s">
        <v>29</v>
      </c>
      <c r="I1705" t="s">
        <v>105</v>
      </c>
      <c r="J1705" t="s">
        <v>76</v>
      </c>
      <c r="K1705" t="s">
        <v>62</v>
      </c>
      <c r="L1705">
        <v>101.26</v>
      </c>
      <c r="M1705" t="s">
        <v>23</v>
      </c>
      <c r="N1705">
        <f t="shared" si="235"/>
        <v>0</v>
      </c>
      <c r="O1705" t="s">
        <v>34</v>
      </c>
      <c r="P1705" t="s">
        <v>1369</v>
      </c>
      <c r="Q1705">
        <v>0</v>
      </c>
      <c r="R1705">
        <v>351</v>
      </c>
      <c r="S1705">
        <f t="shared" si="236"/>
        <v>-1.0155328351099884</v>
      </c>
      <c r="T1705">
        <f t="shared" si="237"/>
        <v>0</v>
      </c>
      <c r="U1705">
        <f t="shared" si="238"/>
        <v>0</v>
      </c>
      <c r="V1705">
        <f t="shared" si="239"/>
        <v>0</v>
      </c>
      <c r="W1705">
        <f t="shared" si="240"/>
        <v>0</v>
      </c>
      <c r="X1705">
        <f t="shared" si="241"/>
        <v>0</v>
      </c>
      <c r="Y1705">
        <f t="shared" si="242"/>
        <v>0</v>
      </c>
    </row>
    <row r="1706" spans="1:25" x14ac:dyDescent="0.3">
      <c r="A1706" t="s">
        <v>2195</v>
      </c>
      <c r="B1706" t="s">
        <v>2196</v>
      </c>
      <c r="C1706" s="1">
        <v>45723</v>
      </c>
      <c r="D1706" s="3">
        <v>0.40965277777777775</v>
      </c>
      <c r="E1706">
        <f t="shared" si="234"/>
        <v>9</v>
      </c>
      <c r="F1706">
        <v>25</v>
      </c>
      <c r="G1706" t="s">
        <v>46</v>
      </c>
      <c r="H1706" t="s">
        <v>131</v>
      </c>
      <c r="I1706" t="s">
        <v>66</v>
      </c>
      <c r="J1706" t="s">
        <v>72</v>
      </c>
      <c r="K1706" t="s">
        <v>168</v>
      </c>
      <c r="L1706">
        <v>101.11</v>
      </c>
      <c r="M1706" t="s">
        <v>115</v>
      </c>
      <c r="N1706">
        <f t="shared" si="235"/>
        <v>0</v>
      </c>
      <c r="O1706" t="s">
        <v>51</v>
      </c>
      <c r="P1706" t="s">
        <v>2197</v>
      </c>
      <c r="Q1706">
        <v>0</v>
      </c>
      <c r="R1706">
        <v>260</v>
      </c>
      <c r="S1706">
        <f t="shared" si="236"/>
        <v>-1.0176094740314023</v>
      </c>
      <c r="T1706">
        <f t="shared" si="237"/>
        <v>0</v>
      </c>
      <c r="U1706">
        <f t="shared" si="238"/>
        <v>0</v>
      </c>
      <c r="V1706">
        <f t="shared" si="239"/>
        <v>1</v>
      </c>
      <c r="W1706">
        <f t="shared" si="240"/>
        <v>1</v>
      </c>
      <c r="X1706">
        <f t="shared" si="241"/>
        <v>0</v>
      </c>
      <c r="Y1706">
        <f t="shared" si="242"/>
        <v>0</v>
      </c>
    </row>
    <row r="1707" spans="1:25" x14ac:dyDescent="0.3">
      <c r="A1707" t="s">
        <v>6182</v>
      </c>
      <c r="B1707" t="s">
        <v>6183</v>
      </c>
      <c r="C1707" s="1">
        <v>45728</v>
      </c>
      <c r="D1707" s="3">
        <v>0.63171296296296298</v>
      </c>
      <c r="E1707">
        <f t="shared" si="234"/>
        <v>15</v>
      </c>
      <c r="F1707">
        <v>42</v>
      </c>
      <c r="G1707" t="s">
        <v>18</v>
      </c>
      <c r="H1707" t="s">
        <v>38</v>
      </c>
      <c r="I1707" t="s">
        <v>39</v>
      </c>
      <c r="J1707" t="s">
        <v>76</v>
      </c>
      <c r="K1707" t="s">
        <v>120</v>
      </c>
      <c r="L1707">
        <v>100.48</v>
      </c>
      <c r="M1707" t="s">
        <v>42</v>
      </c>
      <c r="N1707">
        <f t="shared" si="235"/>
        <v>0</v>
      </c>
      <c r="O1707" t="s">
        <v>86</v>
      </c>
      <c r="P1707" t="s">
        <v>6184</v>
      </c>
      <c r="Q1707">
        <v>0</v>
      </c>
      <c r="R1707">
        <v>162</v>
      </c>
      <c r="S1707">
        <f t="shared" si="236"/>
        <v>-1.0263313575013406</v>
      </c>
      <c r="T1707">
        <f t="shared" si="237"/>
        <v>0</v>
      </c>
      <c r="U1707">
        <f t="shared" si="238"/>
        <v>0</v>
      </c>
      <c r="V1707">
        <f t="shared" si="239"/>
        <v>1</v>
      </c>
      <c r="W1707">
        <f t="shared" si="240"/>
        <v>1</v>
      </c>
      <c r="X1707">
        <f t="shared" si="241"/>
        <v>0</v>
      </c>
      <c r="Y1707">
        <f t="shared" si="242"/>
        <v>0</v>
      </c>
    </row>
    <row r="1708" spans="1:25" x14ac:dyDescent="0.3">
      <c r="A1708" t="s">
        <v>5018</v>
      </c>
      <c r="B1708" t="s">
        <v>5019</v>
      </c>
      <c r="C1708" s="1">
        <v>45826</v>
      </c>
      <c r="D1708" s="3">
        <v>0.82759259259259255</v>
      </c>
      <c r="E1708">
        <f t="shared" si="234"/>
        <v>19</v>
      </c>
      <c r="F1708">
        <v>28</v>
      </c>
      <c r="G1708" t="s">
        <v>46</v>
      </c>
      <c r="H1708" t="s">
        <v>185</v>
      </c>
      <c r="I1708" t="s">
        <v>71</v>
      </c>
      <c r="J1708" t="s">
        <v>21</v>
      </c>
      <c r="K1708" t="s">
        <v>95</v>
      </c>
      <c r="L1708">
        <v>100.38</v>
      </c>
      <c r="M1708" t="s">
        <v>42</v>
      </c>
      <c r="N1708">
        <f t="shared" si="235"/>
        <v>0</v>
      </c>
      <c r="O1708" t="s">
        <v>24</v>
      </c>
      <c r="P1708" t="s">
        <v>5020</v>
      </c>
      <c r="Q1708">
        <v>0</v>
      </c>
      <c r="R1708">
        <v>92</v>
      </c>
      <c r="S1708">
        <f t="shared" si="236"/>
        <v>-1.0277157834489499</v>
      </c>
      <c r="T1708">
        <f t="shared" si="237"/>
        <v>0</v>
      </c>
      <c r="U1708">
        <f t="shared" si="238"/>
        <v>0</v>
      </c>
      <c r="V1708">
        <f t="shared" si="239"/>
        <v>1</v>
      </c>
      <c r="W1708">
        <f t="shared" si="240"/>
        <v>1</v>
      </c>
      <c r="X1708">
        <f t="shared" si="241"/>
        <v>0</v>
      </c>
      <c r="Y1708">
        <f t="shared" si="242"/>
        <v>0</v>
      </c>
    </row>
    <row r="1709" spans="1:25" x14ac:dyDescent="0.3">
      <c r="A1709" t="s">
        <v>3356</v>
      </c>
      <c r="B1709" t="s">
        <v>3357</v>
      </c>
      <c r="C1709" s="1">
        <v>45733</v>
      </c>
      <c r="D1709" s="3">
        <v>0.11773148148148148</v>
      </c>
      <c r="E1709">
        <f t="shared" si="234"/>
        <v>2</v>
      </c>
      <c r="F1709">
        <v>20</v>
      </c>
      <c r="G1709" t="s">
        <v>18</v>
      </c>
      <c r="H1709" t="s">
        <v>61</v>
      </c>
      <c r="I1709" t="s">
        <v>71</v>
      </c>
      <c r="J1709" t="s">
        <v>76</v>
      </c>
      <c r="K1709" t="s">
        <v>114</v>
      </c>
      <c r="L1709">
        <v>100.02</v>
      </c>
      <c r="M1709" t="s">
        <v>115</v>
      </c>
      <c r="N1709">
        <f t="shared" si="235"/>
        <v>0</v>
      </c>
      <c r="O1709" t="s">
        <v>24</v>
      </c>
      <c r="P1709" t="s">
        <v>3358</v>
      </c>
      <c r="Q1709">
        <v>0</v>
      </c>
      <c r="R1709">
        <v>324</v>
      </c>
      <c r="S1709">
        <f t="shared" si="236"/>
        <v>-1.0326997168603433</v>
      </c>
      <c r="T1709">
        <f t="shared" si="237"/>
        <v>0</v>
      </c>
      <c r="U1709">
        <f t="shared" si="238"/>
        <v>1</v>
      </c>
      <c r="V1709">
        <f t="shared" si="239"/>
        <v>0</v>
      </c>
      <c r="W1709">
        <f t="shared" si="240"/>
        <v>2</v>
      </c>
      <c r="X1709">
        <f t="shared" si="241"/>
        <v>0</v>
      </c>
      <c r="Y1709">
        <f t="shared" si="242"/>
        <v>0</v>
      </c>
    </row>
    <row r="1710" spans="1:25" x14ac:dyDescent="0.3">
      <c r="A1710" t="s">
        <v>5783</v>
      </c>
      <c r="B1710" t="s">
        <v>5784</v>
      </c>
      <c r="C1710" s="1">
        <v>45838</v>
      </c>
      <c r="D1710" s="3">
        <v>0.34015046296296297</v>
      </c>
      <c r="E1710">
        <f t="shared" si="234"/>
        <v>8</v>
      </c>
      <c r="F1710">
        <v>50</v>
      </c>
      <c r="G1710" t="s">
        <v>28</v>
      </c>
      <c r="H1710" t="s">
        <v>312</v>
      </c>
      <c r="I1710" t="s">
        <v>85</v>
      </c>
      <c r="J1710" t="s">
        <v>56</v>
      </c>
      <c r="K1710" t="s">
        <v>101</v>
      </c>
      <c r="L1710">
        <v>100</v>
      </c>
      <c r="M1710" t="s">
        <v>23</v>
      </c>
      <c r="N1710">
        <f t="shared" si="235"/>
        <v>0</v>
      </c>
      <c r="O1710" t="s">
        <v>51</v>
      </c>
      <c r="P1710" t="s">
        <v>5785</v>
      </c>
      <c r="Q1710">
        <v>0</v>
      </c>
      <c r="R1710">
        <v>458</v>
      </c>
      <c r="S1710">
        <f t="shared" si="236"/>
        <v>-1.032976602049865</v>
      </c>
      <c r="T1710">
        <f t="shared" si="237"/>
        <v>0</v>
      </c>
      <c r="U1710">
        <f t="shared" si="238"/>
        <v>0</v>
      </c>
      <c r="V1710">
        <f t="shared" si="239"/>
        <v>0</v>
      </c>
      <c r="W1710">
        <f t="shared" si="240"/>
        <v>0</v>
      </c>
      <c r="X1710">
        <f t="shared" si="241"/>
        <v>0</v>
      </c>
      <c r="Y1710">
        <f t="shared" si="242"/>
        <v>0</v>
      </c>
    </row>
    <row r="1711" spans="1:25" x14ac:dyDescent="0.3">
      <c r="A1711" t="s">
        <v>1259</v>
      </c>
      <c r="B1711" t="s">
        <v>1260</v>
      </c>
      <c r="C1711" s="1">
        <v>45769</v>
      </c>
      <c r="D1711" s="3">
        <v>0.94866898148148149</v>
      </c>
      <c r="E1711">
        <f t="shared" si="234"/>
        <v>22</v>
      </c>
      <c r="F1711">
        <v>30</v>
      </c>
      <c r="G1711" t="s">
        <v>28</v>
      </c>
      <c r="H1711" t="s">
        <v>131</v>
      </c>
      <c r="I1711" t="s">
        <v>66</v>
      </c>
      <c r="J1711" t="s">
        <v>132</v>
      </c>
      <c r="K1711" t="s">
        <v>101</v>
      </c>
      <c r="L1711">
        <v>99.91</v>
      </c>
      <c r="M1711" t="s">
        <v>33</v>
      </c>
      <c r="N1711">
        <f t="shared" si="235"/>
        <v>0</v>
      </c>
      <c r="O1711" t="s">
        <v>24</v>
      </c>
      <c r="P1711" t="s">
        <v>1261</v>
      </c>
      <c r="Q1711">
        <v>0</v>
      </c>
      <c r="R1711">
        <v>251</v>
      </c>
      <c r="S1711">
        <f t="shared" si="236"/>
        <v>-1.0342225854027134</v>
      </c>
      <c r="T1711">
        <f t="shared" si="237"/>
        <v>0</v>
      </c>
      <c r="U1711">
        <f t="shared" si="238"/>
        <v>0</v>
      </c>
      <c r="V1711">
        <f t="shared" si="239"/>
        <v>1</v>
      </c>
      <c r="W1711">
        <f t="shared" si="240"/>
        <v>1</v>
      </c>
      <c r="X1711">
        <f t="shared" si="241"/>
        <v>0</v>
      </c>
      <c r="Y1711">
        <f t="shared" si="242"/>
        <v>0</v>
      </c>
    </row>
    <row r="1712" spans="1:25" x14ac:dyDescent="0.3">
      <c r="A1712" t="s">
        <v>2309</v>
      </c>
      <c r="B1712" t="s">
        <v>2310</v>
      </c>
      <c r="C1712" s="1">
        <v>45873</v>
      </c>
      <c r="D1712" s="3">
        <v>0.14886574074074074</v>
      </c>
      <c r="E1712">
        <f t="shared" si="234"/>
        <v>3</v>
      </c>
      <c r="F1712">
        <v>38</v>
      </c>
      <c r="G1712" t="s">
        <v>6479</v>
      </c>
      <c r="H1712" t="s">
        <v>185</v>
      </c>
      <c r="I1712" t="s">
        <v>20</v>
      </c>
      <c r="J1712" t="s">
        <v>72</v>
      </c>
      <c r="K1712" t="s">
        <v>120</v>
      </c>
      <c r="L1712">
        <v>99.86</v>
      </c>
      <c r="M1712" t="s">
        <v>33</v>
      </c>
      <c r="N1712">
        <f t="shared" si="235"/>
        <v>0</v>
      </c>
      <c r="O1712" t="s">
        <v>86</v>
      </c>
      <c r="P1712" t="s">
        <v>2311</v>
      </c>
      <c r="Q1712">
        <v>0</v>
      </c>
      <c r="R1712">
        <v>165</v>
      </c>
      <c r="S1712">
        <f t="shared" si="236"/>
        <v>-1.0349147983765179</v>
      </c>
      <c r="T1712">
        <f t="shared" si="237"/>
        <v>0</v>
      </c>
      <c r="U1712">
        <f t="shared" si="238"/>
        <v>1</v>
      </c>
      <c r="V1712">
        <f t="shared" si="239"/>
        <v>1</v>
      </c>
      <c r="W1712">
        <f t="shared" si="240"/>
        <v>3</v>
      </c>
      <c r="X1712">
        <f t="shared" si="241"/>
        <v>0</v>
      </c>
      <c r="Y1712">
        <f t="shared" si="242"/>
        <v>0</v>
      </c>
    </row>
    <row r="1713" spans="1:25" x14ac:dyDescent="0.3">
      <c r="A1713" t="s">
        <v>4256</v>
      </c>
      <c r="B1713" t="s">
        <v>4257</v>
      </c>
      <c r="C1713" s="1">
        <v>45869</v>
      </c>
      <c r="D1713" s="3">
        <v>0.48524305555555558</v>
      </c>
      <c r="E1713">
        <f t="shared" si="234"/>
        <v>11</v>
      </c>
      <c r="F1713">
        <v>62</v>
      </c>
      <c r="G1713" t="s">
        <v>99</v>
      </c>
      <c r="H1713" t="s">
        <v>90</v>
      </c>
      <c r="I1713" t="s">
        <v>105</v>
      </c>
      <c r="J1713" t="s">
        <v>72</v>
      </c>
      <c r="K1713" t="s">
        <v>62</v>
      </c>
      <c r="L1713">
        <v>99.75</v>
      </c>
      <c r="M1713" t="s">
        <v>23</v>
      </c>
      <c r="N1713">
        <f t="shared" si="235"/>
        <v>0</v>
      </c>
      <c r="O1713" t="s">
        <v>51</v>
      </c>
      <c r="P1713" t="s">
        <v>4258</v>
      </c>
      <c r="Q1713">
        <v>0</v>
      </c>
      <c r="R1713">
        <v>417</v>
      </c>
      <c r="S1713">
        <f t="shared" si="236"/>
        <v>-1.0364376669188882</v>
      </c>
      <c r="T1713">
        <f t="shared" si="237"/>
        <v>0</v>
      </c>
      <c r="U1713">
        <f t="shared" si="238"/>
        <v>0</v>
      </c>
      <c r="V1713">
        <f t="shared" si="239"/>
        <v>0</v>
      </c>
      <c r="W1713">
        <f t="shared" si="240"/>
        <v>0</v>
      </c>
      <c r="X1713">
        <f t="shared" si="241"/>
        <v>0</v>
      </c>
      <c r="Y1713">
        <f t="shared" si="242"/>
        <v>0</v>
      </c>
    </row>
    <row r="1714" spans="1:25" x14ac:dyDescent="0.3">
      <c r="A1714" t="s">
        <v>3812</v>
      </c>
      <c r="B1714" t="s">
        <v>3813</v>
      </c>
      <c r="C1714" s="1">
        <v>45767</v>
      </c>
      <c r="D1714" s="3">
        <v>0.33357638888888891</v>
      </c>
      <c r="E1714">
        <f t="shared" si="234"/>
        <v>8</v>
      </c>
      <c r="F1714">
        <v>46</v>
      </c>
      <c r="G1714" t="s">
        <v>18</v>
      </c>
      <c r="H1714" t="s">
        <v>80</v>
      </c>
      <c r="I1714" t="s">
        <v>39</v>
      </c>
      <c r="J1714" t="s">
        <v>56</v>
      </c>
      <c r="K1714" t="s">
        <v>120</v>
      </c>
      <c r="L1714">
        <v>99.59</v>
      </c>
      <c r="M1714" t="s">
        <v>23</v>
      </c>
      <c r="N1714">
        <f t="shared" si="235"/>
        <v>0</v>
      </c>
      <c r="O1714" t="s">
        <v>51</v>
      </c>
      <c r="P1714" t="s">
        <v>3814</v>
      </c>
      <c r="Q1714">
        <v>0</v>
      </c>
      <c r="R1714">
        <v>176</v>
      </c>
      <c r="S1714">
        <f t="shared" si="236"/>
        <v>-1.0386527484350629</v>
      </c>
      <c r="T1714">
        <f t="shared" si="237"/>
        <v>0</v>
      </c>
      <c r="U1714">
        <f t="shared" si="238"/>
        <v>0</v>
      </c>
      <c r="V1714">
        <f t="shared" si="239"/>
        <v>1</v>
      </c>
      <c r="W1714">
        <f t="shared" si="240"/>
        <v>1</v>
      </c>
      <c r="X1714">
        <f t="shared" si="241"/>
        <v>0</v>
      </c>
      <c r="Y1714">
        <f t="shared" si="242"/>
        <v>0</v>
      </c>
    </row>
    <row r="1715" spans="1:25" x14ac:dyDescent="0.3">
      <c r="A1715" t="s">
        <v>3896</v>
      </c>
      <c r="B1715" t="s">
        <v>3897</v>
      </c>
      <c r="C1715" s="1">
        <v>45793</v>
      </c>
      <c r="D1715" s="3">
        <v>5.482638888888889E-2</v>
      </c>
      <c r="E1715">
        <f t="shared" si="234"/>
        <v>1</v>
      </c>
      <c r="F1715">
        <v>40</v>
      </c>
      <c r="G1715" t="s">
        <v>18</v>
      </c>
      <c r="H1715" t="s">
        <v>70</v>
      </c>
      <c r="I1715" t="s">
        <v>48</v>
      </c>
      <c r="J1715" t="s">
        <v>56</v>
      </c>
      <c r="K1715" t="s">
        <v>22</v>
      </c>
      <c r="L1715">
        <v>99.2</v>
      </c>
      <c r="M1715" t="s">
        <v>115</v>
      </c>
      <c r="N1715">
        <f t="shared" si="235"/>
        <v>0</v>
      </c>
      <c r="O1715" t="s">
        <v>34</v>
      </c>
      <c r="P1715" t="s">
        <v>3898</v>
      </c>
      <c r="Q1715">
        <v>0</v>
      </c>
      <c r="R1715">
        <v>132</v>
      </c>
      <c r="S1715">
        <f t="shared" si="236"/>
        <v>-1.0440520096307391</v>
      </c>
      <c r="T1715">
        <f t="shared" si="237"/>
        <v>0</v>
      </c>
      <c r="U1715">
        <f t="shared" si="238"/>
        <v>1</v>
      </c>
      <c r="V1715">
        <f t="shared" si="239"/>
        <v>1</v>
      </c>
      <c r="W1715">
        <f t="shared" si="240"/>
        <v>3</v>
      </c>
      <c r="X1715">
        <f t="shared" si="241"/>
        <v>0</v>
      </c>
      <c r="Y1715">
        <f t="shared" si="242"/>
        <v>0</v>
      </c>
    </row>
    <row r="1716" spans="1:25" x14ac:dyDescent="0.3">
      <c r="A1716" t="s">
        <v>4886</v>
      </c>
      <c r="B1716" t="s">
        <v>4887</v>
      </c>
      <c r="C1716" s="1">
        <v>45719</v>
      </c>
      <c r="D1716" s="3">
        <v>0.98943287037037042</v>
      </c>
      <c r="E1716">
        <f t="shared" si="234"/>
        <v>23</v>
      </c>
      <c r="F1716">
        <v>43</v>
      </c>
      <c r="G1716" t="s">
        <v>46</v>
      </c>
      <c r="H1716" t="s">
        <v>84</v>
      </c>
      <c r="I1716" t="s">
        <v>48</v>
      </c>
      <c r="J1716" t="s">
        <v>76</v>
      </c>
      <c r="K1716" t="s">
        <v>95</v>
      </c>
      <c r="L1716">
        <v>99.2</v>
      </c>
      <c r="M1716" t="s">
        <v>115</v>
      </c>
      <c r="N1716">
        <f t="shared" si="235"/>
        <v>0</v>
      </c>
      <c r="O1716" t="s">
        <v>24</v>
      </c>
      <c r="P1716" t="s">
        <v>4888</v>
      </c>
      <c r="Q1716">
        <v>0</v>
      </c>
      <c r="R1716">
        <v>68</v>
      </c>
      <c r="S1716">
        <f t="shared" si="236"/>
        <v>-1.0440520096307391</v>
      </c>
      <c r="T1716">
        <f t="shared" si="237"/>
        <v>0</v>
      </c>
      <c r="U1716">
        <f t="shared" si="238"/>
        <v>0</v>
      </c>
      <c r="V1716">
        <f t="shared" si="239"/>
        <v>1</v>
      </c>
      <c r="W1716">
        <f t="shared" si="240"/>
        <v>1</v>
      </c>
      <c r="X1716">
        <f t="shared" si="241"/>
        <v>0</v>
      </c>
      <c r="Y1716">
        <f t="shared" si="242"/>
        <v>0</v>
      </c>
    </row>
    <row r="1717" spans="1:25" x14ac:dyDescent="0.3">
      <c r="A1717" t="s">
        <v>1364</v>
      </c>
      <c r="B1717" t="s">
        <v>1365</v>
      </c>
      <c r="C1717" s="1">
        <v>45721</v>
      </c>
      <c r="D1717" s="3">
        <v>9.0590277777777783E-2</v>
      </c>
      <c r="E1717">
        <f t="shared" ref="E1717:E1780" si="243">HOUR(D1717)</f>
        <v>2</v>
      </c>
      <c r="F1717">
        <v>62</v>
      </c>
      <c r="G1717" t="s">
        <v>18</v>
      </c>
      <c r="H1717" t="s">
        <v>61</v>
      </c>
      <c r="I1717" t="s">
        <v>48</v>
      </c>
      <c r="J1717" t="s">
        <v>127</v>
      </c>
      <c r="K1717" t="s">
        <v>32</v>
      </c>
      <c r="L1717">
        <v>99.07</v>
      </c>
      <c r="M1717" t="s">
        <v>33</v>
      </c>
      <c r="N1717">
        <f t="shared" si="235"/>
        <v>0</v>
      </c>
      <c r="O1717" t="s">
        <v>34</v>
      </c>
      <c r="P1717" t="s">
        <v>1366</v>
      </c>
      <c r="Q1717">
        <v>0</v>
      </c>
      <c r="R1717">
        <v>373</v>
      </c>
      <c r="S1717">
        <f t="shared" si="236"/>
        <v>-1.0458517633626312</v>
      </c>
      <c r="T1717">
        <f t="shared" si="237"/>
        <v>0</v>
      </c>
      <c r="U1717">
        <f t="shared" si="238"/>
        <v>1</v>
      </c>
      <c r="V1717">
        <f t="shared" si="239"/>
        <v>0</v>
      </c>
      <c r="W1717">
        <f t="shared" si="240"/>
        <v>2</v>
      </c>
      <c r="X1717">
        <f t="shared" si="241"/>
        <v>0</v>
      </c>
      <c r="Y1717">
        <f t="shared" si="242"/>
        <v>0</v>
      </c>
    </row>
    <row r="1718" spans="1:25" x14ac:dyDescent="0.3">
      <c r="A1718" t="s">
        <v>1151</v>
      </c>
      <c r="B1718" t="s">
        <v>1152</v>
      </c>
      <c r="C1718" s="1">
        <v>45873</v>
      </c>
      <c r="D1718" s="3">
        <v>0.70328703703703699</v>
      </c>
      <c r="E1718">
        <f t="shared" si="243"/>
        <v>16</v>
      </c>
      <c r="F1718">
        <v>50</v>
      </c>
      <c r="G1718" t="s">
        <v>46</v>
      </c>
      <c r="H1718" t="s">
        <v>38</v>
      </c>
      <c r="I1718" t="s">
        <v>66</v>
      </c>
      <c r="J1718" t="s">
        <v>31</v>
      </c>
      <c r="K1718" t="s">
        <v>41</v>
      </c>
      <c r="L1718">
        <v>99.05</v>
      </c>
      <c r="M1718" t="s">
        <v>33</v>
      </c>
      <c r="N1718">
        <f t="shared" si="235"/>
        <v>0</v>
      </c>
      <c r="O1718" t="s">
        <v>24</v>
      </c>
      <c r="P1718" t="s">
        <v>1153</v>
      </c>
      <c r="Q1718">
        <v>0</v>
      </c>
      <c r="R1718">
        <v>422</v>
      </c>
      <c r="S1718">
        <f t="shared" si="236"/>
        <v>-1.0461286485521528</v>
      </c>
      <c r="T1718">
        <f t="shared" si="237"/>
        <v>0</v>
      </c>
      <c r="U1718">
        <f t="shared" si="238"/>
        <v>0</v>
      </c>
      <c r="V1718">
        <f t="shared" si="239"/>
        <v>0</v>
      </c>
      <c r="W1718">
        <f t="shared" si="240"/>
        <v>0</v>
      </c>
      <c r="X1718">
        <f t="shared" si="241"/>
        <v>0</v>
      </c>
      <c r="Y1718">
        <f t="shared" si="242"/>
        <v>0</v>
      </c>
    </row>
    <row r="1719" spans="1:25" x14ac:dyDescent="0.3">
      <c r="A1719" t="s">
        <v>4094</v>
      </c>
      <c r="B1719" t="s">
        <v>4095</v>
      </c>
      <c r="C1719" s="1">
        <v>45725</v>
      </c>
      <c r="D1719" s="3">
        <v>0.85228009259259263</v>
      </c>
      <c r="E1719">
        <f t="shared" si="243"/>
        <v>20</v>
      </c>
      <c r="F1719">
        <v>39</v>
      </c>
      <c r="G1719" t="s">
        <v>99</v>
      </c>
      <c r="H1719" t="s">
        <v>100</v>
      </c>
      <c r="I1719" t="s">
        <v>119</v>
      </c>
      <c r="J1719" t="s">
        <v>76</v>
      </c>
      <c r="K1719" t="s">
        <v>22</v>
      </c>
      <c r="L1719">
        <v>98.82</v>
      </c>
      <c r="M1719" t="s">
        <v>33</v>
      </c>
      <c r="N1719">
        <f t="shared" si="235"/>
        <v>0</v>
      </c>
      <c r="O1719" t="s">
        <v>86</v>
      </c>
      <c r="P1719" t="s">
        <v>4096</v>
      </c>
      <c r="Q1719">
        <v>0</v>
      </c>
      <c r="R1719">
        <v>446</v>
      </c>
      <c r="S1719">
        <f t="shared" si="236"/>
        <v>-1.0493128282316542</v>
      </c>
      <c r="T1719">
        <f t="shared" si="237"/>
        <v>0</v>
      </c>
      <c r="U1719">
        <f t="shared" si="238"/>
        <v>0</v>
      </c>
      <c r="V1719">
        <f t="shared" si="239"/>
        <v>0</v>
      </c>
      <c r="W1719">
        <f t="shared" si="240"/>
        <v>0</v>
      </c>
      <c r="X1719">
        <f t="shared" si="241"/>
        <v>0</v>
      </c>
      <c r="Y1719">
        <f t="shared" si="242"/>
        <v>0</v>
      </c>
    </row>
    <row r="1720" spans="1:25" x14ac:dyDescent="0.3">
      <c r="A1720" t="s">
        <v>1817</v>
      </c>
      <c r="B1720" t="s">
        <v>1818</v>
      </c>
      <c r="C1720" s="1">
        <v>45874</v>
      </c>
      <c r="D1720" s="3">
        <v>0.97064814814814815</v>
      </c>
      <c r="E1720">
        <f t="shared" si="243"/>
        <v>23</v>
      </c>
      <c r="F1720">
        <v>53</v>
      </c>
      <c r="G1720" t="s">
        <v>46</v>
      </c>
      <c r="H1720" t="s">
        <v>239</v>
      </c>
      <c r="I1720" t="s">
        <v>110</v>
      </c>
      <c r="J1720" t="s">
        <v>21</v>
      </c>
      <c r="K1720" t="s">
        <v>50</v>
      </c>
      <c r="L1720">
        <v>98.37</v>
      </c>
      <c r="M1720" t="s">
        <v>115</v>
      </c>
      <c r="N1720">
        <f t="shared" si="235"/>
        <v>0</v>
      </c>
      <c r="O1720" t="s">
        <v>34</v>
      </c>
      <c r="P1720" t="s">
        <v>1819</v>
      </c>
      <c r="Q1720">
        <v>0</v>
      </c>
      <c r="R1720">
        <v>204</v>
      </c>
      <c r="S1720">
        <f t="shared" si="236"/>
        <v>-1.0555427449958956</v>
      </c>
      <c r="T1720">
        <f t="shared" si="237"/>
        <v>0</v>
      </c>
      <c r="U1720">
        <f t="shared" si="238"/>
        <v>0</v>
      </c>
      <c r="V1720">
        <f t="shared" si="239"/>
        <v>1</v>
      </c>
      <c r="W1720">
        <f t="shared" si="240"/>
        <v>1</v>
      </c>
      <c r="X1720">
        <f t="shared" si="241"/>
        <v>0</v>
      </c>
      <c r="Y1720">
        <f t="shared" si="242"/>
        <v>0</v>
      </c>
    </row>
    <row r="1721" spans="1:25" x14ac:dyDescent="0.3">
      <c r="A1721" t="s">
        <v>3944</v>
      </c>
      <c r="B1721" t="s">
        <v>3945</v>
      </c>
      <c r="C1721" s="1">
        <v>45760</v>
      </c>
      <c r="D1721" s="3">
        <v>0.71152777777777776</v>
      </c>
      <c r="E1721">
        <f t="shared" si="243"/>
        <v>17</v>
      </c>
      <c r="F1721">
        <v>64</v>
      </c>
      <c r="G1721" t="s">
        <v>46</v>
      </c>
      <c r="H1721" t="s">
        <v>312</v>
      </c>
      <c r="I1721" t="s">
        <v>30</v>
      </c>
      <c r="J1721" t="s">
        <v>127</v>
      </c>
      <c r="K1721" t="s">
        <v>114</v>
      </c>
      <c r="L1721">
        <v>98.35</v>
      </c>
      <c r="M1721" t="s">
        <v>6479</v>
      </c>
      <c r="N1721">
        <f t="shared" si="235"/>
        <v>1</v>
      </c>
      <c r="O1721" t="s">
        <v>34</v>
      </c>
      <c r="P1721" t="s">
        <v>3946</v>
      </c>
      <c r="Q1721">
        <v>0</v>
      </c>
      <c r="R1721">
        <v>128</v>
      </c>
      <c r="S1721">
        <f t="shared" si="236"/>
        <v>-1.0558196301854177</v>
      </c>
      <c r="T1721">
        <f t="shared" si="237"/>
        <v>0</v>
      </c>
      <c r="U1721">
        <f t="shared" si="238"/>
        <v>0</v>
      </c>
      <c r="V1721">
        <f t="shared" si="239"/>
        <v>1</v>
      </c>
      <c r="W1721">
        <f t="shared" si="240"/>
        <v>3</v>
      </c>
      <c r="X1721">
        <f t="shared" si="241"/>
        <v>0</v>
      </c>
      <c r="Y1721">
        <f t="shared" si="242"/>
        <v>1</v>
      </c>
    </row>
    <row r="1722" spans="1:25" x14ac:dyDescent="0.3">
      <c r="A1722" t="s">
        <v>6374</v>
      </c>
      <c r="B1722" t="s">
        <v>6375</v>
      </c>
      <c r="C1722" s="1">
        <v>45728</v>
      </c>
      <c r="D1722" s="3">
        <v>0.80716435185185187</v>
      </c>
      <c r="E1722">
        <f t="shared" si="243"/>
        <v>19</v>
      </c>
      <c r="F1722">
        <v>41</v>
      </c>
      <c r="G1722" t="s">
        <v>6479</v>
      </c>
      <c r="H1722" t="s">
        <v>55</v>
      </c>
      <c r="I1722" t="s">
        <v>20</v>
      </c>
      <c r="J1722" t="s">
        <v>49</v>
      </c>
      <c r="K1722" t="s">
        <v>95</v>
      </c>
      <c r="L1722">
        <v>98.34</v>
      </c>
      <c r="M1722" t="s">
        <v>23</v>
      </c>
      <c r="N1722">
        <f t="shared" si="235"/>
        <v>0</v>
      </c>
      <c r="O1722" t="s">
        <v>34</v>
      </c>
      <c r="P1722" t="s">
        <v>6376</v>
      </c>
      <c r="Q1722">
        <v>0</v>
      </c>
      <c r="R1722">
        <v>409</v>
      </c>
      <c r="S1722">
        <f t="shared" si="236"/>
        <v>-1.0559580727801785</v>
      </c>
      <c r="T1722">
        <f t="shared" si="237"/>
        <v>0</v>
      </c>
      <c r="U1722">
        <f t="shared" si="238"/>
        <v>0</v>
      </c>
      <c r="V1722">
        <f t="shared" si="239"/>
        <v>0</v>
      </c>
      <c r="W1722">
        <f t="shared" si="240"/>
        <v>0</v>
      </c>
      <c r="X1722">
        <f t="shared" si="241"/>
        <v>0</v>
      </c>
      <c r="Y1722">
        <f t="shared" si="242"/>
        <v>0</v>
      </c>
    </row>
    <row r="1723" spans="1:25" x14ac:dyDescent="0.3">
      <c r="A1723" t="s">
        <v>2855</v>
      </c>
      <c r="B1723" t="s">
        <v>2856</v>
      </c>
      <c r="C1723" s="1">
        <v>45849</v>
      </c>
      <c r="D1723" s="3">
        <v>0.41358796296296296</v>
      </c>
      <c r="E1723">
        <f t="shared" si="243"/>
        <v>9</v>
      </c>
      <c r="F1723">
        <v>43</v>
      </c>
      <c r="G1723" t="s">
        <v>46</v>
      </c>
      <c r="H1723" t="s">
        <v>19</v>
      </c>
      <c r="I1723" t="s">
        <v>30</v>
      </c>
      <c r="J1723" t="s">
        <v>72</v>
      </c>
      <c r="K1723" t="s">
        <v>114</v>
      </c>
      <c r="L1723">
        <v>98.09</v>
      </c>
      <c r="M1723" t="s">
        <v>33</v>
      </c>
      <c r="N1723">
        <f t="shared" si="235"/>
        <v>0</v>
      </c>
      <c r="O1723" t="s">
        <v>24</v>
      </c>
      <c r="P1723" t="s">
        <v>2857</v>
      </c>
      <c r="Q1723">
        <v>0</v>
      </c>
      <c r="R1723">
        <v>493</v>
      </c>
      <c r="S1723">
        <f t="shared" si="236"/>
        <v>-1.0594191376492015</v>
      </c>
      <c r="T1723">
        <f t="shared" si="237"/>
        <v>0</v>
      </c>
      <c r="U1723">
        <f t="shared" si="238"/>
        <v>0</v>
      </c>
      <c r="V1723">
        <f t="shared" si="239"/>
        <v>0</v>
      </c>
      <c r="W1723">
        <f t="shared" si="240"/>
        <v>0</v>
      </c>
      <c r="X1723">
        <f t="shared" si="241"/>
        <v>0</v>
      </c>
      <c r="Y1723">
        <f t="shared" si="242"/>
        <v>0</v>
      </c>
    </row>
    <row r="1724" spans="1:25" x14ac:dyDescent="0.3">
      <c r="A1724" t="s">
        <v>485</v>
      </c>
      <c r="B1724" t="s">
        <v>486</v>
      </c>
      <c r="C1724" s="1">
        <v>45862</v>
      </c>
      <c r="D1724" s="3">
        <v>0.83229166666666665</v>
      </c>
      <c r="E1724">
        <f t="shared" si="243"/>
        <v>19</v>
      </c>
      <c r="F1724">
        <v>20</v>
      </c>
      <c r="G1724" t="s">
        <v>60</v>
      </c>
      <c r="H1724" t="s">
        <v>90</v>
      </c>
      <c r="I1724" t="s">
        <v>110</v>
      </c>
      <c r="J1724" t="s">
        <v>76</v>
      </c>
      <c r="K1724" t="s">
        <v>114</v>
      </c>
      <c r="L1724">
        <v>98</v>
      </c>
      <c r="M1724" t="s">
        <v>23</v>
      </c>
      <c r="N1724">
        <f t="shared" si="235"/>
        <v>0</v>
      </c>
      <c r="O1724" t="s">
        <v>86</v>
      </c>
      <c r="P1724" t="s">
        <v>487</v>
      </c>
      <c r="Q1724">
        <v>0</v>
      </c>
      <c r="R1724">
        <v>401</v>
      </c>
      <c r="S1724">
        <f t="shared" si="236"/>
        <v>-1.0606651210020499</v>
      </c>
      <c r="T1724">
        <f t="shared" si="237"/>
        <v>0</v>
      </c>
      <c r="U1724">
        <f t="shared" si="238"/>
        <v>0</v>
      </c>
      <c r="V1724">
        <f t="shared" si="239"/>
        <v>0</v>
      </c>
      <c r="W1724">
        <f t="shared" si="240"/>
        <v>0</v>
      </c>
      <c r="X1724">
        <f t="shared" si="241"/>
        <v>0</v>
      </c>
      <c r="Y1724">
        <f t="shared" si="242"/>
        <v>0</v>
      </c>
    </row>
    <row r="1725" spans="1:25" x14ac:dyDescent="0.3">
      <c r="A1725" t="s">
        <v>1859</v>
      </c>
      <c r="B1725" t="s">
        <v>1860</v>
      </c>
      <c r="C1725" s="1">
        <v>45849</v>
      </c>
      <c r="D1725" s="3">
        <v>4.6296296296296294E-2</v>
      </c>
      <c r="E1725">
        <f t="shared" si="243"/>
        <v>1</v>
      </c>
      <c r="F1725">
        <v>52</v>
      </c>
      <c r="G1725" t="s">
        <v>28</v>
      </c>
      <c r="H1725" t="s">
        <v>131</v>
      </c>
      <c r="I1725" t="s">
        <v>105</v>
      </c>
      <c r="J1725" t="s">
        <v>40</v>
      </c>
      <c r="K1725" t="s">
        <v>120</v>
      </c>
      <c r="L1725">
        <v>97.74</v>
      </c>
      <c r="M1725" t="s">
        <v>23</v>
      </c>
      <c r="N1725">
        <f t="shared" si="235"/>
        <v>0</v>
      </c>
      <c r="O1725" t="s">
        <v>51</v>
      </c>
      <c r="P1725" t="s">
        <v>1861</v>
      </c>
      <c r="Q1725">
        <v>0</v>
      </c>
      <c r="R1725">
        <v>196</v>
      </c>
      <c r="S1725">
        <f t="shared" si="236"/>
        <v>-1.0642646284658341</v>
      </c>
      <c r="T1725">
        <f t="shared" si="237"/>
        <v>0</v>
      </c>
      <c r="U1725">
        <f t="shared" si="238"/>
        <v>1</v>
      </c>
      <c r="V1725">
        <f t="shared" si="239"/>
        <v>1</v>
      </c>
      <c r="W1725">
        <f t="shared" si="240"/>
        <v>3</v>
      </c>
      <c r="X1725">
        <f t="shared" si="241"/>
        <v>0</v>
      </c>
      <c r="Y1725">
        <f t="shared" si="242"/>
        <v>0</v>
      </c>
    </row>
    <row r="1726" spans="1:25" x14ac:dyDescent="0.3">
      <c r="A1726" t="s">
        <v>2894</v>
      </c>
      <c r="B1726" t="s">
        <v>2895</v>
      </c>
      <c r="C1726" s="1">
        <v>45857</v>
      </c>
      <c r="D1726" s="3">
        <v>0.38839120370370372</v>
      </c>
      <c r="E1726">
        <f t="shared" si="243"/>
        <v>9</v>
      </c>
      <c r="F1726">
        <v>64</v>
      </c>
      <c r="G1726" t="s">
        <v>60</v>
      </c>
      <c r="H1726" t="s">
        <v>175</v>
      </c>
      <c r="I1726" t="s">
        <v>119</v>
      </c>
      <c r="J1726" t="s">
        <v>127</v>
      </c>
      <c r="K1726" t="s">
        <v>168</v>
      </c>
      <c r="L1726">
        <v>97.69</v>
      </c>
      <c r="M1726" t="s">
        <v>42</v>
      </c>
      <c r="N1726">
        <f t="shared" si="235"/>
        <v>0</v>
      </c>
      <c r="O1726" t="s">
        <v>51</v>
      </c>
      <c r="P1726" t="s">
        <v>2896</v>
      </c>
      <c r="Q1726">
        <v>0</v>
      </c>
      <c r="R1726">
        <v>455</v>
      </c>
      <c r="S1726">
        <f t="shared" si="236"/>
        <v>-1.0649568414396386</v>
      </c>
      <c r="T1726">
        <f t="shared" si="237"/>
        <v>0</v>
      </c>
      <c r="U1726">
        <f t="shared" si="238"/>
        <v>0</v>
      </c>
      <c r="V1726">
        <f t="shared" si="239"/>
        <v>0</v>
      </c>
      <c r="W1726">
        <f t="shared" si="240"/>
        <v>0</v>
      </c>
      <c r="X1726">
        <f t="shared" si="241"/>
        <v>0</v>
      </c>
      <c r="Y1726">
        <f t="shared" si="242"/>
        <v>0</v>
      </c>
    </row>
    <row r="1727" spans="1:25" x14ac:dyDescent="0.3">
      <c r="A1727" t="s">
        <v>452</v>
      </c>
      <c r="B1727" t="s">
        <v>453</v>
      </c>
      <c r="C1727" s="1">
        <v>45851</v>
      </c>
      <c r="D1727" s="3">
        <v>0.77516203703703701</v>
      </c>
      <c r="E1727">
        <f t="shared" si="243"/>
        <v>18</v>
      </c>
      <c r="F1727">
        <v>52</v>
      </c>
      <c r="G1727" t="s">
        <v>46</v>
      </c>
      <c r="H1727" t="s">
        <v>90</v>
      </c>
      <c r="I1727" t="s">
        <v>66</v>
      </c>
      <c r="J1727" t="s">
        <v>40</v>
      </c>
      <c r="K1727" t="s">
        <v>50</v>
      </c>
      <c r="L1727">
        <v>97.6</v>
      </c>
      <c r="M1727" t="s">
        <v>42</v>
      </c>
      <c r="N1727">
        <f t="shared" si="235"/>
        <v>0</v>
      </c>
      <c r="O1727" t="s">
        <v>34</v>
      </c>
      <c r="P1727" t="s">
        <v>454</v>
      </c>
      <c r="Q1727">
        <v>0</v>
      </c>
      <c r="R1727">
        <v>398</v>
      </c>
      <c r="S1727">
        <f t="shared" si="236"/>
        <v>-1.0662028247924871</v>
      </c>
      <c r="T1727">
        <f t="shared" si="237"/>
        <v>0</v>
      </c>
      <c r="U1727">
        <f t="shared" si="238"/>
        <v>0</v>
      </c>
      <c r="V1727">
        <f t="shared" si="239"/>
        <v>0</v>
      </c>
      <c r="W1727">
        <f t="shared" si="240"/>
        <v>0</v>
      </c>
      <c r="X1727">
        <f t="shared" si="241"/>
        <v>0</v>
      </c>
      <c r="Y1727">
        <f t="shared" si="242"/>
        <v>0</v>
      </c>
    </row>
    <row r="1728" spans="1:25" x14ac:dyDescent="0.3">
      <c r="A1728" t="s">
        <v>5981</v>
      </c>
      <c r="B1728" t="s">
        <v>5982</v>
      </c>
      <c r="C1728" s="1">
        <v>45703</v>
      </c>
      <c r="D1728" s="3">
        <v>0.59629629629629632</v>
      </c>
      <c r="E1728">
        <f t="shared" si="243"/>
        <v>14</v>
      </c>
      <c r="F1728">
        <v>58</v>
      </c>
      <c r="G1728" t="s">
        <v>46</v>
      </c>
      <c r="H1728" t="s">
        <v>167</v>
      </c>
      <c r="I1728" t="s">
        <v>105</v>
      </c>
      <c r="J1728" t="s">
        <v>56</v>
      </c>
      <c r="K1728" t="s">
        <v>101</v>
      </c>
      <c r="L1728">
        <v>97.45</v>
      </c>
      <c r="M1728" t="s">
        <v>33</v>
      </c>
      <c r="N1728">
        <f t="shared" si="235"/>
        <v>0</v>
      </c>
      <c r="O1728" t="s">
        <v>34</v>
      </c>
      <c r="P1728" t="s">
        <v>5983</v>
      </c>
      <c r="Q1728">
        <v>0</v>
      </c>
      <c r="R1728">
        <v>456</v>
      </c>
      <c r="S1728">
        <f t="shared" si="236"/>
        <v>-1.0682794637139008</v>
      </c>
      <c r="T1728">
        <f t="shared" si="237"/>
        <v>0</v>
      </c>
      <c r="U1728">
        <f t="shared" si="238"/>
        <v>0</v>
      </c>
      <c r="V1728">
        <f t="shared" si="239"/>
        <v>0</v>
      </c>
      <c r="W1728">
        <f t="shared" si="240"/>
        <v>0</v>
      </c>
      <c r="X1728">
        <f t="shared" si="241"/>
        <v>0</v>
      </c>
      <c r="Y1728">
        <f t="shared" si="242"/>
        <v>0</v>
      </c>
    </row>
    <row r="1729" spans="1:25" x14ac:dyDescent="0.3">
      <c r="A1729" t="s">
        <v>4958</v>
      </c>
      <c r="B1729" t="s">
        <v>4959</v>
      </c>
      <c r="C1729" s="1">
        <v>45722</v>
      </c>
      <c r="D1729" s="3">
        <v>0.47956018518518517</v>
      </c>
      <c r="E1729">
        <f t="shared" si="243"/>
        <v>11</v>
      </c>
      <c r="F1729">
        <v>21</v>
      </c>
      <c r="G1729" t="s">
        <v>46</v>
      </c>
      <c r="H1729" t="s">
        <v>185</v>
      </c>
      <c r="I1729" t="s">
        <v>39</v>
      </c>
      <c r="J1729" t="s">
        <v>31</v>
      </c>
      <c r="K1729" t="s">
        <v>120</v>
      </c>
      <c r="L1729">
        <v>97.4</v>
      </c>
      <c r="M1729" t="s">
        <v>23</v>
      </c>
      <c r="N1729">
        <f t="shared" si="235"/>
        <v>0</v>
      </c>
      <c r="O1729" t="s">
        <v>86</v>
      </c>
      <c r="P1729" t="s">
        <v>4960</v>
      </c>
      <c r="Q1729">
        <v>0</v>
      </c>
      <c r="R1729">
        <v>426</v>
      </c>
      <c r="S1729">
        <f t="shared" si="236"/>
        <v>-1.0689716766877053</v>
      </c>
      <c r="T1729">
        <f t="shared" si="237"/>
        <v>0</v>
      </c>
      <c r="U1729">
        <f t="shared" si="238"/>
        <v>0</v>
      </c>
      <c r="V1729">
        <f t="shared" si="239"/>
        <v>0</v>
      </c>
      <c r="W1729">
        <f t="shared" si="240"/>
        <v>0</v>
      </c>
      <c r="X1729">
        <f t="shared" si="241"/>
        <v>0</v>
      </c>
      <c r="Y1729">
        <f t="shared" si="242"/>
        <v>0</v>
      </c>
    </row>
    <row r="1730" spans="1:25" x14ac:dyDescent="0.3">
      <c r="A1730" t="s">
        <v>5339</v>
      </c>
      <c r="B1730" t="s">
        <v>5340</v>
      </c>
      <c r="C1730" s="1">
        <v>45719</v>
      </c>
      <c r="D1730" s="3">
        <v>0.74137731481481484</v>
      </c>
      <c r="E1730">
        <f t="shared" si="243"/>
        <v>17</v>
      </c>
      <c r="F1730" s="4">
        <v>41</v>
      </c>
      <c r="G1730" t="s">
        <v>60</v>
      </c>
      <c r="H1730" t="s">
        <v>80</v>
      </c>
      <c r="I1730" t="s">
        <v>66</v>
      </c>
      <c r="J1730" t="s">
        <v>127</v>
      </c>
      <c r="K1730" t="s">
        <v>101</v>
      </c>
      <c r="L1730">
        <v>97.23</v>
      </c>
      <c r="M1730" t="s">
        <v>115</v>
      </c>
      <c r="N1730">
        <f t="shared" ref="N1730:N1793" si="244">IF(M1730="Unknown",1,0)</f>
        <v>0</v>
      </c>
      <c r="O1730" t="s">
        <v>86</v>
      </c>
      <c r="P1730" t="s">
        <v>5341</v>
      </c>
      <c r="Q1730">
        <v>0</v>
      </c>
      <c r="R1730">
        <v>248</v>
      </c>
      <c r="S1730">
        <f t="shared" ref="S1730:S1793" si="245">(L1730-$P$2137)/$P$2138</f>
        <v>-1.0713252007986411</v>
      </c>
      <c r="T1730">
        <f t="shared" ref="T1730:T1793" si="246">IF(ABS(Z1730)&gt;3,1,0)</f>
        <v>0</v>
      </c>
      <c r="U1730">
        <f t="shared" ref="U1730:U1793" si="247">IF(AND(E1730&gt;=0,E1730&lt;=5),1,0)</f>
        <v>0</v>
      </c>
      <c r="V1730">
        <f t="shared" ref="V1730:V1793" si="248">IF(R1730&lt;AVERAGE($R:$R),1,0)</f>
        <v>1</v>
      </c>
      <c r="W1730">
        <f t="shared" ref="W1730:W1793" si="249">T1730*3+U1730*2+V1730*1+N1730*2</f>
        <v>1</v>
      </c>
      <c r="X1730">
        <f t="shared" ref="X1730:X1793" si="250">IF(W1730&gt;=5,1,0)</f>
        <v>0</v>
      </c>
      <c r="Y1730">
        <f t="shared" ref="Y1730:Y1793" si="251">IF(M1730="Unknown",1,0)</f>
        <v>0</v>
      </c>
    </row>
    <row r="1731" spans="1:25" x14ac:dyDescent="0.3">
      <c r="A1731" t="s">
        <v>6059</v>
      </c>
      <c r="B1731" t="s">
        <v>6060</v>
      </c>
      <c r="C1731" s="1">
        <v>45706</v>
      </c>
      <c r="D1731" s="3">
        <v>4.5706018518518521E-2</v>
      </c>
      <c r="E1731">
        <f t="shared" si="243"/>
        <v>1</v>
      </c>
      <c r="F1731">
        <v>19</v>
      </c>
      <c r="G1731" t="s">
        <v>99</v>
      </c>
      <c r="H1731" t="s">
        <v>29</v>
      </c>
      <c r="I1731" t="s">
        <v>66</v>
      </c>
      <c r="J1731" t="s">
        <v>127</v>
      </c>
      <c r="K1731" t="s">
        <v>114</v>
      </c>
      <c r="L1731">
        <v>97.19</v>
      </c>
      <c r="M1731" t="s">
        <v>42</v>
      </c>
      <c r="N1731">
        <f t="shared" si="244"/>
        <v>0</v>
      </c>
      <c r="O1731" t="s">
        <v>51</v>
      </c>
      <c r="P1731" t="s">
        <v>6061</v>
      </c>
      <c r="Q1731">
        <v>0</v>
      </c>
      <c r="R1731">
        <v>160</v>
      </c>
      <c r="S1731">
        <f t="shared" si="245"/>
        <v>-1.0718789711776848</v>
      </c>
      <c r="T1731">
        <f t="shared" si="246"/>
        <v>0</v>
      </c>
      <c r="U1731">
        <f t="shared" si="247"/>
        <v>1</v>
      </c>
      <c r="V1731">
        <f t="shared" si="248"/>
        <v>1</v>
      </c>
      <c r="W1731">
        <f t="shared" si="249"/>
        <v>3</v>
      </c>
      <c r="X1731">
        <f t="shared" si="250"/>
        <v>0</v>
      </c>
      <c r="Y1731">
        <f t="shared" si="251"/>
        <v>0</v>
      </c>
    </row>
    <row r="1732" spans="1:25" x14ac:dyDescent="0.3">
      <c r="A1732" t="s">
        <v>2351</v>
      </c>
      <c r="B1732" t="s">
        <v>2352</v>
      </c>
      <c r="C1732" s="1">
        <v>45729</v>
      </c>
      <c r="D1732" s="3">
        <v>0.58809027777777778</v>
      </c>
      <c r="E1732">
        <f t="shared" si="243"/>
        <v>14</v>
      </c>
      <c r="F1732">
        <v>45</v>
      </c>
      <c r="G1732" t="s">
        <v>46</v>
      </c>
      <c r="H1732" t="s">
        <v>312</v>
      </c>
      <c r="I1732" t="s">
        <v>30</v>
      </c>
      <c r="J1732" t="s">
        <v>72</v>
      </c>
      <c r="K1732" t="s">
        <v>62</v>
      </c>
      <c r="L1732">
        <v>97.17</v>
      </c>
      <c r="M1732" t="s">
        <v>23</v>
      </c>
      <c r="N1732">
        <f t="shared" si="244"/>
        <v>0</v>
      </c>
      <c r="O1732" t="s">
        <v>34</v>
      </c>
      <c r="P1732" t="s">
        <v>2353</v>
      </c>
      <c r="Q1732">
        <v>0</v>
      </c>
      <c r="R1732">
        <v>64</v>
      </c>
      <c r="S1732">
        <f t="shared" si="245"/>
        <v>-1.0721558563672067</v>
      </c>
      <c r="T1732">
        <f t="shared" si="246"/>
        <v>0</v>
      </c>
      <c r="U1732">
        <f t="shared" si="247"/>
        <v>0</v>
      </c>
      <c r="V1732">
        <f t="shared" si="248"/>
        <v>1</v>
      </c>
      <c r="W1732">
        <f t="shared" si="249"/>
        <v>1</v>
      </c>
      <c r="X1732">
        <f t="shared" si="250"/>
        <v>0</v>
      </c>
      <c r="Y1732">
        <f t="shared" si="251"/>
        <v>0</v>
      </c>
    </row>
    <row r="1733" spans="1:25" x14ac:dyDescent="0.3">
      <c r="A1733" t="s">
        <v>4238</v>
      </c>
      <c r="B1733" t="s">
        <v>4239</v>
      </c>
      <c r="C1733" s="1">
        <v>45880</v>
      </c>
      <c r="D1733" s="3">
        <v>0.66432870370370367</v>
      </c>
      <c r="E1733">
        <f t="shared" si="243"/>
        <v>15</v>
      </c>
      <c r="F1733">
        <v>48</v>
      </c>
      <c r="G1733" t="s">
        <v>46</v>
      </c>
      <c r="H1733" t="s">
        <v>70</v>
      </c>
      <c r="I1733" t="s">
        <v>30</v>
      </c>
      <c r="J1733" t="s">
        <v>31</v>
      </c>
      <c r="K1733" t="s">
        <v>120</v>
      </c>
      <c r="L1733">
        <v>97.12</v>
      </c>
      <c r="M1733" t="s">
        <v>42</v>
      </c>
      <c r="N1733">
        <f t="shared" si="244"/>
        <v>0</v>
      </c>
      <c r="O1733" t="s">
        <v>34</v>
      </c>
      <c r="P1733" t="s">
        <v>4240</v>
      </c>
      <c r="Q1733">
        <v>0</v>
      </c>
      <c r="R1733">
        <v>253</v>
      </c>
      <c r="S1733">
        <f t="shared" si="245"/>
        <v>-1.0728480693410112</v>
      </c>
      <c r="T1733">
        <f t="shared" si="246"/>
        <v>0</v>
      </c>
      <c r="U1733">
        <f t="shared" si="247"/>
        <v>0</v>
      </c>
      <c r="V1733">
        <f t="shared" si="248"/>
        <v>1</v>
      </c>
      <c r="W1733">
        <f t="shared" si="249"/>
        <v>1</v>
      </c>
      <c r="X1733">
        <f t="shared" si="250"/>
        <v>0</v>
      </c>
      <c r="Y1733">
        <f t="shared" si="251"/>
        <v>0</v>
      </c>
    </row>
    <row r="1734" spans="1:25" x14ac:dyDescent="0.3">
      <c r="A1734" s="2" t="s">
        <v>3470</v>
      </c>
      <c r="B1734" t="s">
        <v>3471</v>
      </c>
      <c r="C1734" s="1">
        <v>45831</v>
      </c>
      <c r="D1734" s="3">
        <v>0.94767361111111115</v>
      </c>
      <c r="E1734">
        <f t="shared" si="243"/>
        <v>22</v>
      </c>
      <c r="F1734">
        <v>21</v>
      </c>
      <c r="G1734" t="s">
        <v>28</v>
      </c>
      <c r="H1734" t="s">
        <v>312</v>
      </c>
      <c r="I1734" t="s">
        <v>105</v>
      </c>
      <c r="J1734" t="s">
        <v>49</v>
      </c>
      <c r="K1734" t="s">
        <v>114</v>
      </c>
      <c r="L1734">
        <v>97.04</v>
      </c>
      <c r="M1734" t="s">
        <v>42</v>
      </c>
      <c r="N1734">
        <f t="shared" si="244"/>
        <v>0</v>
      </c>
      <c r="O1734" t="s">
        <v>24</v>
      </c>
      <c r="P1734" t="s">
        <v>3472</v>
      </c>
      <c r="Q1734">
        <v>0</v>
      </c>
      <c r="R1734">
        <v>314</v>
      </c>
      <c r="S1734">
        <f t="shared" si="245"/>
        <v>-1.0739556100990986</v>
      </c>
      <c r="T1734">
        <f t="shared" si="246"/>
        <v>0</v>
      </c>
      <c r="U1734">
        <f t="shared" si="247"/>
        <v>0</v>
      </c>
      <c r="V1734">
        <f t="shared" si="248"/>
        <v>0</v>
      </c>
      <c r="W1734">
        <f t="shared" si="249"/>
        <v>0</v>
      </c>
      <c r="X1734">
        <f t="shared" si="250"/>
        <v>0</v>
      </c>
      <c r="Y1734">
        <f t="shared" si="251"/>
        <v>0</v>
      </c>
    </row>
    <row r="1735" spans="1:25" x14ac:dyDescent="0.3">
      <c r="A1735" t="s">
        <v>4592</v>
      </c>
      <c r="B1735" t="s">
        <v>4593</v>
      </c>
      <c r="C1735" s="1">
        <v>45854</v>
      </c>
      <c r="D1735" s="3">
        <v>0.76162037037037034</v>
      </c>
      <c r="E1735">
        <f t="shared" si="243"/>
        <v>18</v>
      </c>
      <c r="F1735">
        <v>56</v>
      </c>
      <c r="G1735" t="s">
        <v>60</v>
      </c>
      <c r="H1735" t="s">
        <v>47</v>
      </c>
      <c r="I1735" t="s">
        <v>66</v>
      </c>
      <c r="J1735" t="s">
        <v>94</v>
      </c>
      <c r="K1735" t="s">
        <v>101</v>
      </c>
      <c r="L1735">
        <v>96.97</v>
      </c>
      <c r="M1735" t="s">
        <v>115</v>
      </c>
      <c r="N1735">
        <f t="shared" si="244"/>
        <v>0</v>
      </c>
      <c r="O1735" t="s">
        <v>24</v>
      </c>
      <c r="P1735" t="s">
        <v>4594</v>
      </c>
      <c r="Q1735">
        <v>0</v>
      </c>
      <c r="R1735">
        <v>396</v>
      </c>
      <c r="S1735">
        <f t="shared" si="245"/>
        <v>-1.0749247082624251</v>
      </c>
      <c r="T1735">
        <f t="shared" si="246"/>
        <v>0</v>
      </c>
      <c r="U1735">
        <f t="shared" si="247"/>
        <v>0</v>
      </c>
      <c r="V1735">
        <f t="shared" si="248"/>
        <v>0</v>
      </c>
      <c r="W1735">
        <f t="shared" si="249"/>
        <v>0</v>
      </c>
      <c r="X1735">
        <f t="shared" si="250"/>
        <v>0</v>
      </c>
      <c r="Y1735">
        <f t="shared" si="251"/>
        <v>0</v>
      </c>
    </row>
    <row r="1736" spans="1:25" x14ac:dyDescent="0.3">
      <c r="A1736" t="s">
        <v>1625</v>
      </c>
      <c r="B1736" t="s">
        <v>1626</v>
      </c>
      <c r="C1736" s="1">
        <v>45702</v>
      </c>
      <c r="D1736" s="3">
        <v>0.41572916666666665</v>
      </c>
      <c r="E1736">
        <f t="shared" si="243"/>
        <v>9</v>
      </c>
      <c r="F1736">
        <v>54</v>
      </c>
      <c r="G1736" t="s">
        <v>46</v>
      </c>
      <c r="H1736" t="s">
        <v>47</v>
      </c>
      <c r="I1736" t="s">
        <v>39</v>
      </c>
      <c r="J1736" t="s">
        <v>76</v>
      </c>
      <c r="K1736" t="s">
        <v>101</v>
      </c>
      <c r="L1736">
        <v>96.79</v>
      </c>
      <c r="M1736" t="s">
        <v>115</v>
      </c>
      <c r="N1736">
        <f t="shared" si="244"/>
        <v>0</v>
      </c>
      <c r="O1736" t="s">
        <v>86</v>
      </c>
      <c r="P1736" t="s">
        <v>1627</v>
      </c>
      <c r="Q1736">
        <v>0</v>
      </c>
      <c r="R1736">
        <v>278</v>
      </c>
      <c r="S1736">
        <f t="shared" si="245"/>
        <v>-1.0774166749681218</v>
      </c>
      <c r="T1736">
        <f t="shared" si="246"/>
        <v>0</v>
      </c>
      <c r="U1736">
        <f t="shared" si="247"/>
        <v>0</v>
      </c>
      <c r="V1736">
        <f t="shared" si="248"/>
        <v>0</v>
      </c>
      <c r="W1736">
        <f t="shared" si="249"/>
        <v>0</v>
      </c>
      <c r="X1736">
        <f t="shared" si="250"/>
        <v>0</v>
      </c>
      <c r="Y1736">
        <f t="shared" si="251"/>
        <v>0</v>
      </c>
    </row>
    <row r="1737" spans="1:25" x14ac:dyDescent="0.3">
      <c r="A1737" t="s">
        <v>5984</v>
      </c>
      <c r="B1737" t="s">
        <v>5985</v>
      </c>
      <c r="C1737" s="1">
        <v>45722</v>
      </c>
      <c r="D1737" s="3">
        <v>0.21385416666666668</v>
      </c>
      <c r="E1737">
        <f t="shared" si="243"/>
        <v>5</v>
      </c>
      <c r="F1737">
        <v>20</v>
      </c>
      <c r="G1737" t="s">
        <v>46</v>
      </c>
      <c r="H1737" t="s">
        <v>61</v>
      </c>
      <c r="I1737" t="s">
        <v>66</v>
      </c>
      <c r="J1737" t="s">
        <v>21</v>
      </c>
      <c r="K1737" t="s">
        <v>22</v>
      </c>
      <c r="L1737">
        <v>96.72</v>
      </c>
      <c r="M1737" t="s">
        <v>23</v>
      </c>
      <c r="N1737">
        <f t="shared" si="244"/>
        <v>0</v>
      </c>
      <c r="O1737" t="s">
        <v>86</v>
      </c>
      <c r="P1737" t="s">
        <v>5986</v>
      </c>
      <c r="Q1737">
        <v>0</v>
      </c>
      <c r="R1737">
        <v>152</v>
      </c>
      <c r="S1737">
        <f t="shared" si="245"/>
        <v>-1.0783857731314483</v>
      </c>
      <c r="T1737">
        <f t="shared" si="246"/>
        <v>0</v>
      </c>
      <c r="U1737">
        <f t="shared" si="247"/>
        <v>1</v>
      </c>
      <c r="V1737">
        <f t="shared" si="248"/>
        <v>1</v>
      </c>
      <c r="W1737">
        <f t="shared" si="249"/>
        <v>3</v>
      </c>
      <c r="X1737">
        <f t="shared" si="250"/>
        <v>0</v>
      </c>
      <c r="Y1737">
        <f t="shared" si="251"/>
        <v>0</v>
      </c>
    </row>
    <row r="1738" spans="1:25" x14ac:dyDescent="0.3">
      <c r="A1738" t="s">
        <v>1046</v>
      </c>
      <c r="B1738" t="s">
        <v>1047</v>
      </c>
      <c r="C1738" s="1">
        <v>45830</v>
      </c>
      <c r="D1738" s="3">
        <v>0.97972222222222227</v>
      </c>
      <c r="E1738">
        <f t="shared" si="243"/>
        <v>23</v>
      </c>
      <c r="F1738" s="4">
        <v>41</v>
      </c>
      <c r="G1738" t="s">
        <v>99</v>
      </c>
      <c r="H1738" t="s">
        <v>131</v>
      </c>
      <c r="I1738" t="s">
        <v>110</v>
      </c>
      <c r="J1738" t="s">
        <v>76</v>
      </c>
      <c r="K1738" t="s">
        <v>32</v>
      </c>
      <c r="L1738">
        <v>96.51</v>
      </c>
      <c r="M1738" t="s">
        <v>23</v>
      </c>
      <c r="N1738">
        <f t="shared" si="244"/>
        <v>0</v>
      </c>
      <c r="O1738" t="s">
        <v>24</v>
      </c>
      <c r="P1738" t="s">
        <v>1048</v>
      </c>
      <c r="Q1738">
        <v>0</v>
      </c>
      <c r="R1738">
        <v>401</v>
      </c>
      <c r="S1738">
        <f t="shared" si="245"/>
        <v>-1.0812930676214276</v>
      </c>
      <c r="T1738">
        <f t="shared" si="246"/>
        <v>0</v>
      </c>
      <c r="U1738">
        <f t="shared" si="247"/>
        <v>0</v>
      </c>
      <c r="V1738">
        <f t="shared" si="248"/>
        <v>0</v>
      </c>
      <c r="W1738">
        <f t="shared" si="249"/>
        <v>0</v>
      </c>
      <c r="X1738">
        <f t="shared" si="250"/>
        <v>0</v>
      </c>
      <c r="Y1738">
        <f t="shared" si="251"/>
        <v>0</v>
      </c>
    </row>
    <row r="1739" spans="1:25" x14ac:dyDescent="0.3">
      <c r="A1739" t="s">
        <v>2819</v>
      </c>
      <c r="B1739" t="s">
        <v>2820</v>
      </c>
      <c r="C1739" s="1">
        <v>45824</v>
      </c>
      <c r="D1739" s="3">
        <v>0.99920138888888888</v>
      </c>
      <c r="E1739">
        <f t="shared" si="243"/>
        <v>23</v>
      </c>
      <c r="F1739">
        <v>35</v>
      </c>
      <c r="G1739" t="s">
        <v>18</v>
      </c>
      <c r="H1739" t="s">
        <v>175</v>
      </c>
      <c r="I1739" t="s">
        <v>30</v>
      </c>
      <c r="J1739" t="s">
        <v>40</v>
      </c>
      <c r="K1739" t="s">
        <v>101</v>
      </c>
      <c r="L1739">
        <v>96.32</v>
      </c>
      <c r="M1739" t="s">
        <v>42</v>
      </c>
      <c r="N1739">
        <f t="shared" si="244"/>
        <v>0</v>
      </c>
      <c r="O1739" t="s">
        <v>86</v>
      </c>
      <c r="P1739" t="s">
        <v>2821</v>
      </c>
      <c r="Q1739">
        <v>0</v>
      </c>
      <c r="R1739">
        <v>460</v>
      </c>
      <c r="S1739">
        <f t="shared" si="245"/>
        <v>-1.0839234769218853</v>
      </c>
      <c r="T1739">
        <f t="shared" si="246"/>
        <v>0</v>
      </c>
      <c r="U1739">
        <f t="shared" si="247"/>
        <v>0</v>
      </c>
      <c r="V1739">
        <f t="shared" si="248"/>
        <v>0</v>
      </c>
      <c r="W1739">
        <f t="shared" si="249"/>
        <v>0</v>
      </c>
      <c r="X1739">
        <f t="shared" si="250"/>
        <v>0</v>
      </c>
      <c r="Y1739">
        <f t="shared" si="251"/>
        <v>0</v>
      </c>
    </row>
    <row r="1740" spans="1:25" x14ac:dyDescent="0.3">
      <c r="A1740" t="s">
        <v>1250</v>
      </c>
      <c r="B1740" t="s">
        <v>1251</v>
      </c>
      <c r="C1740" s="1">
        <v>45871</v>
      </c>
      <c r="D1740" s="3">
        <v>0.53052083333333333</v>
      </c>
      <c r="E1740">
        <f t="shared" si="243"/>
        <v>12</v>
      </c>
      <c r="F1740">
        <v>52</v>
      </c>
      <c r="G1740" t="s">
        <v>18</v>
      </c>
      <c r="H1740" t="s">
        <v>185</v>
      </c>
      <c r="I1740" t="s">
        <v>30</v>
      </c>
      <c r="J1740" t="s">
        <v>127</v>
      </c>
      <c r="K1740" t="s">
        <v>50</v>
      </c>
      <c r="L1740">
        <v>96.06</v>
      </c>
      <c r="M1740" t="s">
        <v>23</v>
      </c>
      <c r="N1740">
        <f t="shared" si="244"/>
        <v>0</v>
      </c>
      <c r="O1740" t="s">
        <v>86</v>
      </c>
      <c r="P1740" t="s">
        <v>1252</v>
      </c>
      <c r="Q1740">
        <v>0</v>
      </c>
      <c r="R1740">
        <v>170</v>
      </c>
      <c r="S1740">
        <f t="shared" si="245"/>
        <v>-1.0875229843856693</v>
      </c>
      <c r="T1740">
        <f t="shared" si="246"/>
        <v>0</v>
      </c>
      <c r="U1740">
        <f t="shared" si="247"/>
        <v>0</v>
      </c>
      <c r="V1740">
        <f t="shared" si="248"/>
        <v>1</v>
      </c>
      <c r="W1740">
        <f t="shared" si="249"/>
        <v>1</v>
      </c>
      <c r="X1740">
        <f t="shared" si="250"/>
        <v>0</v>
      </c>
      <c r="Y1740">
        <f t="shared" si="251"/>
        <v>0</v>
      </c>
    </row>
    <row r="1741" spans="1:25" x14ac:dyDescent="0.3">
      <c r="A1741" t="s">
        <v>557</v>
      </c>
      <c r="B1741" t="s">
        <v>558</v>
      </c>
      <c r="C1741" s="1">
        <v>45742</v>
      </c>
      <c r="D1741" s="3">
        <v>0.49962962962962965</v>
      </c>
      <c r="E1741">
        <f t="shared" si="243"/>
        <v>11</v>
      </c>
      <c r="F1741">
        <v>46</v>
      </c>
      <c r="G1741" t="s">
        <v>28</v>
      </c>
      <c r="H1741" t="s">
        <v>55</v>
      </c>
      <c r="I1741" t="s">
        <v>39</v>
      </c>
      <c r="J1741" t="s">
        <v>72</v>
      </c>
      <c r="K1741" t="s">
        <v>50</v>
      </c>
      <c r="L1741">
        <v>95.97</v>
      </c>
      <c r="M1741" t="s">
        <v>42</v>
      </c>
      <c r="N1741">
        <f t="shared" si="244"/>
        <v>0</v>
      </c>
      <c r="O1741" t="s">
        <v>34</v>
      </c>
      <c r="P1741" t="s">
        <v>559</v>
      </c>
      <c r="Q1741">
        <v>0</v>
      </c>
      <c r="R1741">
        <v>52</v>
      </c>
      <c r="S1741">
        <f t="shared" si="245"/>
        <v>-1.0887689677385177</v>
      </c>
      <c r="T1741">
        <f t="shared" si="246"/>
        <v>0</v>
      </c>
      <c r="U1741">
        <f t="shared" si="247"/>
        <v>0</v>
      </c>
      <c r="V1741">
        <f t="shared" si="248"/>
        <v>1</v>
      </c>
      <c r="W1741">
        <f t="shared" si="249"/>
        <v>1</v>
      </c>
      <c r="X1741">
        <f t="shared" si="250"/>
        <v>0</v>
      </c>
      <c r="Y1741">
        <f t="shared" si="251"/>
        <v>0</v>
      </c>
    </row>
    <row r="1742" spans="1:25" x14ac:dyDescent="0.3">
      <c r="A1742" t="s">
        <v>506</v>
      </c>
      <c r="B1742" t="s">
        <v>507</v>
      </c>
      <c r="C1742" s="1">
        <v>45799</v>
      </c>
      <c r="D1742" s="3">
        <v>0.4405324074074074</v>
      </c>
      <c r="E1742">
        <f t="shared" si="243"/>
        <v>10</v>
      </c>
      <c r="F1742">
        <v>26</v>
      </c>
      <c r="G1742" t="s">
        <v>46</v>
      </c>
      <c r="H1742" t="s">
        <v>84</v>
      </c>
      <c r="I1742" t="s">
        <v>119</v>
      </c>
      <c r="J1742" t="s">
        <v>76</v>
      </c>
      <c r="K1742" t="s">
        <v>101</v>
      </c>
      <c r="L1742">
        <v>95.93</v>
      </c>
      <c r="M1742" t="s">
        <v>42</v>
      </c>
      <c r="N1742">
        <f t="shared" si="244"/>
        <v>0</v>
      </c>
      <c r="O1742" t="s">
        <v>51</v>
      </c>
      <c r="P1742" t="s">
        <v>508</v>
      </c>
      <c r="Q1742">
        <v>0</v>
      </c>
      <c r="R1742">
        <v>449</v>
      </c>
      <c r="S1742">
        <f t="shared" si="245"/>
        <v>-1.0893227381175612</v>
      </c>
      <c r="T1742">
        <f t="shared" si="246"/>
        <v>0</v>
      </c>
      <c r="U1742">
        <f t="shared" si="247"/>
        <v>0</v>
      </c>
      <c r="V1742">
        <f t="shared" si="248"/>
        <v>0</v>
      </c>
      <c r="W1742">
        <f t="shared" si="249"/>
        <v>0</v>
      </c>
      <c r="X1742">
        <f t="shared" si="250"/>
        <v>0</v>
      </c>
      <c r="Y1742">
        <f t="shared" si="251"/>
        <v>0</v>
      </c>
    </row>
    <row r="1743" spans="1:25" x14ac:dyDescent="0.3">
      <c r="A1743" t="s">
        <v>5291</v>
      </c>
      <c r="B1743" t="s">
        <v>5292</v>
      </c>
      <c r="C1743" s="1">
        <v>45862</v>
      </c>
      <c r="D1743" s="3">
        <v>0.46849537037037037</v>
      </c>
      <c r="E1743">
        <f t="shared" si="243"/>
        <v>11</v>
      </c>
      <c r="F1743">
        <v>32</v>
      </c>
      <c r="G1743" t="s">
        <v>60</v>
      </c>
      <c r="H1743" t="s">
        <v>185</v>
      </c>
      <c r="I1743" t="s">
        <v>119</v>
      </c>
      <c r="J1743" t="s">
        <v>21</v>
      </c>
      <c r="K1743" t="s">
        <v>41</v>
      </c>
      <c r="L1743">
        <v>95.89</v>
      </c>
      <c r="M1743" t="s">
        <v>33</v>
      </c>
      <c r="N1743">
        <f t="shared" si="244"/>
        <v>0</v>
      </c>
      <c r="O1743" t="s">
        <v>51</v>
      </c>
      <c r="P1743" t="s">
        <v>5293</v>
      </c>
      <c r="Q1743">
        <v>0</v>
      </c>
      <c r="R1743">
        <v>435</v>
      </c>
      <c r="S1743">
        <f t="shared" si="245"/>
        <v>-1.0898765084966051</v>
      </c>
      <c r="T1743">
        <f t="shared" si="246"/>
        <v>0</v>
      </c>
      <c r="U1743">
        <f t="shared" si="247"/>
        <v>0</v>
      </c>
      <c r="V1743">
        <f t="shared" si="248"/>
        <v>0</v>
      </c>
      <c r="W1743">
        <f t="shared" si="249"/>
        <v>0</v>
      </c>
      <c r="X1743">
        <f t="shared" si="250"/>
        <v>0</v>
      </c>
      <c r="Y1743">
        <f t="shared" si="251"/>
        <v>0</v>
      </c>
    </row>
    <row r="1744" spans="1:25" x14ac:dyDescent="0.3">
      <c r="A1744" s="2" t="s">
        <v>734</v>
      </c>
      <c r="B1744" t="s">
        <v>735</v>
      </c>
      <c r="C1744" s="1">
        <v>45765</v>
      </c>
      <c r="D1744" s="3">
        <v>0.6315856481481481</v>
      </c>
      <c r="E1744">
        <f t="shared" si="243"/>
        <v>15</v>
      </c>
      <c r="F1744">
        <v>43</v>
      </c>
      <c r="G1744" t="s">
        <v>60</v>
      </c>
      <c r="H1744" t="s">
        <v>100</v>
      </c>
      <c r="I1744" t="s">
        <v>30</v>
      </c>
      <c r="J1744" t="s">
        <v>72</v>
      </c>
      <c r="K1744" t="s">
        <v>50</v>
      </c>
      <c r="L1744">
        <v>95.2</v>
      </c>
      <c r="M1744" t="s">
        <v>115</v>
      </c>
      <c r="N1744">
        <f t="shared" si="244"/>
        <v>0</v>
      </c>
      <c r="O1744" t="s">
        <v>86</v>
      </c>
      <c r="P1744" t="s">
        <v>736</v>
      </c>
      <c r="Q1744">
        <v>0</v>
      </c>
      <c r="R1744">
        <v>468</v>
      </c>
      <c r="S1744">
        <f t="shared" si="245"/>
        <v>-1.0994290475351087</v>
      </c>
      <c r="T1744">
        <f t="shared" si="246"/>
        <v>0</v>
      </c>
      <c r="U1744">
        <f t="shared" si="247"/>
        <v>0</v>
      </c>
      <c r="V1744">
        <f t="shared" si="248"/>
        <v>0</v>
      </c>
      <c r="W1744">
        <f t="shared" si="249"/>
        <v>0</v>
      </c>
      <c r="X1744">
        <f t="shared" si="250"/>
        <v>0</v>
      </c>
      <c r="Y1744">
        <f t="shared" si="251"/>
        <v>0</v>
      </c>
    </row>
    <row r="1745" spans="1:25" x14ac:dyDescent="0.3">
      <c r="A1745" t="s">
        <v>2399</v>
      </c>
      <c r="B1745" t="s">
        <v>2400</v>
      </c>
      <c r="C1745" s="1">
        <v>45779</v>
      </c>
      <c r="D1745" s="3">
        <v>0.54956018518518523</v>
      </c>
      <c r="E1745">
        <f t="shared" si="243"/>
        <v>13</v>
      </c>
      <c r="F1745">
        <v>26</v>
      </c>
      <c r="G1745" t="s">
        <v>46</v>
      </c>
      <c r="H1745" t="s">
        <v>175</v>
      </c>
      <c r="I1745" t="s">
        <v>85</v>
      </c>
      <c r="J1745" t="s">
        <v>127</v>
      </c>
      <c r="K1745" t="s">
        <v>101</v>
      </c>
      <c r="L1745">
        <v>95.15</v>
      </c>
      <c r="M1745" t="s">
        <v>115</v>
      </c>
      <c r="N1745">
        <f t="shared" si="244"/>
        <v>0</v>
      </c>
      <c r="O1745" t="s">
        <v>24</v>
      </c>
      <c r="P1745" t="s">
        <v>2401</v>
      </c>
      <c r="Q1745">
        <v>0</v>
      </c>
      <c r="R1745">
        <v>415</v>
      </c>
      <c r="S1745">
        <f t="shared" si="245"/>
        <v>-1.1001212605089135</v>
      </c>
      <c r="T1745">
        <f t="shared" si="246"/>
        <v>0</v>
      </c>
      <c r="U1745">
        <f t="shared" si="247"/>
        <v>0</v>
      </c>
      <c r="V1745">
        <f t="shared" si="248"/>
        <v>0</v>
      </c>
      <c r="W1745">
        <f t="shared" si="249"/>
        <v>0</v>
      </c>
      <c r="X1745">
        <f t="shared" si="250"/>
        <v>0</v>
      </c>
      <c r="Y1745">
        <f t="shared" si="251"/>
        <v>0</v>
      </c>
    </row>
    <row r="1746" spans="1:25" x14ac:dyDescent="0.3">
      <c r="A1746" t="s">
        <v>1496</v>
      </c>
      <c r="B1746" t="s">
        <v>1497</v>
      </c>
      <c r="C1746" s="1">
        <v>45753</v>
      </c>
      <c r="D1746" s="3">
        <v>0.54583333333333328</v>
      </c>
      <c r="E1746">
        <f t="shared" si="243"/>
        <v>13</v>
      </c>
      <c r="F1746">
        <v>22</v>
      </c>
      <c r="G1746" t="s">
        <v>46</v>
      </c>
      <c r="H1746" t="s">
        <v>55</v>
      </c>
      <c r="I1746" t="s">
        <v>39</v>
      </c>
      <c r="J1746" t="s">
        <v>132</v>
      </c>
      <c r="K1746" t="s">
        <v>50</v>
      </c>
      <c r="L1746">
        <v>95</v>
      </c>
      <c r="M1746" t="s">
        <v>33</v>
      </c>
      <c r="N1746">
        <f t="shared" si="244"/>
        <v>0</v>
      </c>
      <c r="O1746" t="s">
        <v>24</v>
      </c>
      <c r="P1746" t="s">
        <v>1498</v>
      </c>
      <c r="Q1746">
        <v>0</v>
      </c>
      <c r="R1746">
        <v>329</v>
      </c>
      <c r="S1746">
        <f t="shared" si="245"/>
        <v>-1.1021978994303274</v>
      </c>
      <c r="T1746">
        <f t="shared" si="246"/>
        <v>0</v>
      </c>
      <c r="U1746">
        <f t="shared" si="247"/>
        <v>0</v>
      </c>
      <c r="V1746">
        <f t="shared" si="248"/>
        <v>0</v>
      </c>
      <c r="W1746">
        <f t="shared" si="249"/>
        <v>0</v>
      </c>
      <c r="X1746">
        <f t="shared" si="250"/>
        <v>0</v>
      </c>
      <c r="Y1746">
        <f t="shared" si="251"/>
        <v>0</v>
      </c>
    </row>
    <row r="1747" spans="1:25" x14ac:dyDescent="0.3">
      <c r="A1747" t="s">
        <v>3860</v>
      </c>
      <c r="B1747" t="s">
        <v>3861</v>
      </c>
      <c r="C1747" s="1">
        <v>45810</v>
      </c>
      <c r="D1747" s="3">
        <v>0.68790509259259258</v>
      </c>
      <c r="E1747">
        <f t="shared" si="243"/>
        <v>16</v>
      </c>
      <c r="F1747">
        <v>18</v>
      </c>
      <c r="G1747" t="s">
        <v>18</v>
      </c>
      <c r="H1747" t="s">
        <v>90</v>
      </c>
      <c r="I1747" t="s">
        <v>48</v>
      </c>
      <c r="J1747" t="s">
        <v>40</v>
      </c>
      <c r="K1747" t="s">
        <v>120</v>
      </c>
      <c r="L1747">
        <v>94.92</v>
      </c>
      <c r="M1747" t="s">
        <v>6479</v>
      </c>
      <c r="N1747">
        <f t="shared" si="244"/>
        <v>1</v>
      </c>
      <c r="O1747" t="s">
        <v>34</v>
      </c>
      <c r="P1747" t="s">
        <v>3862</v>
      </c>
      <c r="Q1747">
        <v>0</v>
      </c>
      <c r="R1747">
        <v>63</v>
      </c>
      <c r="S1747">
        <f t="shared" si="245"/>
        <v>-1.1033054401884146</v>
      </c>
      <c r="T1747">
        <f t="shared" si="246"/>
        <v>0</v>
      </c>
      <c r="U1747">
        <f t="shared" si="247"/>
        <v>0</v>
      </c>
      <c r="V1747">
        <f t="shared" si="248"/>
        <v>1</v>
      </c>
      <c r="W1747">
        <f t="shared" si="249"/>
        <v>3</v>
      </c>
      <c r="X1747">
        <f t="shared" si="250"/>
        <v>0</v>
      </c>
      <c r="Y1747">
        <f t="shared" si="251"/>
        <v>1</v>
      </c>
    </row>
    <row r="1748" spans="1:25" x14ac:dyDescent="0.3">
      <c r="A1748" t="s">
        <v>159</v>
      </c>
      <c r="B1748" t="s">
        <v>160</v>
      </c>
      <c r="C1748" s="1">
        <v>45852</v>
      </c>
      <c r="D1748" s="3">
        <v>0.73359953703703706</v>
      </c>
      <c r="E1748">
        <f t="shared" si="243"/>
        <v>17</v>
      </c>
      <c r="F1748">
        <v>44</v>
      </c>
      <c r="G1748" t="s">
        <v>60</v>
      </c>
      <c r="H1748" t="s">
        <v>100</v>
      </c>
      <c r="I1748" t="s">
        <v>119</v>
      </c>
      <c r="J1748" t="s">
        <v>127</v>
      </c>
      <c r="K1748" t="s">
        <v>101</v>
      </c>
      <c r="L1748">
        <v>94.78</v>
      </c>
      <c r="M1748" t="s">
        <v>42</v>
      </c>
      <c r="N1748">
        <f t="shared" si="244"/>
        <v>0</v>
      </c>
      <c r="O1748" t="s">
        <v>51</v>
      </c>
      <c r="P1748" t="s">
        <v>161</v>
      </c>
      <c r="Q1748">
        <v>0</v>
      </c>
      <c r="R1748">
        <v>63</v>
      </c>
      <c r="S1748">
        <f t="shared" si="245"/>
        <v>-1.1052436365150677</v>
      </c>
      <c r="T1748">
        <f t="shared" si="246"/>
        <v>0</v>
      </c>
      <c r="U1748">
        <f t="shared" si="247"/>
        <v>0</v>
      </c>
      <c r="V1748">
        <f t="shared" si="248"/>
        <v>1</v>
      </c>
      <c r="W1748">
        <f t="shared" si="249"/>
        <v>1</v>
      </c>
      <c r="X1748">
        <f t="shared" si="250"/>
        <v>0</v>
      </c>
      <c r="Y1748">
        <f t="shared" si="251"/>
        <v>0</v>
      </c>
    </row>
    <row r="1749" spans="1:25" x14ac:dyDescent="0.3">
      <c r="A1749" t="s">
        <v>6011</v>
      </c>
      <c r="B1749" t="s">
        <v>6012</v>
      </c>
      <c r="C1749" s="1">
        <v>45730</v>
      </c>
      <c r="D1749" s="3">
        <v>0.11016203703703703</v>
      </c>
      <c r="E1749">
        <f t="shared" si="243"/>
        <v>2</v>
      </c>
      <c r="F1749">
        <v>47</v>
      </c>
      <c r="G1749" t="s">
        <v>28</v>
      </c>
      <c r="H1749" t="s">
        <v>189</v>
      </c>
      <c r="I1749" t="s">
        <v>105</v>
      </c>
      <c r="J1749" t="s">
        <v>40</v>
      </c>
      <c r="K1749" t="s">
        <v>50</v>
      </c>
      <c r="L1749">
        <v>94.64</v>
      </c>
      <c r="M1749" t="s">
        <v>6479</v>
      </c>
      <c r="N1749">
        <f t="shared" si="244"/>
        <v>1</v>
      </c>
      <c r="O1749" t="s">
        <v>86</v>
      </c>
      <c r="P1749" t="s">
        <v>6013</v>
      </c>
      <c r="Q1749">
        <v>0</v>
      </c>
      <c r="R1749">
        <v>201</v>
      </c>
      <c r="S1749">
        <f t="shared" si="245"/>
        <v>-1.1071818328417207</v>
      </c>
      <c r="T1749">
        <f t="shared" si="246"/>
        <v>0</v>
      </c>
      <c r="U1749">
        <f t="shared" si="247"/>
        <v>1</v>
      </c>
      <c r="V1749">
        <f t="shared" si="248"/>
        <v>1</v>
      </c>
      <c r="W1749">
        <f t="shared" si="249"/>
        <v>5</v>
      </c>
      <c r="X1749">
        <f t="shared" si="250"/>
        <v>1</v>
      </c>
      <c r="Y1749">
        <f t="shared" si="251"/>
        <v>1</v>
      </c>
    </row>
    <row r="1750" spans="1:25" x14ac:dyDescent="0.3">
      <c r="A1750" t="s">
        <v>2234</v>
      </c>
      <c r="B1750" t="s">
        <v>2235</v>
      </c>
      <c r="C1750" s="1">
        <v>45788</v>
      </c>
      <c r="D1750" s="3">
        <v>0.9555555555555556</v>
      </c>
      <c r="E1750">
        <f t="shared" si="243"/>
        <v>22</v>
      </c>
      <c r="F1750">
        <v>50</v>
      </c>
      <c r="G1750" t="s">
        <v>46</v>
      </c>
      <c r="H1750" t="s">
        <v>239</v>
      </c>
      <c r="I1750" t="s">
        <v>119</v>
      </c>
      <c r="J1750" t="s">
        <v>31</v>
      </c>
      <c r="K1750" t="s">
        <v>101</v>
      </c>
      <c r="L1750">
        <v>94.62</v>
      </c>
      <c r="M1750" t="s">
        <v>33</v>
      </c>
      <c r="N1750">
        <f t="shared" si="244"/>
        <v>0</v>
      </c>
      <c r="O1750" t="s">
        <v>51</v>
      </c>
      <c r="P1750" t="s">
        <v>2236</v>
      </c>
      <c r="Q1750">
        <v>0</v>
      </c>
      <c r="R1750">
        <v>179</v>
      </c>
      <c r="S1750">
        <f t="shared" si="245"/>
        <v>-1.1074587180312423</v>
      </c>
      <c r="T1750">
        <f t="shared" si="246"/>
        <v>0</v>
      </c>
      <c r="U1750">
        <f t="shared" si="247"/>
        <v>0</v>
      </c>
      <c r="V1750">
        <f t="shared" si="248"/>
        <v>1</v>
      </c>
      <c r="W1750">
        <f t="shared" si="249"/>
        <v>1</v>
      </c>
      <c r="X1750">
        <f t="shared" si="250"/>
        <v>0</v>
      </c>
      <c r="Y1750">
        <f t="shared" si="251"/>
        <v>0</v>
      </c>
    </row>
    <row r="1751" spans="1:25" x14ac:dyDescent="0.3">
      <c r="A1751" t="s">
        <v>5768</v>
      </c>
      <c r="B1751" t="s">
        <v>5769</v>
      </c>
      <c r="C1751" s="1">
        <v>45815</v>
      </c>
      <c r="D1751" s="3">
        <v>0.19862268518518519</v>
      </c>
      <c r="E1751">
        <f t="shared" si="243"/>
        <v>4</v>
      </c>
      <c r="F1751">
        <v>50</v>
      </c>
      <c r="G1751" t="s">
        <v>46</v>
      </c>
      <c r="H1751" t="s">
        <v>90</v>
      </c>
      <c r="I1751" t="s">
        <v>66</v>
      </c>
      <c r="J1751" t="s">
        <v>40</v>
      </c>
      <c r="K1751" t="s">
        <v>50</v>
      </c>
      <c r="L1751">
        <v>94.56</v>
      </c>
      <c r="M1751" t="s">
        <v>42</v>
      </c>
      <c r="N1751">
        <f t="shared" si="244"/>
        <v>0</v>
      </c>
      <c r="O1751" t="s">
        <v>51</v>
      </c>
      <c r="P1751" t="s">
        <v>5770</v>
      </c>
      <c r="Q1751">
        <v>0</v>
      </c>
      <c r="R1751">
        <v>68</v>
      </c>
      <c r="S1751">
        <f t="shared" si="245"/>
        <v>-1.1082893735998081</v>
      </c>
      <c r="T1751">
        <f t="shared" si="246"/>
        <v>0</v>
      </c>
      <c r="U1751">
        <f t="shared" si="247"/>
        <v>1</v>
      </c>
      <c r="V1751">
        <f t="shared" si="248"/>
        <v>1</v>
      </c>
      <c r="W1751">
        <f t="shared" si="249"/>
        <v>3</v>
      </c>
      <c r="X1751">
        <f t="shared" si="250"/>
        <v>0</v>
      </c>
      <c r="Y1751">
        <f t="shared" si="251"/>
        <v>0</v>
      </c>
    </row>
    <row r="1752" spans="1:25" x14ac:dyDescent="0.3">
      <c r="A1752" t="s">
        <v>4535</v>
      </c>
      <c r="B1752" t="s">
        <v>4536</v>
      </c>
      <c r="C1752" s="1">
        <v>45811</v>
      </c>
      <c r="D1752" s="3">
        <v>0.87665509259259256</v>
      </c>
      <c r="E1752">
        <f t="shared" si="243"/>
        <v>21</v>
      </c>
      <c r="F1752">
        <v>33</v>
      </c>
      <c r="G1752" t="s">
        <v>60</v>
      </c>
      <c r="H1752" t="s">
        <v>100</v>
      </c>
      <c r="I1752" t="s">
        <v>48</v>
      </c>
      <c r="J1752" t="s">
        <v>40</v>
      </c>
      <c r="K1752" t="s">
        <v>32</v>
      </c>
      <c r="L1752">
        <v>94.2</v>
      </c>
      <c r="M1752" t="s">
        <v>42</v>
      </c>
      <c r="N1752">
        <f t="shared" si="244"/>
        <v>0</v>
      </c>
      <c r="O1752" t="s">
        <v>24</v>
      </c>
      <c r="P1752" t="s">
        <v>4537</v>
      </c>
      <c r="Q1752">
        <v>0</v>
      </c>
      <c r="R1752">
        <v>496</v>
      </c>
      <c r="S1752">
        <f t="shared" si="245"/>
        <v>-1.1132733070112013</v>
      </c>
      <c r="T1752">
        <f t="shared" si="246"/>
        <v>0</v>
      </c>
      <c r="U1752">
        <f t="shared" si="247"/>
        <v>0</v>
      </c>
      <c r="V1752">
        <f t="shared" si="248"/>
        <v>0</v>
      </c>
      <c r="W1752">
        <f t="shared" si="249"/>
        <v>0</v>
      </c>
      <c r="X1752">
        <f t="shared" si="250"/>
        <v>0</v>
      </c>
      <c r="Y1752">
        <f t="shared" si="251"/>
        <v>0</v>
      </c>
    </row>
    <row r="1753" spans="1:25" x14ac:dyDescent="0.3">
      <c r="A1753" t="s">
        <v>5462</v>
      </c>
      <c r="B1753" t="s">
        <v>5463</v>
      </c>
      <c r="C1753" s="1">
        <v>45789</v>
      </c>
      <c r="D1753" s="3">
        <v>0.76672453703703702</v>
      </c>
      <c r="E1753">
        <f t="shared" si="243"/>
        <v>18</v>
      </c>
      <c r="F1753">
        <v>39</v>
      </c>
      <c r="G1753" t="s">
        <v>46</v>
      </c>
      <c r="H1753" t="s">
        <v>70</v>
      </c>
      <c r="I1753" t="s">
        <v>39</v>
      </c>
      <c r="J1753" t="s">
        <v>49</v>
      </c>
      <c r="K1753" t="s">
        <v>95</v>
      </c>
      <c r="L1753">
        <v>93.95</v>
      </c>
      <c r="M1753" t="s">
        <v>42</v>
      </c>
      <c r="N1753">
        <f t="shared" si="244"/>
        <v>0</v>
      </c>
      <c r="O1753" t="s">
        <v>51</v>
      </c>
      <c r="P1753" t="s">
        <v>5464</v>
      </c>
      <c r="Q1753">
        <v>0</v>
      </c>
      <c r="R1753">
        <v>69</v>
      </c>
      <c r="S1753">
        <f t="shared" si="245"/>
        <v>-1.1167343718802243</v>
      </c>
      <c r="T1753">
        <f t="shared" si="246"/>
        <v>0</v>
      </c>
      <c r="U1753">
        <f t="shared" si="247"/>
        <v>0</v>
      </c>
      <c r="V1753">
        <f t="shared" si="248"/>
        <v>1</v>
      </c>
      <c r="W1753">
        <f t="shared" si="249"/>
        <v>1</v>
      </c>
      <c r="X1753">
        <f t="shared" si="250"/>
        <v>0</v>
      </c>
      <c r="Y1753">
        <f t="shared" si="251"/>
        <v>0</v>
      </c>
    </row>
    <row r="1754" spans="1:25" x14ac:dyDescent="0.3">
      <c r="A1754" t="s">
        <v>5372</v>
      </c>
      <c r="B1754" t="s">
        <v>5373</v>
      </c>
      <c r="C1754" s="1">
        <v>45781</v>
      </c>
      <c r="D1754" s="3">
        <v>0.47694444444444445</v>
      </c>
      <c r="E1754">
        <f t="shared" si="243"/>
        <v>11</v>
      </c>
      <c r="F1754">
        <v>24</v>
      </c>
      <c r="G1754" t="s">
        <v>46</v>
      </c>
      <c r="H1754" t="s">
        <v>167</v>
      </c>
      <c r="I1754" t="s">
        <v>105</v>
      </c>
      <c r="J1754" t="s">
        <v>56</v>
      </c>
      <c r="K1754" t="s">
        <v>50</v>
      </c>
      <c r="L1754">
        <v>93.91</v>
      </c>
      <c r="M1754" t="s">
        <v>23</v>
      </c>
      <c r="N1754">
        <f t="shared" si="244"/>
        <v>0</v>
      </c>
      <c r="O1754" t="s">
        <v>86</v>
      </c>
      <c r="P1754" t="s">
        <v>5374</v>
      </c>
      <c r="Q1754">
        <v>0</v>
      </c>
      <c r="R1754">
        <v>355</v>
      </c>
      <c r="S1754">
        <f t="shared" si="245"/>
        <v>-1.1172881422592682</v>
      </c>
      <c r="T1754">
        <f t="shared" si="246"/>
        <v>0</v>
      </c>
      <c r="U1754">
        <f t="shared" si="247"/>
        <v>0</v>
      </c>
      <c r="V1754">
        <f t="shared" si="248"/>
        <v>0</v>
      </c>
      <c r="W1754">
        <f t="shared" si="249"/>
        <v>0</v>
      </c>
      <c r="X1754">
        <f t="shared" si="250"/>
        <v>0</v>
      </c>
      <c r="Y1754">
        <f t="shared" si="251"/>
        <v>0</v>
      </c>
    </row>
    <row r="1755" spans="1:25" x14ac:dyDescent="0.3">
      <c r="A1755" t="s">
        <v>1439</v>
      </c>
      <c r="B1755" t="s">
        <v>1440</v>
      </c>
      <c r="C1755" s="1">
        <v>45741</v>
      </c>
      <c r="D1755" s="3">
        <v>0.61895833333333339</v>
      </c>
      <c r="E1755">
        <f t="shared" si="243"/>
        <v>14</v>
      </c>
      <c r="F1755">
        <v>65</v>
      </c>
      <c r="G1755" t="s">
        <v>60</v>
      </c>
      <c r="H1755" t="s">
        <v>29</v>
      </c>
      <c r="I1755" t="s">
        <v>48</v>
      </c>
      <c r="J1755" t="s">
        <v>31</v>
      </c>
      <c r="K1755" t="s">
        <v>120</v>
      </c>
      <c r="L1755">
        <v>93.8</v>
      </c>
      <c r="M1755" t="s">
        <v>23</v>
      </c>
      <c r="N1755">
        <f t="shared" si="244"/>
        <v>0</v>
      </c>
      <c r="O1755" t="s">
        <v>34</v>
      </c>
      <c r="P1755" t="s">
        <v>1441</v>
      </c>
      <c r="Q1755">
        <v>0</v>
      </c>
      <c r="R1755">
        <v>169</v>
      </c>
      <c r="S1755">
        <f t="shared" si="245"/>
        <v>-1.1188110108016383</v>
      </c>
      <c r="T1755">
        <f t="shared" si="246"/>
        <v>0</v>
      </c>
      <c r="U1755">
        <f t="shared" si="247"/>
        <v>0</v>
      </c>
      <c r="V1755">
        <f t="shared" si="248"/>
        <v>1</v>
      </c>
      <c r="W1755">
        <f t="shared" si="249"/>
        <v>1</v>
      </c>
      <c r="X1755">
        <f t="shared" si="250"/>
        <v>0</v>
      </c>
      <c r="Y1755">
        <f t="shared" si="251"/>
        <v>0</v>
      </c>
    </row>
    <row r="1756" spans="1:25" x14ac:dyDescent="0.3">
      <c r="A1756" t="s">
        <v>1745</v>
      </c>
      <c r="B1756" t="s">
        <v>1746</v>
      </c>
      <c r="C1756" s="1">
        <v>45755</v>
      </c>
      <c r="D1756" s="3">
        <v>0.98453703703703699</v>
      </c>
      <c r="E1756">
        <f t="shared" si="243"/>
        <v>23</v>
      </c>
      <c r="F1756">
        <v>52</v>
      </c>
      <c r="G1756" t="s">
        <v>18</v>
      </c>
      <c r="H1756" t="s">
        <v>131</v>
      </c>
      <c r="I1756" t="s">
        <v>39</v>
      </c>
      <c r="J1756" t="s">
        <v>31</v>
      </c>
      <c r="K1756" t="s">
        <v>62</v>
      </c>
      <c r="L1756">
        <v>93.74</v>
      </c>
      <c r="M1756" t="s">
        <v>115</v>
      </c>
      <c r="N1756">
        <f t="shared" si="244"/>
        <v>0</v>
      </c>
      <c r="O1756" t="s">
        <v>51</v>
      </c>
      <c r="P1756" t="s">
        <v>1747</v>
      </c>
      <c r="Q1756">
        <v>0</v>
      </c>
      <c r="R1756">
        <v>288</v>
      </c>
      <c r="S1756">
        <f t="shared" si="245"/>
        <v>-1.1196416663702038</v>
      </c>
      <c r="T1756">
        <f t="shared" si="246"/>
        <v>0</v>
      </c>
      <c r="U1756">
        <f t="shared" si="247"/>
        <v>0</v>
      </c>
      <c r="V1756">
        <f t="shared" si="248"/>
        <v>0</v>
      </c>
      <c r="W1756">
        <f t="shared" si="249"/>
        <v>0</v>
      </c>
      <c r="X1756">
        <f t="shared" si="250"/>
        <v>0</v>
      </c>
      <c r="Y1756">
        <f t="shared" si="251"/>
        <v>0</v>
      </c>
    </row>
    <row r="1757" spans="1:25" x14ac:dyDescent="0.3">
      <c r="A1757" t="s">
        <v>1010</v>
      </c>
      <c r="B1757" t="s">
        <v>1011</v>
      </c>
      <c r="C1757" s="1">
        <v>45750</v>
      </c>
      <c r="D1757" s="3">
        <v>0.43053240740740739</v>
      </c>
      <c r="E1757">
        <f t="shared" si="243"/>
        <v>10</v>
      </c>
      <c r="F1757">
        <v>38</v>
      </c>
      <c r="G1757" t="s">
        <v>60</v>
      </c>
      <c r="H1757" t="s">
        <v>100</v>
      </c>
      <c r="I1757" t="s">
        <v>110</v>
      </c>
      <c r="J1757" t="s">
        <v>40</v>
      </c>
      <c r="K1757" t="s">
        <v>32</v>
      </c>
      <c r="L1757">
        <v>93.67</v>
      </c>
      <c r="M1757" t="s">
        <v>33</v>
      </c>
      <c r="N1757">
        <f t="shared" si="244"/>
        <v>0</v>
      </c>
      <c r="O1757" t="s">
        <v>86</v>
      </c>
      <c r="P1757" t="s">
        <v>1012</v>
      </c>
      <c r="Q1757">
        <v>0</v>
      </c>
      <c r="R1757">
        <v>303</v>
      </c>
      <c r="S1757">
        <f t="shared" si="245"/>
        <v>-1.1206107645335304</v>
      </c>
      <c r="T1757">
        <f t="shared" si="246"/>
        <v>0</v>
      </c>
      <c r="U1757">
        <f t="shared" si="247"/>
        <v>0</v>
      </c>
      <c r="V1757">
        <f t="shared" si="248"/>
        <v>0</v>
      </c>
      <c r="W1757">
        <f t="shared" si="249"/>
        <v>0</v>
      </c>
      <c r="X1757">
        <f t="shared" si="250"/>
        <v>0</v>
      </c>
      <c r="Y1757">
        <f t="shared" si="251"/>
        <v>0</v>
      </c>
    </row>
    <row r="1758" spans="1:25" x14ac:dyDescent="0.3">
      <c r="A1758" t="s">
        <v>2303</v>
      </c>
      <c r="B1758" t="s">
        <v>2304</v>
      </c>
      <c r="C1758" s="1">
        <v>45734</v>
      </c>
      <c r="D1758" s="3">
        <v>0.13226851851851851</v>
      </c>
      <c r="E1758">
        <f t="shared" si="243"/>
        <v>3</v>
      </c>
      <c r="F1758">
        <v>64</v>
      </c>
      <c r="G1758" t="s">
        <v>60</v>
      </c>
      <c r="H1758" t="s">
        <v>185</v>
      </c>
      <c r="I1758" t="s">
        <v>66</v>
      </c>
      <c r="J1758" t="s">
        <v>31</v>
      </c>
      <c r="K1758" t="s">
        <v>22</v>
      </c>
      <c r="L1758">
        <v>93.67</v>
      </c>
      <c r="M1758" t="s">
        <v>23</v>
      </c>
      <c r="N1758">
        <f t="shared" si="244"/>
        <v>0</v>
      </c>
      <c r="O1758" t="s">
        <v>51</v>
      </c>
      <c r="P1758" t="s">
        <v>2305</v>
      </c>
      <c r="Q1758">
        <v>0</v>
      </c>
      <c r="R1758">
        <v>322</v>
      </c>
      <c r="S1758">
        <f t="shared" si="245"/>
        <v>-1.1206107645335304</v>
      </c>
      <c r="T1758">
        <f t="shared" si="246"/>
        <v>0</v>
      </c>
      <c r="U1758">
        <f t="shared" si="247"/>
        <v>1</v>
      </c>
      <c r="V1758">
        <f t="shared" si="248"/>
        <v>0</v>
      </c>
      <c r="W1758">
        <f t="shared" si="249"/>
        <v>2</v>
      </c>
      <c r="X1758">
        <f t="shared" si="250"/>
        <v>0</v>
      </c>
      <c r="Y1758">
        <f t="shared" si="251"/>
        <v>0</v>
      </c>
    </row>
    <row r="1759" spans="1:25" x14ac:dyDescent="0.3">
      <c r="A1759" t="s">
        <v>3311</v>
      </c>
      <c r="B1759" t="s">
        <v>3312</v>
      </c>
      <c r="C1759" s="1">
        <v>45834</v>
      </c>
      <c r="D1759" s="3">
        <v>0.18533564814814815</v>
      </c>
      <c r="E1759">
        <f t="shared" si="243"/>
        <v>4</v>
      </c>
      <c r="F1759">
        <v>50</v>
      </c>
      <c r="G1759" t="s">
        <v>46</v>
      </c>
      <c r="H1759" t="s">
        <v>61</v>
      </c>
      <c r="I1759" t="s">
        <v>66</v>
      </c>
      <c r="J1759" t="s">
        <v>21</v>
      </c>
      <c r="K1759" t="s">
        <v>50</v>
      </c>
      <c r="L1759">
        <v>93.53</v>
      </c>
      <c r="M1759" t="s">
        <v>33</v>
      </c>
      <c r="N1759">
        <f t="shared" si="244"/>
        <v>0</v>
      </c>
      <c r="O1759" t="s">
        <v>86</v>
      </c>
      <c r="P1759" t="s">
        <v>3313</v>
      </c>
      <c r="Q1759">
        <v>0</v>
      </c>
      <c r="R1759">
        <v>159</v>
      </c>
      <c r="S1759">
        <f t="shared" si="245"/>
        <v>-1.1225489608601833</v>
      </c>
      <c r="T1759">
        <f t="shared" si="246"/>
        <v>0</v>
      </c>
      <c r="U1759">
        <f t="shared" si="247"/>
        <v>1</v>
      </c>
      <c r="V1759">
        <f t="shared" si="248"/>
        <v>1</v>
      </c>
      <c r="W1759">
        <f t="shared" si="249"/>
        <v>3</v>
      </c>
      <c r="X1759">
        <f t="shared" si="250"/>
        <v>0</v>
      </c>
      <c r="Y1759">
        <f t="shared" si="251"/>
        <v>0</v>
      </c>
    </row>
    <row r="1760" spans="1:25" x14ac:dyDescent="0.3">
      <c r="A1760" t="s">
        <v>1664</v>
      </c>
      <c r="B1760" t="s">
        <v>1665</v>
      </c>
      <c r="C1760" s="1">
        <v>45871</v>
      </c>
      <c r="D1760" s="3">
        <v>0.45379629629629631</v>
      </c>
      <c r="E1760">
        <f t="shared" si="243"/>
        <v>10</v>
      </c>
      <c r="F1760">
        <v>63</v>
      </c>
      <c r="G1760" t="s">
        <v>60</v>
      </c>
      <c r="H1760" t="s">
        <v>90</v>
      </c>
      <c r="I1760" t="s">
        <v>110</v>
      </c>
      <c r="J1760" t="s">
        <v>72</v>
      </c>
      <c r="K1760" t="s">
        <v>101</v>
      </c>
      <c r="L1760">
        <v>93.39</v>
      </c>
      <c r="M1760" t="s">
        <v>42</v>
      </c>
      <c r="N1760">
        <f t="shared" si="244"/>
        <v>0</v>
      </c>
      <c r="O1760" t="s">
        <v>34</v>
      </c>
      <c r="P1760" t="s">
        <v>1666</v>
      </c>
      <c r="Q1760">
        <v>0</v>
      </c>
      <c r="R1760">
        <v>365</v>
      </c>
      <c r="S1760">
        <f t="shared" si="245"/>
        <v>-1.1244871571868362</v>
      </c>
      <c r="T1760">
        <f t="shared" si="246"/>
        <v>0</v>
      </c>
      <c r="U1760">
        <f t="shared" si="247"/>
        <v>0</v>
      </c>
      <c r="V1760">
        <f t="shared" si="248"/>
        <v>0</v>
      </c>
      <c r="W1760">
        <f t="shared" si="249"/>
        <v>0</v>
      </c>
      <c r="X1760">
        <f t="shared" si="250"/>
        <v>0</v>
      </c>
      <c r="Y1760">
        <f t="shared" si="251"/>
        <v>0</v>
      </c>
    </row>
    <row r="1761" spans="1:25" x14ac:dyDescent="0.3">
      <c r="A1761" t="s">
        <v>4604</v>
      </c>
      <c r="B1761" t="s">
        <v>4605</v>
      </c>
      <c r="C1761" s="1">
        <v>45831</v>
      </c>
      <c r="D1761" s="3">
        <v>0.89579861111111114</v>
      </c>
      <c r="E1761">
        <f t="shared" si="243"/>
        <v>21</v>
      </c>
      <c r="F1761">
        <v>56</v>
      </c>
      <c r="G1761" t="s">
        <v>60</v>
      </c>
      <c r="H1761" t="s">
        <v>38</v>
      </c>
      <c r="I1761" t="s">
        <v>110</v>
      </c>
      <c r="J1761" t="s">
        <v>49</v>
      </c>
      <c r="K1761" t="s">
        <v>62</v>
      </c>
      <c r="L1761">
        <v>93.35</v>
      </c>
      <c r="M1761" t="s">
        <v>115</v>
      </c>
      <c r="N1761">
        <f t="shared" si="244"/>
        <v>0</v>
      </c>
      <c r="O1761" t="s">
        <v>86</v>
      </c>
      <c r="P1761" t="s">
        <v>4606</v>
      </c>
      <c r="Q1761">
        <v>0</v>
      </c>
      <c r="R1761">
        <v>431</v>
      </c>
      <c r="S1761">
        <f t="shared" si="245"/>
        <v>-1.1250409275658799</v>
      </c>
      <c r="T1761">
        <f t="shared" si="246"/>
        <v>0</v>
      </c>
      <c r="U1761">
        <f t="shared" si="247"/>
        <v>0</v>
      </c>
      <c r="V1761">
        <f t="shared" si="248"/>
        <v>0</v>
      </c>
      <c r="W1761">
        <f t="shared" si="249"/>
        <v>0</v>
      </c>
      <c r="X1761">
        <f t="shared" si="250"/>
        <v>0</v>
      </c>
      <c r="Y1761">
        <f t="shared" si="251"/>
        <v>0</v>
      </c>
    </row>
    <row r="1762" spans="1:25" x14ac:dyDescent="0.3">
      <c r="A1762" t="s">
        <v>3839</v>
      </c>
      <c r="B1762" t="s">
        <v>3840</v>
      </c>
      <c r="C1762" s="1">
        <v>45742</v>
      </c>
      <c r="D1762" s="3">
        <v>0.23129629629629631</v>
      </c>
      <c r="E1762">
        <f t="shared" si="243"/>
        <v>5</v>
      </c>
      <c r="F1762">
        <v>31</v>
      </c>
      <c r="G1762" t="s">
        <v>60</v>
      </c>
      <c r="H1762" t="s">
        <v>131</v>
      </c>
      <c r="I1762" t="s">
        <v>105</v>
      </c>
      <c r="J1762" t="s">
        <v>132</v>
      </c>
      <c r="K1762" t="s">
        <v>95</v>
      </c>
      <c r="L1762">
        <v>93.3</v>
      </c>
      <c r="M1762" t="s">
        <v>6479</v>
      </c>
      <c r="N1762">
        <f t="shared" si="244"/>
        <v>1</v>
      </c>
      <c r="O1762" t="s">
        <v>51</v>
      </c>
      <c r="P1762" t="s">
        <v>3841</v>
      </c>
      <c r="Q1762">
        <v>0</v>
      </c>
      <c r="R1762">
        <v>217</v>
      </c>
      <c r="S1762">
        <f t="shared" si="245"/>
        <v>-1.1257331405396844</v>
      </c>
      <c r="T1762">
        <f t="shared" si="246"/>
        <v>0</v>
      </c>
      <c r="U1762">
        <f t="shared" si="247"/>
        <v>1</v>
      </c>
      <c r="V1762">
        <f t="shared" si="248"/>
        <v>1</v>
      </c>
      <c r="W1762">
        <f t="shared" si="249"/>
        <v>5</v>
      </c>
      <c r="X1762">
        <f t="shared" si="250"/>
        <v>1</v>
      </c>
      <c r="Y1762">
        <f t="shared" si="251"/>
        <v>1</v>
      </c>
    </row>
    <row r="1763" spans="1:25" x14ac:dyDescent="0.3">
      <c r="A1763" t="s">
        <v>2111</v>
      </c>
      <c r="B1763" t="s">
        <v>2112</v>
      </c>
      <c r="C1763" s="1">
        <v>45801</v>
      </c>
      <c r="D1763" s="3">
        <v>0.46443287037037034</v>
      </c>
      <c r="E1763">
        <f t="shared" si="243"/>
        <v>11</v>
      </c>
      <c r="F1763">
        <v>33</v>
      </c>
      <c r="G1763" t="s">
        <v>28</v>
      </c>
      <c r="H1763" t="s">
        <v>29</v>
      </c>
      <c r="I1763" t="s">
        <v>119</v>
      </c>
      <c r="J1763" t="s">
        <v>127</v>
      </c>
      <c r="K1763" t="s">
        <v>50</v>
      </c>
      <c r="L1763">
        <v>93.11</v>
      </c>
      <c r="M1763" t="s">
        <v>115</v>
      </c>
      <c r="N1763">
        <f t="shared" si="244"/>
        <v>0</v>
      </c>
      <c r="O1763" t="s">
        <v>24</v>
      </c>
      <c r="P1763" t="s">
        <v>2113</v>
      </c>
      <c r="Q1763">
        <v>0</v>
      </c>
      <c r="R1763">
        <v>145</v>
      </c>
      <c r="S1763">
        <f t="shared" si="245"/>
        <v>-1.1283635498401421</v>
      </c>
      <c r="T1763">
        <f t="shared" si="246"/>
        <v>0</v>
      </c>
      <c r="U1763">
        <f t="shared" si="247"/>
        <v>0</v>
      </c>
      <c r="V1763">
        <f t="shared" si="248"/>
        <v>1</v>
      </c>
      <c r="W1763">
        <f t="shared" si="249"/>
        <v>1</v>
      </c>
      <c r="X1763">
        <f t="shared" si="250"/>
        <v>0</v>
      </c>
      <c r="Y1763">
        <f t="shared" si="251"/>
        <v>0</v>
      </c>
    </row>
    <row r="1764" spans="1:25" x14ac:dyDescent="0.3">
      <c r="A1764" t="s">
        <v>3794</v>
      </c>
      <c r="B1764" t="s">
        <v>3795</v>
      </c>
      <c r="C1764" s="1">
        <v>45829</v>
      </c>
      <c r="D1764" s="3">
        <v>0.59146990740740746</v>
      </c>
      <c r="E1764">
        <f t="shared" si="243"/>
        <v>14</v>
      </c>
      <c r="F1764">
        <v>30</v>
      </c>
      <c r="G1764" t="s">
        <v>18</v>
      </c>
      <c r="H1764" t="s">
        <v>84</v>
      </c>
      <c r="I1764" t="s">
        <v>30</v>
      </c>
      <c r="J1764" t="s">
        <v>76</v>
      </c>
      <c r="K1764" t="s">
        <v>168</v>
      </c>
      <c r="L1764">
        <v>93.08</v>
      </c>
      <c r="M1764" t="s">
        <v>115</v>
      </c>
      <c r="N1764">
        <f t="shared" si="244"/>
        <v>0</v>
      </c>
      <c r="O1764" t="s">
        <v>86</v>
      </c>
      <c r="P1764" t="s">
        <v>3796</v>
      </c>
      <c r="Q1764">
        <v>0</v>
      </c>
      <c r="R1764">
        <v>120</v>
      </c>
      <c r="S1764">
        <f t="shared" si="245"/>
        <v>-1.1287788776244247</v>
      </c>
      <c r="T1764">
        <f t="shared" si="246"/>
        <v>0</v>
      </c>
      <c r="U1764">
        <f t="shared" si="247"/>
        <v>0</v>
      </c>
      <c r="V1764">
        <f t="shared" si="248"/>
        <v>1</v>
      </c>
      <c r="W1764">
        <f t="shared" si="249"/>
        <v>1</v>
      </c>
      <c r="X1764">
        <f t="shared" si="250"/>
        <v>0</v>
      </c>
      <c r="Y1764">
        <f t="shared" si="251"/>
        <v>0</v>
      </c>
    </row>
    <row r="1765" spans="1:25" x14ac:dyDescent="0.3">
      <c r="A1765" t="s">
        <v>395</v>
      </c>
      <c r="B1765" t="s">
        <v>396</v>
      </c>
      <c r="C1765" s="1">
        <v>45718</v>
      </c>
      <c r="D1765" s="3">
        <v>0.17543981481481483</v>
      </c>
      <c r="E1765">
        <f t="shared" si="243"/>
        <v>4</v>
      </c>
      <c r="F1765">
        <v>25</v>
      </c>
      <c r="G1765" t="s">
        <v>18</v>
      </c>
      <c r="H1765" t="s">
        <v>55</v>
      </c>
      <c r="I1765" t="s">
        <v>39</v>
      </c>
      <c r="J1765" t="s">
        <v>76</v>
      </c>
      <c r="K1765" t="s">
        <v>95</v>
      </c>
      <c r="L1765">
        <v>92.72</v>
      </c>
      <c r="M1765" t="s">
        <v>23</v>
      </c>
      <c r="N1765">
        <f t="shared" si="244"/>
        <v>0</v>
      </c>
      <c r="O1765" t="s">
        <v>34</v>
      </c>
      <c r="P1765" t="s">
        <v>397</v>
      </c>
      <c r="Q1765">
        <v>0</v>
      </c>
      <c r="R1765">
        <v>136</v>
      </c>
      <c r="S1765">
        <f t="shared" si="245"/>
        <v>-1.1337628110358182</v>
      </c>
      <c r="T1765">
        <f t="shared" si="246"/>
        <v>0</v>
      </c>
      <c r="U1765">
        <f t="shared" si="247"/>
        <v>1</v>
      </c>
      <c r="V1765">
        <f t="shared" si="248"/>
        <v>1</v>
      </c>
      <c r="W1765">
        <f t="shared" si="249"/>
        <v>3</v>
      </c>
      <c r="X1765">
        <f t="shared" si="250"/>
        <v>0</v>
      </c>
      <c r="Y1765">
        <f t="shared" si="251"/>
        <v>0</v>
      </c>
    </row>
    <row r="1766" spans="1:25" x14ac:dyDescent="0.3">
      <c r="A1766" t="s">
        <v>5429</v>
      </c>
      <c r="B1766" t="s">
        <v>5430</v>
      </c>
      <c r="C1766" s="1">
        <v>45848</v>
      </c>
      <c r="D1766" s="3">
        <v>0.17804398148148148</v>
      </c>
      <c r="E1766">
        <f t="shared" si="243"/>
        <v>4</v>
      </c>
      <c r="F1766">
        <v>58</v>
      </c>
      <c r="G1766" t="s">
        <v>46</v>
      </c>
      <c r="H1766" t="s">
        <v>47</v>
      </c>
      <c r="I1766" t="s">
        <v>66</v>
      </c>
      <c r="J1766" t="s">
        <v>72</v>
      </c>
      <c r="K1766" t="s">
        <v>50</v>
      </c>
      <c r="L1766">
        <v>92.24</v>
      </c>
      <c r="M1766" t="s">
        <v>23</v>
      </c>
      <c r="N1766">
        <f t="shared" si="244"/>
        <v>0</v>
      </c>
      <c r="O1766" t="s">
        <v>34</v>
      </c>
      <c r="P1766" t="s">
        <v>5431</v>
      </c>
      <c r="Q1766">
        <v>0</v>
      </c>
      <c r="R1766">
        <v>218</v>
      </c>
      <c r="S1766">
        <f t="shared" si="245"/>
        <v>-1.1404080555843426</v>
      </c>
      <c r="T1766">
        <f t="shared" si="246"/>
        <v>0</v>
      </c>
      <c r="U1766">
        <f t="shared" si="247"/>
        <v>1</v>
      </c>
      <c r="V1766">
        <f t="shared" si="248"/>
        <v>1</v>
      </c>
      <c r="W1766">
        <f t="shared" si="249"/>
        <v>3</v>
      </c>
      <c r="X1766">
        <f t="shared" si="250"/>
        <v>0</v>
      </c>
      <c r="Y1766">
        <f t="shared" si="251"/>
        <v>0</v>
      </c>
    </row>
    <row r="1767" spans="1:25" x14ac:dyDescent="0.3">
      <c r="A1767" t="s">
        <v>5567</v>
      </c>
      <c r="B1767" t="s">
        <v>5568</v>
      </c>
      <c r="C1767" s="1">
        <v>45740</v>
      </c>
      <c r="D1767" s="3">
        <v>0.83459490740740738</v>
      </c>
      <c r="E1767">
        <f t="shared" si="243"/>
        <v>20</v>
      </c>
      <c r="F1767">
        <v>25</v>
      </c>
      <c r="G1767" t="s">
        <v>18</v>
      </c>
      <c r="H1767" t="s">
        <v>84</v>
      </c>
      <c r="I1767" t="s">
        <v>30</v>
      </c>
      <c r="J1767" t="s">
        <v>40</v>
      </c>
      <c r="K1767" t="s">
        <v>101</v>
      </c>
      <c r="L1767">
        <v>92.15</v>
      </c>
      <c r="M1767" t="s">
        <v>42</v>
      </c>
      <c r="N1767">
        <f t="shared" si="244"/>
        <v>0</v>
      </c>
      <c r="O1767" t="s">
        <v>24</v>
      </c>
      <c r="P1767" t="s">
        <v>5569</v>
      </c>
      <c r="Q1767">
        <v>0</v>
      </c>
      <c r="R1767">
        <v>455</v>
      </c>
      <c r="S1767">
        <f t="shared" si="245"/>
        <v>-1.1416540389371908</v>
      </c>
      <c r="T1767">
        <f t="shared" si="246"/>
        <v>0</v>
      </c>
      <c r="U1767">
        <f t="shared" si="247"/>
        <v>0</v>
      </c>
      <c r="V1767">
        <f t="shared" si="248"/>
        <v>0</v>
      </c>
      <c r="W1767">
        <f t="shared" si="249"/>
        <v>0</v>
      </c>
      <c r="X1767">
        <f t="shared" si="250"/>
        <v>0</v>
      </c>
      <c r="Y1767">
        <f t="shared" si="251"/>
        <v>0</v>
      </c>
    </row>
    <row r="1768" spans="1:25" x14ac:dyDescent="0.3">
      <c r="A1768" t="s">
        <v>3737</v>
      </c>
      <c r="B1768" t="s">
        <v>3738</v>
      </c>
      <c r="C1768" s="1">
        <v>45777</v>
      </c>
      <c r="D1768" s="3">
        <v>0.38458333333333333</v>
      </c>
      <c r="E1768">
        <f t="shared" si="243"/>
        <v>9</v>
      </c>
      <c r="F1768" s="4">
        <v>41</v>
      </c>
      <c r="G1768" t="s">
        <v>18</v>
      </c>
      <c r="H1768" t="s">
        <v>189</v>
      </c>
      <c r="I1768" t="s">
        <v>119</v>
      </c>
      <c r="J1768" t="s">
        <v>72</v>
      </c>
      <c r="K1768" t="s">
        <v>120</v>
      </c>
      <c r="L1768">
        <v>92.13</v>
      </c>
      <c r="M1768" t="s">
        <v>115</v>
      </c>
      <c r="N1768">
        <f t="shared" si="244"/>
        <v>0</v>
      </c>
      <c r="O1768" t="s">
        <v>51</v>
      </c>
      <c r="P1768" t="s">
        <v>3739</v>
      </c>
      <c r="Q1768">
        <v>0</v>
      </c>
      <c r="R1768">
        <v>90</v>
      </c>
      <c r="S1768">
        <f t="shared" si="245"/>
        <v>-1.1419309241267128</v>
      </c>
      <c r="T1768">
        <f t="shared" si="246"/>
        <v>0</v>
      </c>
      <c r="U1768">
        <f t="shared" si="247"/>
        <v>0</v>
      </c>
      <c r="V1768">
        <f t="shared" si="248"/>
        <v>1</v>
      </c>
      <c r="W1768">
        <f t="shared" si="249"/>
        <v>1</v>
      </c>
      <c r="X1768">
        <f t="shared" si="250"/>
        <v>0</v>
      </c>
      <c r="Y1768">
        <f t="shared" si="251"/>
        <v>0</v>
      </c>
    </row>
    <row r="1769" spans="1:25" x14ac:dyDescent="0.3">
      <c r="A1769" t="s">
        <v>1913</v>
      </c>
      <c r="B1769" t="s">
        <v>1914</v>
      </c>
      <c r="C1769" s="1">
        <v>45714</v>
      </c>
      <c r="D1769" s="3">
        <v>0.93185185185185182</v>
      </c>
      <c r="E1769">
        <f t="shared" si="243"/>
        <v>22</v>
      </c>
      <c r="F1769">
        <v>28</v>
      </c>
      <c r="G1769" t="s">
        <v>60</v>
      </c>
      <c r="H1769" t="s">
        <v>239</v>
      </c>
      <c r="I1769" t="s">
        <v>71</v>
      </c>
      <c r="J1769" t="s">
        <v>40</v>
      </c>
      <c r="K1769" t="s">
        <v>22</v>
      </c>
      <c r="L1769">
        <v>92.1</v>
      </c>
      <c r="M1769" t="s">
        <v>33</v>
      </c>
      <c r="N1769">
        <f t="shared" si="244"/>
        <v>0</v>
      </c>
      <c r="O1769" t="s">
        <v>51</v>
      </c>
      <c r="P1769" t="s">
        <v>1915</v>
      </c>
      <c r="Q1769">
        <v>0</v>
      </c>
      <c r="R1769">
        <v>164</v>
      </c>
      <c r="S1769">
        <f t="shared" si="245"/>
        <v>-1.1423462519109955</v>
      </c>
      <c r="T1769">
        <f t="shared" si="246"/>
        <v>0</v>
      </c>
      <c r="U1769">
        <f t="shared" si="247"/>
        <v>0</v>
      </c>
      <c r="V1769">
        <f t="shared" si="248"/>
        <v>1</v>
      </c>
      <c r="W1769">
        <f t="shared" si="249"/>
        <v>1</v>
      </c>
      <c r="X1769">
        <f t="shared" si="250"/>
        <v>0</v>
      </c>
      <c r="Y1769">
        <f t="shared" si="251"/>
        <v>0</v>
      </c>
    </row>
    <row r="1770" spans="1:25" x14ac:dyDescent="0.3">
      <c r="A1770" t="s">
        <v>134</v>
      </c>
      <c r="B1770" t="s">
        <v>135</v>
      </c>
      <c r="C1770" s="1">
        <v>45845</v>
      </c>
      <c r="D1770" s="3">
        <v>0.10803240740740741</v>
      </c>
      <c r="E1770">
        <f t="shared" si="243"/>
        <v>2</v>
      </c>
      <c r="F1770">
        <v>55</v>
      </c>
      <c r="G1770" t="s">
        <v>28</v>
      </c>
      <c r="H1770" t="s">
        <v>131</v>
      </c>
      <c r="I1770" t="s">
        <v>105</v>
      </c>
      <c r="J1770" t="s">
        <v>56</v>
      </c>
      <c r="K1770" t="s">
        <v>22</v>
      </c>
      <c r="L1770">
        <v>92.05</v>
      </c>
      <c r="M1770" t="s">
        <v>33</v>
      </c>
      <c r="N1770">
        <f t="shared" si="244"/>
        <v>0</v>
      </c>
      <c r="O1770" t="s">
        <v>34</v>
      </c>
      <c r="P1770" t="s">
        <v>136</v>
      </c>
      <c r="Q1770">
        <v>0</v>
      </c>
      <c r="R1770">
        <v>498</v>
      </c>
      <c r="S1770">
        <f t="shared" si="245"/>
        <v>-1.1430384648848002</v>
      </c>
      <c r="T1770">
        <f t="shared" si="246"/>
        <v>0</v>
      </c>
      <c r="U1770">
        <f t="shared" si="247"/>
        <v>1</v>
      </c>
      <c r="V1770">
        <f t="shared" si="248"/>
        <v>0</v>
      </c>
      <c r="W1770">
        <f t="shared" si="249"/>
        <v>2</v>
      </c>
      <c r="X1770">
        <f t="shared" si="250"/>
        <v>0</v>
      </c>
      <c r="Y1770">
        <f t="shared" si="251"/>
        <v>0</v>
      </c>
    </row>
    <row r="1771" spans="1:25" x14ac:dyDescent="0.3">
      <c r="A1771" t="s">
        <v>3854</v>
      </c>
      <c r="B1771" t="s">
        <v>3855</v>
      </c>
      <c r="C1771" s="1">
        <v>45778</v>
      </c>
      <c r="D1771" s="3">
        <v>0.43284722222222222</v>
      </c>
      <c r="E1771">
        <f t="shared" si="243"/>
        <v>10</v>
      </c>
      <c r="F1771">
        <v>55</v>
      </c>
      <c r="G1771" t="s">
        <v>46</v>
      </c>
      <c r="H1771" t="s">
        <v>47</v>
      </c>
      <c r="I1771" t="s">
        <v>105</v>
      </c>
      <c r="J1771" t="s">
        <v>132</v>
      </c>
      <c r="K1771" t="s">
        <v>120</v>
      </c>
      <c r="L1771">
        <v>92.02</v>
      </c>
      <c r="M1771" t="s">
        <v>33</v>
      </c>
      <c r="N1771">
        <f t="shared" si="244"/>
        <v>0</v>
      </c>
      <c r="O1771" t="s">
        <v>34</v>
      </c>
      <c r="P1771" t="s">
        <v>3856</v>
      </c>
      <c r="Q1771">
        <v>0</v>
      </c>
      <c r="R1771">
        <v>106</v>
      </c>
      <c r="S1771">
        <f t="shared" si="245"/>
        <v>-1.1434537926690829</v>
      </c>
      <c r="T1771">
        <f t="shared" si="246"/>
        <v>0</v>
      </c>
      <c r="U1771">
        <f t="shared" si="247"/>
        <v>0</v>
      </c>
      <c r="V1771">
        <f t="shared" si="248"/>
        <v>1</v>
      </c>
      <c r="W1771">
        <f t="shared" si="249"/>
        <v>1</v>
      </c>
      <c r="X1771">
        <f t="shared" si="250"/>
        <v>0</v>
      </c>
      <c r="Y1771">
        <f t="shared" si="251"/>
        <v>0</v>
      </c>
    </row>
    <row r="1772" spans="1:25" x14ac:dyDescent="0.3">
      <c r="A1772" t="s">
        <v>686</v>
      </c>
      <c r="B1772" t="s">
        <v>687</v>
      </c>
      <c r="C1772" s="1">
        <v>45837</v>
      </c>
      <c r="D1772" s="3">
        <v>0.10118055555555555</v>
      </c>
      <c r="E1772">
        <f t="shared" si="243"/>
        <v>2</v>
      </c>
      <c r="F1772">
        <v>56</v>
      </c>
      <c r="G1772" t="s">
        <v>46</v>
      </c>
      <c r="H1772" t="s">
        <v>47</v>
      </c>
      <c r="I1772" t="s">
        <v>30</v>
      </c>
      <c r="J1772" t="s">
        <v>76</v>
      </c>
      <c r="K1772" t="s">
        <v>114</v>
      </c>
      <c r="L1772">
        <v>91.98</v>
      </c>
      <c r="M1772" t="s">
        <v>23</v>
      </c>
      <c r="N1772">
        <f t="shared" si="244"/>
        <v>0</v>
      </c>
      <c r="O1772" t="s">
        <v>24</v>
      </c>
      <c r="P1772" t="s">
        <v>688</v>
      </c>
      <c r="Q1772">
        <v>0</v>
      </c>
      <c r="R1772">
        <v>445</v>
      </c>
      <c r="S1772">
        <f t="shared" si="245"/>
        <v>-1.1440075630481266</v>
      </c>
      <c r="T1772">
        <f t="shared" si="246"/>
        <v>0</v>
      </c>
      <c r="U1772">
        <f t="shared" si="247"/>
        <v>1</v>
      </c>
      <c r="V1772">
        <f t="shared" si="248"/>
        <v>0</v>
      </c>
      <c r="W1772">
        <f t="shared" si="249"/>
        <v>2</v>
      </c>
      <c r="X1772">
        <f t="shared" si="250"/>
        <v>0</v>
      </c>
      <c r="Y1772">
        <f t="shared" si="251"/>
        <v>0</v>
      </c>
    </row>
    <row r="1773" spans="1:25" x14ac:dyDescent="0.3">
      <c r="A1773" t="s">
        <v>5579</v>
      </c>
      <c r="B1773" t="s">
        <v>5580</v>
      </c>
      <c r="C1773" s="1">
        <v>45871</v>
      </c>
      <c r="D1773" s="3">
        <v>0.58540509259259255</v>
      </c>
      <c r="E1773">
        <f t="shared" si="243"/>
        <v>14</v>
      </c>
      <c r="F1773">
        <v>24</v>
      </c>
      <c r="G1773" t="s">
        <v>18</v>
      </c>
      <c r="H1773" t="s">
        <v>84</v>
      </c>
      <c r="I1773" t="s">
        <v>20</v>
      </c>
      <c r="J1773" t="s">
        <v>72</v>
      </c>
      <c r="K1773" t="s">
        <v>41</v>
      </c>
      <c r="L1773">
        <v>91.91</v>
      </c>
      <c r="M1773" t="s">
        <v>115</v>
      </c>
      <c r="N1773">
        <f t="shared" si="244"/>
        <v>0</v>
      </c>
      <c r="O1773" t="s">
        <v>86</v>
      </c>
      <c r="P1773" t="s">
        <v>5581</v>
      </c>
      <c r="Q1773">
        <v>1</v>
      </c>
      <c r="R1773">
        <v>229</v>
      </c>
      <c r="S1773">
        <f t="shared" si="245"/>
        <v>-1.1449766612114531</v>
      </c>
      <c r="T1773">
        <f t="shared" si="246"/>
        <v>0</v>
      </c>
      <c r="U1773">
        <f t="shared" si="247"/>
        <v>0</v>
      </c>
      <c r="V1773">
        <f t="shared" si="248"/>
        <v>1</v>
      </c>
      <c r="W1773">
        <f t="shared" si="249"/>
        <v>1</v>
      </c>
      <c r="X1773">
        <f t="shared" si="250"/>
        <v>0</v>
      </c>
      <c r="Y1773">
        <f t="shared" si="251"/>
        <v>0</v>
      </c>
    </row>
    <row r="1774" spans="1:25" x14ac:dyDescent="0.3">
      <c r="A1774" t="s">
        <v>301</v>
      </c>
      <c r="B1774" t="s">
        <v>302</v>
      </c>
      <c r="C1774" s="1">
        <v>45743</v>
      </c>
      <c r="D1774" s="3">
        <v>0.48096064814814815</v>
      </c>
      <c r="E1774">
        <f t="shared" si="243"/>
        <v>11</v>
      </c>
      <c r="F1774">
        <v>48</v>
      </c>
      <c r="G1774" t="s">
        <v>46</v>
      </c>
      <c r="H1774" t="s">
        <v>100</v>
      </c>
      <c r="I1774" t="s">
        <v>48</v>
      </c>
      <c r="J1774" t="s">
        <v>94</v>
      </c>
      <c r="K1774" t="s">
        <v>120</v>
      </c>
      <c r="L1774">
        <v>91.78</v>
      </c>
      <c r="M1774" t="s">
        <v>42</v>
      </c>
      <c r="N1774">
        <f t="shared" si="244"/>
        <v>0</v>
      </c>
      <c r="O1774" t="s">
        <v>86</v>
      </c>
      <c r="P1774" t="s">
        <v>303</v>
      </c>
      <c r="Q1774">
        <v>0</v>
      </c>
      <c r="R1774">
        <v>240</v>
      </c>
      <c r="S1774">
        <f t="shared" si="245"/>
        <v>-1.146776414943345</v>
      </c>
      <c r="T1774">
        <f t="shared" si="246"/>
        <v>0</v>
      </c>
      <c r="U1774">
        <f t="shared" si="247"/>
        <v>0</v>
      </c>
      <c r="V1774">
        <f t="shared" si="248"/>
        <v>1</v>
      </c>
      <c r="W1774">
        <f t="shared" si="249"/>
        <v>1</v>
      </c>
      <c r="X1774">
        <f t="shared" si="250"/>
        <v>0</v>
      </c>
      <c r="Y1774">
        <f t="shared" si="251"/>
        <v>0</v>
      </c>
    </row>
    <row r="1775" spans="1:25" x14ac:dyDescent="0.3">
      <c r="A1775" t="s">
        <v>1187</v>
      </c>
      <c r="B1775" t="s">
        <v>1188</v>
      </c>
      <c r="C1775" s="1">
        <v>45839</v>
      </c>
      <c r="D1775" s="3">
        <v>0.86668981481481477</v>
      </c>
      <c r="E1775">
        <f t="shared" si="243"/>
        <v>20</v>
      </c>
      <c r="F1775" s="4">
        <v>41</v>
      </c>
      <c r="G1775" t="s">
        <v>46</v>
      </c>
      <c r="H1775" t="s">
        <v>84</v>
      </c>
      <c r="I1775" t="s">
        <v>20</v>
      </c>
      <c r="J1775" t="s">
        <v>94</v>
      </c>
      <c r="K1775" t="s">
        <v>41</v>
      </c>
      <c r="L1775">
        <v>91.5</v>
      </c>
      <c r="M1775" t="s">
        <v>33</v>
      </c>
      <c r="N1775">
        <f t="shared" si="244"/>
        <v>0</v>
      </c>
      <c r="O1775" t="s">
        <v>86</v>
      </c>
      <c r="P1775" t="s">
        <v>1189</v>
      </c>
      <c r="Q1775">
        <v>0</v>
      </c>
      <c r="R1775">
        <v>419</v>
      </c>
      <c r="S1775">
        <f t="shared" si="245"/>
        <v>-1.1506528075966509</v>
      </c>
      <c r="T1775">
        <f t="shared" si="246"/>
        <v>0</v>
      </c>
      <c r="U1775">
        <f t="shared" si="247"/>
        <v>0</v>
      </c>
      <c r="V1775">
        <f t="shared" si="248"/>
        <v>0</v>
      </c>
      <c r="W1775">
        <f t="shared" si="249"/>
        <v>0</v>
      </c>
      <c r="X1775">
        <f t="shared" si="250"/>
        <v>0</v>
      </c>
      <c r="Y1775">
        <f t="shared" si="251"/>
        <v>0</v>
      </c>
    </row>
    <row r="1776" spans="1:25" x14ac:dyDescent="0.3">
      <c r="A1776" t="s">
        <v>944</v>
      </c>
      <c r="B1776" t="s">
        <v>945</v>
      </c>
      <c r="C1776" s="1">
        <v>45725</v>
      </c>
      <c r="D1776" s="3">
        <v>0.89224537037037033</v>
      </c>
      <c r="E1776">
        <f t="shared" si="243"/>
        <v>21</v>
      </c>
      <c r="F1776">
        <v>53</v>
      </c>
      <c r="G1776" t="s">
        <v>18</v>
      </c>
      <c r="H1776" t="s">
        <v>131</v>
      </c>
      <c r="I1776" t="s">
        <v>105</v>
      </c>
      <c r="J1776" t="s">
        <v>94</v>
      </c>
      <c r="K1776" t="s">
        <v>168</v>
      </c>
      <c r="L1776">
        <v>91.39</v>
      </c>
      <c r="M1776" t="s">
        <v>115</v>
      </c>
      <c r="N1776">
        <f t="shared" si="244"/>
        <v>0</v>
      </c>
      <c r="O1776" t="s">
        <v>24</v>
      </c>
      <c r="P1776" t="s">
        <v>946</v>
      </c>
      <c r="Q1776">
        <v>0</v>
      </c>
      <c r="R1776">
        <v>210</v>
      </c>
      <c r="S1776">
        <f t="shared" si="245"/>
        <v>-1.1521756761390212</v>
      </c>
      <c r="T1776">
        <f t="shared" si="246"/>
        <v>0</v>
      </c>
      <c r="U1776">
        <f t="shared" si="247"/>
        <v>0</v>
      </c>
      <c r="V1776">
        <f t="shared" si="248"/>
        <v>1</v>
      </c>
      <c r="W1776">
        <f t="shared" si="249"/>
        <v>1</v>
      </c>
      <c r="X1776">
        <f t="shared" si="250"/>
        <v>0</v>
      </c>
      <c r="Y1776">
        <f t="shared" si="251"/>
        <v>0</v>
      </c>
    </row>
    <row r="1777" spans="1:25" x14ac:dyDescent="0.3">
      <c r="A1777" t="s">
        <v>5888</v>
      </c>
      <c r="B1777" t="s">
        <v>5889</v>
      </c>
      <c r="C1777" s="1">
        <v>45813</v>
      </c>
      <c r="D1777" s="3">
        <v>0.39473379629629629</v>
      </c>
      <c r="E1777">
        <f t="shared" si="243"/>
        <v>9</v>
      </c>
      <c r="F1777">
        <v>21</v>
      </c>
      <c r="G1777" t="s">
        <v>18</v>
      </c>
      <c r="H1777" t="s">
        <v>312</v>
      </c>
      <c r="I1777" t="s">
        <v>66</v>
      </c>
      <c r="J1777" t="s">
        <v>72</v>
      </c>
      <c r="K1777" t="s">
        <v>41</v>
      </c>
      <c r="L1777">
        <v>91.33</v>
      </c>
      <c r="M1777" t="s">
        <v>23</v>
      </c>
      <c r="N1777">
        <f t="shared" si="244"/>
        <v>0</v>
      </c>
      <c r="O1777" t="s">
        <v>86</v>
      </c>
      <c r="P1777" t="s">
        <v>5890</v>
      </c>
      <c r="Q1777">
        <v>0</v>
      </c>
      <c r="R1777">
        <v>328</v>
      </c>
      <c r="S1777">
        <f t="shared" si="245"/>
        <v>-1.1530063317075867</v>
      </c>
      <c r="T1777">
        <f t="shared" si="246"/>
        <v>0</v>
      </c>
      <c r="U1777">
        <f t="shared" si="247"/>
        <v>0</v>
      </c>
      <c r="V1777">
        <f t="shared" si="248"/>
        <v>0</v>
      </c>
      <c r="W1777">
        <f t="shared" si="249"/>
        <v>0</v>
      </c>
      <c r="X1777">
        <f t="shared" si="250"/>
        <v>0</v>
      </c>
      <c r="Y1777">
        <f t="shared" si="251"/>
        <v>0</v>
      </c>
    </row>
    <row r="1778" spans="1:25" x14ac:dyDescent="0.3">
      <c r="A1778" t="s">
        <v>3926</v>
      </c>
      <c r="B1778" t="s">
        <v>3927</v>
      </c>
      <c r="C1778" s="1">
        <v>45846</v>
      </c>
      <c r="D1778" s="3">
        <v>0.57074074074074077</v>
      </c>
      <c r="E1778">
        <f t="shared" si="243"/>
        <v>13</v>
      </c>
      <c r="F1778">
        <v>25</v>
      </c>
      <c r="G1778" t="s">
        <v>99</v>
      </c>
      <c r="H1778" t="s">
        <v>70</v>
      </c>
      <c r="I1778" t="s">
        <v>30</v>
      </c>
      <c r="J1778" t="s">
        <v>31</v>
      </c>
      <c r="K1778" t="s">
        <v>120</v>
      </c>
      <c r="L1778">
        <v>91.07</v>
      </c>
      <c r="M1778" t="s">
        <v>33</v>
      </c>
      <c r="N1778">
        <f t="shared" si="244"/>
        <v>0</v>
      </c>
      <c r="O1778" t="s">
        <v>86</v>
      </c>
      <c r="P1778" t="s">
        <v>3928</v>
      </c>
      <c r="Q1778">
        <v>0</v>
      </c>
      <c r="R1778">
        <v>315</v>
      </c>
      <c r="S1778">
        <f t="shared" si="245"/>
        <v>-1.1566058391713707</v>
      </c>
      <c r="T1778">
        <f t="shared" si="246"/>
        <v>0</v>
      </c>
      <c r="U1778">
        <f t="shared" si="247"/>
        <v>0</v>
      </c>
      <c r="V1778">
        <f t="shared" si="248"/>
        <v>0</v>
      </c>
      <c r="W1778">
        <f t="shared" si="249"/>
        <v>0</v>
      </c>
      <c r="X1778">
        <f t="shared" si="250"/>
        <v>0</v>
      </c>
      <c r="Y1778">
        <f t="shared" si="251"/>
        <v>0</v>
      </c>
    </row>
    <row r="1779" spans="1:25" x14ac:dyDescent="0.3">
      <c r="A1779" t="s">
        <v>1100</v>
      </c>
      <c r="B1779" t="s">
        <v>1101</v>
      </c>
      <c r="C1779" s="1">
        <v>45712</v>
      </c>
      <c r="D1779" s="3">
        <v>0.24925925925925926</v>
      </c>
      <c r="E1779">
        <f t="shared" si="243"/>
        <v>5</v>
      </c>
      <c r="F1779">
        <v>21</v>
      </c>
      <c r="G1779" t="s">
        <v>60</v>
      </c>
      <c r="H1779" t="s">
        <v>80</v>
      </c>
      <c r="I1779" t="s">
        <v>119</v>
      </c>
      <c r="J1779" t="s">
        <v>40</v>
      </c>
      <c r="K1779" t="s">
        <v>32</v>
      </c>
      <c r="L1779">
        <v>91.04</v>
      </c>
      <c r="M1779" t="s">
        <v>23</v>
      </c>
      <c r="N1779">
        <f t="shared" si="244"/>
        <v>0</v>
      </c>
      <c r="O1779" t="s">
        <v>51</v>
      </c>
      <c r="P1779" t="s">
        <v>1102</v>
      </c>
      <c r="Q1779">
        <v>0</v>
      </c>
      <c r="R1779">
        <v>126</v>
      </c>
      <c r="S1779">
        <f t="shared" si="245"/>
        <v>-1.1570211669556534</v>
      </c>
      <c r="T1779">
        <f t="shared" si="246"/>
        <v>0</v>
      </c>
      <c r="U1779">
        <f t="shared" si="247"/>
        <v>1</v>
      </c>
      <c r="V1779">
        <f t="shared" si="248"/>
        <v>1</v>
      </c>
      <c r="W1779">
        <f t="shared" si="249"/>
        <v>3</v>
      </c>
      <c r="X1779">
        <f t="shared" si="250"/>
        <v>0</v>
      </c>
      <c r="Y1779">
        <f t="shared" si="251"/>
        <v>0</v>
      </c>
    </row>
    <row r="1780" spans="1:25" x14ac:dyDescent="0.3">
      <c r="A1780" t="s">
        <v>1637</v>
      </c>
      <c r="B1780" t="s">
        <v>1638</v>
      </c>
      <c r="C1780" s="1">
        <v>45873</v>
      </c>
      <c r="D1780" s="3">
        <v>0.22481481481481483</v>
      </c>
      <c r="E1780">
        <f t="shared" si="243"/>
        <v>5</v>
      </c>
      <c r="F1780">
        <v>50</v>
      </c>
      <c r="G1780" t="s">
        <v>46</v>
      </c>
      <c r="H1780" t="s">
        <v>61</v>
      </c>
      <c r="I1780" t="s">
        <v>20</v>
      </c>
      <c r="J1780" t="s">
        <v>127</v>
      </c>
      <c r="K1780" t="s">
        <v>41</v>
      </c>
      <c r="L1780">
        <v>90.66</v>
      </c>
      <c r="M1780" t="s">
        <v>23</v>
      </c>
      <c r="N1780">
        <f t="shared" si="244"/>
        <v>0</v>
      </c>
      <c r="O1780" t="s">
        <v>34</v>
      </c>
      <c r="P1780" t="s">
        <v>1639</v>
      </c>
      <c r="Q1780">
        <v>1</v>
      </c>
      <c r="R1780">
        <v>238</v>
      </c>
      <c r="S1780">
        <f t="shared" si="245"/>
        <v>-1.1622819855565687</v>
      </c>
      <c r="T1780">
        <f t="shared" si="246"/>
        <v>0</v>
      </c>
      <c r="U1780">
        <f t="shared" si="247"/>
        <v>1</v>
      </c>
      <c r="V1780">
        <f t="shared" si="248"/>
        <v>1</v>
      </c>
      <c r="W1780">
        <f t="shared" si="249"/>
        <v>3</v>
      </c>
      <c r="X1780">
        <f t="shared" si="250"/>
        <v>0</v>
      </c>
      <c r="Y1780">
        <f t="shared" si="251"/>
        <v>0</v>
      </c>
    </row>
    <row r="1781" spans="1:25" x14ac:dyDescent="0.3">
      <c r="A1781" t="s">
        <v>4004</v>
      </c>
      <c r="B1781" t="s">
        <v>4005</v>
      </c>
      <c r="C1781" s="1">
        <v>45850</v>
      </c>
      <c r="D1781" s="3">
        <v>0.98707175925925927</v>
      </c>
      <c r="E1781">
        <f t="shared" ref="E1781:E1844" si="252">HOUR(D1781)</f>
        <v>23</v>
      </c>
      <c r="F1781">
        <v>24</v>
      </c>
      <c r="G1781" t="s">
        <v>46</v>
      </c>
      <c r="H1781" t="s">
        <v>38</v>
      </c>
      <c r="I1781" t="s">
        <v>110</v>
      </c>
      <c r="J1781" t="s">
        <v>56</v>
      </c>
      <c r="K1781" t="s">
        <v>50</v>
      </c>
      <c r="L1781">
        <v>90.57</v>
      </c>
      <c r="M1781" t="s">
        <v>42</v>
      </c>
      <c r="N1781">
        <f t="shared" si="244"/>
        <v>0</v>
      </c>
      <c r="O1781" t="s">
        <v>24</v>
      </c>
      <c r="P1781" t="s">
        <v>4006</v>
      </c>
      <c r="Q1781">
        <v>0</v>
      </c>
      <c r="R1781">
        <v>446</v>
      </c>
      <c r="S1781">
        <f t="shared" si="245"/>
        <v>-1.1635279689094169</v>
      </c>
      <c r="T1781">
        <f t="shared" si="246"/>
        <v>0</v>
      </c>
      <c r="U1781">
        <f t="shared" si="247"/>
        <v>0</v>
      </c>
      <c r="V1781">
        <f t="shared" si="248"/>
        <v>0</v>
      </c>
      <c r="W1781">
        <f t="shared" si="249"/>
        <v>0</v>
      </c>
      <c r="X1781">
        <f t="shared" si="250"/>
        <v>0</v>
      </c>
      <c r="Y1781">
        <f t="shared" si="251"/>
        <v>0</v>
      </c>
    </row>
    <row r="1782" spans="1:25" x14ac:dyDescent="0.3">
      <c r="A1782" t="s">
        <v>2219</v>
      </c>
      <c r="B1782" t="s">
        <v>2220</v>
      </c>
      <c r="C1782" s="1">
        <v>45799</v>
      </c>
      <c r="D1782" s="3">
        <v>0.28260416666666666</v>
      </c>
      <c r="E1782">
        <f t="shared" si="252"/>
        <v>6</v>
      </c>
      <c r="F1782">
        <v>58</v>
      </c>
      <c r="G1782" t="s">
        <v>18</v>
      </c>
      <c r="H1782" t="s">
        <v>232</v>
      </c>
      <c r="I1782" t="s">
        <v>71</v>
      </c>
      <c r="J1782" t="s">
        <v>127</v>
      </c>
      <c r="K1782" t="s">
        <v>32</v>
      </c>
      <c r="L1782">
        <v>90.51</v>
      </c>
      <c r="M1782" t="s">
        <v>42</v>
      </c>
      <c r="N1782">
        <f t="shared" si="244"/>
        <v>0</v>
      </c>
      <c r="O1782" t="s">
        <v>51</v>
      </c>
      <c r="P1782" t="s">
        <v>2221</v>
      </c>
      <c r="Q1782">
        <v>0</v>
      </c>
      <c r="R1782">
        <v>471</v>
      </c>
      <c r="S1782">
        <f t="shared" si="245"/>
        <v>-1.1643586244779824</v>
      </c>
      <c r="T1782">
        <f t="shared" si="246"/>
        <v>0</v>
      </c>
      <c r="U1782">
        <f t="shared" si="247"/>
        <v>0</v>
      </c>
      <c r="V1782">
        <f t="shared" si="248"/>
        <v>0</v>
      </c>
      <c r="W1782">
        <f t="shared" si="249"/>
        <v>0</v>
      </c>
      <c r="X1782">
        <f t="shared" si="250"/>
        <v>0</v>
      </c>
      <c r="Y1782">
        <f t="shared" si="251"/>
        <v>0</v>
      </c>
    </row>
    <row r="1783" spans="1:25" x14ac:dyDescent="0.3">
      <c r="A1783" t="s">
        <v>524</v>
      </c>
      <c r="B1783" t="s">
        <v>525</v>
      </c>
      <c r="C1783" s="1">
        <v>45704</v>
      </c>
      <c r="D1783" s="3">
        <v>0.30542824074074076</v>
      </c>
      <c r="E1783">
        <f t="shared" si="252"/>
        <v>7</v>
      </c>
      <c r="F1783">
        <v>49</v>
      </c>
      <c r="G1783" t="s">
        <v>28</v>
      </c>
      <c r="H1783" t="s">
        <v>312</v>
      </c>
      <c r="I1783" t="s">
        <v>119</v>
      </c>
      <c r="J1783" t="s">
        <v>94</v>
      </c>
      <c r="K1783" t="s">
        <v>101</v>
      </c>
      <c r="L1783">
        <v>90.26</v>
      </c>
      <c r="M1783" t="s">
        <v>33</v>
      </c>
      <c r="N1783">
        <f t="shared" si="244"/>
        <v>0</v>
      </c>
      <c r="O1783" t="s">
        <v>24</v>
      </c>
      <c r="P1783" t="s">
        <v>526</v>
      </c>
      <c r="Q1783">
        <v>0</v>
      </c>
      <c r="R1783">
        <v>219</v>
      </c>
      <c r="S1783">
        <f t="shared" si="245"/>
        <v>-1.1678196893470054</v>
      </c>
      <c r="T1783">
        <f t="shared" si="246"/>
        <v>0</v>
      </c>
      <c r="U1783">
        <f t="shared" si="247"/>
        <v>0</v>
      </c>
      <c r="V1783">
        <f t="shared" si="248"/>
        <v>1</v>
      </c>
      <c r="W1783">
        <f t="shared" si="249"/>
        <v>1</v>
      </c>
      <c r="X1783">
        <f t="shared" si="250"/>
        <v>0</v>
      </c>
      <c r="Y1783">
        <f t="shared" si="251"/>
        <v>0</v>
      </c>
    </row>
    <row r="1784" spans="1:25" x14ac:dyDescent="0.3">
      <c r="A1784" t="s">
        <v>4187</v>
      </c>
      <c r="B1784" t="s">
        <v>4188</v>
      </c>
      <c r="C1784" s="1">
        <v>45868</v>
      </c>
      <c r="D1784" s="3">
        <v>0.32535879629629627</v>
      </c>
      <c r="E1784">
        <f t="shared" si="252"/>
        <v>7</v>
      </c>
      <c r="F1784">
        <v>35</v>
      </c>
      <c r="G1784" t="s">
        <v>28</v>
      </c>
      <c r="H1784" t="s">
        <v>70</v>
      </c>
      <c r="I1784" t="s">
        <v>48</v>
      </c>
      <c r="J1784" t="s">
        <v>56</v>
      </c>
      <c r="K1784" t="s">
        <v>168</v>
      </c>
      <c r="L1784">
        <v>90.1</v>
      </c>
      <c r="M1784" t="s">
        <v>42</v>
      </c>
      <c r="N1784">
        <f t="shared" si="244"/>
        <v>0</v>
      </c>
      <c r="O1784" t="s">
        <v>51</v>
      </c>
      <c r="P1784" t="s">
        <v>4189</v>
      </c>
      <c r="Q1784">
        <v>0</v>
      </c>
      <c r="R1784">
        <v>360</v>
      </c>
      <c r="S1784">
        <f t="shared" si="245"/>
        <v>-1.1700347708631804</v>
      </c>
      <c r="T1784">
        <f t="shared" si="246"/>
        <v>0</v>
      </c>
      <c r="U1784">
        <f t="shared" si="247"/>
        <v>0</v>
      </c>
      <c r="V1784">
        <f t="shared" si="248"/>
        <v>0</v>
      </c>
      <c r="W1784">
        <f t="shared" si="249"/>
        <v>0</v>
      </c>
      <c r="X1784">
        <f t="shared" si="250"/>
        <v>0</v>
      </c>
      <c r="Y1784">
        <f t="shared" si="251"/>
        <v>0</v>
      </c>
    </row>
    <row r="1785" spans="1:25" x14ac:dyDescent="0.3">
      <c r="A1785" t="s">
        <v>1484</v>
      </c>
      <c r="B1785" t="s">
        <v>1485</v>
      </c>
      <c r="C1785" s="1">
        <v>45799</v>
      </c>
      <c r="D1785" s="3">
        <v>0.46575231481481483</v>
      </c>
      <c r="E1785">
        <f t="shared" si="252"/>
        <v>11</v>
      </c>
      <c r="F1785">
        <v>39</v>
      </c>
      <c r="G1785" t="s">
        <v>18</v>
      </c>
      <c r="H1785" t="s">
        <v>47</v>
      </c>
      <c r="I1785" t="s">
        <v>85</v>
      </c>
      <c r="J1785" t="s">
        <v>40</v>
      </c>
      <c r="K1785" t="s">
        <v>120</v>
      </c>
      <c r="L1785">
        <v>90.09</v>
      </c>
      <c r="M1785" t="s">
        <v>115</v>
      </c>
      <c r="N1785">
        <f t="shared" si="244"/>
        <v>0</v>
      </c>
      <c r="O1785" t="s">
        <v>34</v>
      </c>
      <c r="P1785" t="s">
        <v>1486</v>
      </c>
      <c r="Q1785">
        <v>0</v>
      </c>
      <c r="R1785">
        <v>63</v>
      </c>
      <c r="S1785">
        <f t="shared" si="245"/>
        <v>-1.1701732134579412</v>
      </c>
      <c r="T1785">
        <f t="shared" si="246"/>
        <v>0</v>
      </c>
      <c r="U1785">
        <f t="shared" si="247"/>
        <v>0</v>
      </c>
      <c r="V1785">
        <f t="shared" si="248"/>
        <v>1</v>
      </c>
      <c r="W1785">
        <f t="shared" si="249"/>
        <v>1</v>
      </c>
      <c r="X1785">
        <f t="shared" si="250"/>
        <v>0</v>
      </c>
      <c r="Y1785">
        <f t="shared" si="251"/>
        <v>0</v>
      </c>
    </row>
    <row r="1786" spans="1:25" x14ac:dyDescent="0.3">
      <c r="A1786" t="s">
        <v>4100</v>
      </c>
      <c r="B1786" t="s">
        <v>4101</v>
      </c>
      <c r="C1786" s="1">
        <v>45705</v>
      </c>
      <c r="D1786" s="3">
        <v>0.97356481481481483</v>
      </c>
      <c r="E1786">
        <f t="shared" si="252"/>
        <v>23</v>
      </c>
      <c r="F1786">
        <v>41</v>
      </c>
      <c r="G1786" t="s">
        <v>99</v>
      </c>
      <c r="H1786" t="s">
        <v>239</v>
      </c>
      <c r="I1786" t="s">
        <v>48</v>
      </c>
      <c r="J1786" t="s">
        <v>72</v>
      </c>
      <c r="K1786" t="s">
        <v>50</v>
      </c>
      <c r="L1786">
        <v>90.02</v>
      </c>
      <c r="M1786" t="s">
        <v>33</v>
      </c>
      <c r="N1786">
        <f t="shared" si="244"/>
        <v>0</v>
      </c>
      <c r="O1786" t="s">
        <v>86</v>
      </c>
      <c r="P1786" t="s">
        <v>4102</v>
      </c>
      <c r="Q1786">
        <v>0</v>
      </c>
      <c r="R1786">
        <v>332</v>
      </c>
      <c r="S1786">
        <f t="shared" si="245"/>
        <v>-1.1711423116212678</v>
      </c>
      <c r="T1786">
        <f t="shared" si="246"/>
        <v>0</v>
      </c>
      <c r="U1786">
        <f t="shared" si="247"/>
        <v>0</v>
      </c>
      <c r="V1786">
        <f t="shared" si="248"/>
        <v>0</v>
      </c>
      <c r="W1786">
        <f t="shared" si="249"/>
        <v>0</v>
      </c>
      <c r="X1786">
        <f t="shared" si="250"/>
        <v>0</v>
      </c>
      <c r="Y1786">
        <f t="shared" si="251"/>
        <v>0</v>
      </c>
    </row>
    <row r="1787" spans="1:25" x14ac:dyDescent="0.3">
      <c r="A1787" s="2" t="s">
        <v>2207</v>
      </c>
      <c r="B1787" s="2" t="s">
        <v>2208</v>
      </c>
      <c r="C1787" s="1">
        <v>45820</v>
      </c>
      <c r="D1787" s="3">
        <v>0.78494212962962961</v>
      </c>
      <c r="E1787">
        <f t="shared" si="252"/>
        <v>18</v>
      </c>
      <c r="F1787">
        <v>25</v>
      </c>
      <c r="G1787" t="s">
        <v>60</v>
      </c>
      <c r="H1787" t="s">
        <v>142</v>
      </c>
      <c r="I1787" t="s">
        <v>71</v>
      </c>
      <c r="J1787" t="s">
        <v>31</v>
      </c>
      <c r="K1787" t="s">
        <v>41</v>
      </c>
      <c r="L1787">
        <v>89.99</v>
      </c>
      <c r="M1787" t="s">
        <v>42</v>
      </c>
      <c r="N1787">
        <f t="shared" si="244"/>
        <v>0</v>
      </c>
      <c r="O1787" t="s">
        <v>24</v>
      </c>
      <c r="P1787" t="s">
        <v>2209</v>
      </c>
      <c r="Q1787">
        <v>0</v>
      </c>
      <c r="R1787">
        <v>138</v>
      </c>
      <c r="S1787">
        <f t="shared" si="245"/>
        <v>-1.1715576394055507</v>
      </c>
      <c r="T1787">
        <f t="shared" si="246"/>
        <v>0</v>
      </c>
      <c r="U1787">
        <f t="shared" si="247"/>
        <v>0</v>
      </c>
      <c r="V1787">
        <f t="shared" si="248"/>
        <v>1</v>
      </c>
      <c r="W1787">
        <f t="shared" si="249"/>
        <v>1</v>
      </c>
      <c r="X1787">
        <f t="shared" si="250"/>
        <v>0</v>
      </c>
      <c r="Y1787">
        <f t="shared" si="251"/>
        <v>0</v>
      </c>
    </row>
    <row r="1788" spans="1:25" x14ac:dyDescent="0.3">
      <c r="A1788" t="s">
        <v>1685</v>
      </c>
      <c r="B1788" t="s">
        <v>1686</v>
      </c>
      <c r="C1788" s="1">
        <v>45785</v>
      </c>
      <c r="D1788" s="3">
        <v>0.95379629629629625</v>
      </c>
      <c r="E1788">
        <f t="shared" si="252"/>
        <v>22</v>
      </c>
      <c r="F1788">
        <v>46</v>
      </c>
      <c r="G1788" t="s">
        <v>60</v>
      </c>
      <c r="H1788" t="s">
        <v>185</v>
      </c>
      <c r="I1788" t="s">
        <v>119</v>
      </c>
      <c r="J1788" t="s">
        <v>94</v>
      </c>
      <c r="K1788" t="s">
        <v>50</v>
      </c>
      <c r="L1788">
        <v>89.69</v>
      </c>
      <c r="M1788" t="s">
        <v>23</v>
      </c>
      <c r="N1788">
        <f t="shared" si="244"/>
        <v>0</v>
      </c>
      <c r="O1788" t="s">
        <v>24</v>
      </c>
      <c r="P1788" t="s">
        <v>1687</v>
      </c>
      <c r="Q1788">
        <v>1</v>
      </c>
      <c r="R1788">
        <v>226</v>
      </c>
      <c r="S1788">
        <f t="shared" si="245"/>
        <v>-1.1757109172483782</v>
      </c>
      <c r="T1788">
        <f t="shared" si="246"/>
        <v>0</v>
      </c>
      <c r="U1788">
        <f t="shared" si="247"/>
        <v>0</v>
      </c>
      <c r="V1788">
        <f t="shared" si="248"/>
        <v>1</v>
      </c>
      <c r="W1788">
        <f t="shared" si="249"/>
        <v>1</v>
      </c>
      <c r="X1788">
        <f t="shared" si="250"/>
        <v>0</v>
      </c>
      <c r="Y1788">
        <f t="shared" si="251"/>
        <v>0</v>
      </c>
    </row>
    <row r="1789" spans="1:25" x14ac:dyDescent="0.3">
      <c r="A1789" t="s">
        <v>4649</v>
      </c>
      <c r="B1789" t="s">
        <v>4650</v>
      </c>
      <c r="C1789" s="1">
        <v>45818</v>
      </c>
      <c r="D1789" s="3">
        <v>0.98887731481481478</v>
      </c>
      <c r="E1789">
        <f t="shared" si="252"/>
        <v>23</v>
      </c>
      <c r="F1789">
        <v>61</v>
      </c>
      <c r="G1789" t="s">
        <v>46</v>
      </c>
      <c r="H1789" t="s">
        <v>167</v>
      </c>
      <c r="I1789" t="s">
        <v>119</v>
      </c>
      <c r="J1789" t="s">
        <v>127</v>
      </c>
      <c r="K1789" t="s">
        <v>32</v>
      </c>
      <c r="L1789">
        <v>89.46</v>
      </c>
      <c r="M1789" t="s">
        <v>42</v>
      </c>
      <c r="N1789">
        <f t="shared" si="244"/>
        <v>0</v>
      </c>
      <c r="O1789" t="s">
        <v>34</v>
      </c>
      <c r="P1789" t="s">
        <v>4651</v>
      </c>
      <c r="Q1789">
        <v>0</v>
      </c>
      <c r="R1789">
        <v>85</v>
      </c>
      <c r="S1789">
        <f t="shared" si="245"/>
        <v>-1.1788950969278795</v>
      </c>
      <c r="T1789">
        <f t="shared" si="246"/>
        <v>0</v>
      </c>
      <c r="U1789">
        <f t="shared" si="247"/>
        <v>0</v>
      </c>
      <c r="V1789">
        <f t="shared" si="248"/>
        <v>1</v>
      </c>
      <c r="W1789">
        <f t="shared" si="249"/>
        <v>1</v>
      </c>
      <c r="X1789">
        <f t="shared" si="250"/>
        <v>0</v>
      </c>
      <c r="Y1789">
        <f t="shared" si="251"/>
        <v>0</v>
      </c>
    </row>
    <row r="1790" spans="1:25" x14ac:dyDescent="0.3">
      <c r="A1790" t="s">
        <v>2777</v>
      </c>
      <c r="B1790" t="s">
        <v>2778</v>
      </c>
      <c r="C1790" s="1">
        <v>45772</v>
      </c>
      <c r="D1790" s="3">
        <v>0.6506481481481482</v>
      </c>
      <c r="E1790">
        <f t="shared" si="252"/>
        <v>15</v>
      </c>
      <c r="F1790">
        <v>31</v>
      </c>
      <c r="G1790" t="s">
        <v>18</v>
      </c>
      <c r="H1790" t="s">
        <v>84</v>
      </c>
      <c r="I1790" t="s">
        <v>110</v>
      </c>
      <c r="J1790" t="s">
        <v>21</v>
      </c>
      <c r="K1790" t="s">
        <v>41</v>
      </c>
      <c r="L1790">
        <v>89.4</v>
      </c>
      <c r="M1790" t="s">
        <v>115</v>
      </c>
      <c r="N1790">
        <f t="shared" si="244"/>
        <v>0</v>
      </c>
      <c r="O1790" t="s">
        <v>51</v>
      </c>
      <c r="P1790" t="s">
        <v>2779</v>
      </c>
      <c r="Q1790">
        <v>0</v>
      </c>
      <c r="R1790">
        <v>491</v>
      </c>
      <c r="S1790">
        <f t="shared" si="245"/>
        <v>-1.1797257524964451</v>
      </c>
      <c r="T1790">
        <f t="shared" si="246"/>
        <v>0</v>
      </c>
      <c r="U1790">
        <f t="shared" si="247"/>
        <v>0</v>
      </c>
      <c r="V1790">
        <f t="shared" si="248"/>
        <v>0</v>
      </c>
      <c r="W1790">
        <f t="shared" si="249"/>
        <v>0</v>
      </c>
      <c r="X1790">
        <f t="shared" si="250"/>
        <v>0</v>
      </c>
      <c r="Y1790">
        <f t="shared" si="251"/>
        <v>0</v>
      </c>
    </row>
    <row r="1791" spans="1:25" x14ac:dyDescent="0.3">
      <c r="A1791" t="s">
        <v>4616</v>
      </c>
      <c r="B1791" t="s">
        <v>4617</v>
      </c>
      <c r="C1791" s="1">
        <v>45881</v>
      </c>
      <c r="D1791" s="3">
        <v>0.32203703703703701</v>
      </c>
      <c r="E1791">
        <f t="shared" si="252"/>
        <v>7</v>
      </c>
      <c r="F1791">
        <v>41</v>
      </c>
      <c r="G1791" t="s">
        <v>99</v>
      </c>
      <c r="H1791" t="s">
        <v>239</v>
      </c>
      <c r="I1791" t="s">
        <v>39</v>
      </c>
      <c r="J1791" t="s">
        <v>56</v>
      </c>
      <c r="K1791" t="s">
        <v>62</v>
      </c>
      <c r="L1791">
        <v>89.09</v>
      </c>
      <c r="M1791" t="s">
        <v>23</v>
      </c>
      <c r="N1791">
        <f t="shared" si="244"/>
        <v>0</v>
      </c>
      <c r="O1791" t="s">
        <v>34</v>
      </c>
      <c r="P1791" t="s">
        <v>4618</v>
      </c>
      <c r="Q1791">
        <v>0</v>
      </c>
      <c r="R1791">
        <v>483</v>
      </c>
      <c r="S1791">
        <f t="shared" si="245"/>
        <v>-1.1840174729340336</v>
      </c>
      <c r="T1791">
        <f t="shared" si="246"/>
        <v>0</v>
      </c>
      <c r="U1791">
        <f t="shared" si="247"/>
        <v>0</v>
      </c>
      <c r="V1791">
        <f t="shared" si="248"/>
        <v>0</v>
      </c>
      <c r="W1791">
        <f t="shared" si="249"/>
        <v>0</v>
      </c>
      <c r="X1791">
        <f t="shared" si="250"/>
        <v>0</v>
      </c>
      <c r="Y1791">
        <f t="shared" si="251"/>
        <v>0</v>
      </c>
    </row>
    <row r="1792" spans="1:25" x14ac:dyDescent="0.3">
      <c r="A1792" t="s">
        <v>5204</v>
      </c>
      <c r="B1792" t="s">
        <v>5205</v>
      </c>
      <c r="C1792" s="1">
        <v>45722</v>
      </c>
      <c r="D1792" s="3">
        <v>0.7580324074074074</v>
      </c>
      <c r="E1792">
        <f t="shared" si="252"/>
        <v>18</v>
      </c>
      <c r="F1792">
        <v>19</v>
      </c>
      <c r="G1792" t="s">
        <v>46</v>
      </c>
      <c r="H1792" t="s">
        <v>47</v>
      </c>
      <c r="I1792" t="s">
        <v>20</v>
      </c>
      <c r="J1792" t="s">
        <v>94</v>
      </c>
      <c r="K1792" t="s">
        <v>120</v>
      </c>
      <c r="L1792">
        <v>89.06</v>
      </c>
      <c r="M1792" t="s">
        <v>115</v>
      </c>
      <c r="N1792">
        <f t="shared" si="244"/>
        <v>0</v>
      </c>
      <c r="O1792" t="s">
        <v>86</v>
      </c>
      <c r="P1792" t="s">
        <v>5206</v>
      </c>
      <c r="Q1792">
        <v>0</v>
      </c>
      <c r="R1792">
        <v>146</v>
      </c>
      <c r="S1792">
        <f t="shared" si="245"/>
        <v>-1.1844328007183165</v>
      </c>
      <c r="T1792">
        <f t="shared" si="246"/>
        <v>0</v>
      </c>
      <c r="U1792">
        <f t="shared" si="247"/>
        <v>0</v>
      </c>
      <c r="V1792">
        <f t="shared" si="248"/>
        <v>1</v>
      </c>
      <c r="W1792">
        <f t="shared" si="249"/>
        <v>1</v>
      </c>
      <c r="X1792">
        <f t="shared" si="250"/>
        <v>0</v>
      </c>
      <c r="Y1792">
        <f t="shared" si="251"/>
        <v>0</v>
      </c>
    </row>
    <row r="1793" spans="1:25" x14ac:dyDescent="0.3">
      <c r="A1793" t="s">
        <v>1217</v>
      </c>
      <c r="B1793" t="s">
        <v>1218</v>
      </c>
      <c r="C1793" s="1">
        <v>45742</v>
      </c>
      <c r="D1793" s="3">
        <v>0.95597222222222222</v>
      </c>
      <c r="E1793">
        <f t="shared" si="252"/>
        <v>22</v>
      </c>
      <c r="F1793">
        <v>43</v>
      </c>
      <c r="G1793" t="s">
        <v>6479</v>
      </c>
      <c r="H1793" t="s">
        <v>100</v>
      </c>
      <c r="I1793" t="s">
        <v>20</v>
      </c>
      <c r="J1793" t="s">
        <v>49</v>
      </c>
      <c r="K1793" t="s">
        <v>168</v>
      </c>
      <c r="L1793">
        <v>88.98</v>
      </c>
      <c r="M1793" t="s">
        <v>33</v>
      </c>
      <c r="N1793">
        <f t="shared" si="244"/>
        <v>0</v>
      </c>
      <c r="O1793" t="s">
        <v>34</v>
      </c>
      <c r="P1793" t="s">
        <v>1219</v>
      </c>
      <c r="Q1793">
        <v>0</v>
      </c>
      <c r="R1793">
        <v>274</v>
      </c>
      <c r="S1793">
        <f t="shared" si="245"/>
        <v>-1.1855403414764039</v>
      </c>
      <c r="T1793">
        <f t="shared" si="246"/>
        <v>0</v>
      </c>
      <c r="U1793">
        <f t="shared" si="247"/>
        <v>0</v>
      </c>
      <c r="V1793">
        <f t="shared" si="248"/>
        <v>0</v>
      </c>
      <c r="W1793">
        <f t="shared" si="249"/>
        <v>0</v>
      </c>
      <c r="X1793">
        <f t="shared" si="250"/>
        <v>0</v>
      </c>
      <c r="Y1793">
        <f t="shared" si="251"/>
        <v>0</v>
      </c>
    </row>
    <row r="1794" spans="1:25" x14ac:dyDescent="0.3">
      <c r="A1794" t="s">
        <v>2009</v>
      </c>
      <c r="B1794" t="s">
        <v>2010</v>
      </c>
      <c r="C1794" s="1">
        <v>45775</v>
      </c>
      <c r="D1794" s="3">
        <v>0.85976851851851854</v>
      </c>
      <c r="E1794">
        <f t="shared" si="252"/>
        <v>20</v>
      </c>
      <c r="F1794">
        <v>53</v>
      </c>
      <c r="G1794" t="s">
        <v>46</v>
      </c>
      <c r="H1794" t="s">
        <v>38</v>
      </c>
      <c r="I1794" t="s">
        <v>66</v>
      </c>
      <c r="J1794" t="s">
        <v>76</v>
      </c>
      <c r="K1794" t="s">
        <v>168</v>
      </c>
      <c r="L1794">
        <v>88.98</v>
      </c>
      <c r="M1794" t="s">
        <v>23</v>
      </c>
      <c r="N1794">
        <f t="shared" ref="N1794:N1857" si="253">IF(M1794="Unknown",1,0)</f>
        <v>0</v>
      </c>
      <c r="O1794" t="s">
        <v>51</v>
      </c>
      <c r="P1794" t="s">
        <v>2011</v>
      </c>
      <c r="Q1794">
        <v>0</v>
      </c>
      <c r="R1794">
        <v>190</v>
      </c>
      <c r="S1794">
        <f t="shared" ref="S1794:S1857" si="254">(L1794-$P$2137)/$P$2138</f>
        <v>-1.1855403414764039</v>
      </c>
      <c r="T1794">
        <f t="shared" ref="T1794:T1857" si="255">IF(ABS(Z1794)&gt;3,1,0)</f>
        <v>0</v>
      </c>
      <c r="U1794">
        <f t="shared" ref="U1794:U1857" si="256">IF(AND(E1794&gt;=0,E1794&lt;=5),1,0)</f>
        <v>0</v>
      </c>
      <c r="V1794">
        <f t="shared" ref="V1794:V1857" si="257">IF(R1794&lt;AVERAGE($R:$R),1,0)</f>
        <v>1</v>
      </c>
      <c r="W1794">
        <f t="shared" ref="W1794:W1857" si="258">T1794*3+U1794*2+V1794*1+N1794*2</f>
        <v>1</v>
      </c>
      <c r="X1794">
        <f t="shared" ref="X1794:X1857" si="259">IF(W1794&gt;=5,1,0)</f>
        <v>0</v>
      </c>
      <c r="Y1794">
        <f t="shared" ref="Y1794:Y1857" si="260">IF(M1794="Unknown",1,0)</f>
        <v>0</v>
      </c>
    </row>
    <row r="1795" spans="1:25" x14ac:dyDescent="0.3">
      <c r="A1795" t="s">
        <v>6101</v>
      </c>
      <c r="B1795" t="s">
        <v>6102</v>
      </c>
      <c r="C1795" s="1">
        <v>45749</v>
      </c>
      <c r="D1795" s="3">
        <v>0.82939814814814816</v>
      </c>
      <c r="E1795">
        <f t="shared" si="252"/>
        <v>19</v>
      </c>
      <c r="F1795">
        <v>50</v>
      </c>
      <c r="G1795" t="s">
        <v>60</v>
      </c>
      <c r="H1795" t="s">
        <v>100</v>
      </c>
      <c r="I1795" t="s">
        <v>30</v>
      </c>
      <c r="J1795" t="s">
        <v>94</v>
      </c>
      <c r="K1795" t="s">
        <v>22</v>
      </c>
      <c r="L1795">
        <v>88.79</v>
      </c>
      <c r="M1795" t="s">
        <v>23</v>
      </c>
      <c r="N1795">
        <f t="shared" si="253"/>
        <v>0</v>
      </c>
      <c r="O1795" t="s">
        <v>51</v>
      </c>
      <c r="P1795" t="s">
        <v>6103</v>
      </c>
      <c r="Q1795">
        <v>0</v>
      </c>
      <c r="R1795">
        <v>401</v>
      </c>
      <c r="S1795">
        <f t="shared" si="254"/>
        <v>-1.1881707507768613</v>
      </c>
      <c r="T1795">
        <f t="shared" si="255"/>
        <v>0</v>
      </c>
      <c r="U1795">
        <f t="shared" si="256"/>
        <v>0</v>
      </c>
      <c r="V1795">
        <f t="shared" si="257"/>
        <v>0</v>
      </c>
      <c r="W1795">
        <f t="shared" si="258"/>
        <v>0</v>
      </c>
      <c r="X1795">
        <f t="shared" si="259"/>
        <v>0</v>
      </c>
      <c r="Y1795">
        <f t="shared" si="260"/>
        <v>0</v>
      </c>
    </row>
    <row r="1796" spans="1:25" x14ac:dyDescent="0.3">
      <c r="A1796" t="s">
        <v>4394</v>
      </c>
      <c r="B1796" t="s">
        <v>4395</v>
      </c>
      <c r="C1796" s="1">
        <v>45739</v>
      </c>
      <c r="D1796" s="3">
        <v>0.54740740740740745</v>
      </c>
      <c r="E1796">
        <f t="shared" si="252"/>
        <v>13</v>
      </c>
      <c r="F1796">
        <v>18</v>
      </c>
      <c r="G1796" t="s">
        <v>60</v>
      </c>
      <c r="H1796" t="s">
        <v>142</v>
      </c>
      <c r="I1796" t="s">
        <v>105</v>
      </c>
      <c r="J1796" t="s">
        <v>94</v>
      </c>
      <c r="K1796" t="s">
        <v>41</v>
      </c>
      <c r="L1796">
        <v>88.64</v>
      </c>
      <c r="M1796" t="s">
        <v>115</v>
      </c>
      <c r="N1796">
        <f t="shared" si="253"/>
        <v>0</v>
      </c>
      <c r="O1796" t="s">
        <v>51</v>
      </c>
      <c r="P1796" t="s">
        <v>4396</v>
      </c>
      <c r="Q1796">
        <v>0</v>
      </c>
      <c r="R1796">
        <v>322</v>
      </c>
      <c r="S1796">
        <f t="shared" si="254"/>
        <v>-1.1902473896982753</v>
      </c>
      <c r="T1796">
        <f t="shared" si="255"/>
        <v>0</v>
      </c>
      <c r="U1796">
        <f t="shared" si="256"/>
        <v>0</v>
      </c>
      <c r="V1796">
        <f t="shared" si="257"/>
        <v>0</v>
      </c>
      <c r="W1796">
        <f t="shared" si="258"/>
        <v>0</v>
      </c>
      <c r="X1796">
        <f t="shared" si="259"/>
        <v>0</v>
      </c>
      <c r="Y1796">
        <f t="shared" si="260"/>
        <v>0</v>
      </c>
    </row>
    <row r="1797" spans="1:25" x14ac:dyDescent="0.3">
      <c r="A1797" t="s">
        <v>3182</v>
      </c>
      <c r="B1797" t="s">
        <v>3183</v>
      </c>
      <c r="C1797" s="1">
        <v>45822</v>
      </c>
      <c r="D1797" s="3">
        <v>0.2338888888888889</v>
      </c>
      <c r="E1797">
        <f t="shared" si="252"/>
        <v>5</v>
      </c>
      <c r="F1797">
        <v>55</v>
      </c>
      <c r="G1797" t="s">
        <v>99</v>
      </c>
      <c r="H1797" t="s">
        <v>61</v>
      </c>
      <c r="I1797" t="s">
        <v>66</v>
      </c>
      <c r="J1797" t="s">
        <v>132</v>
      </c>
      <c r="K1797" t="s">
        <v>168</v>
      </c>
      <c r="L1797">
        <v>88.6</v>
      </c>
      <c r="M1797" t="s">
        <v>42</v>
      </c>
      <c r="N1797">
        <f t="shared" si="253"/>
        <v>0</v>
      </c>
      <c r="O1797" t="s">
        <v>86</v>
      </c>
      <c r="P1797" t="s">
        <v>3184</v>
      </c>
      <c r="Q1797">
        <v>0</v>
      </c>
      <c r="R1797">
        <v>156</v>
      </c>
      <c r="S1797">
        <f t="shared" si="254"/>
        <v>-1.1908011600773192</v>
      </c>
      <c r="T1797">
        <f t="shared" si="255"/>
        <v>0</v>
      </c>
      <c r="U1797">
        <f t="shared" si="256"/>
        <v>1</v>
      </c>
      <c r="V1797">
        <f t="shared" si="257"/>
        <v>1</v>
      </c>
      <c r="W1797">
        <f t="shared" si="258"/>
        <v>3</v>
      </c>
      <c r="X1797">
        <f t="shared" si="259"/>
        <v>0</v>
      </c>
      <c r="Y1797">
        <f t="shared" si="260"/>
        <v>0</v>
      </c>
    </row>
    <row r="1798" spans="1:25" x14ac:dyDescent="0.3">
      <c r="A1798" s="2" t="s">
        <v>5135</v>
      </c>
      <c r="B1798" t="s">
        <v>5136</v>
      </c>
      <c r="C1798" s="1">
        <v>45811</v>
      </c>
      <c r="D1798" s="3">
        <v>0.85231481481481486</v>
      </c>
      <c r="E1798">
        <f t="shared" si="252"/>
        <v>20</v>
      </c>
      <c r="F1798">
        <v>30</v>
      </c>
      <c r="G1798" t="s">
        <v>60</v>
      </c>
      <c r="H1798" t="s">
        <v>100</v>
      </c>
      <c r="I1798" t="s">
        <v>20</v>
      </c>
      <c r="J1798" t="s">
        <v>31</v>
      </c>
      <c r="K1798" t="s">
        <v>22</v>
      </c>
      <c r="L1798">
        <v>88.57</v>
      </c>
      <c r="M1798" t="s">
        <v>33</v>
      </c>
      <c r="N1798">
        <f t="shared" si="253"/>
        <v>0</v>
      </c>
      <c r="O1798" t="s">
        <v>51</v>
      </c>
      <c r="P1798" t="s">
        <v>5137</v>
      </c>
      <c r="Q1798">
        <v>0</v>
      </c>
      <c r="R1798">
        <v>317</v>
      </c>
      <c r="S1798">
        <f t="shared" si="254"/>
        <v>-1.1912164878616018</v>
      </c>
      <c r="T1798">
        <f t="shared" si="255"/>
        <v>0</v>
      </c>
      <c r="U1798">
        <f t="shared" si="256"/>
        <v>0</v>
      </c>
      <c r="V1798">
        <f t="shared" si="257"/>
        <v>0</v>
      </c>
      <c r="W1798">
        <f t="shared" si="258"/>
        <v>0</v>
      </c>
      <c r="X1798">
        <f t="shared" si="259"/>
        <v>0</v>
      </c>
      <c r="Y1798">
        <f t="shared" si="260"/>
        <v>0</v>
      </c>
    </row>
    <row r="1799" spans="1:25" x14ac:dyDescent="0.3">
      <c r="A1799" t="s">
        <v>64</v>
      </c>
      <c r="B1799" t="s">
        <v>65</v>
      </c>
      <c r="C1799" s="1">
        <v>45737</v>
      </c>
      <c r="D1799" s="3">
        <v>0.75593750000000004</v>
      </c>
      <c r="E1799">
        <f t="shared" si="252"/>
        <v>18</v>
      </c>
      <c r="F1799">
        <v>56</v>
      </c>
      <c r="G1799" t="s">
        <v>60</v>
      </c>
      <c r="H1799" t="s">
        <v>61</v>
      </c>
      <c r="I1799" t="s">
        <v>66</v>
      </c>
      <c r="J1799" t="s">
        <v>31</v>
      </c>
      <c r="K1799" t="s">
        <v>50</v>
      </c>
      <c r="L1799">
        <v>88.5</v>
      </c>
      <c r="M1799" t="s">
        <v>42</v>
      </c>
      <c r="N1799">
        <f t="shared" si="253"/>
        <v>0</v>
      </c>
      <c r="O1799" t="s">
        <v>51</v>
      </c>
      <c r="P1799" t="s">
        <v>67</v>
      </c>
      <c r="Q1799">
        <v>0</v>
      </c>
      <c r="R1799">
        <v>166</v>
      </c>
      <c r="S1799">
        <f t="shared" si="254"/>
        <v>-1.1921855860249282</v>
      </c>
      <c r="T1799">
        <f t="shared" si="255"/>
        <v>0</v>
      </c>
      <c r="U1799">
        <f t="shared" si="256"/>
        <v>0</v>
      </c>
      <c r="V1799">
        <f t="shared" si="257"/>
        <v>1</v>
      </c>
      <c r="W1799">
        <f t="shared" si="258"/>
        <v>1</v>
      </c>
      <c r="X1799">
        <f t="shared" si="259"/>
        <v>0</v>
      </c>
      <c r="Y1799">
        <f t="shared" si="260"/>
        <v>0</v>
      </c>
    </row>
    <row r="1800" spans="1:25" x14ac:dyDescent="0.3">
      <c r="A1800" t="s">
        <v>6095</v>
      </c>
      <c r="B1800" t="s">
        <v>6096</v>
      </c>
      <c r="C1800" s="1">
        <v>45848</v>
      </c>
      <c r="D1800" s="3">
        <v>0.94373842592592594</v>
      </c>
      <c r="E1800">
        <f t="shared" si="252"/>
        <v>22</v>
      </c>
      <c r="F1800">
        <v>38</v>
      </c>
      <c r="G1800" t="s">
        <v>18</v>
      </c>
      <c r="H1800" t="s">
        <v>142</v>
      </c>
      <c r="I1800" t="s">
        <v>39</v>
      </c>
      <c r="J1800" t="s">
        <v>94</v>
      </c>
      <c r="K1800" t="s">
        <v>62</v>
      </c>
      <c r="L1800">
        <v>88.42</v>
      </c>
      <c r="M1800" t="s">
        <v>23</v>
      </c>
      <c r="N1800">
        <f t="shared" si="253"/>
        <v>0</v>
      </c>
      <c r="O1800" t="s">
        <v>51</v>
      </c>
      <c r="P1800" t="s">
        <v>6097</v>
      </c>
      <c r="Q1800">
        <v>0</v>
      </c>
      <c r="R1800">
        <v>281</v>
      </c>
      <c r="S1800">
        <f t="shared" si="254"/>
        <v>-1.1932931267830156</v>
      </c>
      <c r="T1800">
        <f t="shared" si="255"/>
        <v>0</v>
      </c>
      <c r="U1800">
        <f t="shared" si="256"/>
        <v>0</v>
      </c>
      <c r="V1800">
        <f t="shared" si="257"/>
        <v>0</v>
      </c>
      <c r="W1800">
        <f t="shared" si="258"/>
        <v>0</v>
      </c>
      <c r="X1800">
        <f t="shared" si="259"/>
        <v>0</v>
      </c>
      <c r="Y1800">
        <f t="shared" si="260"/>
        <v>0</v>
      </c>
    </row>
    <row r="1801" spans="1:25" x14ac:dyDescent="0.3">
      <c r="A1801" t="s">
        <v>1493</v>
      </c>
      <c r="B1801" t="s">
        <v>1494</v>
      </c>
      <c r="C1801" s="1">
        <v>45758</v>
      </c>
      <c r="D1801" s="3">
        <v>0.53357638888888892</v>
      </c>
      <c r="E1801">
        <f t="shared" si="252"/>
        <v>12</v>
      </c>
      <c r="F1801">
        <v>45</v>
      </c>
      <c r="G1801" t="s">
        <v>18</v>
      </c>
      <c r="H1801" t="s">
        <v>239</v>
      </c>
      <c r="I1801" t="s">
        <v>48</v>
      </c>
      <c r="J1801" t="s">
        <v>76</v>
      </c>
      <c r="K1801" t="s">
        <v>120</v>
      </c>
      <c r="L1801">
        <v>88.4</v>
      </c>
      <c r="M1801" t="s">
        <v>42</v>
      </c>
      <c r="N1801">
        <f t="shared" si="253"/>
        <v>0</v>
      </c>
      <c r="O1801" t="s">
        <v>24</v>
      </c>
      <c r="P1801" t="s">
        <v>1495</v>
      </c>
      <c r="Q1801">
        <v>0</v>
      </c>
      <c r="R1801">
        <v>356</v>
      </c>
      <c r="S1801">
        <f t="shared" si="254"/>
        <v>-1.1935700119725374</v>
      </c>
      <c r="T1801">
        <f t="shared" si="255"/>
        <v>0</v>
      </c>
      <c r="U1801">
        <f t="shared" si="256"/>
        <v>0</v>
      </c>
      <c r="V1801">
        <f t="shared" si="257"/>
        <v>0</v>
      </c>
      <c r="W1801">
        <f t="shared" si="258"/>
        <v>0</v>
      </c>
      <c r="X1801">
        <f t="shared" si="259"/>
        <v>0</v>
      </c>
      <c r="Y1801">
        <f t="shared" si="260"/>
        <v>0</v>
      </c>
    </row>
    <row r="1802" spans="1:25" x14ac:dyDescent="0.3">
      <c r="A1802" t="s">
        <v>4709</v>
      </c>
      <c r="B1802" t="s">
        <v>4710</v>
      </c>
      <c r="C1802" s="1">
        <v>45735</v>
      </c>
      <c r="D1802" s="3">
        <v>0.53869212962962965</v>
      </c>
      <c r="E1802">
        <f t="shared" si="252"/>
        <v>12</v>
      </c>
      <c r="F1802">
        <v>30</v>
      </c>
      <c r="G1802" t="s">
        <v>46</v>
      </c>
      <c r="H1802" t="s">
        <v>232</v>
      </c>
      <c r="I1802" t="s">
        <v>105</v>
      </c>
      <c r="J1802" t="s">
        <v>94</v>
      </c>
      <c r="K1802" t="s">
        <v>120</v>
      </c>
      <c r="L1802">
        <v>87.84</v>
      </c>
      <c r="M1802" t="s">
        <v>33</v>
      </c>
      <c r="N1802">
        <f t="shared" si="253"/>
        <v>0</v>
      </c>
      <c r="O1802" t="s">
        <v>24</v>
      </c>
      <c r="P1802" t="s">
        <v>4711</v>
      </c>
      <c r="Q1802">
        <v>0</v>
      </c>
      <c r="R1802">
        <v>124</v>
      </c>
      <c r="S1802">
        <f t="shared" si="254"/>
        <v>-1.2013227972791491</v>
      </c>
      <c r="T1802">
        <f t="shared" si="255"/>
        <v>0</v>
      </c>
      <c r="U1802">
        <f t="shared" si="256"/>
        <v>0</v>
      </c>
      <c r="V1802">
        <f t="shared" si="257"/>
        <v>1</v>
      </c>
      <c r="W1802">
        <f t="shared" si="258"/>
        <v>1</v>
      </c>
      <c r="X1802">
        <f t="shared" si="259"/>
        <v>0</v>
      </c>
      <c r="Y1802">
        <f t="shared" si="260"/>
        <v>0</v>
      </c>
    </row>
    <row r="1803" spans="1:25" x14ac:dyDescent="0.3">
      <c r="A1803" t="s">
        <v>4085</v>
      </c>
      <c r="B1803" t="s">
        <v>4086</v>
      </c>
      <c r="C1803" s="1">
        <v>45803</v>
      </c>
      <c r="D1803" s="3">
        <v>0.4355324074074074</v>
      </c>
      <c r="E1803">
        <f t="shared" si="252"/>
        <v>10</v>
      </c>
      <c r="F1803">
        <v>51</v>
      </c>
      <c r="G1803" t="s">
        <v>99</v>
      </c>
      <c r="H1803" t="s">
        <v>185</v>
      </c>
      <c r="I1803" t="s">
        <v>85</v>
      </c>
      <c r="J1803" t="s">
        <v>132</v>
      </c>
      <c r="K1803" t="s">
        <v>62</v>
      </c>
      <c r="L1803">
        <v>87.81</v>
      </c>
      <c r="M1803" t="s">
        <v>115</v>
      </c>
      <c r="N1803">
        <f t="shared" si="253"/>
        <v>0</v>
      </c>
      <c r="O1803" t="s">
        <v>51</v>
      </c>
      <c r="P1803" t="s">
        <v>4087</v>
      </c>
      <c r="Q1803">
        <v>0</v>
      </c>
      <c r="R1803">
        <v>368</v>
      </c>
      <c r="S1803">
        <f t="shared" si="254"/>
        <v>-1.201738125063432</v>
      </c>
      <c r="T1803">
        <f t="shared" si="255"/>
        <v>0</v>
      </c>
      <c r="U1803">
        <f t="shared" si="256"/>
        <v>0</v>
      </c>
      <c r="V1803">
        <f t="shared" si="257"/>
        <v>0</v>
      </c>
      <c r="W1803">
        <f t="shared" si="258"/>
        <v>0</v>
      </c>
      <c r="X1803">
        <f t="shared" si="259"/>
        <v>0</v>
      </c>
      <c r="Y1803">
        <f t="shared" si="260"/>
        <v>0</v>
      </c>
    </row>
    <row r="1804" spans="1:25" x14ac:dyDescent="0.3">
      <c r="A1804" t="s">
        <v>3557</v>
      </c>
      <c r="B1804" t="s">
        <v>3558</v>
      </c>
      <c r="C1804" s="1">
        <v>45823</v>
      </c>
      <c r="D1804" s="3">
        <v>0.81840277777777781</v>
      </c>
      <c r="E1804">
        <f t="shared" si="252"/>
        <v>19</v>
      </c>
      <c r="F1804">
        <v>42</v>
      </c>
      <c r="G1804" t="s">
        <v>60</v>
      </c>
      <c r="H1804" t="s">
        <v>232</v>
      </c>
      <c r="I1804" t="s">
        <v>105</v>
      </c>
      <c r="J1804" t="s">
        <v>49</v>
      </c>
      <c r="K1804" t="s">
        <v>120</v>
      </c>
      <c r="L1804">
        <v>87.77</v>
      </c>
      <c r="M1804" t="s">
        <v>23</v>
      </c>
      <c r="N1804">
        <f t="shared" si="253"/>
        <v>0</v>
      </c>
      <c r="O1804" t="s">
        <v>34</v>
      </c>
      <c r="P1804" t="s">
        <v>3559</v>
      </c>
      <c r="Q1804">
        <v>0</v>
      </c>
      <c r="R1804">
        <v>383</v>
      </c>
      <c r="S1804">
        <f t="shared" si="254"/>
        <v>-1.2022918954424757</v>
      </c>
      <c r="T1804">
        <f t="shared" si="255"/>
        <v>0</v>
      </c>
      <c r="U1804">
        <f t="shared" si="256"/>
        <v>0</v>
      </c>
      <c r="V1804">
        <f t="shared" si="257"/>
        <v>0</v>
      </c>
      <c r="W1804">
        <f t="shared" si="258"/>
        <v>0</v>
      </c>
      <c r="X1804">
        <f t="shared" si="259"/>
        <v>0</v>
      </c>
      <c r="Y1804">
        <f t="shared" si="260"/>
        <v>0</v>
      </c>
    </row>
    <row r="1805" spans="1:25" x14ac:dyDescent="0.3">
      <c r="A1805" t="s">
        <v>2747</v>
      </c>
      <c r="B1805" t="s">
        <v>2748</v>
      </c>
      <c r="C1805" s="1">
        <v>45727</v>
      </c>
      <c r="D1805" s="3">
        <v>0.60365740740740736</v>
      </c>
      <c r="E1805">
        <f t="shared" si="252"/>
        <v>14</v>
      </c>
      <c r="F1805" s="4">
        <v>41</v>
      </c>
      <c r="G1805" t="s">
        <v>60</v>
      </c>
      <c r="H1805" t="s">
        <v>312</v>
      </c>
      <c r="I1805" t="s">
        <v>39</v>
      </c>
      <c r="J1805" t="s">
        <v>132</v>
      </c>
      <c r="K1805" t="s">
        <v>114</v>
      </c>
      <c r="L1805">
        <v>87.09</v>
      </c>
      <c r="M1805" t="s">
        <v>33</v>
      </c>
      <c r="N1805">
        <f t="shared" si="253"/>
        <v>0</v>
      </c>
      <c r="O1805" t="s">
        <v>86</v>
      </c>
      <c r="P1805" t="s">
        <v>2749</v>
      </c>
      <c r="Q1805">
        <v>0</v>
      </c>
      <c r="R1805">
        <v>408</v>
      </c>
      <c r="S1805">
        <f t="shared" si="254"/>
        <v>-1.2117059918862185</v>
      </c>
      <c r="T1805">
        <f t="shared" si="255"/>
        <v>0</v>
      </c>
      <c r="U1805">
        <f t="shared" si="256"/>
        <v>0</v>
      </c>
      <c r="V1805">
        <f t="shared" si="257"/>
        <v>0</v>
      </c>
      <c r="W1805">
        <f t="shared" si="258"/>
        <v>0</v>
      </c>
      <c r="X1805">
        <f t="shared" si="259"/>
        <v>0</v>
      </c>
      <c r="Y1805">
        <f t="shared" si="260"/>
        <v>0</v>
      </c>
    </row>
    <row r="1806" spans="1:25" x14ac:dyDescent="0.3">
      <c r="A1806" t="s">
        <v>5864</v>
      </c>
      <c r="B1806" t="s">
        <v>5865</v>
      </c>
      <c r="C1806" s="1">
        <v>45733</v>
      </c>
      <c r="D1806" s="3">
        <v>0.95141203703703703</v>
      </c>
      <c r="E1806">
        <f t="shared" si="252"/>
        <v>22</v>
      </c>
      <c r="F1806">
        <v>25</v>
      </c>
      <c r="G1806" t="s">
        <v>60</v>
      </c>
      <c r="H1806" t="s">
        <v>55</v>
      </c>
      <c r="I1806" t="s">
        <v>119</v>
      </c>
      <c r="J1806" t="s">
        <v>56</v>
      </c>
      <c r="K1806" t="s">
        <v>114</v>
      </c>
      <c r="L1806">
        <v>87.03</v>
      </c>
      <c r="M1806" t="s">
        <v>115</v>
      </c>
      <c r="N1806">
        <f t="shared" si="253"/>
        <v>0</v>
      </c>
      <c r="O1806" t="s">
        <v>86</v>
      </c>
      <c r="P1806" t="s">
        <v>5866</v>
      </c>
      <c r="Q1806">
        <v>0</v>
      </c>
      <c r="R1806">
        <v>274</v>
      </c>
      <c r="S1806">
        <f t="shared" si="254"/>
        <v>-1.2125366474547841</v>
      </c>
      <c r="T1806">
        <f t="shared" si="255"/>
        <v>0</v>
      </c>
      <c r="U1806">
        <f t="shared" si="256"/>
        <v>0</v>
      </c>
      <c r="V1806">
        <f t="shared" si="257"/>
        <v>0</v>
      </c>
      <c r="W1806">
        <f t="shared" si="258"/>
        <v>0</v>
      </c>
      <c r="X1806">
        <f t="shared" si="259"/>
        <v>0</v>
      </c>
      <c r="Y1806">
        <f t="shared" si="260"/>
        <v>0</v>
      </c>
    </row>
    <row r="1807" spans="1:25" x14ac:dyDescent="0.3">
      <c r="A1807" t="s">
        <v>2204</v>
      </c>
      <c r="B1807" t="s">
        <v>2205</v>
      </c>
      <c r="C1807" s="1">
        <v>45736</v>
      </c>
      <c r="D1807" s="3">
        <v>0.46687499999999998</v>
      </c>
      <c r="E1807">
        <f t="shared" si="252"/>
        <v>11</v>
      </c>
      <c r="F1807">
        <v>43</v>
      </c>
      <c r="G1807" t="s">
        <v>60</v>
      </c>
      <c r="H1807" t="s">
        <v>84</v>
      </c>
      <c r="I1807" t="s">
        <v>66</v>
      </c>
      <c r="J1807" t="s">
        <v>94</v>
      </c>
      <c r="K1807" t="s">
        <v>62</v>
      </c>
      <c r="L1807">
        <v>86.84</v>
      </c>
      <c r="M1807" t="s">
        <v>42</v>
      </c>
      <c r="N1807">
        <f t="shared" si="253"/>
        <v>0</v>
      </c>
      <c r="O1807" t="s">
        <v>86</v>
      </c>
      <c r="P1807" t="s">
        <v>2206</v>
      </c>
      <c r="Q1807">
        <v>0</v>
      </c>
      <c r="R1807">
        <v>436</v>
      </c>
      <c r="S1807">
        <f t="shared" si="254"/>
        <v>-1.2151670567552417</v>
      </c>
      <c r="T1807">
        <f t="shared" si="255"/>
        <v>0</v>
      </c>
      <c r="U1807">
        <f t="shared" si="256"/>
        <v>0</v>
      </c>
      <c r="V1807">
        <f t="shared" si="257"/>
        <v>0</v>
      </c>
      <c r="W1807">
        <f t="shared" si="258"/>
        <v>0</v>
      </c>
      <c r="X1807">
        <f t="shared" si="259"/>
        <v>0</v>
      </c>
      <c r="Y1807">
        <f t="shared" si="260"/>
        <v>0</v>
      </c>
    </row>
    <row r="1808" spans="1:25" x14ac:dyDescent="0.3">
      <c r="A1808" t="s">
        <v>2609</v>
      </c>
      <c r="B1808" t="s">
        <v>2610</v>
      </c>
      <c r="C1808" s="1">
        <v>45763</v>
      </c>
      <c r="D1808" s="3">
        <v>0.99746527777777783</v>
      </c>
      <c r="E1808">
        <f t="shared" si="252"/>
        <v>23</v>
      </c>
      <c r="F1808">
        <v>33</v>
      </c>
      <c r="G1808" t="s">
        <v>46</v>
      </c>
      <c r="H1808" t="s">
        <v>70</v>
      </c>
      <c r="I1808" t="s">
        <v>105</v>
      </c>
      <c r="J1808" t="s">
        <v>49</v>
      </c>
      <c r="K1808" t="s">
        <v>50</v>
      </c>
      <c r="L1808">
        <v>86.84</v>
      </c>
      <c r="M1808" t="s">
        <v>115</v>
      </c>
      <c r="N1808">
        <f t="shared" si="253"/>
        <v>0</v>
      </c>
      <c r="O1808" t="s">
        <v>86</v>
      </c>
      <c r="P1808" t="s">
        <v>2611</v>
      </c>
      <c r="Q1808">
        <v>0</v>
      </c>
      <c r="R1808">
        <v>57</v>
      </c>
      <c r="S1808">
        <f t="shared" si="254"/>
        <v>-1.2151670567552417</v>
      </c>
      <c r="T1808">
        <f t="shared" si="255"/>
        <v>0</v>
      </c>
      <c r="U1808">
        <f t="shared" si="256"/>
        <v>0</v>
      </c>
      <c r="V1808">
        <f t="shared" si="257"/>
        <v>1</v>
      </c>
      <c r="W1808">
        <f t="shared" si="258"/>
        <v>1</v>
      </c>
      <c r="X1808">
        <f t="shared" si="259"/>
        <v>0</v>
      </c>
      <c r="Y1808">
        <f t="shared" si="260"/>
        <v>0</v>
      </c>
    </row>
    <row r="1809" spans="1:25" x14ac:dyDescent="0.3">
      <c r="A1809" t="s">
        <v>965</v>
      </c>
      <c r="B1809" t="s">
        <v>966</v>
      </c>
      <c r="C1809" s="1">
        <v>45804</v>
      </c>
      <c r="D1809" s="3">
        <v>0.62364583333333334</v>
      </c>
      <c r="E1809">
        <f t="shared" si="252"/>
        <v>14</v>
      </c>
      <c r="F1809">
        <v>52</v>
      </c>
      <c r="G1809" t="s">
        <v>46</v>
      </c>
      <c r="H1809" t="s">
        <v>70</v>
      </c>
      <c r="I1809" t="s">
        <v>105</v>
      </c>
      <c r="J1809" t="s">
        <v>132</v>
      </c>
      <c r="K1809" t="s">
        <v>32</v>
      </c>
      <c r="L1809">
        <v>86.33</v>
      </c>
      <c r="M1809" t="s">
        <v>23</v>
      </c>
      <c r="N1809">
        <f t="shared" si="253"/>
        <v>0</v>
      </c>
      <c r="O1809" t="s">
        <v>34</v>
      </c>
      <c r="P1809" t="s">
        <v>967</v>
      </c>
      <c r="Q1809">
        <v>0</v>
      </c>
      <c r="R1809">
        <v>379</v>
      </c>
      <c r="S1809">
        <f t="shared" si="254"/>
        <v>-1.2222276290880489</v>
      </c>
      <c r="T1809">
        <f t="shared" si="255"/>
        <v>0</v>
      </c>
      <c r="U1809">
        <f t="shared" si="256"/>
        <v>0</v>
      </c>
      <c r="V1809">
        <f t="shared" si="257"/>
        <v>0</v>
      </c>
      <c r="W1809">
        <f t="shared" si="258"/>
        <v>0</v>
      </c>
      <c r="X1809">
        <f t="shared" si="259"/>
        <v>0</v>
      </c>
      <c r="Y1809">
        <f t="shared" si="260"/>
        <v>0</v>
      </c>
    </row>
    <row r="1810" spans="1:25" x14ac:dyDescent="0.3">
      <c r="A1810" t="s">
        <v>980</v>
      </c>
      <c r="B1810" t="s">
        <v>981</v>
      </c>
      <c r="C1810" s="1">
        <v>45801</v>
      </c>
      <c r="D1810" s="3">
        <v>0.12462962962962963</v>
      </c>
      <c r="E1810">
        <f t="shared" si="252"/>
        <v>2</v>
      </c>
      <c r="F1810">
        <v>35</v>
      </c>
      <c r="G1810" t="s">
        <v>46</v>
      </c>
      <c r="H1810" t="s">
        <v>142</v>
      </c>
      <c r="I1810" t="s">
        <v>105</v>
      </c>
      <c r="J1810" t="s">
        <v>56</v>
      </c>
      <c r="K1810" t="s">
        <v>50</v>
      </c>
      <c r="L1810">
        <v>86.28</v>
      </c>
      <c r="M1810" t="s">
        <v>33</v>
      </c>
      <c r="N1810">
        <f t="shared" si="253"/>
        <v>0</v>
      </c>
      <c r="O1810" t="s">
        <v>51</v>
      </c>
      <c r="P1810" t="s">
        <v>982</v>
      </c>
      <c r="Q1810">
        <v>0</v>
      </c>
      <c r="R1810">
        <v>357</v>
      </c>
      <c r="S1810">
        <f t="shared" si="254"/>
        <v>-1.2229198420618534</v>
      </c>
      <c r="T1810">
        <f t="shared" si="255"/>
        <v>0</v>
      </c>
      <c r="U1810">
        <f t="shared" si="256"/>
        <v>1</v>
      </c>
      <c r="V1810">
        <f t="shared" si="257"/>
        <v>0</v>
      </c>
      <c r="W1810">
        <f t="shared" si="258"/>
        <v>2</v>
      </c>
      <c r="X1810">
        <f t="shared" si="259"/>
        <v>0</v>
      </c>
      <c r="Y1810">
        <f t="shared" si="260"/>
        <v>0</v>
      </c>
    </row>
    <row r="1811" spans="1:25" x14ac:dyDescent="0.3">
      <c r="A1811" t="s">
        <v>3665</v>
      </c>
      <c r="B1811" t="s">
        <v>3666</v>
      </c>
      <c r="C1811" s="1">
        <v>45862</v>
      </c>
      <c r="D1811" s="3">
        <v>0.98077546296296292</v>
      </c>
      <c r="E1811">
        <f t="shared" si="252"/>
        <v>23</v>
      </c>
      <c r="F1811">
        <v>64</v>
      </c>
      <c r="G1811" t="s">
        <v>99</v>
      </c>
      <c r="H1811" t="s">
        <v>19</v>
      </c>
      <c r="I1811" t="s">
        <v>30</v>
      </c>
      <c r="J1811" t="s">
        <v>76</v>
      </c>
      <c r="K1811" t="s">
        <v>120</v>
      </c>
      <c r="L1811">
        <v>86.27</v>
      </c>
      <c r="M1811" t="s">
        <v>42</v>
      </c>
      <c r="N1811">
        <f t="shared" si="253"/>
        <v>0</v>
      </c>
      <c r="O1811" t="s">
        <v>51</v>
      </c>
      <c r="P1811" t="s">
        <v>3667</v>
      </c>
      <c r="Q1811">
        <v>0</v>
      </c>
      <c r="R1811">
        <v>365</v>
      </c>
      <c r="S1811">
        <f t="shared" si="254"/>
        <v>-1.2230582846566145</v>
      </c>
      <c r="T1811">
        <f t="shared" si="255"/>
        <v>0</v>
      </c>
      <c r="U1811">
        <f t="shared" si="256"/>
        <v>0</v>
      </c>
      <c r="V1811">
        <f t="shared" si="257"/>
        <v>0</v>
      </c>
      <c r="W1811">
        <f t="shared" si="258"/>
        <v>0</v>
      </c>
      <c r="X1811">
        <f t="shared" si="259"/>
        <v>0</v>
      </c>
      <c r="Y1811">
        <f t="shared" si="260"/>
        <v>0</v>
      </c>
    </row>
    <row r="1812" spans="1:25" x14ac:dyDescent="0.3">
      <c r="A1812" t="s">
        <v>125</v>
      </c>
      <c r="B1812" t="s">
        <v>126</v>
      </c>
      <c r="C1812" s="1">
        <v>45856</v>
      </c>
      <c r="D1812" s="3">
        <v>0.91273148148148153</v>
      </c>
      <c r="E1812">
        <f t="shared" si="252"/>
        <v>21</v>
      </c>
      <c r="F1812">
        <v>61</v>
      </c>
      <c r="G1812" t="s">
        <v>6479</v>
      </c>
      <c r="H1812" t="s">
        <v>84</v>
      </c>
      <c r="I1812" t="s">
        <v>85</v>
      </c>
      <c r="J1812" t="s">
        <v>127</v>
      </c>
      <c r="K1812" t="s">
        <v>101</v>
      </c>
      <c r="L1812">
        <v>86.21</v>
      </c>
      <c r="M1812" t="s">
        <v>33</v>
      </c>
      <c r="N1812">
        <f t="shared" si="253"/>
        <v>0</v>
      </c>
      <c r="O1812" t="s">
        <v>86</v>
      </c>
      <c r="P1812" t="s">
        <v>128</v>
      </c>
      <c r="Q1812">
        <v>0</v>
      </c>
      <c r="R1812">
        <v>386</v>
      </c>
      <c r="S1812">
        <f t="shared" si="254"/>
        <v>-1.22388894022518</v>
      </c>
      <c r="T1812">
        <f t="shared" si="255"/>
        <v>0</v>
      </c>
      <c r="U1812">
        <f t="shared" si="256"/>
        <v>0</v>
      </c>
      <c r="V1812">
        <f t="shared" si="257"/>
        <v>0</v>
      </c>
      <c r="W1812">
        <f t="shared" si="258"/>
        <v>0</v>
      </c>
      <c r="X1812">
        <f t="shared" si="259"/>
        <v>0</v>
      </c>
      <c r="Y1812">
        <f t="shared" si="260"/>
        <v>0</v>
      </c>
    </row>
    <row r="1813" spans="1:25" x14ac:dyDescent="0.3">
      <c r="A1813" t="s">
        <v>26</v>
      </c>
      <c r="B1813" t="s">
        <v>27</v>
      </c>
      <c r="C1813" s="1">
        <v>45730</v>
      </c>
      <c r="D1813" s="3">
        <v>0.84957175925925921</v>
      </c>
      <c r="E1813">
        <f>HOUR(Table1[[#This Row],[Transaction_Time]])</f>
        <v>20</v>
      </c>
      <c r="F1813">
        <v>46</v>
      </c>
      <c r="G1813" t="s">
        <v>28</v>
      </c>
      <c r="H1813" t="s">
        <v>29</v>
      </c>
      <c r="I1813" t="s">
        <v>30</v>
      </c>
      <c r="J1813" t="s">
        <v>31</v>
      </c>
      <c r="K1813" t="s">
        <v>32</v>
      </c>
      <c r="L1813">
        <v>86.03</v>
      </c>
      <c r="M1813" t="s">
        <v>33</v>
      </c>
      <c r="N1813">
        <f t="shared" si="253"/>
        <v>0</v>
      </c>
      <c r="O1813" t="s">
        <v>34</v>
      </c>
      <c r="P1813" t="s">
        <v>35</v>
      </c>
      <c r="Q1813">
        <v>0</v>
      </c>
      <c r="R1813">
        <v>406</v>
      </c>
      <c r="S1813">
        <f t="shared" si="254"/>
        <v>-1.2263809069308766</v>
      </c>
      <c r="T1813">
        <f t="shared" si="255"/>
        <v>0</v>
      </c>
      <c r="U1813">
        <f t="shared" si="256"/>
        <v>0</v>
      </c>
      <c r="V1813">
        <f t="shared" si="257"/>
        <v>0</v>
      </c>
      <c r="W1813">
        <f t="shared" si="258"/>
        <v>0</v>
      </c>
      <c r="X1813">
        <f t="shared" si="259"/>
        <v>0</v>
      </c>
      <c r="Y1813">
        <f t="shared" si="260"/>
        <v>0</v>
      </c>
    </row>
    <row r="1814" spans="1:25" x14ac:dyDescent="0.3">
      <c r="A1814" t="s">
        <v>815</v>
      </c>
      <c r="B1814" t="s">
        <v>816</v>
      </c>
      <c r="C1814" s="1">
        <v>45848</v>
      </c>
      <c r="D1814" s="3">
        <v>0.10697916666666667</v>
      </c>
      <c r="E1814">
        <f t="shared" ref="E1814:E1877" si="261">HOUR(D1814)</f>
        <v>2</v>
      </c>
      <c r="F1814">
        <v>36</v>
      </c>
      <c r="G1814" t="s">
        <v>46</v>
      </c>
      <c r="H1814" t="s">
        <v>29</v>
      </c>
      <c r="I1814" t="s">
        <v>30</v>
      </c>
      <c r="J1814" t="s">
        <v>72</v>
      </c>
      <c r="K1814" t="s">
        <v>50</v>
      </c>
      <c r="L1814">
        <v>85.77</v>
      </c>
      <c r="M1814" t="s">
        <v>33</v>
      </c>
      <c r="N1814">
        <f t="shared" si="253"/>
        <v>0</v>
      </c>
      <c r="O1814" t="s">
        <v>34</v>
      </c>
      <c r="P1814" t="s">
        <v>817</v>
      </c>
      <c r="Q1814">
        <v>0</v>
      </c>
      <c r="R1814">
        <v>356</v>
      </c>
      <c r="S1814">
        <f t="shared" si="254"/>
        <v>-1.2299804143946607</v>
      </c>
      <c r="T1814">
        <f t="shared" si="255"/>
        <v>0</v>
      </c>
      <c r="U1814">
        <f t="shared" si="256"/>
        <v>1</v>
      </c>
      <c r="V1814">
        <f t="shared" si="257"/>
        <v>0</v>
      </c>
      <c r="W1814">
        <f t="shared" si="258"/>
        <v>2</v>
      </c>
      <c r="X1814">
        <f t="shared" si="259"/>
        <v>0</v>
      </c>
      <c r="Y1814">
        <f t="shared" si="260"/>
        <v>0</v>
      </c>
    </row>
    <row r="1815" spans="1:25" x14ac:dyDescent="0.3">
      <c r="A1815" t="s">
        <v>3146</v>
      </c>
      <c r="B1815" t="s">
        <v>3147</v>
      </c>
      <c r="C1815" s="1">
        <v>45708</v>
      </c>
      <c r="D1815" s="3">
        <v>0.79479166666666667</v>
      </c>
      <c r="E1815">
        <f t="shared" si="261"/>
        <v>19</v>
      </c>
      <c r="F1815">
        <v>30</v>
      </c>
      <c r="G1815" t="s">
        <v>60</v>
      </c>
      <c r="H1815" t="s">
        <v>185</v>
      </c>
      <c r="I1815" t="s">
        <v>20</v>
      </c>
      <c r="J1815" t="s">
        <v>76</v>
      </c>
      <c r="K1815" t="s">
        <v>95</v>
      </c>
      <c r="L1815">
        <v>85.65</v>
      </c>
      <c r="M1815" t="s">
        <v>115</v>
      </c>
      <c r="N1815">
        <f t="shared" si="253"/>
        <v>0</v>
      </c>
      <c r="O1815" t="s">
        <v>24</v>
      </c>
      <c r="P1815" t="s">
        <v>3148</v>
      </c>
      <c r="Q1815">
        <v>0</v>
      </c>
      <c r="R1815">
        <v>157</v>
      </c>
      <c r="S1815">
        <f t="shared" si="254"/>
        <v>-1.2316417255317917</v>
      </c>
      <c r="T1815">
        <f t="shared" si="255"/>
        <v>0</v>
      </c>
      <c r="U1815">
        <f t="shared" si="256"/>
        <v>0</v>
      </c>
      <c r="V1815">
        <f t="shared" si="257"/>
        <v>1</v>
      </c>
      <c r="W1815">
        <f t="shared" si="258"/>
        <v>1</v>
      </c>
      <c r="X1815">
        <f t="shared" si="259"/>
        <v>0</v>
      </c>
      <c r="Y1815">
        <f t="shared" si="260"/>
        <v>0</v>
      </c>
    </row>
    <row r="1816" spans="1:25" x14ac:dyDescent="0.3">
      <c r="A1816" t="s">
        <v>2708</v>
      </c>
      <c r="B1816" t="s">
        <v>2709</v>
      </c>
      <c r="C1816" s="1">
        <v>45782</v>
      </c>
      <c r="D1816" s="3">
        <v>9.6435185185185179E-2</v>
      </c>
      <c r="E1816">
        <f t="shared" si="261"/>
        <v>2</v>
      </c>
      <c r="F1816">
        <v>62</v>
      </c>
      <c r="G1816" t="s">
        <v>46</v>
      </c>
      <c r="H1816" t="s">
        <v>29</v>
      </c>
      <c r="I1816" t="s">
        <v>30</v>
      </c>
      <c r="J1816" t="s">
        <v>49</v>
      </c>
      <c r="K1816" t="s">
        <v>50</v>
      </c>
      <c r="L1816">
        <v>85.64</v>
      </c>
      <c r="M1816" t="s">
        <v>42</v>
      </c>
      <c r="N1816">
        <f t="shared" si="253"/>
        <v>0</v>
      </c>
      <c r="O1816" t="s">
        <v>34</v>
      </c>
      <c r="P1816" t="s">
        <v>2710</v>
      </c>
      <c r="Q1816">
        <v>0</v>
      </c>
      <c r="R1816">
        <v>99</v>
      </c>
      <c r="S1816">
        <f t="shared" si="254"/>
        <v>-1.2317801681265528</v>
      </c>
      <c r="T1816">
        <f t="shared" si="255"/>
        <v>0</v>
      </c>
      <c r="U1816">
        <f t="shared" si="256"/>
        <v>1</v>
      </c>
      <c r="V1816">
        <f t="shared" si="257"/>
        <v>1</v>
      </c>
      <c r="W1816">
        <f t="shared" si="258"/>
        <v>3</v>
      </c>
      <c r="X1816">
        <f t="shared" si="259"/>
        <v>0</v>
      </c>
      <c r="Y1816">
        <f t="shared" si="260"/>
        <v>0</v>
      </c>
    </row>
    <row r="1817" spans="1:25" x14ac:dyDescent="0.3">
      <c r="A1817" t="s">
        <v>234</v>
      </c>
      <c r="B1817" t="s">
        <v>235</v>
      </c>
      <c r="C1817" s="1">
        <v>45798</v>
      </c>
      <c r="D1817" s="3">
        <v>0.69525462962962958</v>
      </c>
      <c r="E1817">
        <f t="shared" si="261"/>
        <v>16</v>
      </c>
      <c r="F1817">
        <v>24</v>
      </c>
      <c r="G1817" t="s">
        <v>46</v>
      </c>
      <c r="H1817" t="s">
        <v>232</v>
      </c>
      <c r="I1817" t="s">
        <v>110</v>
      </c>
      <c r="J1817" t="s">
        <v>72</v>
      </c>
      <c r="K1817" t="s">
        <v>32</v>
      </c>
      <c r="L1817">
        <v>85.29</v>
      </c>
      <c r="M1817" t="s">
        <v>115</v>
      </c>
      <c r="N1817">
        <f t="shared" si="253"/>
        <v>0</v>
      </c>
      <c r="O1817" t="s">
        <v>24</v>
      </c>
      <c r="P1817" t="s">
        <v>236</v>
      </c>
      <c r="Q1817">
        <v>0</v>
      </c>
      <c r="R1817">
        <v>204</v>
      </c>
      <c r="S1817">
        <f t="shared" si="254"/>
        <v>-1.236625658943185</v>
      </c>
      <c r="T1817">
        <f t="shared" si="255"/>
        <v>0</v>
      </c>
      <c r="U1817">
        <f t="shared" si="256"/>
        <v>0</v>
      </c>
      <c r="V1817">
        <f t="shared" si="257"/>
        <v>1</v>
      </c>
      <c r="W1817">
        <f t="shared" si="258"/>
        <v>1</v>
      </c>
      <c r="X1817">
        <f t="shared" si="259"/>
        <v>0</v>
      </c>
      <c r="Y1817">
        <f t="shared" si="260"/>
        <v>0</v>
      </c>
    </row>
    <row r="1818" spans="1:25" x14ac:dyDescent="0.3">
      <c r="A1818" t="s">
        <v>1784</v>
      </c>
      <c r="B1818" t="s">
        <v>1785</v>
      </c>
      <c r="C1818" s="1">
        <v>45745</v>
      </c>
      <c r="D1818" s="3">
        <v>0.37200231481481483</v>
      </c>
      <c r="E1818">
        <f t="shared" si="261"/>
        <v>8</v>
      </c>
      <c r="F1818">
        <v>42</v>
      </c>
      <c r="G1818" t="s">
        <v>60</v>
      </c>
      <c r="H1818" t="s">
        <v>232</v>
      </c>
      <c r="I1818" t="s">
        <v>48</v>
      </c>
      <c r="J1818" t="s">
        <v>31</v>
      </c>
      <c r="K1818" t="s">
        <v>41</v>
      </c>
      <c r="L1818">
        <v>85.15</v>
      </c>
      <c r="M1818" t="s">
        <v>115</v>
      </c>
      <c r="N1818">
        <f t="shared" si="253"/>
        <v>0</v>
      </c>
      <c r="O1818" t="s">
        <v>34</v>
      </c>
      <c r="P1818" t="s">
        <v>1786</v>
      </c>
      <c r="Q1818">
        <v>0</v>
      </c>
      <c r="R1818">
        <v>393</v>
      </c>
      <c r="S1818">
        <f t="shared" si="254"/>
        <v>-1.2385638552698379</v>
      </c>
      <c r="T1818">
        <f t="shared" si="255"/>
        <v>0</v>
      </c>
      <c r="U1818">
        <f t="shared" si="256"/>
        <v>0</v>
      </c>
      <c r="V1818">
        <f t="shared" si="257"/>
        <v>0</v>
      </c>
      <c r="W1818">
        <f t="shared" si="258"/>
        <v>0</v>
      </c>
      <c r="X1818">
        <f t="shared" si="259"/>
        <v>0</v>
      </c>
      <c r="Y1818">
        <f t="shared" si="260"/>
        <v>0</v>
      </c>
    </row>
    <row r="1819" spans="1:25" x14ac:dyDescent="0.3">
      <c r="A1819" t="s">
        <v>1676</v>
      </c>
      <c r="B1819" t="s">
        <v>1677</v>
      </c>
      <c r="C1819" s="1">
        <v>45781</v>
      </c>
      <c r="D1819" s="3">
        <v>0.52467592592592593</v>
      </c>
      <c r="E1819">
        <f t="shared" si="261"/>
        <v>12</v>
      </c>
      <c r="F1819">
        <v>34</v>
      </c>
      <c r="G1819" t="s">
        <v>18</v>
      </c>
      <c r="H1819" t="s">
        <v>185</v>
      </c>
      <c r="I1819" t="s">
        <v>30</v>
      </c>
      <c r="J1819" t="s">
        <v>76</v>
      </c>
      <c r="K1819" t="s">
        <v>120</v>
      </c>
      <c r="L1819">
        <v>85.12</v>
      </c>
      <c r="M1819" t="s">
        <v>115</v>
      </c>
      <c r="N1819">
        <f t="shared" si="253"/>
        <v>0</v>
      </c>
      <c r="O1819" t="s">
        <v>51</v>
      </c>
      <c r="P1819" t="s">
        <v>1678</v>
      </c>
      <c r="Q1819">
        <v>0</v>
      </c>
      <c r="R1819">
        <v>460</v>
      </c>
      <c r="S1819">
        <f t="shared" si="254"/>
        <v>-1.2389791830541208</v>
      </c>
      <c r="T1819">
        <f t="shared" si="255"/>
        <v>0</v>
      </c>
      <c r="U1819">
        <f t="shared" si="256"/>
        <v>0</v>
      </c>
      <c r="V1819">
        <f t="shared" si="257"/>
        <v>0</v>
      </c>
      <c r="W1819">
        <f t="shared" si="258"/>
        <v>0</v>
      </c>
      <c r="X1819">
        <f t="shared" si="259"/>
        <v>0</v>
      </c>
      <c r="Y1819">
        <f t="shared" si="260"/>
        <v>0</v>
      </c>
    </row>
    <row r="1820" spans="1:25" x14ac:dyDescent="0.3">
      <c r="A1820" t="s">
        <v>2873</v>
      </c>
      <c r="B1820" t="s">
        <v>2874</v>
      </c>
      <c r="C1820" s="1">
        <v>45846</v>
      </c>
      <c r="D1820" s="3">
        <v>0.81855324074074076</v>
      </c>
      <c r="E1820">
        <f t="shared" si="261"/>
        <v>19</v>
      </c>
      <c r="F1820">
        <v>42</v>
      </c>
      <c r="G1820" t="s">
        <v>28</v>
      </c>
      <c r="H1820" t="s">
        <v>312</v>
      </c>
      <c r="I1820" t="s">
        <v>105</v>
      </c>
      <c r="J1820" t="s">
        <v>127</v>
      </c>
      <c r="K1820" t="s">
        <v>168</v>
      </c>
      <c r="L1820">
        <v>84.76</v>
      </c>
      <c r="M1820" t="s">
        <v>42</v>
      </c>
      <c r="N1820">
        <f t="shared" si="253"/>
        <v>0</v>
      </c>
      <c r="O1820" t="s">
        <v>86</v>
      </c>
      <c r="P1820" t="s">
        <v>2875</v>
      </c>
      <c r="Q1820">
        <v>0</v>
      </c>
      <c r="R1820">
        <v>415</v>
      </c>
      <c r="S1820">
        <f t="shared" si="254"/>
        <v>-1.2439631164655141</v>
      </c>
      <c r="T1820">
        <f t="shared" si="255"/>
        <v>0</v>
      </c>
      <c r="U1820">
        <f t="shared" si="256"/>
        <v>0</v>
      </c>
      <c r="V1820">
        <f t="shared" si="257"/>
        <v>0</v>
      </c>
      <c r="W1820">
        <f t="shared" si="258"/>
        <v>0</v>
      </c>
      <c r="X1820">
        <f t="shared" si="259"/>
        <v>0</v>
      </c>
      <c r="Y1820">
        <f t="shared" si="260"/>
        <v>0</v>
      </c>
    </row>
    <row r="1821" spans="1:25" x14ac:dyDescent="0.3">
      <c r="A1821" t="s">
        <v>4403</v>
      </c>
      <c r="B1821" t="s">
        <v>4404</v>
      </c>
      <c r="C1821" s="1">
        <v>45772</v>
      </c>
      <c r="D1821" s="3">
        <v>0.72657407407407404</v>
      </c>
      <c r="E1821">
        <f t="shared" si="261"/>
        <v>17</v>
      </c>
      <c r="F1821">
        <v>57</v>
      </c>
      <c r="G1821" t="s">
        <v>60</v>
      </c>
      <c r="H1821" t="s">
        <v>38</v>
      </c>
      <c r="I1821" t="s">
        <v>20</v>
      </c>
      <c r="J1821" t="s">
        <v>40</v>
      </c>
      <c r="K1821" t="s">
        <v>50</v>
      </c>
      <c r="L1821">
        <v>84.61</v>
      </c>
      <c r="M1821" t="s">
        <v>42</v>
      </c>
      <c r="N1821">
        <f t="shared" si="253"/>
        <v>0</v>
      </c>
      <c r="O1821" t="s">
        <v>86</v>
      </c>
      <c r="P1821" t="s">
        <v>4405</v>
      </c>
      <c r="Q1821">
        <v>0</v>
      </c>
      <c r="R1821">
        <v>254</v>
      </c>
      <c r="S1821">
        <f t="shared" si="254"/>
        <v>-1.246039755386928</v>
      </c>
      <c r="T1821">
        <f t="shared" si="255"/>
        <v>0</v>
      </c>
      <c r="U1821">
        <f t="shared" si="256"/>
        <v>0</v>
      </c>
      <c r="V1821">
        <f t="shared" si="257"/>
        <v>1</v>
      </c>
      <c r="W1821">
        <f t="shared" si="258"/>
        <v>1</v>
      </c>
      <c r="X1821">
        <f t="shared" si="259"/>
        <v>0</v>
      </c>
      <c r="Y1821">
        <f t="shared" si="260"/>
        <v>0</v>
      </c>
    </row>
    <row r="1822" spans="1:25" x14ac:dyDescent="0.3">
      <c r="A1822" t="s">
        <v>4652</v>
      </c>
      <c r="B1822" t="s">
        <v>4653</v>
      </c>
      <c r="C1822" s="1">
        <v>45804</v>
      </c>
      <c r="D1822" s="3">
        <v>0.27207175925925925</v>
      </c>
      <c r="E1822">
        <f t="shared" si="261"/>
        <v>6</v>
      </c>
      <c r="F1822">
        <v>56</v>
      </c>
      <c r="G1822" t="s">
        <v>46</v>
      </c>
      <c r="H1822" t="s">
        <v>19</v>
      </c>
      <c r="I1822" t="s">
        <v>105</v>
      </c>
      <c r="J1822" t="s">
        <v>76</v>
      </c>
      <c r="K1822" t="s">
        <v>168</v>
      </c>
      <c r="L1822">
        <v>84.3</v>
      </c>
      <c r="M1822" t="s">
        <v>6479</v>
      </c>
      <c r="N1822">
        <f t="shared" si="253"/>
        <v>1</v>
      </c>
      <c r="O1822" t="s">
        <v>86</v>
      </c>
      <c r="P1822" t="s">
        <v>4654</v>
      </c>
      <c r="Q1822">
        <v>0</v>
      </c>
      <c r="R1822">
        <v>116</v>
      </c>
      <c r="S1822">
        <f t="shared" si="254"/>
        <v>-1.2503314758245165</v>
      </c>
      <c r="T1822">
        <f t="shared" si="255"/>
        <v>0</v>
      </c>
      <c r="U1822">
        <f t="shared" si="256"/>
        <v>0</v>
      </c>
      <c r="V1822">
        <f t="shared" si="257"/>
        <v>1</v>
      </c>
      <c r="W1822">
        <f t="shared" si="258"/>
        <v>3</v>
      </c>
      <c r="X1822">
        <f t="shared" si="259"/>
        <v>0</v>
      </c>
      <c r="Y1822">
        <f t="shared" si="260"/>
        <v>1</v>
      </c>
    </row>
    <row r="1823" spans="1:25" x14ac:dyDescent="0.3">
      <c r="A1823" t="s">
        <v>3248</v>
      </c>
      <c r="B1823" t="s">
        <v>3249</v>
      </c>
      <c r="C1823" s="1">
        <v>45828</v>
      </c>
      <c r="D1823" s="3">
        <v>0.25761574074074073</v>
      </c>
      <c r="E1823">
        <f t="shared" si="261"/>
        <v>6</v>
      </c>
      <c r="F1823">
        <v>47</v>
      </c>
      <c r="G1823" t="s">
        <v>18</v>
      </c>
      <c r="H1823" t="s">
        <v>100</v>
      </c>
      <c r="I1823" t="s">
        <v>66</v>
      </c>
      <c r="J1823" t="s">
        <v>21</v>
      </c>
      <c r="K1823" t="s">
        <v>114</v>
      </c>
      <c r="L1823">
        <v>84.16</v>
      </c>
      <c r="M1823" t="s">
        <v>33</v>
      </c>
      <c r="N1823">
        <f t="shared" si="253"/>
        <v>0</v>
      </c>
      <c r="O1823" t="s">
        <v>34</v>
      </c>
      <c r="P1823" t="s">
        <v>3250</v>
      </c>
      <c r="Q1823">
        <v>0</v>
      </c>
      <c r="R1823">
        <v>456</v>
      </c>
      <c r="S1823">
        <f t="shared" si="254"/>
        <v>-1.2522696721511695</v>
      </c>
      <c r="T1823">
        <f t="shared" si="255"/>
        <v>0</v>
      </c>
      <c r="U1823">
        <f t="shared" si="256"/>
        <v>0</v>
      </c>
      <c r="V1823">
        <f t="shared" si="257"/>
        <v>0</v>
      </c>
      <c r="W1823">
        <f t="shared" si="258"/>
        <v>0</v>
      </c>
      <c r="X1823">
        <f t="shared" si="259"/>
        <v>0</v>
      </c>
      <c r="Y1823">
        <f t="shared" si="260"/>
        <v>0</v>
      </c>
    </row>
    <row r="1824" spans="1:25" x14ac:dyDescent="0.3">
      <c r="A1824" t="s">
        <v>905</v>
      </c>
      <c r="B1824" t="s">
        <v>906</v>
      </c>
      <c r="C1824" s="1">
        <v>45810</v>
      </c>
      <c r="D1824" s="3">
        <v>4.7592592592592596E-2</v>
      </c>
      <c r="E1824">
        <f t="shared" si="261"/>
        <v>1</v>
      </c>
      <c r="F1824">
        <v>26</v>
      </c>
      <c r="G1824" t="s">
        <v>18</v>
      </c>
      <c r="H1824" t="s">
        <v>29</v>
      </c>
      <c r="I1824" t="s">
        <v>39</v>
      </c>
      <c r="J1824" t="s">
        <v>127</v>
      </c>
      <c r="K1824" t="s">
        <v>62</v>
      </c>
      <c r="L1824">
        <v>84.06</v>
      </c>
      <c r="M1824" t="s">
        <v>23</v>
      </c>
      <c r="N1824">
        <f t="shared" si="253"/>
        <v>0</v>
      </c>
      <c r="O1824" t="s">
        <v>34</v>
      </c>
      <c r="P1824" t="s">
        <v>907</v>
      </c>
      <c r="Q1824">
        <v>0</v>
      </c>
      <c r="R1824">
        <v>93</v>
      </c>
      <c r="S1824">
        <f t="shared" si="254"/>
        <v>-1.2536540980987787</v>
      </c>
      <c r="T1824">
        <f t="shared" si="255"/>
        <v>0</v>
      </c>
      <c r="U1824">
        <f t="shared" si="256"/>
        <v>1</v>
      </c>
      <c r="V1824">
        <f t="shared" si="257"/>
        <v>1</v>
      </c>
      <c r="W1824">
        <f t="shared" si="258"/>
        <v>3</v>
      </c>
      <c r="X1824">
        <f t="shared" si="259"/>
        <v>0</v>
      </c>
      <c r="Y1824">
        <f t="shared" si="260"/>
        <v>0</v>
      </c>
    </row>
    <row r="1825" spans="1:25" x14ac:dyDescent="0.3">
      <c r="A1825" t="s">
        <v>4613</v>
      </c>
      <c r="B1825" t="s">
        <v>4614</v>
      </c>
      <c r="C1825" s="1">
        <v>45727</v>
      </c>
      <c r="D1825" s="3">
        <v>0.10046296296296296</v>
      </c>
      <c r="E1825">
        <f t="shared" si="261"/>
        <v>2</v>
      </c>
      <c r="F1825">
        <v>48</v>
      </c>
      <c r="G1825" t="s">
        <v>46</v>
      </c>
      <c r="H1825" t="s">
        <v>175</v>
      </c>
      <c r="I1825" t="s">
        <v>105</v>
      </c>
      <c r="J1825" t="s">
        <v>127</v>
      </c>
      <c r="K1825" t="s">
        <v>41</v>
      </c>
      <c r="L1825">
        <v>84.03</v>
      </c>
      <c r="M1825" t="s">
        <v>23</v>
      </c>
      <c r="N1825">
        <f t="shared" si="253"/>
        <v>0</v>
      </c>
      <c r="O1825" t="s">
        <v>86</v>
      </c>
      <c r="P1825" t="s">
        <v>4615</v>
      </c>
      <c r="Q1825">
        <v>0</v>
      </c>
      <c r="R1825">
        <v>487</v>
      </c>
      <c r="S1825">
        <f t="shared" si="254"/>
        <v>-1.2540694258830616</v>
      </c>
      <c r="T1825">
        <f t="shared" si="255"/>
        <v>0</v>
      </c>
      <c r="U1825">
        <f t="shared" si="256"/>
        <v>1</v>
      </c>
      <c r="V1825">
        <f t="shared" si="257"/>
        <v>0</v>
      </c>
      <c r="W1825">
        <f t="shared" si="258"/>
        <v>2</v>
      </c>
      <c r="X1825">
        <f t="shared" si="259"/>
        <v>0</v>
      </c>
      <c r="Y1825">
        <f t="shared" si="260"/>
        <v>0</v>
      </c>
    </row>
    <row r="1826" spans="1:25" x14ac:dyDescent="0.3">
      <c r="A1826" t="s">
        <v>2888</v>
      </c>
      <c r="B1826" t="s">
        <v>2889</v>
      </c>
      <c r="C1826" s="1">
        <v>45844</v>
      </c>
      <c r="D1826" s="3">
        <v>0.37318287037037035</v>
      </c>
      <c r="E1826">
        <f t="shared" si="261"/>
        <v>8</v>
      </c>
      <c r="F1826">
        <v>62</v>
      </c>
      <c r="G1826" t="s">
        <v>18</v>
      </c>
      <c r="H1826" t="s">
        <v>142</v>
      </c>
      <c r="I1826" t="s">
        <v>39</v>
      </c>
      <c r="J1826" t="s">
        <v>72</v>
      </c>
      <c r="K1826" t="s">
        <v>101</v>
      </c>
      <c r="L1826">
        <v>83.81</v>
      </c>
      <c r="M1826" t="s">
        <v>23</v>
      </c>
      <c r="N1826">
        <f t="shared" si="253"/>
        <v>0</v>
      </c>
      <c r="O1826" t="s">
        <v>24</v>
      </c>
      <c r="P1826" t="s">
        <v>2890</v>
      </c>
      <c r="Q1826">
        <v>0</v>
      </c>
      <c r="R1826">
        <v>327</v>
      </c>
      <c r="S1826">
        <f t="shared" si="254"/>
        <v>-1.2571151629678019</v>
      </c>
      <c r="T1826">
        <f t="shared" si="255"/>
        <v>0</v>
      </c>
      <c r="U1826">
        <f t="shared" si="256"/>
        <v>0</v>
      </c>
      <c r="V1826">
        <f t="shared" si="257"/>
        <v>0</v>
      </c>
      <c r="W1826">
        <f t="shared" si="258"/>
        <v>0</v>
      </c>
      <c r="X1826">
        <f t="shared" si="259"/>
        <v>0</v>
      </c>
      <c r="Y1826">
        <f t="shared" si="260"/>
        <v>0</v>
      </c>
    </row>
    <row r="1827" spans="1:25" x14ac:dyDescent="0.3">
      <c r="A1827" t="s">
        <v>1229</v>
      </c>
      <c r="B1827" t="s">
        <v>1230</v>
      </c>
      <c r="C1827" s="1">
        <v>45858</v>
      </c>
      <c r="D1827" s="3">
        <v>0.77918981481481486</v>
      </c>
      <c r="E1827">
        <f t="shared" si="261"/>
        <v>18</v>
      </c>
      <c r="F1827">
        <v>26</v>
      </c>
      <c r="G1827" t="s">
        <v>60</v>
      </c>
      <c r="H1827" t="s">
        <v>167</v>
      </c>
      <c r="I1827" t="s">
        <v>20</v>
      </c>
      <c r="J1827" t="s">
        <v>132</v>
      </c>
      <c r="K1827" t="s">
        <v>120</v>
      </c>
      <c r="L1827">
        <v>83.68</v>
      </c>
      <c r="M1827" t="s">
        <v>33</v>
      </c>
      <c r="N1827">
        <f t="shared" si="253"/>
        <v>0</v>
      </c>
      <c r="O1827" t="s">
        <v>86</v>
      </c>
      <c r="P1827" t="s">
        <v>1231</v>
      </c>
      <c r="Q1827">
        <v>0</v>
      </c>
      <c r="R1827">
        <v>217</v>
      </c>
      <c r="S1827">
        <f t="shared" si="254"/>
        <v>-1.2589149166996938</v>
      </c>
      <c r="T1827">
        <f t="shared" si="255"/>
        <v>0</v>
      </c>
      <c r="U1827">
        <f t="shared" si="256"/>
        <v>0</v>
      </c>
      <c r="V1827">
        <f t="shared" si="257"/>
        <v>1</v>
      </c>
      <c r="W1827">
        <f t="shared" si="258"/>
        <v>1</v>
      </c>
      <c r="X1827">
        <f t="shared" si="259"/>
        <v>0</v>
      </c>
      <c r="Y1827">
        <f t="shared" si="260"/>
        <v>0</v>
      </c>
    </row>
    <row r="1828" spans="1:25" x14ac:dyDescent="0.3">
      <c r="A1828" t="s">
        <v>3917</v>
      </c>
      <c r="B1828" t="s">
        <v>3918</v>
      </c>
      <c r="C1828" s="1">
        <v>45803</v>
      </c>
      <c r="D1828" s="3">
        <v>0.89436342592592588</v>
      </c>
      <c r="E1828">
        <f t="shared" si="261"/>
        <v>21</v>
      </c>
      <c r="F1828">
        <v>20</v>
      </c>
      <c r="G1828" t="s">
        <v>60</v>
      </c>
      <c r="H1828" t="s">
        <v>84</v>
      </c>
      <c r="I1828" t="s">
        <v>20</v>
      </c>
      <c r="J1828" t="s">
        <v>72</v>
      </c>
      <c r="K1828" t="s">
        <v>114</v>
      </c>
      <c r="L1828">
        <v>83.66</v>
      </c>
      <c r="M1828" t="s">
        <v>115</v>
      </c>
      <c r="N1828">
        <f t="shared" si="253"/>
        <v>0</v>
      </c>
      <c r="O1828" t="s">
        <v>34</v>
      </c>
      <c r="P1828" t="s">
        <v>3919</v>
      </c>
      <c r="Q1828">
        <v>0</v>
      </c>
      <c r="R1828">
        <v>251</v>
      </c>
      <c r="S1828">
        <f t="shared" si="254"/>
        <v>-1.2591918018892159</v>
      </c>
      <c r="T1828">
        <f t="shared" si="255"/>
        <v>0</v>
      </c>
      <c r="U1828">
        <f t="shared" si="256"/>
        <v>0</v>
      </c>
      <c r="V1828">
        <f t="shared" si="257"/>
        <v>1</v>
      </c>
      <c r="W1828">
        <f t="shared" si="258"/>
        <v>1</v>
      </c>
      <c r="X1828">
        <f t="shared" si="259"/>
        <v>0</v>
      </c>
      <c r="Y1828">
        <f t="shared" si="260"/>
        <v>0</v>
      </c>
    </row>
    <row r="1829" spans="1:25" x14ac:dyDescent="0.3">
      <c r="A1829" t="s">
        <v>5498</v>
      </c>
      <c r="B1829" t="s">
        <v>5499</v>
      </c>
      <c r="C1829" s="1">
        <v>45742</v>
      </c>
      <c r="D1829" s="3">
        <v>0.29795138888888889</v>
      </c>
      <c r="E1829">
        <f t="shared" si="261"/>
        <v>7</v>
      </c>
      <c r="F1829">
        <v>37</v>
      </c>
      <c r="G1829" t="s">
        <v>46</v>
      </c>
      <c r="H1829" t="s">
        <v>47</v>
      </c>
      <c r="I1829" t="s">
        <v>66</v>
      </c>
      <c r="J1829" t="s">
        <v>127</v>
      </c>
      <c r="K1829" t="s">
        <v>50</v>
      </c>
      <c r="L1829">
        <v>83.35</v>
      </c>
      <c r="M1829" t="s">
        <v>115</v>
      </c>
      <c r="N1829">
        <f t="shared" si="253"/>
        <v>0</v>
      </c>
      <c r="O1829" t="s">
        <v>51</v>
      </c>
      <c r="P1829" t="s">
        <v>5500</v>
      </c>
      <c r="Q1829">
        <v>0</v>
      </c>
      <c r="R1829">
        <v>156</v>
      </c>
      <c r="S1829">
        <f t="shared" si="254"/>
        <v>-1.2634835223268044</v>
      </c>
      <c r="T1829">
        <f t="shared" si="255"/>
        <v>0</v>
      </c>
      <c r="U1829">
        <f t="shared" si="256"/>
        <v>0</v>
      </c>
      <c r="V1829">
        <f t="shared" si="257"/>
        <v>1</v>
      </c>
      <c r="W1829">
        <f t="shared" si="258"/>
        <v>1</v>
      </c>
      <c r="X1829">
        <f t="shared" si="259"/>
        <v>0</v>
      </c>
      <c r="Y1829">
        <f t="shared" si="260"/>
        <v>0</v>
      </c>
    </row>
    <row r="1830" spans="1:25" x14ac:dyDescent="0.3">
      <c r="A1830" t="s">
        <v>863</v>
      </c>
      <c r="B1830" t="s">
        <v>864</v>
      </c>
      <c r="C1830" s="1">
        <v>45874</v>
      </c>
      <c r="D1830" s="3">
        <v>0.72560185185185189</v>
      </c>
      <c r="E1830">
        <f t="shared" si="261"/>
        <v>17</v>
      </c>
      <c r="F1830">
        <v>47</v>
      </c>
      <c r="G1830" t="s">
        <v>60</v>
      </c>
      <c r="H1830" t="s">
        <v>175</v>
      </c>
      <c r="I1830" t="s">
        <v>85</v>
      </c>
      <c r="J1830" t="s">
        <v>72</v>
      </c>
      <c r="K1830" t="s">
        <v>41</v>
      </c>
      <c r="L1830">
        <v>83.34</v>
      </c>
      <c r="M1830" t="s">
        <v>23</v>
      </c>
      <c r="N1830">
        <f t="shared" si="253"/>
        <v>0</v>
      </c>
      <c r="O1830" t="s">
        <v>24</v>
      </c>
      <c r="P1830" t="s">
        <v>865</v>
      </c>
      <c r="Q1830">
        <v>0</v>
      </c>
      <c r="R1830">
        <v>407</v>
      </c>
      <c r="S1830">
        <f t="shared" si="254"/>
        <v>-1.2636219649215652</v>
      </c>
      <c r="T1830">
        <f t="shared" si="255"/>
        <v>0</v>
      </c>
      <c r="U1830">
        <f t="shared" si="256"/>
        <v>0</v>
      </c>
      <c r="V1830">
        <f t="shared" si="257"/>
        <v>0</v>
      </c>
      <c r="W1830">
        <f t="shared" si="258"/>
        <v>0</v>
      </c>
      <c r="X1830">
        <f t="shared" si="259"/>
        <v>0</v>
      </c>
      <c r="Y1830">
        <f t="shared" si="260"/>
        <v>0</v>
      </c>
    </row>
    <row r="1831" spans="1:25" x14ac:dyDescent="0.3">
      <c r="A1831" t="s">
        <v>866</v>
      </c>
      <c r="B1831" t="s">
        <v>867</v>
      </c>
      <c r="C1831" s="1">
        <v>45869</v>
      </c>
      <c r="D1831" s="3">
        <v>0.3024189814814815</v>
      </c>
      <c r="E1831">
        <f t="shared" si="261"/>
        <v>7</v>
      </c>
      <c r="F1831">
        <v>59</v>
      </c>
      <c r="G1831" t="s">
        <v>18</v>
      </c>
      <c r="H1831" t="s">
        <v>232</v>
      </c>
      <c r="I1831" t="s">
        <v>71</v>
      </c>
      <c r="J1831" t="s">
        <v>56</v>
      </c>
      <c r="K1831" t="s">
        <v>32</v>
      </c>
      <c r="L1831">
        <v>83.25</v>
      </c>
      <c r="M1831" t="s">
        <v>115</v>
      </c>
      <c r="N1831">
        <f t="shared" si="253"/>
        <v>0</v>
      </c>
      <c r="O1831" t="s">
        <v>51</v>
      </c>
      <c r="P1831" t="s">
        <v>868</v>
      </c>
      <c r="Q1831">
        <v>0</v>
      </c>
      <c r="R1831">
        <v>184</v>
      </c>
      <c r="S1831">
        <f t="shared" si="254"/>
        <v>-1.2648679482744136</v>
      </c>
      <c r="T1831">
        <f t="shared" si="255"/>
        <v>0</v>
      </c>
      <c r="U1831">
        <f t="shared" si="256"/>
        <v>0</v>
      </c>
      <c r="V1831">
        <f t="shared" si="257"/>
        <v>1</v>
      </c>
      <c r="W1831">
        <f t="shared" si="258"/>
        <v>1</v>
      </c>
      <c r="X1831">
        <f t="shared" si="259"/>
        <v>0</v>
      </c>
      <c r="Y1831">
        <f t="shared" si="260"/>
        <v>0</v>
      </c>
    </row>
    <row r="1832" spans="1:25" x14ac:dyDescent="0.3">
      <c r="A1832" t="s">
        <v>1304</v>
      </c>
      <c r="B1832" t="s">
        <v>1305</v>
      </c>
      <c r="C1832" s="1">
        <v>45827</v>
      </c>
      <c r="D1832" s="3">
        <v>0.53182870370370372</v>
      </c>
      <c r="E1832">
        <f t="shared" si="261"/>
        <v>12</v>
      </c>
      <c r="F1832">
        <v>19</v>
      </c>
      <c r="G1832" t="s">
        <v>6479</v>
      </c>
      <c r="H1832" t="s">
        <v>29</v>
      </c>
      <c r="I1832" t="s">
        <v>30</v>
      </c>
      <c r="J1832" t="s">
        <v>132</v>
      </c>
      <c r="K1832" t="s">
        <v>95</v>
      </c>
      <c r="L1832">
        <v>83.08</v>
      </c>
      <c r="M1832" t="s">
        <v>33</v>
      </c>
      <c r="N1832">
        <f t="shared" si="253"/>
        <v>0</v>
      </c>
      <c r="O1832" t="s">
        <v>34</v>
      </c>
      <c r="P1832" t="s">
        <v>1306</v>
      </c>
      <c r="Q1832">
        <v>0</v>
      </c>
      <c r="R1832">
        <v>276</v>
      </c>
      <c r="S1832">
        <f t="shared" si="254"/>
        <v>-1.2672214723853494</v>
      </c>
      <c r="T1832">
        <f t="shared" si="255"/>
        <v>0</v>
      </c>
      <c r="U1832">
        <f t="shared" si="256"/>
        <v>0</v>
      </c>
      <c r="V1832">
        <f t="shared" si="257"/>
        <v>0</v>
      </c>
      <c r="W1832">
        <f t="shared" si="258"/>
        <v>0</v>
      </c>
      <c r="X1832">
        <f t="shared" si="259"/>
        <v>0</v>
      </c>
      <c r="Y1832">
        <f t="shared" si="260"/>
        <v>0</v>
      </c>
    </row>
    <row r="1833" spans="1:25" x14ac:dyDescent="0.3">
      <c r="A1833" t="s">
        <v>1928</v>
      </c>
      <c r="B1833" t="s">
        <v>1929</v>
      </c>
      <c r="C1833" s="1">
        <v>45736</v>
      </c>
      <c r="D1833" s="3">
        <v>0.12939814814814815</v>
      </c>
      <c r="E1833">
        <f t="shared" si="261"/>
        <v>3</v>
      </c>
      <c r="F1833">
        <v>27</v>
      </c>
      <c r="G1833" t="s">
        <v>46</v>
      </c>
      <c r="H1833" t="s">
        <v>19</v>
      </c>
      <c r="I1833" t="s">
        <v>71</v>
      </c>
      <c r="J1833" t="s">
        <v>94</v>
      </c>
      <c r="K1833" t="s">
        <v>41</v>
      </c>
      <c r="L1833">
        <v>83.04</v>
      </c>
      <c r="M1833" t="s">
        <v>115</v>
      </c>
      <c r="N1833">
        <f t="shared" si="253"/>
        <v>0</v>
      </c>
      <c r="O1833" t="s">
        <v>24</v>
      </c>
      <c r="P1833" t="s">
        <v>1930</v>
      </c>
      <c r="Q1833">
        <v>0</v>
      </c>
      <c r="R1833">
        <v>376</v>
      </c>
      <c r="S1833">
        <f t="shared" si="254"/>
        <v>-1.2677752427643929</v>
      </c>
      <c r="T1833">
        <f t="shared" si="255"/>
        <v>0</v>
      </c>
      <c r="U1833">
        <f t="shared" si="256"/>
        <v>1</v>
      </c>
      <c r="V1833">
        <f t="shared" si="257"/>
        <v>0</v>
      </c>
      <c r="W1833">
        <f t="shared" si="258"/>
        <v>2</v>
      </c>
      <c r="X1833">
        <f t="shared" si="259"/>
        <v>0</v>
      </c>
      <c r="Y1833">
        <f t="shared" si="260"/>
        <v>0</v>
      </c>
    </row>
    <row r="1834" spans="1:25" x14ac:dyDescent="0.3">
      <c r="A1834" t="s">
        <v>1460</v>
      </c>
      <c r="B1834" t="s">
        <v>1461</v>
      </c>
      <c r="C1834" s="1">
        <v>45787</v>
      </c>
      <c r="D1834" s="3">
        <v>0.81292824074074077</v>
      </c>
      <c r="E1834">
        <f t="shared" si="261"/>
        <v>19</v>
      </c>
      <c r="F1834">
        <v>22</v>
      </c>
      <c r="G1834" t="s">
        <v>28</v>
      </c>
      <c r="H1834" t="s">
        <v>175</v>
      </c>
      <c r="I1834" t="s">
        <v>105</v>
      </c>
      <c r="J1834" t="s">
        <v>94</v>
      </c>
      <c r="K1834" t="s">
        <v>32</v>
      </c>
      <c r="L1834">
        <v>83</v>
      </c>
      <c r="M1834" t="s">
        <v>33</v>
      </c>
      <c r="N1834">
        <f t="shared" si="253"/>
        <v>0</v>
      </c>
      <c r="O1834" t="s">
        <v>24</v>
      </c>
      <c r="P1834" t="s">
        <v>1462</v>
      </c>
      <c r="Q1834">
        <v>0</v>
      </c>
      <c r="R1834">
        <v>109</v>
      </c>
      <c r="S1834">
        <f t="shared" si="254"/>
        <v>-1.2683290131434368</v>
      </c>
      <c r="T1834">
        <f t="shared" si="255"/>
        <v>0</v>
      </c>
      <c r="U1834">
        <f t="shared" si="256"/>
        <v>0</v>
      </c>
      <c r="V1834">
        <f t="shared" si="257"/>
        <v>1</v>
      </c>
      <c r="W1834">
        <f t="shared" si="258"/>
        <v>1</v>
      </c>
      <c r="X1834">
        <f t="shared" si="259"/>
        <v>0</v>
      </c>
      <c r="Y1834">
        <f t="shared" si="260"/>
        <v>0</v>
      </c>
    </row>
    <row r="1835" spans="1:25" x14ac:dyDescent="0.3">
      <c r="A1835" t="s">
        <v>6473</v>
      </c>
      <c r="B1835" t="s">
        <v>6474</v>
      </c>
      <c r="C1835" s="1">
        <v>45814</v>
      </c>
      <c r="D1835" s="3">
        <v>0.29979166666666668</v>
      </c>
      <c r="E1835">
        <f t="shared" si="261"/>
        <v>7</v>
      </c>
      <c r="F1835" s="4">
        <v>41</v>
      </c>
      <c r="G1835" t="s">
        <v>46</v>
      </c>
      <c r="H1835" t="s">
        <v>80</v>
      </c>
      <c r="I1835" t="s">
        <v>39</v>
      </c>
      <c r="J1835" t="s">
        <v>127</v>
      </c>
      <c r="K1835" t="s">
        <v>50</v>
      </c>
      <c r="L1835">
        <v>82.72</v>
      </c>
      <c r="M1835" t="s">
        <v>23</v>
      </c>
      <c r="N1835">
        <f t="shared" si="253"/>
        <v>0</v>
      </c>
      <c r="O1835" t="s">
        <v>51</v>
      </c>
      <c r="P1835" t="s">
        <v>6475</v>
      </c>
      <c r="Q1835">
        <v>0</v>
      </c>
      <c r="R1835">
        <v>293</v>
      </c>
      <c r="S1835">
        <f t="shared" si="254"/>
        <v>-1.2722054057967427</v>
      </c>
      <c r="T1835">
        <f t="shared" si="255"/>
        <v>0</v>
      </c>
      <c r="U1835">
        <f t="shared" si="256"/>
        <v>0</v>
      </c>
      <c r="V1835">
        <f t="shared" si="257"/>
        <v>0</v>
      </c>
      <c r="W1835">
        <f t="shared" si="258"/>
        <v>0</v>
      </c>
      <c r="X1835">
        <f t="shared" si="259"/>
        <v>0</v>
      </c>
      <c r="Y1835">
        <f t="shared" si="260"/>
        <v>0</v>
      </c>
    </row>
    <row r="1836" spans="1:25" x14ac:dyDescent="0.3">
      <c r="A1836" t="s">
        <v>1727</v>
      </c>
      <c r="B1836" t="s">
        <v>1728</v>
      </c>
      <c r="C1836" s="1">
        <v>45779</v>
      </c>
      <c r="D1836" s="3">
        <v>0.86684027777777772</v>
      </c>
      <c r="E1836">
        <f t="shared" si="261"/>
        <v>20</v>
      </c>
      <c r="F1836">
        <v>53</v>
      </c>
      <c r="G1836" t="s">
        <v>46</v>
      </c>
      <c r="H1836" t="s">
        <v>189</v>
      </c>
      <c r="I1836" t="s">
        <v>110</v>
      </c>
      <c r="J1836" t="s">
        <v>76</v>
      </c>
      <c r="K1836" t="s">
        <v>50</v>
      </c>
      <c r="L1836">
        <v>82.68</v>
      </c>
      <c r="M1836" t="s">
        <v>6479</v>
      </c>
      <c r="N1836">
        <f t="shared" si="253"/>
        <v>1</v>
      </c>
      <c r="O1836" t="s">
        <v>51</v>
      </c>
      <c r="P1836" t="s">
        <v>1729</v>
      </c>
      <c r="Q1836">
        <v>0</v>
      </c>
      <c r="R1836">
        <v>121</v>
      </c>
      <c r="S1836">
        <f t="shared" si="254"/>
        <v>-1.2727591761757862</v>
      </c>
      <c r="T1836">
        <f t="shared" si="255"/>
        <v>0</v>
      </c>
      <c r="U1836">
        <f t="shared" si="256"/>
        <v>0</v>
      </c>
      <c r="V1836">
        <f t="shared" si="257"/>
        <v>1</v>
      </c>
      <c r="W1836">
        <f t="shared" si="258"/>
        <v>3</v>
      </c>
      <c r="X1836">
        <f t="shared" si="259"/>
        <v>0</v>
      </c>
      <c r="Y1836">
        <f t="shared" si="260"/>
        <v>1</v>
      </c>
    </row>
    <row r="1837" spans="1:25" x14ac:dyDescent="0.3">
      <c r="A1837" t="s">
        <v>2720</v>
      </c>
      <c r="B1837" t="s">
        <v>2721</v>
      </c>
      <c r="C1837" s="1">
        <v>45749</v>
      </c>
      <c r="D1837" s="3">
        <v>0.84589120370370374</v>
      </c>
      <c r="E1837">
        <f t="shared" si="261"/>
        <v>20</v>
      </c>
      <c r="F1837">
        <v>64</v>
      </c>
      <c r="G1837" t="s">
        <v>46</v>
      </c>
      <c r="H1837" t="s">
        <v>80</v>
      </c>
      <c r="I1837" t="s">
        <v>30</v>
      </c>
      <c r="J1837" t="s">
        <v>56</v>
      </c>
      <c r="K1837" t="s">
        <v>50</v>
      </c>
      <c r="L1837">
        <v>82.66</v>
      </c>
      <c r="M1837" t="s">
        <v>42</v>
      </c>
      <c r="N1837">
        <f t="shared" si="253"/>
        <v>0</v>
      </c>
      <c r="O1837" t="s">
        <v>34</v>
      </c>
      <c r="P1837" t="s">
        <v>2722</v>
      </c>
      <c r="Q1837">
        <v>0</v>
      </c>
      <c r="R1837">
        <v>349</v>
      </c>
      <c r="S1837">
        <f t="shared" si="254"/>
        <v>-1.2730360613653082</v>
      </c>
      <c r="T1837">
        <f t="shared" si="255"/>
        <v>0</v>
      </c>
      <c r="U1837">
        <f t="shared" si="256"/>
        <v>0</v>
      </c>
      <c r="V1837">
        <f t="shared" si="257"/>
        <v>0</v>
      </c>
      <c r="W1837">
        <f t="shared" si="258"/>
        <v>0</v>
      </c>
      <c r="X1837">
        <f t="shared" si="259"/>
        <v>0</v>
      </c>
      <c r="Y1837">
        <f t="shared" si="260"/>
        <v>0</v>
      </c>
    </row>
    <row r="1838" spans="1:25" x14ac:dyDescent="0.3">
      <c r="A1838" t="s">
        <v>4244</v>
      </c>
      <c r="B1838" t="s">
        <v>4245</v>
      </c>
      <c r="C1838" s="1">
        <v>45809</v>
      </c>
      <c r="D1838" s="3">
        <v>0.18622685185185187</v>
      </c>
      <c r="E1838">
        <f t="shared" si="261"/>
        <v>4</v>
      </c>
      <c r="F1838">
        <v>44</v>
      </c>
      <c r="G1838" t="s">
        <v>46</v>
      </c>
      <c r="H1838" t="s">
        <v>80</v>
      </c>
      <c r="I1838" t="s">
        <v>66</v>
      </c>
      <c r="J1838" t="s">
        <v>49</v>
      </c>
      <c r="K1838" t="s">
        <v>101</v>
      </c>
      <c r="L1838">
        <v>82.66</v>
      </c>
      <c r="M1838" t="s">
        <v>6479</v>
      </c>
      <c r="N1838">
        <f t="shared" si="253"/>
        <v>1</v>
      </c>
      <c r="O1838" t="s">
        <v>51</v>
      </c>
      <c r="P1838" t="s">
        <v>4246</v>
      </c>
      <c r="Q1838">
        <v>0</v>
      </c>
      <c r="R1838">
        <v>259</v>
      </c>
      <c r="S1838">
        <f t="shared" si="254"/>
        <v>-1.2730360613653082</v>
      </c>
      <c r="T1838">
        <f t="shared" si="255"/>
        <v>0</v>
      </c>
      <c r="U1838">
        <f t="shared" si="256"/>
        <v>1</v>
      </c>
      <c r="V1838">
        <f t="shared" si="257"/>
        <v>1</v>
      </c>
      <c r="W1838">
        <f t="shared" si="258"/>
        <v>5</v>
      </c>
      <c r="X1838">
        <f t="shared" si="259"/>
        <v>1</v>
      </c>
      <c r="Y1838">
        <f t="shared" si="260"/>
        <v>1</v>
      </c>
    </row>
    <row r="1839" spans="1:25" x14ac:dyDescent="0.3">
      <c r="A1839" t="s">
        <v>3065</v>
      </c>
      <c r="B1839" t="s">
        <v>3066</v>
      </c>
      <c r="C1839" s="1">
        <v>45738</v>
      </c>
      <c r="D1839" s="3">
        <v>7.7708333333333338E-2</v>
      </c>
      <c r="E1839">
        <f t="shared" si="261"/>
        <v>1</v>
      </c>
      <c r="F1839">
        <v>23</v>
      </c>
      <c r="G1839" t="s">
        <v>46</v>
      </c>
      <c r="H1839" t="s">
        <v>312</v>
      </c>
      <c r="I1839" t="s">
        <v>119</v>
      </c>
      <c r="J1839" t="s">
        <v>127</v>
      </c>
      <c r="K1839" t="s">
        <v>32</v>
      </c>
      <c r="L1839">
        <v>82.65</v>
      </c>
      <c r="M1839" t="s">
        <v>42</v>
      </c>
      <c r="N1839">
        <f t="shared" si="253"/>
        <v>0</v>
      </c>
      <c r="O1839" t="s">
        <v>51</v>
      </c>
      <c r="P1839" t="s">
        <v>3067</v>
      </c>
      <c r="Q1839">
        <v>0</v>
      </c>
      <c r="R1839">
        <v>218</v>
      </c>
      <c r="S1839">
        <f t="shared" si="254"/>
        <v>-1.273174503960069</v>
      </c>
      <c r="T1839">
        <f t="shared" si="255"/>
        <v>0</v>
      </c>
      <c r="U1839">
        <f t="shared" si="256"/>
        <v>1</v>
      </c>
      <c r="V1839">
        <f t="shared" si="257"/>
        <v>1</v>
      </c>
      <c r="W1839">
        <f t="shared" si="258"/>
        <v>3</v>
      </c>
      <c r="X1839">
        <f t="shared" si="259"/>
        <v>0</v>
      </c>
      <c r="Y1839">
        <f t="shared" si="260"/>
        <v>0</v>
      </c>
    </row>
    <row r="1840" spans="1:25" x14ac:dyDescent="0.3">
      <c r="A1840" t="s">
        <v>4511</v>
      </c>
      <c r="B1840" t="s">
        <v>4512</v>
      </c>
      <c r="C1840" s="1">
        <v>45835</v>
      </c>
      <c r="D1840" s="3">
        <v>0.79431712962962964</v>
      </c>
      <c r="E1840">
        <f t="shared" si="261"/>
        <v>19</v>
      </c>
      <c r="F1840">
        <v>32</v>
      </c>
      <c r="G1840" t="s">
        <v>60</v>
      </c>
      <c r="H1840" t="s">
        <v>142</v>
      </c>
      <c r="I1840" t="s">
        <v>39</v>
      </c>
      <c r="J1840" t="s">
        <v>21</v>
      </c>
      <c r="K1840" t="s">
        <v>32</v>
      </c>
      <c r="L1840">
        <v>82.58</v>
      </c>
      <c r="M1840" t="s">
        <v>42</v>
      </c>
      <c r="N1840">
        <f t="shared" si="253"/>
        <v>0</v>
      </c>
      <c r="O1840" t="s">
        <v>51</v>
      </c>
      <c r="P1840" t="s">
        <v>4513</v>
      </c>
      <c r="Q1840">
        <v>0</v>
      </c>
      <c r="R1840">
        <v>302</v>
      </c>
      <c r="S1840">
        <f t="shared" si="254"/>
        <v>-1.2741436021233956</v>
      </c>
      <c r="T1840">
        <f t="shared" si="255"/>
        <v>0</v>
      </c>
      <c r="U1840">
        <f t="shared" si="256"/>
        <v>0</v>
      </c>
      <c r="V1840">
        <f t="shared" si="257"/>
        <v>0</v>
      </c>
      <c r="W1840">
        <f t="shared" si="258"/>
        <v>0</v>
      </c>
      <c r="X1840">
        <f t="shared" si="259"/>
        <v>0</v>
      </c>
      <c r="Y1840">
        <f t="shared" si="260"/>
        <v>0</v>
      </c>
    </row>
    <row r="1841" spans="1:25" x14ac:dyDescent="0.3">
      <c r="A1841" t="s">
        <v>3956</v>
      </c>
      <c r="B1841" t="s">
        <v>3957</v>
      </c>
      <c r="C1841" s="1">
        <v>45864</v>
      </c>
      <c r="D1841" s="3">
        <v>0.41763888888888889</v>
      </c>
      <c r="E1841">
        <f t="shared" si="261"/>
        <v>10</v>
      </c>
      <c r="F1841">
        <v>49</v>
      </c>
      <c r="G1841" t="s">
        <v>6479</v>
      </c>
      <c r="H1841" t="s">
        <v>29</v>
      </c>
      <c r="I1841" t="s">
        <v>66</v>
      </c>
      <c r="J1841" t="s">
        <v>76</v>
      </c>
      <c r="K1841" t="s">
        <v>101</v>
      </c>
      <c r="L1841">
        <v>82.49</v>
      </c>
      <c r="M1841" t="s">
        <v>33</v>
      </c>
      <c r="N1841">
        <f t="shared" si="253"/>
        <v>0</v>
      </c>
      <c r="O1841" t="s">
        <v>51</v>
      </c>
      <c r="P1841" t="s">
        <v>3958</v>
      </c>
      <c r="Q1841">
        <v>0</v>
      </c>
      <c r="R1841">
        <v>449</v>
      </c>
      <c r="S1841">
        <f t="shared" si="254"/>
        <v>-1.275389585476244</v>
      </c>
      <c r="T1841">
        <f t="shared" si="255"/>
        <v>0</v>
      </c>
      <c r="U1841">
        <f t="shared" si="256"/>
        <v>0</v>
      </c>
      <c r="V1841">
        <f t="shared" si="257"/>
        <v>0</v>
      </c>
      <c r="W1841">
        <f t="shared" si="258"/>
        <v>0</v>
      </c>
      <c r="X1841">
        <f t="shared" si="259"/>
        <v>0</v>
      </c>
      <c r="Y1841">
        <f t="shared" si="260"/>
        <v>0</v>
      </c>
    </row>
    <row r="1842" spans="1:25" x14ac:dyDescent="0.3">
      <c r="A1842" t="s">
        <v>6089</v>
      </c>
      <c r="B1842" t="s">
        <v>6090</v>
      </c>
      <c r="C1842" s="1">
        <v>45792</v>
      </c>
      <c r="D1842" s="3">
        <v>0.98649305555555555</v>
      </c>
      <c r="E1842">
        <f t="shared" si="261"/>
        <v>23</v>
      </c>
      <c r="F1842">
        <v>35</v>
      </c>
      <c r="G1842" t="s">
        <v>28</v>
      </c>
      <c r="H1842" t="s">
        <v>312</v>
      </c>
      <c r="I1842" t="s">
        <v>20</v>
      </c>
      <c r="J1842" t="s">
        <v>31</v>
      </c>
      <c r="K1842" t="s">
        <v>95</v>
      </c>
      <c r="L1842">
        <v>82.35</v>
      </c>
      <c r="M1842" t="s">
        <v>23</v>
      </c>
      <c r="N1842">
        <f t="shared" si="253"/>
        <v>0</v>
      </c>
      <c r="O1842" t="s">
        <v>86</v>
      </c>
      <c r="P1842" t="s">
        <v>6091</v>
      </c>
      <c r="Q1842">
        <v>0</v>
      </c>
      <c r="R1842">
        <v>330</v>
      </c>
      <c r="S1842">
        <f t="shared" si="254"/>
        <v>-1.277327781802897</v>
      </c>
      <c r="T1842">
        <f t="shared" si="255"/>
        <v>0</v>
      </c>
      <c r="U1842">
        <f t="shared" si="256"/>
        <v>0</v>
      </c>
      <c r="V1842">
        <f t="shared" si="257"/>
        <v>0</v>
      </c>
      <c r="W1842">
        <f t="shared" si="258"/>
        <v>0</v>
      </c>
      <c r="X1842">
        <f t="shared" si="259"/>
        <v>0</v>
      </c>
      <c r="Y1842">
        <f t="shared" si="260"/>
        <v>0</v>
      </c>
    </row>
    <row r="1843" spans="1:25" x14ac:dyDescent="0.3">
      <c r="A1843" t="s">
        <v>3569</v>
      </c>
      <c r="B1843" t="s">
        <v>3570</v>
      </c>
      <c r="C1843" s="1">
        <v>45868</v>
      </c>
      <c r="D1843" s="3">
        <v>0.29190972222222222</v>
      </c>
      <c r="E1843">
        <f t="shared" si="261"/>
        <v>7</v>
      </c>
      <c r="F1843">
        <v>60</v>
      </c>
      <c r="G1843" t="s">
        <v>46</v>
      </c>
      <c r="H1843" t="s">
        <v>55</v>
      </c>
      <c r="I1843" t="s">
        <v>71</v>
      </c>
      <c r="J1843" t="s">
        <v>49</v>
      </c>
      <c r="K1843" t="s">
        <v>168</v>
      </c>
      <c r="L1843">
        <v>82.31</v>
      </c>
      <c r="M1843" t="s">
        <v>33</v>
      </c>
      <c r="N1843">
        <f t="shared" si="253"/>
        <v>0</v>
      </c>
      <c r="O1843" t="s">
        <v>34</v>
      </c>
      <c r="P1843" t="s">
        <v>3571</v>
      </c>
      <c r="Q1843">
        <v>0</v>
      </c>
      <c r="R1843">
        <v>93</v>
      </c>
      <c r="S1843">
        <f t="shared" si="254"/>
        <v>-1.2778815521819404</v>
      </c>
      <c r="T1843">
        <f t="shared" si="255"/>
        <v>0</v>
      </c>
      <c r="U1843">
        <f t="shared" si="256"/>
        <v>0</v>
      </c>
      <c r="V1843">
        <f t="shared" si="257"/>
        <v>1</v>
      </c>
      <c r="W1843">
        <f t="shared" si="258"/>
        <v>1</v>
      </c>
      <c r="X1843">
        <f t="shared" si="259"/>
        <v>0</v>
      </c>
      <c r="Y1843">
        <f t="shared" si="260"/>
        <v>0</v>
      </c>
    </row>
    <row r="1844" spans="1:25" x14ac:dyDescent="0.3">
      <c r="A1844" s="2" t="s">
        <v>5762</v>
      </c>
      <c r="B1844" t="s">
        <v>5763</v>
      </c>
      <c r="C1844" s="1">
        <v>45875</v>
      </c>
      <c r="D1844" s="3">
        <v>0.74035879629629631</v>
      </c>
      <c r="E1844">
        <f t="shared" si="261"/>
        <v>17</v>
      </c>
      <c r="F1844">
        <v>50</v>
      </c>
      <c r="G1844" t="s">
        <v>60</v>
      </c>
      <c r="H1844" t="s">
        <v>80</v>
      </c>
      <c r="I1844" t="s">
        <v>48</v>
      </c>
      <c r="J1844" t="s">
        <v>127</v>
      </c>
      <c r="K1844" t="s">
        <v>114</v>
      </c>
      <c r="L1844">
        <v>82.15</v>
      </c>
      <c r="M1844" t="s">
        <v>33</v>
      </c>
      <c r="N1844">
        <f t="shared" si="253"/>
        <v>0</v>
      </c>
      <c r="O1844" t="s">
        <v>24</v>
      </c>
      <c r="P1844" t="s">
        <v>5764</v>
      </c>
      <c r="Q1844">
        <v>0</v>
      </c>
      <c r="R1844">
        <v>203</v>
      </c>
      <c r="S1844">
        <f t="shared" si="254"/>
        <v>-1.2800966336981152</v>
      </c>
      <c r="T1844">
        <f t="shared" si="255"/>
        <v>0</v>
      </c>
      <c r="U1844">
        <f t="shared" si="256"/>
        <v>0</v>
      </c>
      <c r="V1844">
        <f t="shared" si="257"/>
        <v>1</v>
      </c>
      <c r="W1844">
        <f t="shared" si="258"/>
        <v>1</v>
      </c>
      <c r="X1844">
        <f t="shared" si="259"/>
        <v>0</v>
      </c>
      <c r="Y1844">
        <f t="shared" si="260"/>
        <v>0</v>
      </c>
    </row>
    <row r="1845" spans="1:25" x14ac:dyDescent="0.3">
      <c r="A1845" t="s">
        <v>3590</v>
      </c>
      <c r="B1845" t="s">
        <v>3591</v>
      </c>
      <c r="C1845" s="1">
        <v>45786</v>
      </c>
      <c r="D1845" s="3">
        <v>0.54601851851851857</v>
      </c>
      <c r="E1845">
        <f t="shared" si="261"/>
        <v>13</v>
      </c>
      <c r="F1845">
        <v>54</v>
      </c>
      <c r="G1845" t="s">
        <v>28</v>
      </c>
      <c r="H1845" t="s">
        <v>29</v>
      </c>
      <c r="I1845" t="s">
        <v>105</v>
      </c>
      <c r="J1845" t="s">
        <v>127</v>
      </c>
      <c r="K1845" t="s">
        <v>101</v>
      </c>
      <c r="L1845">
        <v>82.13</v>
      </c>
      <c r="M1845" t="s">
        <v>23</v>
      </c>
      <c r="N1845">
        <f t="shared" si="253"/>
        <v>0</v>
      </c>
      <c r="O1845" t="s">
        <v>51</v>
      </c>
      <c r="P1845" t="s">
        <v>3592</v>
      </c>
      <c r="Q1845">
        <v>0</v>
      </c>
      <c r="R1845">
        <v>265</v>
      </c>
      <c r="S1845">
        <f t="shared" si="254"/>
        <v>-1.2803735188876373</v>
      </c>
      <c r="T1845">
        <f t="shared" si="255"/>
        <v>0</v>
      </c>
      <c r="U1845">
        <f t="shared" si="256"/>
        <v>0</v>
      </c>
      <c r="V1845">
        <f t="shared" si="257"/>
        <v>1</v>
      </c>
      <c r="W1845">
        <f t="shared" si="258"/>
        <v>1</v>
      </c>
      <c r="X1845">
        <f t="shared" si="259"/>
        <v>0</v>
      </c>
      <c r="Y1845">
        <f t="shared" si="260"/>
        <v>0</v>
      </c>
    </row>
    <row r="1846" spans="1:25" x14ac:dyDescent="0.3">
      <c r="A1846" t="s">
        <v>5948</v>
      </c>
      <c r="B1846" t="s">
        <v>5949</v>
      </c>
      <c r="C1846" s="1">
        <v>45787</v>
      </c>
      <c r="D1846" s="3">
        <v>0.10677083333333333</v>
      </c>
      <c r="E1846">
        <f t="shared" si="261"/>
        <v>2</v>
      </c>
      <c r="F1846">
        <v>25</v>
      </c>
      <c r="G1846" t="s">
        <v>99</v>
      </c>
      <c r="H1846" t="s">
        <v>189</v>
      </c>
      <c r="I1846" t="s">
        <v>20</v>
      </c>
      <c r="J1846" t="s">
        <v>127</v>
      </c>
      <c r="K1846" t="s">
        <v>168</v>
      </c>
      <c r="L1846">
        <v>82.09</v>
      </c>
      <c r="M1846" t="s">
        <v>115</v>
      </c>
      <c r="N1846">
        <f t="shared" si="253"/>
        <v>0</v>
      </c>
      <c r="O1846" t="s">
        <v>51</v>
      </c>
      <c r="P1846" t="s">
        <v>5950</v>
      </c>
      <c r="Q1846">
        <v>0</v>
      </c>
      <c r="R1846">
        <v>282</v>
      </c>
      <c r="S1846">
        <f t="shared" si="254"/>
        <v>-1.2809272892666808</v>
      </c>
      <c r="T1846">
        <f t="shared" si="255"/>
        <v>0</v>
      </c>
      <c r="U1846">
        <f t="shared" si="256"/>
        <v>1</v>
      </c>
      <c r="V1846">
        <f t="shared" si="257"/>
        <v>0</v>
      </c>
      <c r="W1846">
        <f t="shared" si="258"/>
        <v>2</v>
      </c>
      <c r="X1846">
        <f t="shared" si="259"/>
        <v>0</v>
      </c>
      <c r="Y1846">
        <f t="shared" si="260"/>
        <v>0</v>
      </c>
    </row>
    <row r="1847" spans="1:25" x14ac:dyDescent="0.3">
      <c r="A1847" t="s">
        <v>842</v>
      </c>
      <c r="B1847" t="s">
        <v>843</v>
      </c>
      <c r="C1847" s="1">
        <v>45870</v>
      </c>
      <c r="D1847" s="3">
        <v>0.71436342592592594</v>
      </c>
      <c r="E1847">
        <f t="shared" si="261"/>
        <v>17</v>
      </c>
      <c r="F1847">
        <v>57</v>
      </c>
      <c r="G1847" t="s">
        <v>46</v>
      </c>
      <c r="H1847" t="s">
        <v>61</v>
      </c>
      <c r="I1847" t="s">
        <v>20</v>
      </c>
      <c r="J1847" t="s">
        <v>21</v>
      </c>
      <c r="K1847" t="s">
        <v>95</v>
      </c>
      <c r="L1847">
        <v>82.07</v>
      </c>
      <c r="M1847" t="s">
        <v>42</v>
      </c>
      <c r="N1847">
        <f t="shared" si="253"/>
        <v>0</v>
      </c>
      <c r="O1847" t="s">
        <v>86</v>
      </c>
      <c r="P1847" t="s">
        <v>844</v>
      </c>
      <c r="Q1847">
        <v>0</v>
      </c>
      <c r="R1847">
        <v>170</v>
      </c>
      <c r="S1847">
        <f t="shared" si="254"/>
        <v>-1.2812041744562028</v>
      </c>
      <c r="T1847">
        <f t="shared" si="255"/>
        <v>0</v>
      </c>
      <c r="U1847">
        <f t="shared" si="256"/>
        <v>0</v>
      </c>
      <c r="V1847">
        <f t="shared" si="257"/>
        <v>1</v>
      </c>
      <c r="W1847">
        <f t="shared" si="258"/>
        <v>1</v>
      </c>
      <c r="X1847">
        <f t="shared" si="259"/>
        <v>0</v>
      </c>
      <c r="Y1847">
        <f t="shared" si="260"/>
        <v>0</v>
      </c>
    </row>
    <row r="1848" spans="1:25" x14ac:dyDescent="0.3">
      <c r="A1848" t="s">
        <v>3494</v>
      </c>
      <c r="B1848" t="s">
        <v>3495</v>
      </c>
      <c r="C1848" s="1">
        <v>45827</v>
      </c>
      <c r="D1848" s="3">
        <v>0.66285879629629629</v>
      </c>
      <c r="E1848">
        <f t="shared" si="261"/>
        <v>15</v>
      </c>
      <c r="F1848">
        <v>43</v>
      </c>
      <c r="G1848" t="s">
        <v>60</v>
      </c>
      <c r="H1848" t="s">
        <v>19</v>
      </c>
      <c r="I1848" t="s">
        <v>66</v>
      </c>
      <c r="J1848" t="s">
        <v>127</v>
      </c>
      <c r="K1848" t="s">
        <v>62</v>
      </c>
      <c r="L1848">
        <v>81.95</v>
      </c>
      <c r="M1848" t="s">
        <v>42</v>
      </c>
      <c r="N1848">
        <f t="shared" si="253"/>
        <v>0</v>
      </c>
      <c r="O1848" t="s">
        <v>86</v>
      </c>
      <c r="P1848" t="s">
        <v>3496</v>
      </c>
      <c r="Q1848">
        <v>0</v>
      </c>
      <c r="R1848">
        <v>109</v>
      </c>
      <c r="S1848">
        <f t="shared" si="254"/>
        <v>-1.2828654855933339</v>
      </c>
      <c r="T1848">
        <f t="shared" si="255"/>
        <v>0</v>
      </c>
      <c r="U1848">
        <f t="shared" si="256"/>
        <v>0</v>
      </c>
      <c r="V1848">
        <f t="shared" si="257"/>
        <v>1</v>
      </c>
      <c r="W1848">
        <f t="shared" si="258"/>
        <v>1</v>
      </c>
      <c r="X1848">
        <f t="shared" si="259"/>
        <v>0</v>
      </c>
      <c r="Y1848">
        <f t="shared" si="260"/>
        <v>0</v>
      </c>
    </row>
    <row r="1849" spans="1:25" x14ac:dyDescent="0.3">
      <c r="A1849" t="s">
        <v>5414</v>
      </c>
      <c r="B1849" t="s">
        <v>5415</v>
      </c>
      <c r="C1849" s="1">
        <v>45820</v>
      </c>
      <c r="D1849" s="3">
        <v>0.95297453703703705</v>
      </c>
      <c r="E1849">
        <f t="shared" si="261"/>
        <v>22</v>
      </c>
      <c r="F1849" s="4">
        <v>41</v>
      </c>
      <c r="G1849" t="s">
        <v>46</v>
      </c>
      <c r="H1849" t="s">
        <v>131</v>
      </c>
      <c r="I1849" t="s">
        <v>110</v>
      </c>
      <c r="J1849" t="s">
        <v>21</v>
      </c>
      <c r="K1849" t="s">
        <v>50</v>
      </c>
      <c r="L1849">
        <v>81.94</v>
      </c>
      <c r="M1849" t="s">
        <v>42</v>
      </c>
      <c r="N1849">
        <f t="shared" si="253"/>
        <v>0</v>
      </c>
      <c r="O1849" t="s">
        <v>51</v>
      </c>
      <c r="P1849" t="s">
        <v>5416</v>
      </c>
      <c r="Q1849">
        <v>0</v>
      </c>
      <c r="R1849">
        <v>84</v>
      </c>
      <c r="S1849">
        <f t="shared" si="254"/>
        <v>-1.2830039281880947</v>
      </c>
      <c r="T1849">
        <f t="shared" si="255"/>
        <v>0</v>
      </c>
      <c r="U1849">
        <f t="shared" si="256"/>
        <v>0</v>
      </c>
      <c r="V1849">
        <f t="shared" si="257"/>
        <v>1</v>
      </c>
      <c r="W1849">
        <f t="shared" si="258"/>
        <v>1</v>
      </c>
      <c r="X1849">
        <f t="shared" si="259"/>
        <v>0</v>
      </c>
      <c r="Y1849">
        <f t="shared" si="260"/>
        <v>0</v>
      </c>
    </row>
    <row r="1850" spans="1:25" x14ac:dyDescent="0.3">
      <c r="A1850" t="s">
        <v>4784</v>
      </c>
      <c r="B1850" t="s">
        <v>4785</v>
      </c>
      <c r="C1850" s="1">
        <v>45759</v>
      </c>
      <c r="D1850" s="3">
        <v>0.63837962962962957</v>
      </c>
      <c r="E1850">
        <f t="shared" si="261"/>
        <v>15</v>
      </c>
      <c r="F1850">
        <v>21</v>
      </c>
      <c r="G1850" t="s">
        <v>60</v>
      </c>
      <c r="H1850" t="s">
        <v>100</v>
      </c>
      <c r="I1850" t="s">
        <v>48</v>
      </c>
      <c r="J1850" t="s">
        <v>21</v>
      </c>
      <c r="K1850" t="s">
        <v>22</v>
      </c>
      <c r="L1850">
        <v>81.84</v>
      </c>
      <c r="M1850" t="s">
        <v>23</v>
      </c>
      <c r="N1850">
        <f t="shared" si="253"/>
        <v>0</v>
      </c>
      <c r="O1850" t="s">
        <v>24</v>
      </c>
      <c r="P1850" t="s">
        <v>4786</v>
      </c>
      <c r="Q1850">
        <v>0</v>
      </c>
      <c r="R1850">
        <v>215</v>
      </c>
      <c r="S1850">
        <f t="shared" si="254"/>
        <v>-1.284388354135704</v>
      </c>
      <c r="T1850">
        <f t="shared" si="255"/>
        <v>0</v>
      </c>
      <c r="U1850">
        <f t="shared" si="256"/>
        <v>0</v>
      </c>
      <c r="V1850">
        <f t="shared" si="257"/>
        <v>1</v>
      </c>
      <c r="W1850">
        <f t="shared" si="258"/>
        <v>1</v>
      </c>
      <c r="X1850">
        <f t="shared" si="259"/>
        <v>0</v>
      </c>
      <c r="Y1850">
        <f t="shared" si="260"/>
        <v>0</v>
      </c>
    </row>
    <row r="1851" spans="1:25" x14ac:dyDescent="0.3">
      <c r="A1851" t="s">
        <v>2834</v>
      </c>
      <c r="B1851" t="s">
        <v>2835</v>
      </c>
      <c r="C1851" s="1">
        <v>45766</v>
      </c>
      <c r="D1851" s="3">
        <v>3.5231481481481482E-2</v>
      </c>
      <c r="E1851">
        <f t="shared" si="261"/>
        <v>0</v>
      </c>
      <c r="F1851">
        <v>54</v>
      </c>
      <c r="G1851" t="s">
        <v>60</v>
      </c>
      <c r="H1851" t="s">
        <v>185</v>
      </c>
      <c r="I1851" t="s">
        <v>105</v>
      </c>
      <c r="J1851" t="s">
        <v>21</v>
      </c>
      <c r="K1851" t="s">
        <v>22</v>
      </c>
      <c r="L1851">
        <v>81.83</v>
      </c>
      <c r="M1851" t="s">
        <v>23</v>
      </c>
      <c r="N1851">
        <f t="shared" si="253"/>
        <v>0</v>
      </c>
      <c r="O1851" t="s">
        <v>86</v>
      </c>
      <c r="P1851" t="s">
        <v>2836</v>
      </c>
      <c r="Q1851">
        <v>0</v>
      </c>
      <c r="R1851">
        <v>398</v>
      </c>
      <c r="S1851">
        <f t="shared" si="254"/>
        <v>-1.284526796730465</v>
      </c>
      <c r="T1851">
        <f t="shared" si="255"/>
        <v>0</v>
      </c>
      <c r="U1851">
        <f t="shared" si="256"/>
        <v>1</v>
      </c>
      <c r="V1851">
        <f t="shared" si="257"/>
        <v>0</v>
      </c>
      <c r="W1851">
        <f t="shared" si="258"/>
        <v>2</v>
      </c>
      <c r="X1851">
        <f t="shared" si="259"/>
        <v>0</v>
      </c>
      <c r="Y1851">
        <f t="shared" si="260"/>
        <v>0</v>
      </c>
    </row>
    <row r="1852" spans="1:25" x14ac:dyDescent="0.3">
      <c r="A1852" t="s">
        <v>425</v>
      </c>
      <c r="B1852" t="s">
        <v>426</v>
      </c>
      <c r="C1852" s="1">
        <v>45738</v>
      </c>
      <c r="D1852" s="3">
        <v>0.70384259259259263</v>
      </c>
      <c r="E1852">
        <f t="shared" si="261"/>
        <v>16</v>
      </c>
      <c r="F1852">
        <v>26</v>
      </c>
      <c r="G1852" t="s">
        <v>60</v>
      </c>
      <c r="H1852" t="s">
        <v>312</v>
      </c>
      <c r="I1852" t="s">
        <v>110</v>
      </c>
      <c r="J1852" t="s">
        <v>76</v>
      </c>
      <c r="K1852" t="s">
        <v>168</v>
      </c>
      <c r="L1852">
        <v>81.819999999999993</v>
      </c>
      <c r="M1852" t="s">
        <v>33</v>
      </c>
      <c r="N1852">
        <f t="shared" si="253"/>
        <v>0</v>
      </c>
      <c r="O1852" t="s">
        <v>24</v>
      </c>
      <c r="P1852" t="s">
        <v>427</v>
      </c>
      <c r="Q1852">
        <v>0</v>
      </c>
      <c r="R1852">
        <v>323</v>
      </c>
      <c r="S1852">
        <f t="shared" si="254"/>
        <v>-1.284665239325226</v>
      </c>
      <c r="T1852">
        <f t="shared" si="255"/>
        <v>0</v>
      </c>
      <c r="U1852">
        <f t="shared" si="256"/>
        <v>0</v>
      </c>
      <c r="V1852">
        <f t="shared" si="257"/>
        <v>0</v>
      </c>
      <c r="W1852">
        <f t="shared" si="258"/>
        <v>0</v>
      </c>
      <c r="X1852">
        <f t="shared" si="259"/>
        <v>0</v>
      </c>
      <c r="Y1852">
        <f t="shared" si="260"/>
        <v>0</v>
      </c>
    </row>
    <row r="1853" spans="1:25" x14ac:dyDescent="0.3">
      <c r="A1853" t="s">
        <v>2954</v>
      </c>
      <c r="B1853" t="s">
        <v>2955</v>
      </c>
      <c r="C1853" s="1">
        <v>45769</v>
      </c>
      <c r="D1853" s="3">
        <v>0.92519675925925926</v>
      </c>
      <c r="E1853">
        <f t="shared" si="261"/>
        <v>22</v>
      </c>
      <c r="F1853">
        <v>39</v>
      </c>
      <c r="G1853" t="s">
        <v>18</v>
      </c>
      <c r="H1853" t="s">
        <v>167</v>
      </c>
      <c r="I1853" t="s">
        <v>105</v>
      </c>
      <c r="J1853" t="s">
        <v>132</v>
      </c>
      <c r="K1853" t="s">
        <v>101</v>
      </c>
      <c r="L1853">
        <v>81.680000000000007</v>
      </c>
      <c r="M1853" t="s">
        <v>33</v>
      </c>
      <c r="N1853">
        <f t="shared" si="253"/>
        <v>0</v>
      </c>
      <c r="O1853" t="s">
        <v>24</v>
      </c>
      <c r="P1853" t="s">
        <v>2956</v>
      </c>
      <c r="Q1853">
        <v>0</v>
      </c>
      <c r="R1853">
        <v>435</v>
      </c>
      <c r="S1853">
        <f t="shared" si="254"/>
        <v>-1.2866034356518787</v>
      </c>
      <c r="T1853">
        <f t="shared" si="255"/>
        <v>0</v>
      </c>
      <c r="U1853">
        <f t="shared" si="256"/>
        <v>0</v>
      </c>
      <c r="V1853">
        <f t="shared" si="257"/>
        <v>0</v>
      </c>
      <c r="W1853">
        <f t="shared" si="258"/>
        <v>0</v>
      </c>
      <c r="X1853">
        <f t="shared" si="259"/>
        <v>0</v>
      </c>
      <c r="Y1853">
        <f t="shared" si="260"/>
        <v>0</v>
      </c>
    </row>
    <row r="1854" spans="1:25" x14ac:dyDescent="0.3">
      <c r="A1854" t="s">
        <v>338</v>
      </c>
      <c r="B1854" t="s">
        <v>339</v>
      </c>
      <c r="C1854" s="1">
        <v>45745</v>
      </c>
      <c r="D1854" s="3">
        <v>0.62575231481481486</v>
      </c>
      <c r="E1854">
        <f t="shared" si="261"/>
        <v>15</v>
      </c>
      <c r="F1854">
        <v>41</v>
      </c>
      <c r="G1854" t="s">
        <v>60</v>
      </c>
      <c r="H1854" t="s">
        <v>167</v>
      </c>
      <c r="I1854" t="s">
        <v>66</v>
      </c>
      <c r="J1854" t="s">
        <v>56</v>
      </c>
      <c r="K1854" t="s">
        <v>41</v>
      </c>
      <c r="L1854">
        <v>81.64</v>
      </c>
      <c r="M1854" t="s">
        <v>42</v>
      </c>
      <c r="N1854">
        <f t="shared" si="253"/>
        <v>0</v>
      </c>
      <c r="O1854" t="s">
        <v>34</v>
      </c>
      <c r="P1854" t="s">
        <v>340</v>
      </c>
      <c r="Q1854">
        <v>0</v>
      </c>
      <c r="R1854">
        <v>136</v>
      </c>
      <c r="S1854">
        <f t="shared" si="254"/>
        <v>-1.2871572060309224</v>
      </c>
      <c r="T1854">
        <f t="shared" si="255"/>
        <v>0</v>
      </c>
      <c r="U1854">
        <f t="shared" si="256"/>
        <v>0</v>
      </c>
      <c r="V1854">
        <f t="shared" si="257"/>
        <v>1</v>
      </c>
      <c r="W1854">
        <f t="shared" si="258"/>
        <v>1</v>
      </c>
      <c r="X1854">
        <f t="shared" si="259"/>
        <v>0</v>
      </c>
      <c r="Y1854">
        <f t="shared" si="260"/>
        <v>0</v>
      </c>
    </row>
    <row r="1855" spans="1:25" x14ac:dyDescent="0.3">
      <c r="A1855" t="s">
        <v>4955</v>
      </c>
      <c r="B1855" t="s">
        <v>4956</v>
      </c>
      <c r="C1855" s="1">
        <v>45874</v>
      </c>
      <c r="D1855" s="3">
        <v>0.8571643518518518</v>
      </c>
      <c r="E1855">
        <f t="shared" si="261"/>
        <v>20</v>
      </c>
      <c r="F1855">
        <v>26</v>
      </c>
      <c r="G1855" t="s">
        <v>28</v>
      </c>
      <c r="H1855" t="s">
        <v>29</v>
      </c>
      <c r="I1855" t="s">
        <v>48</v>
      </c>
      <c r="J1855" t="s">
        <v>132</v>
      </c>
      <c r="K1855" t="s">
        <v>95</v>
      </c>
      <c r="L1855">
        <v>81.349999999999994</v>
      </c>
      <c r="M1855" t="s">
        <v>6479</v>
      </c>
      <c r="N1855">
        <f t="shared" si="253"/>
        <v>1</v>
      </c>
      <c r="O1855" t="s">
        <v>34</v>
      </c>
      <c r="P1855" t="s">
        <v>4957</v>
      </c>
      <c r="Q1855">
        <v>0</v>
      </c>
      <c r="R1855">
        <v>55</v>
      </c>
      <c r="S1855">
        <f t="shared" si="254"/>
        <v>-1.2911720412789893</v>
      </c>
      <c r="T1855">
        <f t="shared" si="255"/>
        <v>0</v>
      </c>
      <c r="U1855">
        <f t="shared" si="256"/>
        <v>0</v>
      </c>
      <c r="V1855">
        <f t="shared" si="257"/>
        <v>1</v>
      </c>
      <c r="W1855">
        <f t="shared" si="258"/>
        <v>3</v>
      </c>
      <c r="X1855">
        <f t="shared" si="259"/>
        <v>0</v>
      </c>
      <c r="Y1855">
        <f t="shared" si="260"/>
        <v>1</v>
      </c>
    </row>
    <row r="1856" spans="1:25" x14ac:dyDescent="0.3">
      <c r="A1856" t="s">
        <v>3452</v>
      </c>
      <c r="B1856" t="s">
        <v>3453</v>
      </c>
      <c r="C1856" s="1">
        <v>45832</v>
      </c>
      <c r="D1856" s="3">
        <v>0.36203703703703705</v>
      </c>
      <c r="E1856">
        <f t="shared" si="261"/>
        <v>8</v>
      </c>
      <c r="F1856">
        <v>32</v>
      </c>
      <c r="G1856" t="s">
        <v>18</v>
      </c>
      <c r="H1856" t="s">
        <v>189</v>
      </c>
      <c r="I1856" t="s">
        <v>20</v>
      </c>
      <c r="J1856" t="s">
        <v>49</v>
      </c>
      <c r="K1856" t="s">
        <v>114</v>
      </c>
      <c r="L1856">
        <v>80.709999999999994</v>
      </c>
      <c r="M1856" t="s">
        <v>115</v>
      </c>
      <c r="N1856">
        <f t="shared" si="253"/>
        <v>0</v>
      </c>
      <c r="O1856" t="s">
        <v>51</v>
      </c>
      <c r="P1856" t="s">
        <v>3454</v>
      </c>
      <c r="Q1856">
        <v>0</v>
      </c>
      <c r="R1856">
        <v>308</v>
      </c>
      <c r="S1856">
        <f t="shared" si="254"/>
        <v>-1.3000323673436887</v>
      </c>
      <c r="T1856">
        <f t="shared" si="255"/>
        <v>0</v>
      </c>
      <c r="U1856">
        <f t="shared" si="256"/>
        <v>0</v>
      </c>
      <c r="V1856">
        <f t="shared" si="257"/>
        <v>0</v>
      </c>
      <c r="W1856">
        <f t="shared" si="258"/>
        <v>0</v>
      </c>
      <c r="X1856">
        <f t="shared" si="259"/>
        <v>0</v>
      </c>
      <c r="Y1856">
        <f t="shared" si="260"/>
        <v>0</v>
      </c>
    </row>
    <row r="1857" spans="1:25" x14ac:dyDescent="0.3">
      <c r="A1857" t="s">
        <v>5996</v>
      </c>
      <c r="B1857" t="s">
        <v>5997</v>
      </c>
      <c r="C1857" s="1">
        <v>45740</v>
      </c>
      <c r="D1857" s="3">
        <v>0.6492013888888889</v>
      </c>
      <c r="E1857">
        <f t="shared" si="261"/>
        <v>15</v>
      </c>
      <c r="F1857">
        <v>46</v>
      </c>
      <c r="G1857" t="s">
        <v>46</v>
      </c>
      <c r="H1857" t="s">
        <v>167</v>
      </c>
      <c r="I1857" t="s">
        <v>39</v>
      </c>
      <c r="J1857" t="s">
        <v>127</v>
      </c>
      <c r="K1857" t="s">
        <v>114</v>
      </c>
      <c r="L1857">
        <v>80.7</v>
      </c>
      <c r="M1857" t="s">
        <v>42</v>
      </c>
      <c r="N1857">
        <f t="shared" si="253"/>
        <v>0</v>
      </c>
      <c r="O1857" t="s">
        <v>86</v>
      </c>
      <c r="P1857" t="s">
        <v>5998</v>
      </c>
      <c r="Q1857">
        <v>0</v>
      </c>
      <c r="R1857">
        <v>84</v>
      </c>
      <c r="S1857">
        <f t="shared" si="254"/>
        <v>-1.3001708099384495</v>
      </c>
      <c r="T1857">
        <f t="shared" si="255"/>
        <v>0</v>
      </c>
      <c r="U1857">
        <f t="shared" si="256"/>
        <v>0</v>
      </c>
      <c r="V1857">
        <f t="shared" si="257"/>
        <v>1</v>
      </c>
      <c r="W1857">
        <f t="shared" si="258"/>
        <v>1</v>
      </c>
      <c r="X1857">
        <f t="shared" si="259"/>
        <v>0</v>
      </c>
      <c r="Y1857">
        <f t="shared" si="260"/>
        <v>0</v>
      </c>
    </row>
    <row r="1858" spans="1:25" x14ac:dyDescent="0.3">
      <c r="A1858" t="s">
        <v>3686</v>
      </c>
      <c r="B1858" t="s">
        <v>3687</v>
      </c>
      <c r="C1858" s="1">
        <v>45863</v>
      </c>
      <c r="D1858" s="3">
        <v>0.19839120370370369</v>
      </c>
      <c r="E1858">
        <f t="shared" si="261"/>
        <v>4</v>
      </c>
      <c r="F1858">
        <v>42</v>
      </c>
      <c r="G1858" t="s">
        <v>6479</v>
      </c>
      <c r="H1858" t="s">
        <v>167</v>
      </c>
      <c r="I1858" t="s">
        <v>39</v>
      </c>
      <c r="J1858" t="s">
        <v>76</v>
      </c>
      <c r="K1858" t="s">
        <v>41</v>
      </c>
      <c r="L1858">
        <v>80.680000000000007</v>
      </c>
      <c r="M1858" t="s">
        <v>33</v>
      </c>
      <c r="N1858">
        <f t="shared" ref="N1858:N1921" si="262">IF(M1858="Unknown",1,0)</f>
        <v>0</v>
      </c>
      <c r="O1858" t="s">
        <v>86</v>
      </c>
      <c r="P1858" t="s">
        <v>3688</v>
      </c>
      <c r="Q1858">
        <v>0</v>
      </c>
      <c r="R1858">
        <v>483</v>
      </c>
      <c r="S1858">
        <f t="shared" ref="S1858:S1921" si="263">(L1858-$P$2137)/$P$2138</f>
        <v>-1.3004476951279711</v>
      </c>
      <c r="T1858">
        <f t="shared" ref="T1858:T1921" si="264">IF(ABS(Z1858)&gt;3,1,0)</f>
        <v>0</v>
      </c>
      <c r="U1858">
        <f t="shared" ref="U1858:U1921" si="265">IF(AND(E1858&gt;=0,E1858&lt;=5),1,0)</f>
        <v>1</v>
      </c>
      <c r="V1858">
        <f t="shared" ref="V1858:V1921" si="266">IF(R1858&lt;AVERAGE($R:$R),1,0)</f>
        <v>0</v>
      </c>
      <c r="W1858">
        <f t="shared" ref="W1858:W1921" si="267">T1858*3+U1858*2+V1858*1+N1858*2</f>
        <v>2</v>
      </c>
      <c r="X1858">
        <f t="shared" ref="X1858:X1921" si="268">IF(W1858&gt;=5,1,0)</f>
        <v>0</v>
      </c>
      <c r="Y1858">
        <f t="shared" ref="Y1858:Y1921" si="269">IF(M1858="Unknown",1,0)</f>
        <v>0</v>
      </c>
    </row>
    <row r="1859" spans="1:25" x14ac:dyDescent="0.3">
      <c r="A1859" t="s">
        <v>1895</v>
      </c>
      <c r="B1859" t="s">
        <v>1896</v>
      </c>
      <c r="C1859" s="1">
        <v>45810</v>
      </c>
      <c r="D1859" s="3">
        <v>0.31089120370370371</v>
      </c>
      <c r="E1859">
        <f t="shared" si="261"/>
        <v>7</v>
      </c>
      <c r="F1859">
        <v>48</v>
      </c>
      <c r="G1859" t="s">
        <v>18</v>
      </c>
      <c r="H1859" t="s">
        <v>167</v>
      </c>
      <c r="I1859" t="s">
        <v>30</v>
      </c>
      <c r="J1859" t="s">
        <v>40</v>
      </c>
      <c r="K1859" t="s">
        <v>32</v>
      </c>
      <c r="L1859">
        <v>80.58</v>
      </c>
      <c r="M1859" t="s">
        <v>115</v>
      </c>
      <c r="N1859">
        <f t="shared" si="262"/>
        <v>0</v>
      </c>
      <c r="O1859" t="s">
        <v>51</v>
      </c>
      <c r="P1859" t="s">
        <v>1897</v>
      </c>
      <c r="Q1859">
        <v>0</v>
      </c>
      <c r="R1859">
        <v>269</v>
      </c>
      <c r="S1859">
        <f t="shared" si="263"/>
        <v>-1.3018321210755806</v>
      </c>
      <c r="T1859">
        <f t="shared" si="264"/>
        <v>0</v>
      </c>
      <c r="U1859">
        <f t="shared" si="265"/>
        <v>0</v>
      </c>
      <c r="V1859">
        <f t="shared" si="266"/>
        <v>1</v>
      </c>
      <c r="W1859">
        <f t="shared" si="267"/>
        <v>1</v>
      </c>
      <c r="X1859">
        <f t="shared" si="268"/>
        <v>0</v>
      </c>
      <c r="Y1859">
        <f t="shared" si="269"/>
        <v>0</v>
      </c>
    </row>
    <row r="1860" spans="1:25" x14ac:dyDescent="0.3">
      <c r="A1860" t="s">
        <v>3410</v>
      </c>
      <c r="B1860" t="s">
        <v>3411</v>
      </c>
      <c r="C1860" s="1">
        <v>45829</v>
      </c>
      <c r="D1860" s="3">
        <v>0.95451388888888888</v>
      </c>
      <c r="E1860">
        <f t="shared" si="261"/>
        <v>22</v>
      </c>
      <c r="F1860">
        <v>21</v>
      </c>
      <c r="G1860" t="s">
        <v>60</v>
      </c>
      <c r="H1860" t="s">
        <v>84</v>
      </c>
      <c r="I1860" t="s">
        <v>48</v>
      </c>
      <c r="J1860" t="s">
        <v>72</v>
      </c>
      <c r="K1860" t="s">
        <v>62</v>
      </c>
      <c r="L1860">
        <v>80.44</v>
      </c>
      <c r="M1860" t="s">
        <v>42</v>
      </c>
      <c r="N1860">
        <f t="shared" si="262"/>
        <v>0</v>
      </c>
      <c r="O1860" t="s">
        <v>24</v>
      </c>
      <c r="P1860" t="s">
        <v>3412</v>
      </c>
      <c r="Q1860">
        <v>0</v>
      </c>
      <c r="R1860">
        <v>101</v>
      </c>
      <c r="S1860">
        <f t="shared" si="263"/>
        <v>-1.3037703174022335</v>
      </c>
      <c r="T1860">
        <f t="shared" si="264"/>
        <v>0</v>
      </c>
      <c r="U1860">
        <f t="shared" si="265"/>
        <v>0</v>
      </c>
      <c r="V1860">
        <f t="shared" si="266"/>
        <v>1</v>
      </c>
      <c r="W1860">
        <f t="shared" si="267"/>
        <v>1</v>
      </c>
      <c r="X1860">
        <f t="shared" si="268"/>
        <v>0</v>
      </c>
      <c r="Y1860">
        <f t="shared" si="269"/>
        <v>0</v>
      </c>
    </row>
    <row r="1861" spans="1:25" x14ac:dyDescent="0.3">
      <c r="A1861" t="s">
        <v>2189</v>
      </c>
      <c r="B1861" t="s">
        <v>2190</v>
      </c>
      <c r="C1861" s="1">
        <v>45871</v>
      </c>
      <c r="D1861" s="3">
        <v>0.66834490740740737</v>
      </c>
      <c r="E1861">
        <f t="shared" si="261"/>
        <v>16</v>
      </c>
      <c r="F1861">
        <v>41</v>
      </c>
      <c r="G1861" t="s">
        <v>46</v>
      </c>
      <c r="H1861" t="s">
        <v>61</v>
      </c>
      <c r="I1861" t="s">
        <v>105</v>
      </c>
      <c r="J1861" t="s">
        <v>21</v>
      </c>
      <c r="K1861" t="s">
        <v>41</v>
      </c>
      <c r="L1861">
        <v>80.39</v>
      </c>
      <c r="M1861" t="s">
        <v>115</v>
      </c>
      <c r="N1861">
        <f t="shared" si="262"/>
        <v>0</v>
      </c>
      <c r="O1861" t="s">
        <v>51</v>
      </c>
      <c r="P1861" t="s">
        <v>2191</v>
      </c>
      <c r="Q1861">
        <v>0</v>
      </c>
      <c r="R1861">
        <v>499</v>
      </c>
      <c r="S1861">
        <f t="shared" si="263"/>
        <v>-1.304462530376038</v>
      </c>
      <c r="T1861">
        <f t="shared" si="264"/>
        <v>0</v>
      </c>
      <c r="U1861">
        <f t="shared" si="265"/>
        <v>0</v>
      </c>
      <c r="V1861">
        <f t="shared" si="266"/>
        <v>0</v>
      </c>
      <c r="W1861">
        <f t="shared" si="267"/>
        <v>0</v>
      </c>
      <c r="X1861">
        <f t="shared" si="268"/>
        <v>0</v>
      </c>
      <c r="Y1861">
        <f t="shared" si="269"/>
        <v>0</v>
      </c>
    </row>
    <row r="1862" spans="1:25" x14ac:dyDescent="0.3">
      <c r="A1862" t="s">
        <v>5993</v>
      </c>
      <c r="B1862" t="s">
        <v>5994</v>
      </c>
      <c r="C1862" s="1">
        <v>45757</v>
      </c>
      <c r="D1862" s="3">
        <v>2.0497685185185185E-2</v>
      </c>
      <c r="E1862">
        <f t="shared" si="261"/>
        <v>0</v>
      </c>
      <c r="F1862">
        <v>52</v>
      </c>
      <c r="G1862" t="s">
        <v>60</v>
      </c>
      <c r="H1862" t="s">
        <v>312</v>
      </c>
      <c r="I1862" t="s">
        <v>30</v>
      </c>
      <c r="J1862" t="s">
        <v>72</v>
      </c>
      <c r="K1862" t="s">
        <v>32</v>
      </c>
      <c r="L1862">
        <v>80.099999999999994</v>
      </c>
      <c r="M1862" t="s">
        <v>42</v>
      </c>
      <c r="N1862">
        <f t="shared" si="262"/>
        <v>0</v>
      </c>
      <c r="O1862" t="s">
        <v>51</v>
      </c>
      <c r="P1862" t="s">
        <v>5995</v>
      </c>
      <c r="Q1862">
        <v>0</v>
      </c>
      <c r="R1862">
        <v>82</v>
      </c>
      <c r="S1862">
        <f t="shared" si="263"/>
        <v>-1.3084773656241049</v>
      </c>
      <c r="T1862">
        <f t="shared" si="264"/>
        <v>0</v>
      </c>
      <c r="U1862">
        <f t="shared" si="265"/>
        <v>1</v>
      </c>
      <c r="V1862">
        <f t="shared" si="266"/>
        <v>1</v>
      </c>
      <c r="W1862">
        <f t="shared" si="267"/>
        <v>3</v>
      </c>
      <c r="X1862">
        <f t="shared" si="268"/>
        <v>0</v>
      </c>
      <c r="Y1862">
        <f t="shared" si="269"/>
        <v>0</v>
      </c>
    </row>
    <row r="1863" spans="1:25" x14ac:dyDescent="0.3">
      <c r="A1863" t="s">
        <v>5807</v>
      </c>
      <c r="B1863" t="s">
        <v>5808</v>
      </c>
      <c r="C1863" s="1">
        <v>45814</v>
      </c>
      <c r="D1863" s="3">
        <v>0.63092592592592589</v>
      </c>
      <c r="E1863">
        <f t="shared" si="261"/>
        <v>15</v>
      </c>
      <c r="F1863">
        <v>43</v>
      </c>
      <c r="G1863" t="s">
        <v>60</v>
      </c>
      <c r="H1863" t="s">
        <v>38</v>
      </c>
      <c r="I1863" t="s">
        <v>119</v>
      </c>
      <c r="J1863" t="s">
        <v>21</v>
      </c>
      <c r="K1863" t="s">
        <v>32</v>
      </c>
      <c r="L1863">
        <v>80.02</v>
      </c>
      <c r="M1863" t="s">
        <v>42</v>
      </c>
      <c r="N1863">
        <f t="shared" si="262"/>
        <v>0</v>
      </c>
      <c r="O1863" t="s">
        <v>86</v>
      </c>
      <c r="P1863" t="s">
        <v>5809</v>
      </c>
      <c r="Q1863">
        <v>0</v>
      </c>
      <c r="R1863">
        <v>465</v>
      </c>
      <c r="S1863">
        <f t="shared" si="263"/>
        <v>-1.3095849063821923</v>
      </c>
      <c r="T1863">
        <f t="shared" si="264"/>
        <v>0</v>
      </c>
      <c r="U1863">
        <f t="shared" si="265"/>
        <v>0</v>
      </c>
      <c r="V1863">
        <f t="shared" si="266"/>
        <v>0</v>
      </c>
      <c r="W1863">
        <f t="shared" si="267"/>
        <v>0</v>
      </c>
      <c r="X1863">
        <f t="shared" si="268"/>
        <v>0</v>
      </c>
      <c r="Y1863">
        <f t="shared" si="269"/>
        <v>0</v>
      </c>
    </row>
    <row r="1864" spans="1:25" x14ac:dyDescent="0.3">
      <c r="A1864" t="s">
        <v>5942</v>
      </c>
      <c r="B1864" t="s">
        <v>5943</v>
      </c>
      <c r="C1864" s="1">
        <v>45727</v>
      </c>
      <c r="D1864" s="3">
        <v>8.8715277777777782E-2</v>
      </c>
      <c r="E1864">
        <f t="shared" si="261"/>
        <v>2</v>
      </c>
      <c r="F1864">
        <v>53</v>
      </c>
      <c r="G1864" t="s">
        <v>60</v>
      </c>
      <c r="H1864" t="s">
        <v>29</v>
      </c>
      <c r="I1864" t="s">
        <v>105</v>
      </c>
      <c r="J1864" t="s">
        <v>56</v>
      </c>
      <c r="K1864" t="s">
        <v>32</v>
      </c>
      <c r="L1864">
        <v>79.989999999999995</v>
      </c>
      <c r="M1864" t="s">
        <v>33</v>
      </c>
      <c r="N1864">
        <f t="shared" si="262"/>
        <v>0</v>
      </c>
      <c r="O1864" t="s">
        <v>86</v>
      </c>
      <c r="P1864" t="s">
        <v>5944</v>
      </c>
      <c r="Q1864">
        <v>0</v>
      </c>
      <c r="R1864">
        <v>72</v>
      </c>
      <c r="S1864">
        <f t="shared" si="263"/>
        <v>-1.3100002341664752</v>
      </c>
      <c r="T1864">
        <f t="shared" si="264"/>
        <v>0</v>
      </c>
      <c r="U1864">
        <f t="shared" si="265"/>
        <v>1</v>
      </c>
      <c r="V1864">
        <f t="shared" si="266"/>
        <v>1</v>
      </c>
      <c r="W1864">
        <f t="shared" si="267"/>
        <v>3</v>
      </c>
      <c r="X1864">
        <f t="shared" si="268"/>
        <v>0</v>
      </c>
      <c r="Y1864">
        <f t="shared" si="269"/>
        <v>0</v>
      </c>
    </row>
    <row r="1865" spans="1:25" x14ac:dyDescent="0.3">
      <c r="A1865" t="s">
        <v>2390</v>
      </c>
      <c r="B1865" t="s">
        <v>2391</v>
      </c>
      <c r="C1865" s="1">
        <v>45764</v>
      </c>
      <c r="D1865" s="3">
        <v>0.76935185185185184</v>
      </c>
      <c r="E1865">
        <f t="shared" si="261"/>
        <v>18</v>
      </c>
      <c r="F1865">
        <v>34</v>
      </c>
      <c r="G1865" t="s">
        <v>18</v>
      </c>
      <c r="H1865" t="s">
        <v>29</v>
      </c>
      <c r="I1865" t="s">
        <v>20</v>
      </c>
      <c r="J1865" t="s">
        <v>72</v>
      </c>
      <c r="K1865" t="s">
        <v>50</v>
      </c>
      <c r="L1865">
        <v>79.97</v>
      </c>
      <c r="M1865" t="s">
        <v>23</v>
      </c>
      <c r="N1865">
        <f t="shared" si="262"/>
        <v>0</v>
      </c>
      <c r="O1865" t="s">
        <v>51</v>
      </c>
      <c r="P1865" t="s">
        <v>2392</v>
      </c>
      <c r="Q1865">
        <v>0</v>
      </c>
      <c r="R1865">
        <v>175</v>
      </c>
      <c r="S1865">
        <f t="shared" si="263"/>
        <v>-1.310277119355997</v>
      </c>
      <c r="T1865">
        <f t="shared" si="264"/>
        <v>0</v>
      </c>
      <c r="U1865">
        <f t="shared" si="265"/>
        <v>0</v>
      </c>
      <c r="V1865">
        <f t="shared" si="266"/>
        <v>1</v>
      </c>
      <c r="W1865">
        <f t="shared" si="267"/>
        <v>1</v>
      </c>
      <c r="X1865">
        <f t="shared" si="268"/>
        <v>0</v>
      </c>
      <c r="Y1865">
        <f t="shared" si="269"/>
        <v>0</v>
      </c>
    </row>
    <row r="1866" spans="1:25" x14ac:dyDescent="0.3">
      <c r="A1866" t="s">
        <v>4406</v>
      </c>
      <c r="B1866" t="s">
        <v>4407</v>
      </c>
      <c r="C1866" s="1">
        <v>45739</v>
      </c>
      <c r="D1866" s="3">
        <v>0.25052083333333336</v>
      </c>
      <c r="E1866">
        <f t="shared" si="261"/>
        <v>6</v>
      </c>
      <c r="F1866">
        <v>59</v>
      </c>
      <c r="G1866" t="s">
        <v>60</v>
      </c>
      <c r="H1866" t="s">
        <v>19</v>
      </c>
      <c r="I1866" t="s">
        <v>105</v>
      </c>
      <c r="J1866" t="s">
        <v>31</v>
      </c>
      <c r="K1866" t="s">
        <v>101</v>
      </c>
      <c r="L1866">
        <v>79.94</v>
      </c>
      <c r="M1866" t="s">
        <v>23</v>
      </c>
      <c r="N1866">
        <f t="shared" si="262"/>
        <v>0</v>
      </c>
      <c r="O1866" t="s">
        <v>51</v>
      </c>
      <c r="P1866" t="s">
        <v>4408</v>
      </c>
      <c r="Q1866">
        <v>0</v>
      </c>
      <c r="R1866">
        <v>453</v>
      </c>
      <c r="S1866">
        <f t="shared" si="263"/>
        <v>-1.3106924471402797</v>
      </c>
      <c r="T1866">
        <f t="shared" si="264"/>
        <v>0</v>
      </c>
      <c r="U1866">
        <f t="shared" si="265"/>
        <v>0</v>
      </c>
      <c r="V1866">
        <f t="shared" si="266"/>
        <v>0</v>
      </c>
      <c r="W1866">
        <f t="shared" si="267"/>
        <v>0</v>
      </c>
      <c r="X1866">
        <f t="shared" si="268"/>
        <v>0</v>
      </c>
      <c r="Y1866">
        <f t="shared" si="269"/>
        <v>0</v>
      </c>
    </row>
    <row r="1867" spans="1:25" x14ac:dyDescent="0.3">
      <c r="A1867" t="s">
        <v>3362</v>
      </c>
      <c r="B1867" t="s">
        <v>3363</v>
      </c>
      <c r="C1867" s="1">
        <v>45863</v>
      </c>
      <c r="D1867" s="3">
        <v>0.16476851851851851</v>
      </c>
      <c r="E1867">
        <f t="shared" si="261"/>
        <v>3</v>
      </c>
      <c r="F1867">
        <v>25</v>
      </c>
      <c r="G1867" t="s">
        <v>18</v>
      </c>
      <c r="H1867" t="s">
        <v>19</v>
      </c>
      <c r="I1867" t="s">
        <v>119</v>
      </c>
      <c r="J1867" t="s">
        <v>127</v>
      </c>
      <c r="K1867" t="s">
        <v>120</v>
      </c>
      <c r="L1867">
        <v>79.849999999999994</v>
      </c>
      <c r="M1867" t="s">
        <v>115</v>
      </c>
      <c r="N1867">
        <f t="shared" si="262"/>
        <v>0</v>
      </c>
      <c r="O1867" t="s">
        <v>24</v>
      </c>
      <c r="P1867" t="s">
        <v>3364</v>
      </c>
      <c r="Q1867">
        <v>0</v>
      </c>
      <c r="R1867">
        <v>119</v>
      </c>
      <c r="S1867">
        <f t="shared" si="263"/>
        <v>-1.3119384304931281</v>
      </c>
      <c r="T1867">
        <f t="shared" si="264"/>
        <v>0</v>
      </c>
      <c r="U1867">
        <f t="shared" si="265"/>
        <v>1</v>
      </c>
      <c r="V1867">
        <f t="shared" si="266"/>
        <v>1</v>
      </c>
      <c r="W1867">
        <f t="shared" si="267"/>
        <v>3</v>
      </c>
      <c r="X1867">
        <f t="shared" si="268"/>
        <v>0</v>
      </c>
      <c r="Y1867">
        <f t="shared" si="269"/>
        <v>0</v>
      </c>
    </row>
    <row r="1868" spans="1:25" x14ac:dyDescent="0.3">
      <c r="A1868" t="s">
        <v>4418</v>
      </c>
      <c r="B1868" t="s">
        <v>4419</v>
      </c>
      <c r="C1868" s="1">
        <v>45746</v>
      </c>
      <c r="D1868" s="3">
        <v>0.84287037037037038</v>
      </c>
      <c r="E1868">
        <f t="shared" si="261"/>
        <v>20</v>
      </c>
      <c r="F1868">
        <v>20</v>
      </c>
      <c r="G1868" t="s">
        <v>46</v>
      </c>
      <c r="H1868" t="s">
        <v>84</v>
      </c>
      <c r="I1868" t="s">
        <v>30</v>
      </c>
      <c r="J1868" t="s">
        <v>72</v>
      </c>
      <c r="K1868" t="s">
        <v>22</v>
      </c>
      <c r="L1868">
        <v>79.72</v>
      </c>
      <c r="M1868" t="s">
        <v>115</v>
      </c>
      <c r="N1868">
        <f t="shared" si="262"/>
        <v>0</v>
      </c>
      <c r="O1868" t="s">
        <v>34</v>
      </c>
      <c r="P1868" t="s">
        <v>4420</v>
      </c>
      <c r="Q1868">
        <v>0</v>
      </c>
      <c r="R1868">
        <v>478</v>
      </c>
      <c r="S1868">
        <f t="shared" si="263"/>
        <v>-1.31373818422502</v>
      </c>
      <c r="T1868">
        <f t="shared" si="264"/>
        <v>0</v>
      </c>
      <c r="U1868">
        <f t="shared" si="265"/>
        <v>0</v>
      </c>
      <c r="V1868">
        <f t="shared" si="266"/>
        <v>0</v>
      </c>
      <c r="W1868">
        <f t="shared" si="267"/>
        <v>0</v>
      </c>
      <c r="X1868">
        <f t="shared" si="268"/>
        <v>0</v>
      </c>
      <c r="Y1868">
        <f t="shared" si="269"/>
        <v>0</v>
      </c>
    </row>
    <row r="1869" spans="1:25" x14ac:dyDescent="0.3">
      <c r="A1869" t="s">
        <v>5069</v>
      </c>
      <c r="B1869" t="s">
        <v>5070</v>
      </c>
      <c r="C1869" s="1">
        <v>45732</v>
      </c>
      <c r="D1869" s="3">
        <v>0.6413078703703704</v>
      </c>
      <c r="E1869">
        <f t="shared" si="261"/>
        <v>15</v>
      </c>
      <c r="F1869">
        <v>34</v>
      </c>
      <c r="G1869" t="s">
        <v>46</v>
      </c>
      <c r="H1869" t="s">
        <v>131</v>
      </c>
      <c r="I1869" t="s">
        <v>66</v>
      </c>
      <c r="J1869" t="s">
        <v>56</v>
      </c>
      <c r="K1869" t="s">
        <v>120</v>
      </c>
      <c r="L1869">
        <v>79.67</v>
      </c>
      <c r="M1869" t="s">
        <v>42</v>
      </c>
      <c r="N1869">
        <f t="shared" si="262"/>
        <v>0</v>
      </c>
      <c r="O1869" t="s">
        <v>24</v>
      </c>
      <c r="P1869" t="s">
        <v>5071</v>
      </c>
      <c r="Q1869">
        <v>0</v>
      </c>
      <c r="R1869">
        <v>158</v>
      </c>
      <c r="S1869">
        <f t="shared" si="263"/>
        <v>-1.3144303971988247</v>
      </c>
      <c r="T1869">
        <f t="shared" si="264"/>
        <v>0</v>
      </c>
      <c r="U1869">
        <f t="shared" si="265"/>
        <v>0</v>
      </c>
      <c r="V1869">
        <f t="shared" si="266"/>
        <v>1</v>
      </c>
      <c r="W1869">
        <f t="shared" si="267"/>
        <v>1</v>
      </c>
      <c r="X1869">
        <f t="shared" si="268"/>
        <v>0</v>
      </c>
      <c r="Y1869">
        <f t="shared" si="269"/>
        <v>0</v>
      </c>
    </row>
    <row r="1870" spans="1:25" x14ac:dyDescent="0.3">
      <c r="A1870" t="s">
        <v>3824</v>
      </c>
      <c r="B1870" t="s">
        <v>3825</v>
      </c>
      <c r="C1870" s="1">
        <v>45704</v>
      </c>
      <c r="D1870" s="3">
        <v>0.86103009259259256</v>
      </c>
      <c r="E1870">
        <f t="shared" si="261"/>
        <v>20</v>
      </c>
      <c r="F1870">
        <v>33</v>
      </c>
      <c r="G1870" t="s">
        <v>60</v>
      </c>
      <c r="H1870" t="s">
        <v>29</v>
      </c>
      <c r="I1870" t="s">
        <v>20</v>
      </c>
      <c r="J1870" t="s">
        <v>72</v>
      </c>
      <c r="K1870" t="s">
        <v>22</v>
      </c>
      <c r="L1870">
        <v>79.599999999999994</v>
      </c>
      <c r="M1870" t="s">
        <v>33</v>
      </c>
      <c r="N1870">
        <f t="shared" si="262"/>
        <v>0</v>
      </c>
      <c r="O1870" t="s">
        <v>34</v>
      </c>
      <c r="P1870" t="s">
        <v>3826</v>
      </c>
      <c r="Q1870">
        <v>0</v>
      </c>
      <c r="R1870">
        <v>485</v>
      </c>
      <c r="S1870">
        <f t="shared" si="263"/>
        <v>-1.3153994953621513</v>
      </c>
      <c r="T1870">
        <f t="shared" si="264"/>
        <v>0</v>
      </c>
      <c r="U1870">
        <f t="shared" si="265"/>
        <v>0</v>
      </c>
      <c r="V1870">
        <f t="shared" si="266"/>
        <v>0</v>
      </c>
      <c r="W1870">
        <f t="shared" si="267"/>
        <v>0</v>
      </c>
      <c r="X1870">
        <f t="shared" si="268"/>
        <v>0</v>
      </c>
      <c r="Y1870">
        <f t="shared" si="269"/>
        <v>0</v>
      </c>
    </row>
    <row r="1871" spans="1:25" x14ac:dyDescent="0.3">
      <c r="A1871" t="s">
        <v>1067</v>
      </c>
      <c r="B1871" t="s">
        <v>1068</v>
      </c>
      <c r="C1871" s="1">
        <v>45719</v>
      </c>
      <c r="D1871" s="3">
        <v>0.55427083333333338</v>
      </c>
      <c r="E1871">
        <f t="shared" si="261"/>
        <v>13</v>
      </c>
      <c r="F1871">
        <v>44</v>
      </c>
      <c r="G1871" t="s">
        <v>46</v>
      </c>
      <c r="H1871" t="s">
        <v>55</v>
      </c>
      <c r="I1871" t="s">
        <v>30</v>
      </c>
      <c r="J1871" t="s">
        <v>76</v>
      </c>
      <c r="K1871" t="s">
        <v>41</v>
      </c>
      <c r="L1871">
        <v>79.400000000000006</v>
      </c>
      <c r="M1871" t="s">
        <v>42</v>
      </c>
      <c r="N1871">
        <f t="shared" si="262"/>
        <v>0</v>
      </c>
      <c r="O1871" t="s">
        <v>86</v>
      </c>
      <c r="P1871" t="s">
        <v>1069</v>
      </c>
      <c r="Q1871">
        <v>0</v>
      </c>
      <c r="R1871">
        <v>54</v>
      </c>
      <c r="S1871">
        <f t="shared" si="263"/>
        <v>-1.3181683472573695</v>
      </c>
      <c r="T1871">
        <f t="shared" si="264"/>
        <v>0</v>
      </c>
      <c r="U1871">
        <f t="shared" si="265"/>
        <v>0</v>
      </c>
      <c r="V1871">
        <f t="shared" si="266"/>
        <v>1</v>
      </c>
      <c r="W1871">
        <f t="shared" si="267"/>
        <v>1</v>
      </c>
      <c r="X1871">
        <f t="shared" si="268"/>
        <v>0</v>
      </c>
      <c r="Y1871">
        <f t="shared" si="269"/>
        <v>0</v>
      </c>
    </row>
    <row r="1872" spans="1:25" x14ac:dyDescent="0.3">
      <c r="A1872" t="s">
        <v>4625</v>
      </c>
      <c r="B1872" t="s">
        <v>4626</v>
      </c>
      <c r="C1872" s="1">
        <v>45868</v>
      </c>
      <c r="D1872" s="3">
        <v>0.70884259259259264</v>
      </c>
      <c r="E1872">
        <f t="shared" si="261"/>
        <v>17</v>
      </c>
      <c r="F1872">
        <v>62</v>
      </c>
      <c r="G1872" t="s">
        <v>60</v>
      </c>
      <c r="H1872" t="s">
        <v>61</v>
      </c>
      <c r="I1872" t="s">
        <v>105</v>
      </c>
      <c r="J1872" t="s">
        <v>76</v>
      </c>
      <c r="K1872" t="s">
        <v>62</v>
      </c>
      <c r="L1872">
        <v>79.39</v>
      </c>
      <c r="M1872" t="s">
        <v>115</v>
      </c>
      <c r="N1872">
        <f t="shared" si="262"/>
        <v>0</v>
      </c>
      <c r="O1872" t="s">
        <v>51</v>
      </c>
      <c r="P1872" t="s">
        <v>4627</v>
      </c>
      <c r="Q1872">
        <v>0</v>
      </c>
      <c r="R1872">
        <v>496</v>
      </c>
      <c r="S1872">
        <f t="shared" si="263"/>
        <v>-1.3183067898521306</v>
      </c>
      <c r="T1872">
        <f t="shared" si="264"/>
        <v>0</v>
      </c>
      <c r="U1872">
        <f t="shared" si="265"/>
        <v>0</v>
      </c>
      <c r="V1872">
        <f t="shared" si="266"/>
        <v>0</v>
      </c>
      <c r="W1872">
        <f t="shared" si="267"/>
        <v>0</v>
      </c>
      <c r="X1872">
        <f t="shared" si="268"/>
        <v>0</v>
      </c>
      <c r="Y1872">
        <f t="shared" si="269"/>
        <v>0</v>
      </c>
    </row>
    <row r="1873" spans="1:25" x14ac:dyDescent="0.3">
      <c r="A1873" t="s">
        <v>3857</v>
      </c>
      <c r="B1873" t="s">
        <v>3858</v>
      </c>
      <c r="C1873" s="1">
        <v>45865</v>
      </c>
      <c r="D1873" s="3">
        <v>0.28378472222222223</v>
      </c>
      <c r="E1873">
        <f t="shared" si="261"/>
        <v>6</v>
      </c>
      <c r="F1873">
        <v>21</v>
      </c>
      <c r="G1873" t="s">
        <v>60</v>
      </c>
      <c r="H1873" t="s">
        <v>38</v>
      </c>
      <c r="I1873" t="s">
        <v>39</v>
      </c>
      <c r="J1873" t="s">
        <v>76</v>
      </c>
      <c r="K1873" t="s">
        <v>62</v>
      </c>
      <c r="L1873">
        <v>79.37</v>
      </c>
      <c r="M1873" t="s">
        <v>23</v>
      </c>
      <c r="N1873">
        <f t="shared" si="262"/>
        <v>0</v>
      </c>
      <c r="O1873" t="s">
        <v>34</v>
      </c>
      <c r="P1873" t="s">
        <v>3859</v>
      </c>
      <c r="Q1873">
        <v>0</v>
      </c>
      <c r="R1873">
        <v>54</v>
      </c>
      <c r="S1873">
        <f t="shared" si="263"/>
        <v>-1.3185836750416524</v>
      </c>
      <c r="T1873">
        <f t="shared" si="264"/>
        <v>0</v>
      </c>
      <c r="U1873">
        <f t="shared" si="265"/>
        <v>0</v>
      </c>
      <c r="V1873">
        <f t="shared" si="266"/>
        <v>1</v>
      </c>
      <c r="W1873">
        <f t="shared" si="267"/>
        <v>1</v>
      </c>
      <c r="X1873">
        <f t="shared" si="268"/>
        <v>0</v>
      </c>
      <c r="Y1873">
        <f t="shared" si="269"/>
        <v>0</v>
      </c>
    </row>
    <row r="1874" spans="1:25" x14ac:dyDescent="0.3">
      <c r="A1874" s="2" t="s">
        <v>3089</v>
      </c>
      <c r="B1874" t="s">
        <v>3090</v>
      </c>
      <c r="C1874" s="1">
        <v>45814</v>
      </c>
      <c r="D1874" s="3">
        <v>0.26511574074074074</v>
      </c>
      <c r="E1874">
        <f t="shared" si="261"/>
        <v>6</v>
      </c>
      <c r="F1874">
        <v>64</v>
      </c>
      <c r="G1874" t="s">
        <v>18</v>
      </c>
      <c r="H1874" t="s">
        <v>100</v>
      </c>
      <c r="I1874" t="s">
        <v>48</v>
      </c>
      <c r="J1874" t="s">
        <v>31</v>
      </c>
      <c r="K1874" t="s">
        <v>41</v>
      </c>
      <c r="L1874">
        <v>79.28</v>
      </c>
      <c r="M1874" t="s">
        <v>42</v>
      </c>
      <c r="N1874">
        <f t="shared" si="262"/>
        <v>0</v>
      </c>
      <c r="O1874" t="s">
        <v>86</v>
      </c>
      <c r="P1874" t="s">
        <v>3091</v>
      </c>
      <c r="Q1874">
        <v>0</v>
      </c>
      <c r="R1874">
        <v>209</v>
      </c>
      <c r="S1874">
        <f t="shared" si="263"/>
        <v>-1.3198296583945006</v>
      </c>
      <c r="T1874">
        <f t="shared" si="264"/>
        <v>0</v>
      </c>
      <c r="U1874">
        <f t="shared" si="265"/>
        <v>0</v>
      </c>
      <c r="V1874">
        <f t="shared" si="266"/>
        <v>1</v>
      </c>
      <c r="W1874">
        <f t="shared" si="267"/>
        <v>1</v>
      </c>
      <c r="X1874">
        <f t="shared" si="268"/>
        <v>0</v>
      </c>
      <c r="Y1874">
        <f t="shared" si="269"/>
        <v>0</v>
      </c>
    </row>
    <row r="1875" spans="1:25" x14ac:dyDescent="0.3">
      <c r="A1875" t="s">
        <v>2192</v>
      </c>
      <c r="B1875" t="s">
        <v>2193</v>
      </c>
      <c r="C1875" s="1">
        <v>45708</v>
      </c>
      <c r="D1875" s="3">
        <v>0.12255787037037037</v>
      </c>
      <c r="E1875">
        <f t="shared" si="261"/>
        <v>2</v>
      </c>
      <c r="F1875">
        <v>45</v>
      </c>
      <c r="G1875" t="s">
        <v>46</v>
      </c>
      <c r="H1875" t="s">
        <v>185</v>
      </c>
      <c r="I1875" t="s">
        <v>105</v>
      </c>
      <c r="J1875" t="s">
        <v>21</v>
      </c>
      <c r="K1875" t="s">
        <v>114</v>
      </c>
      <c r="L1875">
        <v>79.099999999999994</v>
      </c>
      <c r="M1875" t="s">
        <v>33</v>
      </c>
      <c r="N1875">
        <f t="shared" si="262"/>
        <v>0</v>
      </c>
      <c r="O1875" t="s">
        <v>51</v>
      </c>
      <c r="P1875" t="s">
        <v>2194</v>
      </c>
      <c r="Q1875">
        <v>0</v>
      </c>
      <c r="R1875">
        <v>143</v>
      </c>
      <c r="S1875">
        <f t="shared" si="263"/>
        <v>-1.3223216251001975</v>
      </c>
      <c r="T1875">
        <f t="shared" si="264"/>
        <v>0</v>
      </c>
      <c r="U1875">
        <f t="shared" si="265"/>
        <v>1</v>
      </c>
      <c r="V1875">
        <f t="shared" si="266"/>
        <v>1</v>
      </c>
      <c r="W1875">
        <f t="shared" si="267"/>
        <v>3</v>
      </c>
      <c r="X1875">
        <f t="shared" si="268"/>
        <v>0</v>
      </c>
      <c r="Y1875">
        <f t="shared" si="269"/>
        <v>0</v>
      </c>
    </row>
    <row r="1876" spans="1:25" x14ac:dyDescent="0.3">
      <c r="A1876" t="s">
        <v>2669</v>
      </c>
      <c r="B1876" t="s">
        <v>2670</v>
      </c>
      <c r="C1876" s="1">
        <v>45790</v>
      </c>
      <c r="D1876" s="3">
        <v>0.83159722222222221</v>
      </c>
      <c r="E1876">
        <f t="shared" si="261"/>
        <v>19</v>
      </c>
      <c r="F1876">
        <v>59</v>
      </c>
      <c r="G1876" t="s">
        <v>99</v>
      </c>
      <c r="H1876" t="s">
        <v>232</v>
      </c>
      <c r="I1876" t="s">
        <v>105</v>
      </c>
      <c r="J1876" t="s">
        <v>127</v>
      </c>
      <c r="K1876" t="s">
        <v>168</v>
      </c>
      <c r="L1876">
        <v>79.099999999999994</v>
      </c>
      <c r="M1876" t="s">
        <v>42</v>
      </c>
      <c r="N1876">
        <f t="shared" si="262"/>
        <v>0</v>
      </c>
      <c r="O1876" t="s">
        <v>51</v>
      </c>
      <c r="P1876" t="s">
        <v>2671</v>
      </c>
      <c r="Q1876">
        <v>0</v>
      </c>
      <c r="R1876">
        <v>434</v>
      </c>
      <c r="S1876">
        <f t="shared" si="263"/>
        <v>-1.3223216251001975</v>
      </c>
      <c r="T1876">
        <f t="shared" si="264"/>
        <v>0</v>
      </c>
      <c r="U1876">
        <f t="shared" si="265"/>
        <v>0</v>
      </c>
      <c r="V1876">
        <f t="shared" si="266"/>
        <v>0</v>
      </c>
      <c r="W1876">
        <f t="shared" si="267"/>
        <v>0</v>
      </c>
      <c r="X1876">
        <f t="shared" si="268"/>
        <v>0</v>
      </c>
      <c r="Y1876">
        <f t="shared" si="269"/>
        <v>0</v>
      </c>
    </row>
    <row r="1877" spans="1:25" x14ac:dyDescent="0.3">
      <c r="A1877" t="s">
        <v>1352</v>
      </c>
      <c r="B1877" t="s">
        <v>1353</v>
      </c>
      <c r="C1877" s="1">
        <v>45811</v>
      </c>
      <c r="D1877" s="3">
        <v>0.77303240740740742</v>
      </c>
      <c r="E1877">
        <f t="shared" si="261"/>
        <v>18</v>
      </c>
      <c r="F1877">
        <v>22</v>
      </c>
      <c r="G1877" t="s">
        <v>18</v>
      </c>
      <c r="H1877" t="s">
        <v>80</v>
      </c>
      <c r="I1877" t="s">
        <v>119</v>
      </c>
      <c r="J1877" t="s">
        <v>72</v>
      </c>
      <c r="K1877" t="s">
        <v>95</v>
      </c>
      <c r="L1877">
        <v>79</v>
      </c>
      <c r="M1877" t="s">
        <v>23</v>
      </c>
      <c r="N1877">
        <f t="shared" si="262"/>
        <v>0</v>
      </c>
      <c r="O1877" t="s">
        <v>51</v>
      </c>
      <c r="P1877" t="s">
        <v>1354</v>
      </c>
      <c r="Q1877">
        <v>0</v>
      </c>
      <c r="R1877">
        <v>389</v>
      </c>
      <c r="S1877">
        <f t="shared" si="263"/>
        <v>-1.3237060510478067</v>
      </c>
      <c r="T1877">
        <f t="shared" si="264"/>
        <v>0</v>
      </c>
      <c r="U1877">
        <f t="shared" si="265"/>
        <v>0</v>
      </c>
      <c r="V1877">
        <f t="shared" si="266"/>
        <v>0</v>
      </c>
      <c r="W1877">
        <f t="shared" si="267"/>
        <v>0</v>
      </c>
      <c r="X1877">
        <f t="shared" si="268"/>
        <v>0</v>
      </c>
      <c r="Y1877">
        <f t="shared" si="269"/>
        <v>0</v>
      </c>
    </row>
    <row r="1878" spans="1:25" x14ac:dyDescent="0.3">
      <c r="A1878" t="s">
        <v>3797</v>
      </c>
      <c r="B1878" t="s">
        <v>3798</v>
      </c>
      <c r="C1878" s="1">
        <v>45851</v>
      </c>
      <c r="D1878" s="3">
        <v>9.1099537037037034E-2</v>
      </c>
      <c r="E1878">
        <f t="shared" ref="E1878:E1941" si="270">HOUR(D1878)</f>
        <v>2</v>
      </c>
      <c r="F1878">
        <v>47</v>
      </c>
      <c r="G1878" t="s">
        <v>18</v>
      </c>
      <c r="H1878" t="s">
        <v>131</v>
      </c>
      <c r="I1878" t="s">
        <v>66</v>
      </c>
      <c r="J1878" t="s">
        <v>21</v>
      </c>
      <c r="K1878" t="s">
        <v>120</v>
      </c>
      <c r="L1878">
        <v>78.959999999999994</v>
      </c>
      <c r="M1878" t="s">
        <v>23</v>
      </c>
      <c r="N1878">
        <f t="shared" si="262"/>
        <v>0</v>
      </c>
      <c r="O1878" t="s">
        <v>24</v>
      </c>
      <c r="P1878" t="s">
        <v>3799</v>
      </c>
      <c r="Q1878">
        <v>0</v>
      </c>
      <c r="R1878">
        <v>481</v>
      </c>
      <c r="S1878">
        <f t="shared" si="263"/>
        <v>-1.3242598214268504</v>
      </c>
      <c r="T1878">
        <f t="shared" si="264"/>
        <v>0</v>
      </c>
      <c r="U1878">
        <f t="shared" si="265"/>
        <v>1</v>
      </c>
      <c r="V1878">
        <f t="shared" si="266"/>
        <v>0</v>
      </c>
      <c r="W1878">
        <f t="shared" si="267"/>
        <v>2</v>
      </c>
      <c r="X1878">
        <f t="shared" si="268"/>
        <v>0</v>
      </c>
      <c r="Y1878">
        <f t="shared" si="269"/>
        <v>0</v>
      </c>
    </row>
    <row r="1879" spans="1:25" x14ac:dyDescent="0.3">
      <c r="A1879" t="s">
        <v>2804</v>
      </c>
      <c r="B1879" t="s">
        <v>2805</v>
      </c>
      <c r="C1879" s="1">
        <v>45728</v>
      </c>
      <c r="D1879" s="3">
        <v>0.16836805555555556</v>
      </c>
      <c r="E1879">
        <f t="shared" si="270"/>
        <v>4</v>
      </c>
      <c r="F1879">
        <v>40</v>
      </c>
      <c r="G1879" t="s">
        <v>46</v>
      </c>
      <c r="H1879" t="s">
        <v>167</v>
      </c>
      <c r="I1879" t="s">
        <v>110</v>
      </c>
      <c r="J1879" t="s">
        <v>21</v>
      </c>
      <c r="K1879" t="s">
        <v>114</v>
      </c>
      <c r="L1879">
        <v>78.86</v>
      </c>
      <c r="M1879" t="s">
        <v>23</v>
      </c>
      <c r="N1879">
        <f t="shared" si="262"/>
        <v>0</v>
      </c>
      <c r="O1879" t="s">
        <v>86</v>
      </c>
      <c r="P1879" t="s">
        <v>2806</v>
      </c>
      <c r="Q1879">
        <v>0</v>
      </c>
      <c r="R1879">
        <v>422</v>
      </c>
      <c r="S1879">
        <f t="shared" si="263"/>
        <v>-1.3256442473744596</v>
      </c>
      <c r="T1879">
        <f t="shared" si="264"/>
        <v>0</v>
      </c>
      <c r="U1879">
        <f t="shared" si="265"/>
        <v>1</v>
      </c>
      <c r="V1879">
        <f t="shared" si="266"/>
        <v>0</v>
      </c>
      <c r="W1879">
        <f t="shared" si="267"/>
        <v>2</v>
      </c>
      <c r="X1879">
        <f t="shared" si="268"/>
        <v>0</v>
      </c>
      <c r="Y1879">
        <f t="shared" si="269"/>
        <v>0</v>
      </c>
    </row>
    <row r="1880" spans="1:25" x14ac:dyDescent="0.3">
      <c r="A1880" s="2" t="s">
        <v>4796</v>
      </c>
      <c r="B1880" t="s">
        <v>4797</v>
      </c>
      <c r="C1880" s="1">
        <v>45796</v>
      </c>
      <c r="D1880" s="3">
        <v>0.28629629629629627</v>
      </c>
      <c r="E1880">
        <f t="shared" si="270"/>
        <v>6</v>
      </c>
      <c r="F1880">
        <v>65</v>
      </c>
      <c r="G1880" t="s">
        <v>46</v>
      </c>
      <c r="H1880" t="s">
        <v>167</v>
      </c>
      <c r="I1880" t="s">
        <v>30</v>
      </c>
      <c r="J1880" t="s">
        <v>31</v>
      </c>
      <c r="K1880" t="s">
        <v>50</v>
      </c>
      <c r="L1880">
        <v>78.819999999999993</v>
      </c>
      <c r="M1880" t="s">
        <v>33</v>
      </c>
      <c r="N1880">
        <f t="shared" si="262"/>
        <v>0</v>
      </c>
      <c r="O1880" t="s">
        <v>24</v>
      </c>
      <c r="P1880" t="s">
        <v>4798</v>
      </c>
      <c r="Q1880">
        <v>0</v>
      </c>
      <c r="R1880">
        <v>487</v>
      </c>
      <c r="S1880">
        <f t="shared" si="263"/>
        <v>-1.3261980177535033</v>
      </c>
      <c r="T1880">
        <f t="shared" si="264"/>
        <v>0</v>
      </c>
      <c r="U1880">
        <f t="shared" si="265"/>
        <v>0</v>
      </c>
      <c r="V1880">
        <f t="shared" si="266"/>
        <v>0</v>
      </c>
      <c r="W1880">
        <f t="shared" si="267"/>
        <v>0</v>
      </c>
      <c r="X1880">
        <f t="shared" si="268"/>
        <v>0</v>
      </c>
      <c r="Y1880">
        <f t="shared" si="269"/>
        <v>0</v>
      </c>
    </row>
    <row r="1881" spans="1:25" x14ac:dyDescent="0.3">
      <c r="A1881" t="s">
        <v>3206</v>
      </c>
      <c r="B1881" t="s">
        <v>3207</v>
      </c>
      <c r="C1881" s="1">
        <v>45864</v>
      </c>
      <c r="D1881" s="3">
        <v>0.4506134259259259</v>
      </c>
      <c r="E1881">
        <f t="shared" si="270"/>
        <v>10</v>
      </c>
      <c r="F1881" s="4">
        <v>41</v>
      </c>
      <c r="G1881" t="s">
        <v>46</v>
      </c>
      <c r="H1881" t="s">
        <v>167</v>
      </c>
      <c r="I1881" t="s">
        <v>105</v>
      </c>
      <c r="J1881" t="s">
        <v>31</v>
      </c>
      <c r="K1881" t="s">
        <v>168</v>
      </c>
      <c r="L1881">
        <v>78.790000000000006</v>
      </c>
      <c r="M1881" t="s">
        <v>42</v>
      </c>
      <c r="N1881">
        <f t="shared" si="262"/>
        <v>0</v>
      </c>
      <c r="O1881" t="s">
        <v>24</v>
      </c>
      <c r="P1881" t="s">
        <v>3208</v>
      </c>
      <c r="Q1881">
        <v>0</v>
      </c>
      <c r="R1881">
        <v>329</v>
      </c>
      <c r="S1881">
        <f t="shared" si="263"/>
        <v>-1.326613345537786</v>
      </c>
      <c r="T1881">
        <f t="shared" si="264"/>
        <v>0</v>
      </c>
      <c r="U1881">
        <f t="shared" si="265"/>
        <v>0</v>
      </c>
      <c r="V1881">
        <f t="shared" si="266"/>
        <v>0</v>
      </c>
      <c r="W1881">
        <f t="shared" si="267"/>
        <v>0</v>
      </c>
      <c r="X1881">
        <f t="shared" si="268"/>
        <v>0</v>
      </c>
      <c r="Y1881">
        <f t="shared" si="269"/>
        <v>0</v>
      </c>
    </row>
    <row r="1882" spans="1:25" x14ac:dyDescent="0.3">
      <c r="A1882" t="s">
        <v>2126</v>
      </c>
      <c r="B1882" t="s">
        <v>2127</v>
      </c>
      <c r="C1882" s="1">
        <v>45758</v>
      </c>
      <c r="D1882" s="3">
        <v>9.4965277777777773E-2</v>
      </c>
      <c r="E1882">
        <f t="shared" si="270"/>
        <v>2</v>
      </c>
      <c r="F1882">
        <v>52</v>
      </c>
      <c r="G1882" t="s">
        <v>18</v>
      </c>
      <c r="H1882" t="s">
        <v>100</v>
      </c>
      <c r="I1882" t="s">
        <v>39</v>
      </c>
      <c r="J1882" t="s">
        <v>31</v>
      </c>
      <c r="K1882" t="s">
        <v>32</v>
      </c>
      <c r="L1882">
        <v>78.709999999999994</v>
      </c>
      <c r="M1882" t="s">
        <v>33</v>
      </c>
      <c r="N1882">
        <f t="shared" si="262"/>
        <v>0</v>
      </c>
      <c r="O1882" t="s">
        <v>34</v>
      </c>
      <c r="P1882" t="s">
        <v>2128</v>
      </c>
      <c r="Q1882">
        <v>0</v>
      </c>
      <c r="R1882">
        <v>66</v>
      </c>
      <c r="S1882">
        <f t="shared" si="263"/>
        <v>-1.3277208862958736</v>
      </c>
      <c r="T1882">
        <f t="shared" si="264"/>
        <v>0</v>
      </c>
      <c r="U1882">
        <f t="shared" si="265"/>
        <v>1</v>
      </c>
      <c r="V1882">
        <f t="shared" si="266"/>
        <v>1</v>
      </c>
      <c r="W1882">
        <f t="shared" si="267"/>
        <v>3</v>
      </c>
      <c r="X1882">
        <f t="shared" si="268"/>
        <v>0</v>
      </c>
      <c r="Y1882">
        <f t="shared" si="269"/>
        <v>0</v>
      </c>
    </row>
    <row r="1883" spans="1:25" x14ac:dyDescent="0.3">
      <c r="A1883" t="s">
        <v>4514</v>
      </c>
      <c r="B1883" t="s">
        <v>4515</v>
      </c>
      <c r="C1883" s="1">
        <v>45779</v>
      </c>
      <c r="D1883" s="3">
        <v>0.23646990740740742</v>
      </c>
      <c r="E1883">
        <f t="shared" si="270"/>
        <v>5</v>
      </c>
      <c r="F1883">
        <v>43</v>
      </c>
      <c r="G1883" t="s">
        <v>46</v>
      </c>
      <c r="H1883" t="s">
        <v>232</v>
      </c>
      <c r="I1883" t="s">
        <v>39</v>
      </c>
      <c r="J1883" t="s">
        <v>49</v>
      </c>
      <c r="K1883" t="s">
        <v>22</v>
      </c>
      <c r="L1883">
        <v>78.7</v>
      </c>
      <c r="M1883" t="s">
        <v>33</v>
      </c>
      <c r="N1883">
        <f t="shared" si="262"/>
        <v>0</v>
      </c>
      <c r="O1883" t="s">
        <v>24</v>
      </c>
      <c r="P1883" t="s">
        <v>4516</v>
      </c>
      <c r="Q1883">
        <v>0</v>
      </c>
      <c r="R1883">
        <v>473</v>
      </c>
      <c r="S1883">
        <f t="shared" si="263"/>
        <v>-1.3278593288906342</v>
      </c>
      <c r="T1883">
        <f t="shared" si="264"/>
        <v>0</v>
      </c>
      <c r="U1883">
        <f t="shared" si="265"/>
        <v>1</v>
      </c>
      <c r="V1883">
        <f t="shared" si="266"/>
        <v>0</v>
      </c>
      <c r="W1883">
        <f t="shared" si="267"/>
        <v>2</v>
      </c>
      <c r="X1883">
        <f t="shared" si="268"/>
        <v>0</v>
      </c>
      <c r="Y1883">
        <f t="shared" si="269"/>
        <v>0</v>
      </c>
    </row>
    <row r="1884" spans="1:25" x14ac:dyDescent="0.3">
      <c r="A1884" t="s">
        <v>6425</v>
      </c>
      <c r="B1884" t="s">
        <v>6426</v>
      </c>
      <c r="C1884" s="1">
        <v>45813</v>
      </c>
      <c r="D1884" s="3">
        <v>0.140625</v>
      </c>
      <c r="E1884">
        <f t="shared" si="270"/>
        <v>3</v>
      </c>
      <c r="F1884">
        <v>25</v>
      </c>
      <c r="G1884" t="s">
        <v>18</v>
      </c>
      <c r="H1884" t="s">
        <v>61</v>
      </c>
      <c r="I1884" t="s">
        <v>39</v>
      </c>
      <c r="J1884" t="s">
        <v>94</v>
      </c>
      <c r="K1884" t="s">
        <v>41</v>
      </c>
      <c r="L1884">
        <v>78.67</v>
      </c>
      <c r="M1884" t="s">
        <v>6479</v>
      </c>
      <c r="N1884">
        <f t="shared" si="262"/>
        <v>1</v>
      </c>
      <c r="O1884" t="s">
        <v>51</v>
      </c>
      <c r="P1884" t="s">
        <v>6427</v>
      </c>
      <c r="Q1884">
        <v>0</v>
      </c>
      <c r="R1884">
        <v>483</v>
      </c>
      <c r="S1884">
        <f t="shared" si="263"/>
        <v>-1.3282746566749171</v>
      </c>
      <c r="T1884">
        <f t="shared" si="264"/>
        <v>0</v>
      </c>
      <c r="U1884">
        <f t="shared" si="265"/>
        <v>1</v>
      </c>
      <c r="V1884">
        <f t="shared" si="266"/>
        <v>0</v>
      </c>
      <c r="W1884">
        <f t="shared" si="267"/>
        <v>4</v>
      </c>
      <c r="X1884">
        <f t="shared" si="268"/>
        <v>0</v>
      </c>
      <c r="Y1884">
        <f t="shared" si="269"/>
        <v>1</v>
      </c>
    </row>
    <row r="1885" spans="1:25" x14ac:dyDescent="0.3">
      <c r="A1885" t="s">
        <v>5075</v>
      </c>
      <c r="B1885" t="s">
        <v>5076</v>
      </c>
      <c r="C1885" s="1">
        <v>45829</v>
      </c>
      <c r="D1885" s="3">
        <v>0.42075231481481479</v>
      </c>
      <c r="E1885">
        <f t="shared" si="270"/>
        <v>10</v>
      </c>
      <c r="F1885">
        <v>62</v>
      </c>
      <c r="G1885" t="s">
        <v>60</v>
      </c>
      <c r="H1885" t="s">
        <v>185</v>
      </c>
      <c r="I1885" t="s">
        <v>110</v>
      </c>
      <c r="J1885" t="s">
        <v>21</v>
      </c>
      <c r="K1885" t="s">
        <v>95</v>
      </c>
      <c r="L1885">
        <v>78.22</v>
      </c>
      <c r="M1885" t="s">
        <v>23</v>
      </c>
      <c r="N1885">
        <f t="shared" si="262"/>
        <v>0</v>
      </c>
      <c r="O1885" t="s">
        <v>24</v>
      </c>
      <c r="P1885" t="s">
        <v>5077</v>
      </c>
      <c r="Q1885">
        <v>0</v>
      </c>
      <c r="R1885">
        <v>300</v>
      </c>
      <c r="S1885">
        <f t="shared" si="263"/>
        <v>-1.3345045734391587</v>
      </c>
      <c r="T1885">
        <f t="shared" si="264"/>
        <v>0</v>
      </c>
      <c r="U1885">
        <f t="shared" si="265"/>
        <v>0</v>
      </c>
      <c r="V1885">
        <f t="shared" si="266"/>
        <v>0</v>
      </c>
      <c r="W1885">
        <f t="shared" si="267"/>
        <v>0</v>
      </c>
      <c r="X1885">
        <f t="shared" si="268"/>
        <v>0</v>
      </c>
      <c r="Y1885">
        <f t="shared" si="269"/>
        <v>0</v>
      </c>
    </row>
    <row r="1886" spans="1:25" x14ac:dyDescent="0.3">
      <c r="A1886" t="s">
        <v>3260</v>
      </c>
      <c r="B1886" t="s">
        <v>3261</v>
      </c>
      <c r="C1886" s="1">
        <v>45842</v>
      </c>
      <c r="D1886" s="3">
        <v>0.77233796296296298</v>
      </c>
      <c r="E1886">
        <f t="shared" si="270"/>
        <v>18</v>
      </c>
      <c r="F1886">
        <v>22</v>
      </c>
      <c r="G1886" t="s">
        <v>28</v>
      </c>
      <c r="H1886" t="s">
        <v>232</v>
      </c>
      <c r="I1886" t="s">
        <v>85</v>
      </c>
      <c r="J1886" t="s">
        <v>76</v>
      </c>
      <c r="K1886" t="s">
        <v>41</v>
      </c>
      <c r="L1886">
        <v>77.91</v>
      </c>
      <c r="M1886" t="s">
        <v>115</v>
      </c>
      <c r="N1886">
        <f t="shared" si="262"/>
        <v>0</v>
      </c>
      <c r="O1886" t="s">
        <v>24</v>
      </c>
      <c r="P1886" t="s">
        <v>3262</v>
      </c>
      <c r="Q1886">
        <v>0</v>
      </c>
      <c r="R1886">
        <v>110</v>
      </c>
      <c r="S1886">
        <f t="shared" si="263"/>
        <v>-1.3387962938767475</v>
      </c>
      <c r="T1886">
        <f t="shared" si="264"/>
        <v>0</v>
      </c>
      <c r="U1886">
        <f t="shared" si="265"/>
        <v>0</v>
      </c>
      <c r="V1886">
        <f t="shared" si="266"/>
        <v>1</v>
      </c>
      <c r="W1886">
        <f t="shared" si="267"/>
        <v>1</v>
      </c>
      <c r="X1886">
        <f t="shared" si="268"/>
        <v>0</v>
      </c>
      <c r="Y1886">
        <f t="shared" si="269"/>
        <v>0</v>
      </c>
    </row>
    <row r="1887" spans="1:25" x14ac:dyDescent="0.3">
      <c r="A1887" t="s">
        <v>3461</v>
      </c>
      <c r="B1887" t="s">
        <v>3462</v>
      </c>
      <c r="C1887" s="1">
        <v>45772</v>
      </c>
      <c r="D1887" s="3">
        <v>0.98386574074074074</v>
      </c>
      <c r="E1887">
        <f t="shared" si="270"/>
        <v>23</v>
      </c>
      <c r="F1887">
        <v>22</v>
      </c>
      <c r="G1887" t="s">
        <v>46</v>
      </c>
      <c r="H1887" t="s">
        <v>84</v>
      </c>
      <c r="I1887" t="s">
        <v>119</v>
      </c>
      <c r="J1887" t="s">
        <v>132</v>
      </c>
      <c r="K1887" t="s">
        <v>120</v>
      </c>
      <c r="L1887">
        <v>77.739999999999995</v>
      </c>
      <c r="M1887" t="s">
        <v>23</v>
      </c>
      <c r="N1887">
        <f t="shared" si="262"/>
        <v>0</v>
      </c>
      <c r="O1887" t="s">
        <v>34</v>
      </c>
      <c r="P1887" t="s">
        <v>3463</v>
      </c>
      <c r="Q1887">
        <v>0</v>
      </c>
      <c r="R1887">
        <v>321</v>
      </c>
      <c r="S1887">
        <f t="shared" si="263"/>
        <v>-1.3411498179876831</v>
      </c>
      <c r="T1887">
        <f t="shared" si="264"/>
        <v>0</v>
      </c>
      <c r="U1887">
        <f t="shared" si="265"/>
        <v>0</v>
      </c>
      <c r="V1887">
        <f t="shared" si="266"/>
        <v>0</v>
      </c>
      <c r="W1887">
        <f t="shared" si="267"/>
        <v>0</v>
      </c>
      <c r="X1887">
        <f t="shared" si="268"/>
        <v>0</v>
      </c>
      <c r="Y1887">
        <f t="shared" si="269"/>
        <v>0</v>
      </c>
    </row>
    <row r="1888" spans="1:25" x14ac:dyDescent="0.3">
      <c r="A1888" t="s">
        <v>632</v>
      </c>
      <c r="B1888" t="s">
        <v>633</v>
      </c>
      <c r="C1888" s="1">
        <v>45794</v>
      </c>
      <c r="D1888" s="3">
        <v>0.63332175925925926</v>
      </c>
      <c r="E1888">
        <f t="shared" si="270"/>
        <v>15</v>
      </c>
      <c r="F1888" s="4">
        <v>41</v>
      </c>
      <c r="G1888" t="s">
        <v>46</v>
      </c>
      <c r="H1888" t="s">
        <v>55</v>
      </c>
      <c r="I1888" t="s">
        <v>30</v>
      </c>
      <c r="J1888" t="s">
        <v>72</v>
      </c>
      <c r="K1888" t="s">
        <v>32</v>
      </c>
      <c r="L1888">
        <v>77.45</v>
      </c>
      <c r="M1888" t="s">
        <v>33</v>
      </c>
      <c r="N1888">
        <f t="shared" si="262"/>
        <v>0</v>
      </c>
      <c r="O1888" t="s">
        <v>24</v>
      </c>
      <c r="P1888" t="s">
        <v>634</v>
      </c>
      <c r="Q1888">
        <v>0</v>
      </c>
      <c r="R1888">
        <v>477</v>
      </c>
      <c r="S1888">
        <f t="shared" si="263"/>
        <v>-1.34516465323575</v>
      </c>
      <c r="T1888">
        <f t="shared" si="264"/>
        <v>0</v>
      </c>
      <c r="U1888">
        <f t="shared" si="265"/>
        <v>0</v>
      </c>
      <c r="V1888">
        <f t="shared" si="266"/>
        <v>0</v>
      </c>
      <c r="W1888">
        <f t="shared" si="267"/>
        <v>0</v>
      </c>
      <c r="X1888">
        <f t="shared" si="268"/>
        <v>0</v>
      </c>
      <c r="Y1888">
        <f t="shared" si="269"/>
        <v>0</v>
      </c>
    </row>
    <row r="1889" spans="1:25" x14ac:dyDescent="0.3">
      <c r="A1889" t="s">
        <v>3284</v>
      </c>
      <c r="B1889" t="s">
        <v>3285</v>
      </c>
      <c r="C1889" s="1">
        <v>45805</v>
      </c>
      <c r="D1889" s="3">
        <v>7.2303240740740737E-2</v>
      </c>
      <c r="E1889">
        <f t="shared" si="270"/>
        <v>1</v>
      </c>
      <c r="F1889">
        <v>42</v>
      </c>
      <c r="G1889" t="s">
        <v>60</v>
      </c>
      <c r="H1889" t="s">
        <v>185</v>
      </c>
      <c r="I1889" t="s">
        <v>30</v>
      </c>
      <c r="J1889" t="s">
        <v>72</v>
      </c>
      <c r="K1889" t="s">
        <v>101</v>
      </c>
      <c r="L1889">
        <v>77.319999999999993</v>
      </c>
      <c r="M1889" t="s">
        <v>33</v>
      </c>
      <c r="N1889">
        <f t="shared" si="262"/>
        <v>0</v>
      </c>
      <c r="O1889" t="s">
        <v>86</v>
      </c>
      <c r="P1889" t="s">
        <v>3286</v>
      </c>
      <c r="Q1889">
        <v>0</v>
      </c>
      <c r="R1889">
        <v>121</v>
      </c>
      <c r="S1889">
        <f t="shared" si="263"/>
        <v>-1.3469644069676421</v>
      </c>
      <c r="T1889">
        <f t="shared" si="264"/>
        <v>0</v>
      </c>
      <c r="U1889">
        <f t="shared" si="265"/>
        <v>1</v>
      </c>
      <c r="V1889">
        <f t="shared" si="266"/>
        <v>1</v>
      </c>
      <c r="W1889">
        <f t="shared" si="267"/>
        <v>3</v>
      </c>
      <c r="X1889">
        <f t="shared" si="268"/>
        <v>0</v>
      </c>
      <c r="Y1889">
        <f t="shared" si="269"/>
        <v>0</v>
      </c>
    </row>
    <row r="1890" spans="1:25" x14ac:dyDescent="0.3">
      <c r="A1890" t="s">
        <v>4916</v>
      </c>
      <c r="B1890" s="2" t="s">
        <v>4917</v>
      </c>
      <c r="C1890" s="1">
        <v>45789</v>
      </c>
      <c r="D1890" s="3">
        <v>0.32451388888888888</v>
      </c>
      <c r="E1890">
        <f t="shared" si="270"/>
        <v>7</v>
      </c>
      <c r="F1890">
        <v>37</v>
      </c>
      <c r="G1890" t="s">
        <v>18</v>
      </c>
      <c r="H1890" t="s">
        <v>47</v>
      </c>
      <c r="I1890" t="s">
        <v>119</v>
      </c>
      <c r="J1890" t="s">
        <v>31</v>
      </c>
      <c r="K1890" t="s">
        <v>120</v>
      </c>
      <c r="L1890">
        <v>77.05</v>
      </c>
      <c r="M1890" t="s">
        <v>23</v>
      </c>
      <c r="N1890">
        <f t="shared" si="262"/>
        <v>0</v>
      </c>
      <c r="O1890" t="s">
        <v>24</v>
      </c>
      <c r="P1890" t="s">
        <v>4918</v>
      </c>
      <c r="Q1890">
        <v>0</v>
      </c>
      <c r="R1890">
        <v>262</v>
      </c>
      <c r="S1890">
        <f t="shared" si="263"/>
        <v>-1.3507023570261869</v>
      </c>
      <c r="T1890">
        <f t="shared" si="264"/>
        <v>0</v>
      </c>
      <c r="U1890">
        <f t="shared" si="265"/>
        <v>0</v>
      </c>
      <c r="V1890">
        <f t="shared" si="266"/>
        <v>1</v>
      </c>
      <c r="W1890">
        <f t="shared" si="267"/>
        <v>1</v>
      </c>
      <c r="X1890">
        <f t="shared" si="268"/>
        <v>0</v>
      </c>
      <c r="Y1890">
        <f t="shared" si="269"/>
        <v>0</v>
      </c>
    </row>
    <row r="1891" spans="1:25" x14ac:dyDescent="0.3">
      <c r="A1891" t="s">
        <v>1946</v>
      </c>
      <c r="B1891" t="s">
        <v>1947</v>
      </c>
      <c r="C1891" s="1">
        <v>45783</v>
      </c>
      <c r="D1891" s="3">
        <v>0.84060185185185188</v>
      </c>
      <c r="E1891">
        <f t="shared" si="270"/>
        <v>20</v>
      </c>
      <c r="F1891">
        <v>30</v>
      </c>
      <c r="G1891" t="s">
        <v>28</v>
      </c>
      <c r="H1891" t="s">
        <v>175</v>
      </c>
      <c r="I1891" t="s">
        <v>39</v>
      </c>
      <c r="J1891" t="s">
        <v>132</v>
      </c>
      <c r="K1891" t="s">
        <v>168</v>
      </c>
      <c r="L1891">
        <v>77.040000000000006</v>
      </c>
      <c r="M1891" t="s">
        <v>115</v>
      </c>
      <c r="N1891">
        <f t="shared" si="262"/>
        <v>0</v>
      </c>
      <c r="O1891" t="s">
        <v>34</v>
      </c>
      <c r="P1891" t="s">
        <v>1948</v>
      </c>
      <c r="Q1891">
        <v>0</v>
      </c>
      <c r="R1891">
        <v>439</v>
      </c>
      <c r="S1891">
        <f t="shared" si="263"/>
        <v>-1.3508407996209477</v>
      </c>
      <c r="T1891">
        <f t="shared" si="264"/>
        <v>0</v>
      </c>
      <c r="U1891">
        <f t="shared" si="265"/>
        <v>0</v>
      </c>
      <c r="V1891">
        <f t="shared" si="266"/>
        <v>0</v>
      </c>
      <c r="W1891">
        <f t="shared" si="267"/>
        <v>0</v>
      </c>
      <c r="X1891">
        <f t="shared" si="268"/>
        <v>0</v>
      </c>
      <c r="Y1891">
        <f t="shared" si="269"/>
        <v>0</v>
      </c>
    </row>
    <row r="1892" spans="1:25" x14ac:dyDescent="0.3">
      <c r="A1892" t="s">
        <v>1235</v>
      </c>
      <c r="B1892" t="s">
        <v>1236</v>
      </c>
      <c r="C1892" s="1">
        <v>45837</v>
      </c>
      <c r="D1892" s="3">
        <v>0.41751157407407408</v>
      </c>
      <c r="E1892">
        <f t="shared" si="270"/>
        <v>10</v>
      </c>
      <c r="F1892" s="4">
        <v>41</v>
      </c>
      <c r="G1892" t="s">
        <v>106</v>
      </c>
      <c r="H1892" t="s">
        <v>239</v>
      </c>
      <c r="I1892" t="s">
        <v>85</v>
      </c>
      <c r="J1892" t="s">
        <v>127</v>
      </c>
      <c r="K1892" t="s">
        <v>62</v>
      </c>
      <c r="L1892">
        <v>76.69</v>
      </c>
      <c r="M1892" t="s">
        <v>33</v>
      </c>
      <c r="N1892">
        <f t="shared" si="262"/>
        <v>0</v>
      </c>
      <c r="O1892" t="s">
        <v>86</v>
      </c>
      <c r="P1892" t="s">
        <v>1237</v>
      </c>
      <c r="Q1892">
        <v>0</v>
      </c>
      <c r="R1892">
        <v>175</v>
      </c>
      <c r="S1892">
        <f t="shared" si="263"/>
        <v>-1.3556862904375802</v>
      </c>
      <c r="T1892">
        <f t="shared" si="264"/>
        <v>0</v>
      </c>
      <c r="U1892">
        <f t="shared" si="265"/>
        <v>0</v>
      </c>
      <c r="V1892">
        <f t="shared" si="266"/>
        <v>1</v>
      </c>
      <c r="W1892">
        <f t="shared" si="267"/>
        <v>1</v>
      </c>
      <c r="X1892">
        <f t="shared" si="268"/>
        <v>0</v>
      </c>
      <c r="Y1892">
        <f t="shared" si="269"/>
        <v>0</v>
      </c>
    </row>
    <row r="1893" spans="1:25" x14ac:dyDescent="0.3">
      <c r="A1893" t="s">
        <v>1544</v>
      </c>
      <c r="B1893" t="s">
        <v>1545</v>
      </c>
      <c r="C1893" s="1">
        <v>45832</v>
      </c>
      <c r="D1893" s="3">
        <v>0.59726851851851848</v>
      </c>
      <c r="E1893">
        <f t="shared" si="270"/>
        <v>14</v>
      </c>
      <c r="F1893">
        <v>40</v>
      </c>
      <c r="G1893" t="s">
        <v>46</v>
      </c>
      <c r="H1893" t="s">
        <v>175</v>
      </c>
      <c r="I1893" t="s">
        <v>119</v>
      </c>
      <c r="J1893" t="s">
        <v>127</v>
      </c>
      <c r="K1893" t="s">
        <v>95</v>
      </c>
      <c r="L1893">
        <v>76.680000000000007</v>
      </c>
      <c r="M1893" t="s">
        <v>23</v>
      </c>
      <c r="N1893">
        <f t="shared" si="262"/>
        <v>0</v>
      </c>
      <c r="O1893" t="s">
        <v>86</v>
      </c>
      <c r="P1893" t="s">
        <v>1546</v>
      </c>
      <c r="Q1893">
        <v>0</v>
      </c>
      <c r="R1893">
        <v>372</v>
      </c>
      <c r="S1893">
        <f t="shared" si="263"/>
        <v>-1.355824733032341</v>
      </c>
      <c r="T1893">
        <f t="shared" si="264"/>
        <v>0</v>
      </c>
      <c r="U1893">
        <f t="shared" si="265"/>
        <v>0</v>
      </c>
      <c r="V1893">
        <f t="shared" si="266"/>
        <v>0</v>
      </c>
      <c r="W1893">
        <f t="shared" si="267"/>
        <v>0</v>
      </c>
      <c r="X1893">
        <f t="shared" si="268"/>
        <v>0</v>
      </c>
      <c r="Y1893">
        <f t="shared" si="269"/>
        <v>0</v>
      </c>
    </row>
    <row r="1894" spans="1:25" x14ac:dyDescent="0.3">
      <c r="A1894" t="s">
        <v>4781</v>
      </c>
      <c r="B1894" t="s">
        <v>4782</v>
      </c>
      <c r="C1894" s="1">
        <v>45825</v>
      </c>
      <c r="D1894" s="3">
        <v>0.97280092592592593</v>
      </c>
      <c r="E1894">
        <f t="shared" si="270"/>
        <v>23</v>
      </c>
      <c r="F1894">
        <v>47</v>
      </c>
      <c r="G1894" t="s">
        <v>46</v>
      </c>
      <c r="H1894" t="s">
        <v>232</v>
      </c>
      <c r="I1894" t="s">
        <v>110</v>
      </c>
      <c r="J1894" t="s">
        <v>72</v>
      </c>
      <c r="K1894" t="s">
        <v>50</v>
      </c>
      <c r="L1894">
        <v>76.63</v>
      </c>
      <c r="M1894" t="s">
        <v>23</v>
      </c>
      <c r="N1894">
        <f t="shared" si="262"/>
        <v>0</v>
      </c>
      <c r="O1894" t="s">
        <v>51</v>
      </c>
      <c r="P1894" t="s">
        <v>4783</v>
      </c>
      <c r="Q1894">
        <v>0</v>
      </c>
      <c r="R1894">
        <v>227</v>
      </c>
      <c r="S1894">
        <f t="shared" si="263"/>
        <v>-1.3565169460061457</v>
      </c>
      <c r="T1894">
        <f t="shared" si="264"/>
        <v>0</v>
      </c>
      <c r="U1894">
        <f t="shared" si="265"/>
        <v>0</v>
      </c>
      <c r="V1894">
        <f t="shared" si="266"/>
        <v>1</v>
      </c>
      <c r="W1894">
        <f t="shared" si="267"/>
        <v>1</v>
      </c>
      <c r="X1894">
        <f t="shared" si="268"/>
        <v>0</v>
      </c>
      <c r="Y1894">
        <f t="shared" si="269"/>
        <v>0</v>
      </c>
    </row>
    <row r="1895" spans="1:25" x14ac:dyDescent="0.3">
      <c r="A1895" t="s">
        <v>1253</v>
      </c>
      <c r="B1895" t="s">
        <v>1254</v>
      </c>
      <c r="C1895" s="1">
        <v>45728</v>
      </c>
      <c r="D1895" s="3">
        <v>0.72319444444444447</v>
      </c>
      <c r="E1895">
        <f t="shared" si="270"/>
        <v>17</v>
      </c>
      <c r="F1895">
        <v>42</v>
      </c>
      <c r="G1895" t="s">
        <v>18</v>
      </c>
      <c r="H1895" t="s">
        <v>84</v>
      </c>
      <c r="I1895" t="s">
        <v>30</v>
      </c>
      <c r="J1895" t="s">
        <v>72</v>
      </c>
      <c r="K1895" t="s">
        <v>62</v>
      </c>
      <c r="L1895">
        <v>76.61</v>
      </c>
      <c r="M1895" t="s">
        <v>42</v>
      </c>
      <c r="N1895">
        <f t="shared" si="262"/>
        <v>0</v>
      </c>
      <c r="O1895" t="s">
        <v>51</v>
      </c>
      <c r="P1895" t="s">
        <v>1255</v>
      </c>
      <c r="Q1895">
        <v>0</v>
      </c>
      <c r="R1895">
        <v>477</v>
      </c>
      <c r="S1895">
        <f t="shared" si="263"/>
        <v>-1.3567938311956675</v>
      </c>
      <c r="T1895">
        <f t="shared" si="264"/>
        <v>0</v>
      </c>
      <c r="U1895">
        <f t="shared" si="265"/>
        <v>0</v>
      </c>
      <c r="V1895">
        <f t="shared" si="266"/>
        <v>0</v>
      </c>
      <c r="W1895">
        <f t="shared" si="267"/>
        <v>0</v>
      </c>
      <c r="X1895">
        <f t="shared" si="268"/>
        <v>0</v>
      </c>
      <c r="Y1895">
        <f t="shared" si="269"/>
        <v>0</v>
      </c>
    </row>
    <row r="1896" spans="1:25" x14ac:dyDescent="0.3">
      <c r="A1896" t="s">
        <v>2030</v>
      </c>
      <c r="B1896" t="s">
        <v>2031</v>
      </c>
      <c r="C1896" s="1">
        <v>45737</v>
      </c>
      <c r="D1896" s="3">
        <v>2.5740740740740741E-2</v>
      </c>
      <c r="E1896">
        <f t="shared" si="270"/>
        <v>0</v>
      </c>
      <c r="F1896">
        <v>27</v>
      </c>
      <c r="G1896" t="s">
        <v>18</v>
      </c>
      <c r="H1896" t="s">
        <v>142</v>
      </c>
      <c r="I1896" t="s">
        <v>105</v>
      </c>
      <c r="J1896" t="s">
        <v>94</v>
      </c>
      <c r="K1896" t="s">
        <v>120</v>
      </c>
      <c r="L1896">
        <v>76.31</v>
      </c>
      <c r="M1896" t="s">
        <v>42</v>
      </c>
      <c r="N1896">
        <f t="shared" si="262"/>
        <v>0</v>
      </c>
      <c r="O1896" t="s">
        <v>51</v>
      </c>
      <c r="P1896" t="s">
        <v>2032</v>
      </c>
      <c r="Q1896">
        <v>0</v>
      </c>
      <c r="R1896">
        <v>308</v>
      </c>
      <c r="S1896">
        <f t="shared" si="263"/>
        <v>-1.3609471090384953</v>
      </c>
      <c r="T1896">
        <f t="shared" si="264"/>
        <v>0</v>
      </c>
      <c r="U1896">
        <f t="shared" si="265"/>
        <v>1</v>
      </c>
      <c r="V1896">
        <f t="shared" si="266"/>
        <v>0</v>
      </c>
      <c r="W1896">
        <f t="shared" si="267"/>
        <v>2</v>
      </c>
      <c r="X1896">
        <f t="shared" si="268"/>
        <v>0</v>
      </c>
      <c r="Y1896">
        <f t="shared" si="269"/>
        <v>0</v>
      </c>
    </row>
    <row r="1897" spans="1:25" x14ac:dyDescent="0.3">
      <c r="A1897" t="s">
        <v>1334</v>
      </c>
      <c r="B1897" t="s">
        <v>1335</v>
      </c>
      <c r="C1897" s="1">
        <v>45735</v>
      </c>
      <c r="D1897" s="3">
        <v>0.71224537037037039</v>
      </c>
      <c r="E1897">
        <f t="shared" si="270"/>
        <v>17</v>
      </c>
      <c r="F1897">
        <v>60</v>
      </c>
      <c r="G1897" t="s">
        <v>60</v>
      </c>
      <c r="H1897" t="s">
        <v>70</v>
      </c>
      <c r="I1897" t="s">
        <v>66</v>
      </c>
      <c r="J1897" t="s">
        <v>40</v>
      </c>
      <c r="K1897" t="s">
        <v>50</v>
      </c>
      <c r="L1897">
        <v>76.16</v>
      </c>
      <c r="M1897" t="s">
        <v>42</v>
      </c>
      <c r="N1897">
        <f t="shared" si="262"/>
        <v>0</v>
      </c>
      <c r="O1897" t="s">
        <v>24</v>
      </c>
      <c r="P1897" t="s">
        <v>1336</v>
      </c>
      <c r="Q1897">
        <v>0</v>
      </c>
      <c r="R1897">
        <v>449</v>
      </c>
      <c r="S1897">
        <f t="shared" si="263"/>
        <v>-1.3630237479599092</v>
      </c>
      <c r="T1897">
        <f t="shared" si="264"/>
        <v>0</v>
      </c>
      <c r="U1897">
        <f t="shared" si="265"/>
        <v>0</v>
      </c>
      <c r="V1897">
        <f t="shared" si="266"/>
        <v>0</v>
      </c>
      <c r="W1897">
        <f t="shared" si="267"/>
        <v>0</v>
      </c>
      <c r="X1897">
        <f t="shared" si="268"/>
        <v>0</v>
      </c>
      <c r="Y1897">
        <f t="shared" si="269"/>
        <v>0</v>
      </c>
    </row>
    <row r="1898" spans="1:25" x14ac:dyDescent="0.3">
      <c r="A1898" t="s">
        <v>1325</v>
      </c>
      <c r="B1898" t="s">
        <v>1326</v>
      </c>
      <c r="C1898" s="1">
        <v>45713</v>
      </c>
      <c r="D1898" s="3">
        <v>0.60804398148148153</v>
      </c>
      <c r="E1898">
        <f t="shared" si="270"/>
        <v>14</v>
      </c>
      <c r="F1898">
        <v>59</v>
      </c>
      <c r="G1898" t="s">
        <v>6479</v>
      </c>
      <c r="H1898" t="s">
        <v>100</v>
      </c>
      <c r="I1898" t="s">
        <v>85</v>
      </c>
      <c r="J1898" t="s">
        <v>132</v>
      </c>
      <c r="K1898" t="s">
        <v>114</v>
      </c>
      <c r="L1898">
        <v>76.12</v>
      </c>
      <c r="M1898" t="s">
        <v>23</v>
      </c>
      <c r="N1898">
        <f t="shared" si="262"/>
        <v>0</v>
      </c>
      <c r="O1898" t="s">
        <v>34</v>
      </c>
      <c r="P1898" t="s">
        <v>1327</v>
      </c>
      <c r="Q1898">
        <v>0</v>
      </c>
      <c r="R1898">
        <v>342</v>
      </c>
      <c r="S1898">
        <f t="shared" si="263"/>
        <v>-1.3635775183389527</v>
      </c>
      <c r="T1898">
        <f t="shared" si="264"/>
        <v>0</v>
      </c>
      <c r="U1898">
        <f t="shared" si="265"/>
        <v>0</v>
      </c>
      <c r="V1898">
        <f t="shared" si="266"/>
        <v>0</v>
      </c>
      <c r="W1898">
        <f t="shared" si="267"/>
        <v>0</v>
      </c>
      <c r="X1898">
        <f t="shared" si="268"/>
        <v>0</v>
      </c>
      <c r="Y1898">
        <f t="shared" si="269"/>
        <v>0</v>
      </c>
    </row>
    <row r="1899" spans="1:25" x14ac:dyDescent="0.3">
      <c r="A1899" t="s">
        <v>5276</v>
      </c>
      <c r="B1899" t="s">
        <v>5277</v>
      </c>
      <c r="C1899" s="1">
        <v>45856</v>
      </c>
      <c r="D1899" s="3">
        <v>0.25418981481481484</v>
      </c>
      <c r="E1899">
        <f t="shared" si="270"/>
        <v>6</v>
      </c>
      <c r="F1899">
        <v>27</v>
      </c>
      <c r="G1899" t="s">
        <v>46</v>
      </c>
      <c r="H1899" t="s">
        <v>84</v>
      </c>
      <c r="I1899" t="s">
        <v>105</v>
      </c>
      <c r="J1899" t="s">
        <v>31</v>
      </c>
      <c r="K1899" t="s">
        <v>95</v>
      </c>
      <c r="L1899">
        <v>76.09</v>
      </c>
      <c r="M1899" t="s">
        <v>42</v>
      </c>
      <c r="N1899">
        <f t="shared" si="262"/>
        <v>0</v>
      </c>
      <c r="O1899" t="s">
        <v>34</v>
      </c>
      <c r="P1899" t="s">
        <v>5278</v>
      </c>
      <c r="Q1899">
        <v>0</v>
      </c>
      <c r="R1899">
        <v>449</v>
      </c>
      <c r="S1899">
        <f t="shared" si="263"/>
        <v>-1.3639928461232356</v>
      </c>
      <c r="T1899">
        <f t="shared" si="264"/>
        <v>0</v>
      </c>
      <c r="U1899">
        <f t="shared" si="265"/>
        <v>0</v>
      </c>
      <c r="V1899">
        <f t="shared" si="266"/>
        <v>0</v>
      </c>
      <c r="W1899">
        <f t="shared" si="267"/>
        <v>0</v>
      </c>
      <c r="X1899">
        <f t="shared" si="268"/>
        <v>0</v>
      </c>
      <c r="Y1899">
        <f t="shared" si="269"/>
        <v>0</v>
      </c>
    </row>
    <row r="1900" spans="1:25" x14ac:dyDescent="0.3">
      <c r="A1900" t="s">
        <v>821</v>
      </c>
      <c r="B1900" t="s">
        <v>822</v>
      </c>
      <c r="C1900" s="1">
        <v>45823</v>
      </c>
      <c r="D1900" s="3">
        <v>5.4467592592592595E-2</v>
      </c>
      <c r="E1900">
        <f t="shared" si="270"/>
        <v>1</v>
      </c>
      <c r="F1900">
        <v>49</v>
      </c>
      <c r="G1900" t="s">
        <v>99</v>
      </c>
      <c r="H1900" t="s">
        <v>232</v>
      </c>
      <c r="I1900" t="s">
        <v>119</v>
      </c>
      <c r="J1900" t="s">
        <v>40</v>
      </c>
      <c r="K1900" t="s">
        <v>50</v>
      </c>
      <c r="L1900">
        <v>76</v>
      </c>
      <c r="M1900" t="s">
        <v>115</v>
      </c>
      <c r="N1900">
        <f t="shared" si="262"/>
        <v>0</v>
      </c>
      <c r="O1900" t="s">
        <v>51</v>
      </c>
      <c r="P1900" t="s">
        <v>823</v>
      </c>
      <c r="Q1900">
        <v>0</v>
      </c>
      <c r="R1900">
        <v>127</v>
      </c>
      <c r="S1900">
        <f t="shared" si="263"/>
        <v>-1.365238829476084</v>
      </c>
      <c r="T1900">
        <f t="shared" si="264"/>
        <v>0</v>
      </c>
      <c r="U1900">
        <f t="shared" si="265"/>
        <v>1</v>
      </c>
      <c r="V1900">
        <f t="shared" si="266"/>
        <v>1</v>
      </c>
      <c r="W1900">
        <f t="shared" si="267"/>
        <v>3</v>
      </c>
      <c r="X1900">
        <f t="shared" si="268"/>
        <v>0</v>
      </c>
      <c r="Y1900">
        <f t="shared" si="269"/>
        <v>0</v>
      </c>
    </row>
    <row r="1901" spans="1:25" x14ac:dyDescent="0.3">
      <c r="A1901" t="s">
        <v>221</v>
      </c>
      <c r="B1901" t="s">
        <v>222</v>
      </c>
      <c r="C1901" s="1">
        <v>45713</v>
      </c>
      <c r="D1901" s="3">
        <v>9.4583333333333339E-2</v>
      </c>
      <c r="E1901">
        <f t="shared" si="270"/>
        <v>2</v>
      </c>
      <c r="F1901">
        <v>19</v>
      </c>
      <c r="G1901" t="s">
        <v>28</v>
      </c>
      <c r="H1901" t="s">
        <v>61</v>
      </c>
      <c r="I1901" t="s">
        <v>20</v>
      </c>
      <c r="J1901" t="s">
        <v>56</v>
      </c>
      <c r="K1901" t="s">
        <v>32</v>
      </c>
      <c r="L1901">
        <v>75.930000000000007</v>
      </c>
      <c r="M1901" t="s">
        <v>115</v>
      </c>
      <c r="N1901">
        <f t="shared" si="262"/>
        <v>0</v>
      </c>
      <c r="O1901" t="s">
        <v>51</v>
      </c>
      <c r="P1901" t="s">
        <v>223</v>
      </c>
      <c r="Q1901">
        <v>0</v>
      </c>
      <c r="R1901">
        <v>98</v>
      </c>
      <c r="S1901">
        <f t="shared" si="263"/>
        <v>-1.3662079276394103</v>
      </c>
      <c r="T1901">
        <f t="shared" si="264"/>
        <v>0</v>
      </c>
      <c r="U1901">
        <f t="shared" si="265"/>
        <v>1</v>
      </c>
      <c r="V1901">
        <f t="shared" si="266"/>
        <v>1</v>
      </c>
      <c r="W1901">
        <f t="shared" si="267"/>
        <v>3</v>
      </c>
      <c r="X1901">
        <f t="shared" si="268"/>
        <v>0</v>
      </c>
      <c r="Y1901">
        <f t="shared" si="269"/>
        <v>0</v>
      </c>
    </row>
    <row r="1902" spans="1:25" x14ac:dyDescent="0.3">
      <c r="A1902" t="s">
        <v>5759</v>
      </c>
      <c r="B1902" t="s">
        <v>5760</v>
      </c>
      <c r="C1902" s="1">
        <v>45795</v>
      </c>
      <c r="D1902" s="3">
        <v>0.41984953703703703</v>
      </c>
      <c r="E1902">
        <f t="shared" si="270"/>
        <v>10</v>
      </c>
      <c r="F1902">
        <v>49</v>
      </c>
      <c r="G1902" t="s">
        <v>18</v>
      </c>
      <c r="H1902" t="s">
        <v>29</v>
      </c>
      <c r="I1902" t="s">
        <v>48</v>
      </c>
      <c r="J1902" t="s">
        <v>31</v>
      </c>
      <c r="K1902" t="s">
        <v>101</v>
      </c>
      <c r="L1902">
        <v>75.900000000000006</v>
      </c>
      <c r="M1902" t="s">
        <v>23</v>
      </c>
      <c r="N1902">
        <f t="shared" si="262"/>
        <v>0</v>
      </c>
      <c r="O1902" t="s">
        <v>51</v>
      </c>
      <c r="P1902" t="s">
        <v>5761</v>
      </c>
      <c r="Q1902">
        <v>1</v>
      </c>
      <c r="R1902">
        <v>430</v>
      </c>
      <c r="S1902">
        <f t="shared" si="263"/>
        <v>-1.3666232554236932</v>
      </c>
      <c r="T1902">
        <f t="shared" si="264"/>
        <v>0</v>
      </c>
      <c r="U1902">
        <f t="shared" si="265"/>
        <v>0</v>
      </c>
      <c r="V1902">
        <f t="shared" si="266"/>
        <v>0</v>
      </c>
      <c r="W1902">
        <f t="shared" si="267"/>
        <v>0</v>
      </c>
      <c r="X1902">
        <f t="shared" si="268"/>
        <v>0</v>
      </c>
      <c r="Y1902">
        <f t="shared" si="269"/>
        <v>0</v>
      </c>
    </row>
    <row r="1903" spans="1:25" x14ac:dyDescent="0.3">
      <c r="A1903" t="s">
        <v>4712</v>
      </c>
      <c r="B1903" t="s">
        <v>4713</v>
      </c>
      <c r="C1903" s="1">
        <v>45844</v>
      </c>
      <c r="D1903" s="3">
        <v>0.22855324074074074</v>
      </c>
      <c r="E1903">
        <f t="shared" si="270"/>
        <v>5</v>
      </c>
      <c r="F1903">
        <v>35</v>
      </c>
      <c r="G1903" t="s">
        <v>28</v>
      </c>
      <c r="H1903" t="s">
        <v>239</v>
      </c>
      <c r="I1903" t="s">
        <v>39</v>
      </c>
      <c r="J1903" t="s">
        <v>21</v>
      </c>
      <c r="K1903" t="s">
        <v>101</v>
      </c>
      <c r="L1903">
        <v>75.819999999999993</v>
      </c>
      <c r="M1903" t="s">
        <v>33</v>
      </c>
      <c r="N1903">
        <f t="shared" si="262"/>
        <v>0</v>
      </c>
      <c r="O1903" t="s">
        <v>86</v>
      </c>
      <c r="P1903" t="s">
        <v>4714</v>
      </c>
      <c r="Q1903">
        <v>0</v>
      </c>
      <c r="R1903">
        <v>94</v>
      </c>
      <c r="S1903">
        <f t="shared" si="263"/>
        <v>-1.3677307961817806</v>
      </c>
      <c r="T1903">
        <f t="shared" si="264"/>
        <v>0</v>
      </c>
      <c r="U1903">
        <f t="shared" si="265"/>
        <v>1</v>
      </c>
      <c r="V1903">
        <f t="shared" si="266"/>
        <v>1</v>
      </c>
      <c r="W1903">
        <f t="shared" si="267"/>
        <v>3</v>
      </c>
      <c r="X1903">
        <f t="shared" si="268"/>
        <v>0</v>
      </c>
      <c r="Y1903">
        <f t="shared" si="269"/>
        <v>0</v>
      </c>
    </row>
    <row r="1904" spans="1:25" x14ac:dyDescent="0.3">
      <c r="A1904" t="s">
        <v>162</v>
      </c>
      <c r="B1904" t="s">
        <v>163</v>
      </c>
      <c r="C1904" s="1">
        <v>45773</v>
      </c>
      <c r="D1904" s="3">
        <v>0.6191550925925926</v>
      </c>
      <c r="E1904">
        <f t="shared" si="270"/>
        <v>14</v>
      </c>
      <c r="F1904">
        <v>59</v>
      </c>
      <c r="G1904" t="s">
        <v>46</v>
      </c>
      <c r="H1904" t="s">
        <v>131</v>
      </c>
      <c r="I1904" t="s">
        <v>39</v>
      </c>
      <c r="J1904" t="s">
        <v>21</v>
      </c>
      <c r="K1904" t="s">
        <v>114</v>
      </c>
      <c r="L1904">
        <v>75.81</v>
      </c>
      <c r="M1904" t="s">
        <v>6479</v>
      </c>
      <c r="N1904">
        <f t="shared" si="262"/>
        <v>1</v>
      </c>
      <c r="O1904" t="s">
        <v>24</v>
      </c>
      <c r="P1904" t="s">
        <v>164</v>
      </c>
      <c r="Q1904">
        <v>0</v>
      </c>
      <c r="R1904">
        <v>408</v>
      </c>
      <c r="S1904">
        <f t="shared" si="263"/>
        <v>-1.3678692387765414</v>
      </c>
      <c r="T1904">
        <f t="shared" si="264"/>
        <v>0</v>
      </c>
      <c r="U1904">
        <f t="shared" si="265"/>
        <v>0</v>
      </c>
      <c r="V1904">
        <f t="shared" si="266"/>
        <v>0</v>
      </c>
      <c r="W1904">
        <f t="shared" si="267"/>
        <v>2</v>
      </c>
      <c r="X1904">
        <f t="shared" si="268"/>
        <v>0</v>
      </c>
      <c r="Y1904">
        <f t="shared" si="269"/>
        <v>1</v>
      </c>
    </row>
    <row r="1905" spans="1:25" x14ac:dyDescent="0.3">
      <c r="A1905" s="2" t="s">
        <v>4538</v>
      </c>
      <c r="B1905" t="s">
        <v>4539</v>
      </c>
      <c r="C1905" s="1">
        <v>45877</v>
      </c>
      <c r="D1905" s="3">
        <v>0.32013888888888886</v>
      </c>
      <c r="E1905">
        <f t="shared" si="270"/>
        <v>7</v>
      </c>
      <c r="F1905">
        <v>24</v>
      </c>
      <c r="G1905" t="s">
        <v>18</v>
      </c>
      <c r="H1905" t="s">
        <v>131</v>
      </c>
      <c r="I1905" t="s">
        <v>66</v>
      </c>
      <c r="J1905" t="s">
        <v>94</v>
      </c>
      <c r="K1905" t="s">
        <v>32</v>
      </c>
      <c r="L1905">
        <v>75.599999999999994</v>
      </c>
      <c r="M1905" t="s">
        <v>33</v>
      </c>
      <c r="N1905">
        <f t="shared" si="262"/>
        <v>0</v>
      </c>
      <c r="O1905" t="s">
        <v>51</v>
      </c>
      <c r="P1905" t="s">
        <v>4540</v>
      </c>
      <c r="Q1905">
        <v>0</v>
      </c>
      <c r="R1905">
        <v>261</v>
      </c>
      <c r="S1905">
        <f t="shared" si="263"/>
        <v>-1.3707765332665209</v>
      </c>
      <c r="T1905">
        <f t="shared" si="264"/>
        <v>0</v>
      </c>
      <c r="U1905">
        <f t="shared" si="265"/>
        <v>0</v>
      </c>
      <c r="V1905">
        <f t="shared" si="266"/>
        <v>1</v>
      </c>
      <c r="W1905">
        <f t="shared" si="267"/>
        <v>1</v>
      </c>
      <c r="X1905">
        <f t="shared" si="268"/>
        <v>0</v>
      </c>
      <c r="Y1905">
        <f t="shared" si="269"/>
        <v>0</v>
      </c>
    </row>
    <row r="1906" spans="1:25" x14ac:dyDescent="0.3">
      <c r="A1906" t="s">
        <v>3392</v>
      </c>
      <c r="B1906" t="s">
        <v>3393</v>
      </c>
      <c r="C1906" s="1">
        <v>45759</v>
      </c>
      <c r="D1906" s="3">
        <v>0.22317129629629628</v>
      </c>
      <c r="E1906">
        <f t="shared" si="270"/>
        <v>5</v>
      </c>
      <c r="F1906">
        <v>46</v>
      </c>
      <c r="G1906" t="s">
        <v>99</v>
      </c>
      <c r="H1906" t="s">
        <v>90</v>
      </c>
      <c r="I1906" t="s">
        <v>110</v>
      </c>
      <c r="J1906" t="s">
        <v>31</v>
      </c>
      <c r="K1906" t="s">
        <v>95</v>
      </c>
      <c r="L1906">
        <v>75.489999999999995</v>
      </c>
      <c r="M1906" t="s">
        <v>23</v>
      </c>
      <c r="N1906">
        <f t="shared" si="262"/>
        <v>0</v>
      </c>
      <c r="O1906" t="s">
        <v>51</v>
      </c>
      <c r="P1906" t="s">
        <v>3394</v>
      </c>
      <c r="Q1906">
        <v>0</v>
      </c>
      <c r="R1906">
        <v>377</v>
      </c>
      <c r="S1906">
        <f t="shared" si="263"/>
        <v>-1.3722994018088912</v>
      </c>
      <c r="T1906">
        <f t="shared" si="264"/>
        <v>0</v>
      </c>
      <c r="U1906">
        <f t="shared" si="265"/>
        <v>1</v>
      </c>
      <c r="V1906">
        <f t="shared" si="266"/>
        <v>0</v>
      </c>
      <c r="W1906">
        <f t="shared" si="267"/>
        <v>2</v>
      </c>
      <c r="X1906">
        <f t="shared" si="268"/>
        <v>0</v>
      </c>
      <c r="Y1906">
        <f t="shared" si="269"/>
        <v>0</v>
      </c>
    </row>
    <row r="1907" spans="1:25" x14ac:dyDescent="0.3">
      <c r="A1907" t="s">
        <v>2432</v>
      </c>
      <c r="B1907" t="s">
        <v>2433</v>
      </c>
      <c r="C1907" s="1">
        <v>45719</v>
      </c>
      <c r="D1907" s="3">
        <v>0.74306712962962962</v>
      </c>
      <c r="E1907">
        <f t="shared" si="270"/>
        <v>17</v>
      </c>
      <c r="F1907">
        <v>48</v>
      </c>
      <c r="G1907" t="s">
        <v>18</v>
      </c>
      <c r="H1907" t="s">
        <v>100</v>
      </c>
      <c r="I1907" t="s">
        <v>39</v>
      </c>
      <c r="J1907" t="s">
        <v>127</v>
      </c>
      <c r="K1907" t="s">
        <v>41</v>
      </c>
      <c r="L1907">
        <v>75.48</v>
      </c>
      <c r="M1907" t="s">
        <v>33</v>
      </c>
      <c r="N1907">
        <f t="shared" si="262"/>
        <v>0</v>
      </c>
      <c r="O1907" t="s">
        <v>51</v>
      </c>
      <c r="P1907" t="s">
        <v>2434</v>
      </c>
      <c r="Q1907">
        <v>0</v>
      </c>
      <c r="R1907">
        <v>443</v>
      </c>
      <c r="S1907">
        <f t="shared" si="263"/>
        <v>-1.372437844403652</v>
      </c>
      <c r="T1907">
        <f t="shared" si="264"/>
        <v>0</v>
      </c>
      <c r="U1907">
        <f t="shared" si="265"/>
        <v>0</v>
      </c>
      <c r="V1907">
        <f t="shared" si="266"/>
        <v>0</v>
      </c>
      <c r="W1907">
        <f t="shared" si="267"/>
        <v>0</v>
      </c>
      <c r="X1907">
        <f t="shared" si="268"/>
        <v>0</v>
      </c>
      <c r="Y1907">
        <f t="shared" si="269"/>
        <v>0</v>
      </c>
    </row>
    <row r="1908" spans="1:25" x14ac:dyDescent="0.3">
      <c r="A1908" t="s">
        <v>4493</v>
      </c>
      <c r="B1908" t="s">
        <v>4494</v>
      </c>
      <c r="C1908" s="1">
        <v>45817</v>
      </c>
      <c r="D1908" s="3">
        <v>0.54518518518518522</v>
      </c>
      <c r="E1908">
        <f t="shared" si="270"/>
        <v>13</v>
      </c>
      <c r="F1908">
        <v>23</v>
      </c>
      <c r="G1908" t="s">
        <v>60</v>
      </c>
      <c r="H1908" t="s">
        <v>131</v>
      </c>
      <c r="I1908" t="s">
        <v>71</v>
      </c>
      <c r="J1908" t="s">
        <v>72</v>
      </c>
      <c r="K1908" t="s">
        <v>168</v>
      </c>
      <c r="L1908">
        <v>75.47</v>
      </c>
      <c r="M1908" t="s">
        <v>42</v>
      </c>
      <c r="N1908">
        <f t="shared" si="262"/>
        <v>0</v>
      </c>
      <c r="O1908" t="s">
        <v>51</v>
      </c>
      <c r="P1908" t="s">
        <v>4495</v>
      </c>
      <c r="Q1908">
        <v>0</v>
      </c>
      <c r="R1908">
        <v>389</v>
      </c>
      <c r="S1908">
        <f t="shared" si="263"/>
        <v>-1.3725762869984131</v>
      </c>
      <c r="T1908">
        <f t="shared" si="264"/>
        <v>0</v>
      </c>
      <c r="U1908">
        <f t="shared" si="265"/>
        <v>0</v>
      </c>
      <c r="V1908">
        <f t="shared" si="266"/>
        <v>0</v>
      </c>
      <c r="W1908">
        <f t="shared" si="267"/>
        <v>0</v>
      </c>
      <c r="X1908">
        <f t="shared" si="268"/>
        <v>0</v>
      </c>
      <c r="Y1908">
        <f t="shared" si="269"/>
        <v>0</v>
      </c>
    </row>
    <row r="1909" spans="1:25" x14ac:dyDescent="0.3">
      <c r="A1909" t="s">
        <v>5186</v>
      </c>
      <c r="B1909" t="s">
        <v>5187</v>
      </c>
      <c r="C1909" s="1">
        <v>45729</v>
      </c>
      <c r="D1909" s="3">
        <v>3.0833333333333334E-2</v>
      </c>
      <c r="E1909">
        <f t="shared" si="270"/>
        <v>0</v>
      </c>
      <c r="F1909">
        <v>60</v>
      </c>
      <c r="G1909" t="s">
        <v>18</v>
      </c>
      <c r="H1909" t="s">
        <v>232</v>
      </c>
      <c r="I1909" t="s">
        <v>119</v>
      </c>
      <c r="J1909" t="s">
        <v>49</v>
      </c>
      <c r="K1909" t="s">
        <v>41</v>
      </c>
      <c r="L1909">
        <v>75.22</v>
      </c>
      <c r="M1909" t="s">
        <v>33</v>
      </c>
      <c r="N1909">
        <f t="shared" si="262"/>
        <v>0</v>
      </c>
      <c r="O1909" t="s">
        <v>24</v>
      </c>
      <c r="P1909" t="s">
        <v>5188</v>
      </c>
      <c r="Q1909">
        <v>0</v>
      </c>
      <c r="R1909">
        <v>413</v>
      </c>
      <c r="S1909">
        <f t="shared" si="263"/>
        <v>-1.376037351867436</v>
      </c>
      <c r="T1909">
        <f t="shared" si="264"/>
        <v>0</v>
      </c>
      <c r="U1909">
        <f t="shared" si="265"/>
        <v>1</v>
      </c>
      <c r="V1909">
        <f t="shared" si="266"/>
        <v>0</v>
      </c>
      <c r="W1909">
        <f t="shared" si="267"/>
        <v>2</v>
      </c>
      <c r="X1909">
        <f t="shared" si="268"/>
        <v>0</v>
      </c>
      <c r="Y1909">
        <f t="shared" si="269"/>
        <v>0</v>
      </c>
    </row>
    <row r="1910" spans="1:25" x14ac:dyDescent="0.3">
      <c r="A1910" t="s">
        <v>5435</v>
      </c>
      <c r="B1910" t="s">
        <v>5436</v>
      </c>
      <c r="C1910" s="1">
        <v>45750</v>
      </c>
      <c r="D1910" s="3">
        <v>0.36896990740740743</v>
      </c>
      <c r="E1910">
        <f t="shared" si="270"/>
        <v>8</v>
      </c>
      <c r="F1910">
        <v>32</v>
      </c>
      <c r="G1910" t="s">
        <v>46</v>
      </c>
      <c r="H1910" t="s">
        <v>61</v>
      </c>
      <c r="I1910" t="s">
        <v>30</v>
      </c>
      <c r="J1910" t="s">
        <v>76</v>
      </c>
      <c r="K1910" t="s">
        <v>22</v>
      </c>
      <c r="L1910">
        <v>75.069999999999993</v>
      </c>
      <c r="M1910" t="s">
        <v>115</v>
      </c>
      <c r="N1910">
        <f t="shared" si="262"/>
        <v>0</v>
      </c>
      <c r="O1910" t="s">
        <v>51</v>
      </c>
      <c r="P1910" t="s">
        <v>5437</v>
      </c>
      <c r="Q1910">
        <v>0</v>
      </c>
      <c r="R1910">
        <v>187</v>
      </c>
      <c r="S1910">
        <f t="shared" si="263"/>
        <v>-1.37811399078885</v>
      </c>
      <c r="T1910">
        <f t="shared" si="264"/>
        <v>0</v>
      </c>
      <c r="U1910">
        <f t="shared" si="265"/>
        <v>0</v>
      </c>
      <c r="V1910">
        <f t="shared" si="266"/>
        <v>1</v>
      </c>
      <c r="W1910">
        <f t="shared" si="267"/>
        <v>1</v>
      </c>
      <c r="X1910">
        <f t="shared" si="268"/>
        <v>0</v>
      </c>
      <c r="Y1910">
        <f t="shared" si="269"/>
        <v>0</v>
      </c>
    </row>
    <row r="1911" spans="1:25" x14ac:dyDescent="0.3">
      <c r="A1911" t="s">
        <v>3002</v>
      </c>
      <c r="B1911" t="s">
        <v>3003</v>
      </c>
      <c r="C1911" s="1">
        <v>45710</v>
      </c>
      <c r="D1911" s="3">
        <v>0.87534722222222228</v>
      </c>
      <c r="E1911">
        <f t="shared" si="270"/>
        <v>21</v>
      </c>
      <c r="F1911">
        <v>53</v>
      </c>
      <c r="G1911" t="s">
        <v>28</v>
      </c>
      <c r="H1911" t="s">
        <v>131</v>
      </c>
      <c r="I1911" t="s">
        <v>66</v>
      </c>
      <c r="J1911" t="s">
        <v>72</v>
      </c>
      <c r="K1911" t="s">
        <v>41</v>
      </c>
      <c r="L1911">
        <v>74.87</v>
      </c>
      <c r="M1911" t="s">
        <v>23</v>
      </c>
      <c r="N1911">
        <f t="shared" si="262"/>
        <v>0</v>
      </c>
      <c r="O1911" t="s">
        <v>34</v>
      </c>
      <c r="P1911" t="s">
        <v>3004</v>
      </c>
      <c r="Q1911">
        <v>0</v>
      </c>
      <c r="R1911">
        <v>403</v>
      </c>
      <c r="S1911">
        <f t="shared" si="263"/>
        <v>-1.3808828426840685</v>
      </c>
      <c r="T1911">
        <f t="shared" si="264"/>
        <v>0</v>
      </c>
      <c r="U1911">
        <f t="shared" si="265"/>
        <v>0</v>
      </c>
      <c r="V1911">
        <f t="shared" si="266"/>
        <v>0</v>
      </c>
      <c r="W1911">
        <f t="shared" si="267"/>
        <v>0</v>
      </c>
      <c r="X1911">
        <f t="shared" si="268"/>
        <v>0</v>
      </c>
      <c r="Y1911">
        <f t="shared" si="269"/>
        <v>0</v>
      </c>
    </row>
    <row r="1912" spans="1:25" x14ac:dyDescent="0.3">
      <c r="A1912" t="s">
        <v>3086</v>
      </c>
      <c r="B1912" t="s">
        <v>3087</v>
      </c>
      <c r="C1912" s="1">
        <v>45775</v>
      </c>
      <c r="D1912" s="3">
        <v>0.94226851851851856</v>
      </c>
      <c r="E1912">
        <f t="shared" si="270"/>
        <v>22</v>
      </c>
      <c r="F1912">
        <v>29</v>
      </c>
      <c r="G1912" t="s">
        <v>46</v>
      </c>
      <c r="H1912" t="s">
        <v>70</v>
      </c>
      <c r="I1912" t="s">
        <v>105</v>
      </c>
      <c r="J1912" t="s">
        <v>94</v>
      </c>
      <c r="K1912" t="s">
        <v>62</v>
      </c>
      <c r="L1912">
        <v>74.72</v>
      </c>
      <c r="M1912" t="s">
        <v>33</v>
      </c>
      <c r="N1912">
        <f t="shared" si="262"/>
        <v>0</v>
      </c>
      <c r="O1912" t="s">
        <v>24</v>
      </c>
      <c r="P1912" t="s">
        <v>3088</v>
      </c>
      <c r="Q1912">
        <v>0</v>
      </c>
      <c r="R1912">
        <v>238</v>
      </c>
      <c r="S1912">
        <f t="shared" si="263"/>
        <v>-1.3829594816054822</v>
      </c>
      <c r="T1912">
        <f t="shared" si="264"/>
        <v>0</v>
      </c>
      <c r="U1912">
        <f t="shared" si="265"/>
        <v>0</v>
      </c>
      <c r="V1912">
        <f t="shared" si="266"/>
        <v>1</v>
      </c>
      <c r="W1912">
        <f t="shared" si="267"/>
        <v>1</v>
      </c>
      <c r="X1912">
        <f t="shared" si="268"/>
        <v>0</v>
      </c>
      <c r="Y1912">
        <f t="shared" si="269"/>
        <v>0</v>
      </c>
    </row>
    <row r="1913" spans="1:25" x14ac:dyDescent="0.3">
      <c r="A1913" t="s">
        <v>4607</v>
      </c>
      <c r="B1913" s="2" t="s">
        <v>4608</v>
      </c>
      <c r="C1913" s="1">
        <v>45856</v>
      </c>
      <c r="D1913" s="3">
        <v>0.78820601851851857</v>
      </c>
      <c r="E1913">
        <f t="shared" si="270"/>
        <v>18</v>
      </c>
      <c r="F1913">
        <v>34</v>
      </c>
      <c r="G1913" t="s">
        <v>46</v>
      </c>
      <c r="H1913" t="s">
        <v>175</v>
      </c>
      <c r="I1913" t="s">
        <v>110</v>
      </c>
      <c r="J1913" t="s">
        <v>21</v>
      </c>
      <c r="K1913" t="s">
        <v>120</v>
      </c>
      <c r="L1913">
        <v>74.599999999999994</v>
      </c>
      <c r="M1913" t="s">
        <v>23</v>
      </c>
      <c r="N1913">
        <f t="shared" si="262"/>
        <v>0</v>
      </c>
      <c r="O1913" t="s">
        <v>86</v>
      </c>
      <c r="P1913" t="s">
        <v>4609</v>
      </c>
      <c r="Q1913">
        <v>0</v>
      </c>
      <c r="R1913">
        <v>50</v>
      </c>
      <c r="S1913">
        <f t="shared" si="263"/>
        <v>-1.3846207927426135</v>
      </c>
      <c r="T1913">
        <f t="shared" si="264"/>
        <v>0</v>
      </c>
      <c r="U1913">
        <f t="shared" si="265"/>
        <v>0</v>
      </c>
      <c r="V1913">
        <f t="shared" si="266"/>
        <v>1</v>
      </c>
      <c r="W1913">
        <f t="shared" si="267"/>
        <v>1</v>
      </c>
      <c r="X1913">
        <f t="shared" si="268"/>
        <v>0</v>
      </c>
      <c r="Y1913">
        <f t="shared" si="269"/>
        <v>0</v>
      </c>
    </row>
    <row r="1914" spans="1:25" x14ac:dyDescent="0.3">
      <c r="A1914" t="s">
        <v>3830</v>
      </c>
      <c r="B1914" t="s">
        <v>3831</v>
      </c>
      <c r="C1914" s="1">
        <v>45775</v>
      </c>
      <c r="D1914" s="3">
        <v>0.77456018518518521</v>
      </c>
      <c r="E1914">
        <f t="shared" si="270"/>
        <v>18</v>
      </c>
      <c r="F1914">
        <v>36</v>
      </c>
      <c r="G1914" t="s">
        <v>99</v>
      </c>
      <c r="H1914" t="s">
        <v>47</v>
      </c>
      <c r="I1914" t="s">
        <v>119</v>
      </c>
      <c r="J1914" t="s">
        <v>127</v>
      </c>
      <c r="K1914" t="s">
        <v>62</v>
      </c>
      <c r="L1914">
        <v>74.53</v>
      </c>
      <c r="M1914" t="s">
        <v>42</v>
      </c>
      <c r="N1914">
        <f t="shared" si="262"/>
        <v>0</v>
      </c>
      <c r="O1914" t="s">
        <v>34</v>
      </c>
      <c r="P1914" t="s">
        <v>3832</v>
      </c>
      <c r="Q1914">
        <v>0</v>
      </c>
      <c r="R1914">
        <v>331</v>
      </c>
      <c r="S1914">
        <f t="shared" si="263"/>
        <v>-1.3855898909059399</v>
      </c>
      <c r="T1914">
        <f t="shared" si="264"/>
        <v>0</v>
      </c>
      <c r="U1914">
        <f t="shared" si="265"/>
        <v>0</v>
      </c>
      <c r="V1914">
        <f t="shared" si="266"/>
        <v>0</v>
      </c>
      <c r="W1914">
        <f t="shared" si="267"/>
        <v>0</v>
      </c>
      <c r="X1914">
        <f t="shared" si="268"/>
        <v>0</v>
      </c>
      <c r="Y1914">
        <f t="shared" si="269"/>
        <v>0</v>
      </c>
    </row>
    <row r="1915" spans="1:25" x14ac:dyDescent="0.3">
      <c r="A1915" t="s">
        <v>4286</v>
      </c>
      <c r="B1915" t="s">
        <v>4287</v>
      </c>
      <c r="C1915" s="1">
        <v>45815</v>
      </c>
      <c r="D1915" s="3">
        <v>0.66871527777777773</v>
      </c>
      <c r="E1915">
        <f t="shared" si="270"/>
        <v>16</v>
      </c>
      <c r="F1915">
        <v>60</v>
      </c>
      <c r="G1915" t="s">
        <v>28</v>
      </c>
      <c r="H1915" t="s">
        <v>47</v>
      </c>
      <c r="I1915" t="s">
        <v>20</v>
      </c>
      <c r="J1915" t="s">
        <v>72</v>
      </c>
      <c r="K1915" t="s">
        <v>114</v>
      </c>
      <c r="L1915">
        <v>74.430000000000007</v>
      </c>
      <c r="M1915" t="s">
        <v>42</v>
      </c>
      <c r="N1915">
        <f t="shared" si="262"/>
        <v>0</v>
      </c>
      <c r="O1915" t="s">
        <v>24</v>
      </c>
      <c r="P1915" t="s">
        <v>4288</v>
      </c>
      <c r="Q1915">
        <v>0</v>
      </c>
      <c r="R1915">
        <v>76</v>
      </c>
      <c r="S1915">
        <f t="shared" si="263"/>
        <v>-1.3869743168535491</v>
      </c>
      <c r="T1915">
        <f t="shared" si="264"/>
        <v>0</v>
      </c>
      <c r="U1915">
        <f t="shared" si="265"/>
        <v>0</v>
      </c>
      <c r="V1915">
        <f t="shared" si="266"/>
        <v>1</v>
      </c>
      <c r="W1915">
        <f t="shared" si="267"/>
        <v>1</v>
      </c>
      <c r="X1915">
        <f t="shared" si="268"/>
        <v>0</v>
      </c>
      <c r="Y1915">
        <f t="shared" si="269"/>
        <v>0</v>
      </c>
    </row>
    <row r="1916" spans="1:25" x14ac:dyDescent="0.3">
      <c r="A1916" t="s">
        <v>1301</v>
      </c>
      <c r="B1916" t="s">
        <v>1302</v>
      </c>
      <c r="C1916" s="1">
        <v>45831</v>
      </c>
      <c r="D1916" s="3">
        <v>9.5243055555555553E-2</v>
      </c>
      <c r="E1916">
        <f t="shared" si="270"/>
        <v>2</v>
      </c>
      <c r="F1916">
        <v>51</v>
      </c>
      <c r="G1916" t="s">
        <v>60</v>
      </c>
      <c r="H1916" t="s">
        <v>185</v>
      </c>
      <c r="I1916" t="s">
        <v>48</v>
      </c>
      <c r="J1916" t="s">
        <v>56</v>
      </c>
      <c r="K1916" t="s">
        <v>50</v>
      </c>
      <c r="L1916">
        <v>74.290000000000006</v>
      </c>
      <c r="M1916" t="s">
        <v>23</v>
      </c>
      <c r="N1916">
        <f t="shared" si="262"/>
        <v>0</v>
      </c>
      <c r="O1916" t="s">
        <v>86</v>
      </c>
      <c r="P1916" t="s">
        <v>1303</v>
      </c>
      <c r="Q1916">
        <v>0</v>
      </c>
      <c r="R1916">
        <v>362</v>
      </c>
      <c r="S1916">
        <f t="shared" si="263"/>
        <v>-1.388912513180202</v>
      </c>
      <c r="T1916">
        <f t="shared" si="264"/>
        <v>0</v>
      </c>
      <c r="U1916">
        <f t="shared" si="265"/>
        <v>1</v>
      </c>
      <c r="V1916">
        <f t="shared" si="266"/>
        <v>0</v>
      </c>
      <c r="W1916">
        <f t="shared" si="267"/>
        <v>2</v>
      </c>
      <c r="X1916">
        <f t="shared" si="268"/>
        <v>0</v>
      </c>
      <c r="Y1916">
        <f t="shared" si="269"/>
        <v>0</v>
      </c>
    </row>
    <row r="1917" spans="1:25" x14ac:dyDescent="0.3">
      <c r="A1917" t="s">
        <v>4475</v>
      </c>
      <c r="B1917" t="s">
        <v>4476</v>
      </c>
      <c r="C1917" s="1">
        <v>45823</v>
      </c>
      <c r="D1917" s="3">
        <v>0.45248842592592592</v>
      </c>
      <c r="E1917">
        <f t="shared" si="270"/>
        <v>10</v>
      </c>
      <c r="F1917">
        <v>48</v>
      </c>
      <c r="G1917" t="s">
        <v>6479</v>
      </c>
      <c r="H1917" t="s">
        <v>232</v>
      </c>
      <c r="I1917" t="s">
        <v>110</v>
      </c>
      <c r="J1917" t="s">
        <v>127</v>
      </c>
      <c r="K1917" t="s">
        <v>168</v>
      </c>
      <c r="L1917">
        <v>73.989999999999995</v>
      </c>
      <c r="M1917" t="s">
        <v>33</v>
      </c>
      <c r="N1917">
        <f t="shared" si="262"/>
        <v>0</v>
      </c>
      <c r="O1917" t="s">
        <v>86</v>
      </c>
      <c r="P1917" t="s">
        <v>4477</v>
      </c>
      <c r="Q1917">
        <v>0</v>
      </c>
      <c r="R1917">
        <v>94</v>
      </c>
      <c r="S1917">
        <f t="shared" si="263"/>
        <v>-1.39306579102303</v>
      </c>
      <c r="T1917">
        <f t="shared" si="264"/>
        <v>0</v>
      </c>
      <c r="U1917">
        <f t="shared" si="265"/>
        <v>0</v>
      </c>
      <c r="V1917">
        <f t="shared" si="266"/>
        <v>1</v>
      </c>
      <c r="W1917">
        <f t="shared" si="267"/>
        <v>1</v>
      </c>
      <c r="X1917">
        <f t="shared" si="268"/>
        <v>0</v>
      </c>
      <c r="Y1917">
        <f t="shared" si="269"/>
        <v>0</v>
      </c>
    </row>
    <row r="1918" spans="1:25" x14ac:dyDescent="0.3">
      <c r="A1918" t="s">
        <v>3359</v>
      </c>
      <c r="B1918" t="s">
        <v>3360</v>
      </c>
      <c r="C1918" s="1">
        <v>45709</v>
      </c>
      <c r="D1918" s="3">
        <v>0.11581018518518518</v>
      </c>
      <c r="E1918">
        <f t="shared" si="270"/>
        <v>2</v>
      </c>
      <c r="F1918">
        <v>24</v>
      </c>
      <c r="G1918" t="s">
        <v>46</v>
      </c>
      <c r="H1918" t="s">
        <v>312</v>
      </c>
      <c r="I1918" t="s">
        <v>66</v>
      </c>
      <c r="J1918" t="s">
        <v>76</v>
      </c>
      <c r="K1918" t="s">
        <v>120</v>
      </c>
      <c r="L1918">
        <v>73.81</v>
      </c>
      <c r="M1918" t="s">
        <v>6479</v>
      </c>
      <c r="N1918">
        <f t="shared" si="262"/>
        <v>1</v>
      </c>
      <c r="O1918" t="s">
        <v>24</v>
      </c>
      <c r="P1918" t="s">
        <v>3361</v>
      </c>
      <c r="Q1918">
        <v>0</v>
      </c>
      <c r="R1918">
        <v>192</v>
      </c>
      <c r="S1918">
        <f t="shared" si="263"/>
        <v>-1.3955577577287264</v>
      </c>
      <c r="T1918">
        <f t="shared" si="264"/>
        <v>0</v>
      </c>
      <c r="U1918">
        <f t="shared" si="265"/>
        <v>1</v>
      </c>
      <c r="V1918">
        <f t="shared" si="266"/>
        <v>1</v>
      </c>
      <c r="W1918">
        <f t="shared" si="267"/>
        <v>5</v>
      </c>
      <c r="X1918">
        <f t="shared" si="268"/>
        <v>1</v>
      </c>
      <c r="Y1918">
        <f t="shared" si="269"/>
        <v>1</v>
      </c>
    </row>
    <row r="1919" spans="1:25" x14ac:dyDescent="0.3">
      <c r="A1919" t="s">
        <v>5492</v>
      </c>
      <c r="B1919" t="s">
        <v>5493</v>
      </c>
      <c r="C1919" s="1">
        <v>45835</v>
      </c>
      <c r="D1919" s="3">
        <v>0.73343749999999996</v>
      </c>
      <c r="E1919">
        <f t="shared" si="270"/>
        <v>17</v>
      </c>
      <c r="F1919">
        <v>33</v>
      </c>
      <c r="G1919" t="s">
        <v>46</v>
      </c>
      <c r="H1919" t="s">
        <v>55</v>
      </c>
      <c r="I1919" t="s">
        <v>119</v>
      </c>
      <c r="J1919" t="s">
        <v>49</v>
      </c>
      <c r="K1919" t="s">
        <v>95</v>
      </c>
      <c r="L1919">
        <v>73.77</v>
      </c>
      <c r="M1919" t="s">
        <v>33</v>
      </c>
      <c r="N1919">
        <f t="shared" si="262"/>
        <v>0</v>
      </c>
      <c r="O1919" t="s">
        <v>51</v>
      </c>
      <c r="P1919" t="s">
        <v>5494</v>
      </c>
      <c r="Q1919">
        <v>0</v>
      </c>
      <c r="R1919">
        <v>432</v>
      </c>
      <c r="S1919">
        <f t="shared" si="263"/>
        <v>-1.3961115281077703</v>
      </c>
      <c r="T1919">
        <f t="shared" si="264"/>
        <v>0</v>
      </c>
      <c r="U1919">
        <f t="shared" si="265"/>
        <v>0</v>
      </c>
      <c r="V1919">
        <f t="shared" si="266"/>
        <v>0</v>
      </c>
      <c r="W1919">
        <f t="shared" si="267"/>
        <v>0</v>
      </c>
      <c r="X1919">
        <f t="shared" si="268"/>
        <v>0</v>
      </c>
      <c r="Y1919">
        <f t="shared" si="269"/>
        <v>0</v>
      </c>
    </row>
    <row r="1920" spans="1:25" x14ac:dyDescent="0.3">
      <c r="A1920" t="s">
        <v>932</v>
      </c>
      <c r="B1920" t="s">
        <v>933</v>
      </c>
      <c r="C1920" s="1">
        <v>45714</v>
      </c>
      <c r="D1920" s="3">
        <v>0.78943287037037035</v>
      </c>
      <c r="E1920">
        <f t="shared" si="270"/>
        <v>18</v>
      </c>
      <c r="F1920">
        <v>50</v>
      </c>
      <c r="G1920" t="s">
        <v>28</v>
      </c>
      <c r="H1920" t="s">
        <v>29</v>
      </c>
      <c r="I1920" t="s">
        <v>119</v>
      </c>
      <c r="J1920" t="s">
        <v>132</v>
      </c>
      <c r="K1920" t="s">
        <v>114</v>
      </c>
      <c r="L1920">
        <v>73.72</v>
      </c>
      <c r="M1920" t="s">
        <v>23</v>
      </c>
      <c r="N1920">
        <f t="shared" si="262"/>
        <v>0</v>
      </c>
      <c r="O1920" t="s">
        <v>24</v>
      </c>
      <c r="P1920" t="s">
        <v>934</v>
      </c>
      <c r="Q1920">
        <v>0</v>
      </c>
      <c r="R1920">
        <v>360</v>
      </c>
      <c r="S1920">
        <f t="shared" si="263"/>
        <v>-1.3968037410815748</v>
      </c>
      <c r="T1920">
        <f t="shared" si="264"/>
        <v>0</v>
      </c>
      <c r="U1920">
        <f t="shared" si="265"/>
        <v>0</v>
      </c>
      <c r="V1920">
        <f t="shared" si="266"/>
        <v>0</v>
      </c>
      <c r="W1920">
        <f t="shared" si="267"/>
        <v>0</v>
      </c>
      <c r="X1920">
        <f t="shared" si="268"/>
        <v>0</v>
      </c>
      <c r="Y1920">
        <f t="shared" si="269"/>
        <v>0</v>
      </c>
    </row>
    <row r="1921" spans="1:25" x14ac:dyDescent="0.3">
      <c r="A1921" t="s">
        <v>4121</v>
      </c>
      <c r="B1921" t="s">
        <v>4122</v>
      </c>
      <c r="C1921" s="1">
        <v>45874</v>
      </c>
      <c r="D1921" s="3">
        <v>0.26164351851851853</v>
      </c>
      <c r="E1921">
        <f t="shared" si="270"/>
        <v>6</v>
      </c>
      <c r="F1921">
        <v>34</v>
      </c>
      <c r="G1921" t="s">
        <v>99</v>
      </c>
      <c r="H1921" t="s">
        <v>239</v>
      </c>
      <c r="I1921" t="s">
        <v>30</v>
      </c>
      <c r="J1921" t="s">
        <v>56</v>
      </c>
      <c r="K1921" t="s">
        <v>22</v>
      </c>
      <c r="L1921">
        <v>73.67</v>
      </c>
      <c r="M1921" t="s">
        <v>42</v>
      </c>
      <c r="N1921">
        <f t="shared" si="262"/>
        <v>0</v>
      </c>
      <c r="O1921" t="s">
        <v>51</v>
      </c>
      <c r="P1921" t="s">
        <v>4123</v>
      </c>
      <c r="Q1921">
        <v>0</v>
      </c>
      <c r="R1921">
        <v>130</v>
      </c>
      <c r="S1921">
        <f t="shared" si="263"/>
        <v>-1.3974959540553793</v>
      </c>
      <c r="T1921">
        <f t="shared" si="264"/>
        <v>0</v>
      </c>
      <c r="U1921">
        <f t="shared" si="265"/>
        <v>0</v>
      </c>
      <c r="V1921">
        <f t="shared" si="266"/>
        <v>1</v>
      </c>
      <c r="W1921">
        <f t="shared" si="267"/>
        <v>1</v>
      </c>
      <c r="X1921">
        <f t="shared" si="268"/>
        <v>0</v>
      </c>
      <c r="Y1921">
        <f t="shared" si="269"/>
        <v>0</v>
      </c>
    </row>
    <row r="1922" spans="1:25" x14ac:dyDescent="0.3">
      <c r="A1922" t="s">
        <v>1871</v>
      </c>
      <c r="B1922" t="s">
        <v>1872</v>
      </c>
      <c r="C1922" s="1">
        <v>45828</v>
      </c>
      <c r="D1922" s="3">
        <v>0.95703703703703702</v>
      </c>
      <c r="E1922">
        <f t="shared" si="270"/>
        <v>22</v>
      </c>
      <c r="F1922">
        <v>53</v>
      </c>
      <c r="G1922" t="s">
        <v>18</v>
      </c>
      <c r="H1922" t="s">
        <v>70</v>
      </c>
      <c r="I1922" t="s">
        <v>66</v>
      </c>
      <c r="J1922" t="s">
        <v>21</v>
      </c>
      <c r="K1922" t="s">
        <v>120</v>
      </c>
      <c r="L1922">
        <v>73.540000000000006</v>
      </c>
      <c r="M1922" t="s">
        <v>23</v>
      </c>
      <c r="N1922">
        <f t="shared" ref="N1922:N1985" si="271">IF(M1922="Unknown",1,0)</f>
        <v>0</v>
      </c>
      <c r="O1922" t="s">
        <v>86</v>
      </c>
      <c r="P1922" t="s">
        <v>1873</v>
      </c>
      <c r="Q1922">
        <v>0</v>
      </c>
      <c r="R1922">
        <v>100</v>
      </c>
      <c r="S1922">
        <f t="shared" ref="S1922:S1985" si="272">(L1922-$P$2137)/$P$2138</f>
        <v>-1.3992957077872714</v>
      </c>
      <c r="T1922">
        <f t="shared" ref="T1922:T1985" si="273">IF(ABS(Z1922)&gt;3,1,0)</f>
        <v>0</v>
      </c>
      <c r="U1922">
        <f t="shared" ref="U1922:U1985" si="274">IF(AND(E1922&gt;=0,E1922&lt;=5),1,0)</f>
        <v>0</v>
      </c>
      <c r="V1922">
        <f t="shared" ref="V1922:V1985" si="275">IF(R1922&lt;AVERAGE($R:$R),1,0)</f>
        <v>1</v>
      </c>
      <c r="W1922">
        <f t="shared" ref="W1922:W1985" si="276">T1922*3+U1922*2+V1922*1+N1922*2</f>
        <v>1</v>
      </c>
      <c r="X1922">
        <f t="shared" ref="X1922:X1985" si="277">IF(W1922&gt;=5,1,0)</f>
        <v>0</v>
      </c>
      <c r="Y1922">
        <f t="shared" ref="Y1922:Y1985" si="278">IF(M1922="Unknown",1,0)</f>
        <v>0</v>
      </c>
    </row>
    <row r="1923" spans="1:25" x14ac:dyDescent="0.3">
      <c r="A1923" t="s">
        <v>6245</v>
      </c>
      <c r="B1923" t="s">
        <v>6246</v>
      </c>
      <c r="C1923" s="1">
        <v>45753</v>
      </c>
      <c r="D1923" s="3">
        <v>0.38440972222222225</v>
      </c>
      <c r="E1923">
        <f t="shared" si="270"/>
        <v>9</v>
      </c>
      <c r="F1923">
        <v>27</v>
      </c>
      <c r="G1923" t="s">
        <v>99</v>
      </c>
      <c r="H1923" t="s">
        <v>70</v>
      </c>
      <c r="I1923" t="s">
        <v>39</v>
      </c>
      <c r="J1923" t="s">
        <v>76</v>
      </c>
      <c r="K1923" t="s">
        <v>101</v>
      </c>
      <c r="L1923">
        <v>73.489999999999995</v>
      </c>
      <c r="M1923" t="s">
        <v>23</v>
      </c>
      <c r="N1923">
        <f t="shared" si="271"/>
        <v>0</v>
      </c>
      <c r="O1923" t="s">
        <v>24</v>
      </c>
      <c r="P1923" t="s">
        <v>6247</v>
      </c>
      <c r="Q1923">
        <v>0</v>
      </c>
      <c r="R1923">
        <v>191</v>
      </c>
      <c r="S1923">
        <f t="shared" si="272"/>
        <v>-1.3999879207610761</v>
      </c>
      <c r="T1923">
        <f t="shared" si="273"/>
        <v>0</v>
      </c>
      <c r="U1923">
        <f t="shared" si="274"/>
        <v>0</v>
      </c>
      <c r="V1923">
        <f t="shared" si="275"/>
        <v>1</v>
      </c>
      <c r="W1923">
        <f t="shared" si="276"/>
        <v>1</v>
      </c>
      <c r="X1923">
        <f t="shared" si="277"/>
        <v>0</v>
      </c>
      <c r="Y1923">
        <f t="shared" si="278"/>
        <v>0</v>
      </c>
    </row>
    <row r="1924" spans="1:25" x14ac:dyDescent="0.3">
      <c r="A1924" t="s">
        <v>893</v>
      </c>
      <c r="B1924" t="s">
        <v>894</v>
      </c>
      <c r="C1924" s="1">
        <v>45750</v>
      </c>
      <c r="D1924" s="3">
        <v>0.90688657407407403</v>
      </c>
      <c r="E1924">
        <f t="shared" si="270"/>
        <v>21</v>
      </c>
      <c r="F1924" s="4">
        <v>41</v>
      </c>
      <c r="G1924" t="s">
        <v>46</v>
      </c>
      <c r="H1924" t="s">
        <v>70</v>
      </c>
      <c r="I1924" t="s">
        <v>20</v>
      </c>
      <c r="J1924" t="s">
        <v>21</v>
      </c>
      <c r="K1924" t="s">
        <v>62</v>
      </c>
      <c r="L1924">
        <v>73.48</v>
      </c>
      <c r="M1924" t="s">
        <v>115</v>
      </c>
      <c r="N1924">
        <f t="shared" si="271"/>
        <v>0</v>
      </c>
      <c r="O1924" t="s">
        <v>34</v>
      </c>
      <c r="P1924" t="s">
        <v>895</v>
      </c>
      <c r="Q1924">
        <v>0</v>
      </c>
      <c r="R1924">
        <v>326</v>
      </c>
      <c r="S1924">
        <f t="shared" si="272"/>
        <v>-1.400126363355837</v>
      </c>
      <c r="T1924">
        <f t="shared" si="273"/>
        <v>0</v>
      </c>
      <c r="U1924">
        <f t="shared" si="274"/>
        <v>0</v>
      </c>
      <c r="V1924">
        <f t="shared" si="275"/>
        <v>0</v>
      </c>
      <c r="W1924">
        <f t="shared" si="276"/>
        <v>0</v>
      </c>
      <c r="X1924">
        <f t="shared" si="277"/>
        <v>0</v>
      </c>
      <c r="Y1924">
        <f t="shared" si="278"/>
        <v>0</v>
      </c>
    </row>
    <row r="1925" spans="1:25" x14ac:dyDescent="0.3">
      <c r="A1925" t="s">
        <v>1850</v>
      </c>
      <c r="B1925" t="s">
        <v>1851</v>
      </c>
      <c r="C1925" s="1">
        <v>45818</v>
      </c>
      <c r="D1925" s="3">
        <v>0.19229166666666667</v>
      </c>
      <c r="E1925">
        <f t="shared" si="270"/>
        <v>4</v>
      </c>
      <c r="F1925">
        <v>64</v>
      </c>
      <c r="G1925" t="s">
        <v>18</v>
      </c>
      <c r="H1925" t="s">
        <v>312</v>
      </c>
      <c r="I1925" t="s">
        <v>119</v>
      </c>
      <c r="J1925" t="s">
        <v>94</v>
      </c>
      <c r="K1925" t="s">
        <v>62</v>
      </c>
      <c r="L1925">
        <v>73.36</v>
      </c>
      <c r="M1925" t="s">
        <v>42</v>
      </c>
      <c r="N1925">
        <f t="shared" si="271"/>
        <v>0</v>
      </c>
      <c r="O1925" t="s">
        <v>34</v>
      </c>
      <c r="P1925" t="s">
        <v>1852</v>
      </c>
      <c r="Q1925">
        <v>0</v>
      </c>
      <c r="R1925">
        <v>260</v>
      </c>
      <c r="S1925">
        <f t="shared" si="272"/>
        <v>-1.401787674492968</v>
      </c>
      <c r="T1925">
        <f t="shared" si="273"/>
        <v>0</v>
      </c>
      <c r="U1925">
        <f t="shared" si="274"/>
        <v>1</v>
      </c>
      <c r="V1925">
        <f t="shared" si="275"/>
        <v>1</v>
      </c>
      <c r="W1925">
        <f t="shared" si="276"/>
        <v>3</v>
      </c>
      <c r="X1925">
        <f t="shared" si="277"/>
        <v>0</v>
      </c>
      <c r="Y1925">
        <f t="shared" si="278"/>
        <v>0</v>
      </c>
    </row>
    <row r="1926" spans="1:25" x14ac:dyDescent="0.3">
      <c r="A1926" t="s">
        <v>1670</v>
      </c>
      <c r="B1926" t="s">
        <v>1671</v>
      </c>
      <c r="C1926" s="1">
        <v>45778</v>
      </c>
      <c r="D1926" s="3">
        <v>0.45869212962962963</v>
      </c>
      <c r="E1926">
        <f t="shared" si="270"/>
        <v>11</v>
      </c>
      <c r="F1926" s="4">
        <v>41</v>
      </c>
      <c r="G1926" t="s">
        <v>60</v>
      </c>
      <c r="H1926" t="s">
        <v>84</v>
      </c>
      <c r="I1926" t="s">
        <v>119</v>
      </c>
      <c r="J1926" t="s">
        <v>56</v>
      </c>
      <c r="K1926" t="s">
        <v>50</v>
      </c>
      <c r="L1926">
        <v>73.14</v>
      </c>
      <c r="M1926" t="s">
        <v>42</v>
      </c>
      <c r="N1926">
        <f t="shared" si="271"/>
        <v>0</v>
      </c>
      <c r="O1926" t="s">
        <v>51</v>
      </c>
      <c r="P1926" t="s">
        <v>1672</v>
      </c>
      <c r="Q1926">
        <v>1</v>
      </c>
      <c r="R1926">
        <v>337</v>
      </c>
      <c r="S1926">
        <f t="shared" si="272"/>
        <v>-1.4048334115777084</v>
      </c>
      <c r="T1926">
        <f t="shared" si="273"/>
        <v>0</v>
      </c>
      <c r="U1926">
        <f t="shared" si="274"/>
        <v>0</v>
      </c>
      <c r="V1926">
        <f t="shared" si="275"/>
        <v>0</v>
      </c>
      <c r="W1926">
        <f t="shared" si="276"/>
        <v>0</v>
      </c>
      <c r="X1926">
        <f t="shared" si="277"/>
        <v>0</v>
      </c>
      <c r="Y1926">
        <f t="shared" si="278"/>
        <v>0</v>
      </c>
    </row>
    <row r="1927" spans="1:25" x14ac:dyDescent="0.3">
      <c r="A1927" t="s">
        <v>4226</v>
      </c>
      <c r="B1927" t="s">
        <v>4227</v>
      </c>
      <c r="C1927" s="1">
        <v>45801</v>
      </c>
      <c r="D1927" s="3">
        <v>0.10643518518518519</v>
      </c>
      <c r="E1927">
        <f t="shared" si="270"/>
        <v>2</v>
      </c>
      <c r="F1927">
        <v>59</v>
      </c>
      <c r="G1927" t="s">
        <v>46</v>
      </c>
      <c r="H1927" t="s">
        <v>47</v>
      </c>
      <c r="I1927" t="s">
        <v>85</v>
      </c>
      <c r="J1927" t="s">
        <v>76</v>
      </c>
      <c r="K1927" t="s">
        <v>114</v>
      </c>
      <c r="L1927">
        <v>73.11</v>
      </c>
      <c r="M1927" t="s">
        <v>23</v>
      </c>
      <c r="N1927">
        <f t="shared" si="271"/>
        <v>0</v>
      </c>
      <c r="O1927" t="s">
        <v>24</v>
      </c>
      <c r="P1927" t="s">
        <v>4228</v>
      </c>
      <c r="Q1927">
        <v>0</v>
      </c>
      <c r="R1927">
        <v>477</v>
      </c>
      <c r="S1927">
        <f t="shared" si="272"/>
        <v>-1.4052487393619912</v>
      </c>
      <c r="T1927">
        <f t="shared" si="273"/>
        <v>0</v>
      </c>
      <c r="U1927">
        <f t="shared" si="274"/>
        <v>1</v>
      </c>
      <c r="V1927">
        <f t="shared" si="275"/>
        <v>0</v>
      </c>
      <c r="W1927">
        <f t="shared" si="276"/>
        <v>2</v>
      </c>
      <c r="X1927">
        <f t="shared" si="277"/>
        <v>0</v>
      </c>
      <c r="Y1927">
        <f t="shared" si="278"/>
        <v>0</v>
      </c>
    </row>
    <row r="1928" spans="1:25" x14ac:dyDescent="0.3">
      <c r="A1928" s="2" t="s">
        <v>1796</v>
      </c>
      <c r="B1928" t="s">
        <v>1797</v>
      </c>
      <c r="C1928" s="1">
        <v>45833</v>
      </c>
      <c r="D1928" s="3">
        <v>0.3256134259259259</v>
      </c>
      <c r="E1928">
        <f t="shared" si="270"/>
        <v>7</v>
      </c>
      <c r="F1928">
        <v>34</v>
      </c>
      <c r="G1928" t="s">
        <v>46</v>
      </c>
      <c r="H1928" t="s">
        <v>239</v>
      </c>
      <c r="I1928" t="s">
        <v>48</v>
      </c>
      <c r="J1928" t="s">
        <v>127</v>
      </c>
      <c r="K1928" t="s">
        <v>50</v>
      </c>
      <c r="L1928">
        <v>73.02</v>
      </c>
      <c r="M1928" t="s">
        <v>23</v>
      </c>
      <c r="N1928">
        <f t="shared" si="271"/>
        <v>0</v>
      </c>
      <c r="O1928" t="s">
        <v>24</v>
      </c>
      <c r="P1928" t="s">
        <v>1798</v>
      </c>
      <c r="Q1928">
        <v>0</v>
      </c>
      <c r="R1928">
        <v>407</v>
      </c>
      <c r="S1928">
        <f t="shared" si="272"/>
        <v>-1.4064947227148394</v>
      </c>
      <c r="T1928">
        <f t="shared" si="273"/>
        <v>0</v>
      </c>
      <c r="U1928">
        <f t="shared" si="274"/>
        <v>0</v>
      </c>
      <c r="V1928">
        <f t="shared" si="275"/>
        <v>0</v>
      </c>
      <c r="W1928">
        <f t="shared" si="276"/>
        <v>0</v>
      </c>
      <c r="X1928">
        <f t="shared" si="277"/>
        <v>0</v>
      </c>
      <c r="Y1928">
        <f t="shared" si="278"/>
        <v>0</v>
      </c>
    </row>
    <row r="1929" spans="1:25" x14ac:dyDescent="0.3">
      <c r="A1929" t="s">
        <v>5912</v>
      </c>
      <c r="B1929" t="s">
        <v>5913</v>
      </c>
      <c r="C1929" s="1">
        <v>45803</v>
      </c>
      <c r="D1929" s="3">
        <v>0.24278935185185185</v>
      </c>
      <c r="E1929">
        <f t="shared" si="270"/>
        <v>5</v>
      </c>
      <c r="F1929">
        <v>28</v>
      </c>
      <c r="G1929" t="s">
        <v>99</v>
      </c>
      <c r="H1929" t="s">
        <v>55</v>
      </c>
      <c r="I1929" t="s">
        <v>71</v>
      </c>
      <c r="J1929" t="s">
        <v>40</v>
      </c>
      <c r="K1929" t="s">
        <v>41</v>
      </c>
      <c r="L1929">
        <v>72.88</v>
      </c>
      <c r="M1929" t="s">
        <v>23</v>
      </c>
      <c r="N1929">
        <f t="shared" si="271"/>
        <v>0</v>
      </c>
      <c r="O1929" t="s">
        <v>86</v>
      </c>
      <c r="P1929" t="s">
        <v>5914</v>
      </c>
      <c r="Q1929">
        <v>0</v>
      </c>
      <c r="R1929">
        <v>430</v>
      </c>
      <c r="S1929">
        <f t="shared" si="272"/>
        <v>-1.4084329190414924</v>
      </c>
      <c r="T1929">
        <f t="shared" si="273"/>
        <v>0</v>
      </c>
      <c r="U1929">
        <f t="shared" si="274"/>
        <v>1</v>
      </c>
      <c r="V1929">
        <f t="shared" si="275"/>
        <v>0</v>
      </c>
      <c r="W1929">
        <f t="shared" si="276"/>
        <v>2</v>
      </c>
      <c r="X1929">
        <f t="shared" si="277"/>
        <v>0</v>
      </c>
      <c r="Y1929">
        <f t="shared" si="278"/>
        <v>0</v>
      </c>
    </row>
    <row r="1930" spans="1:25" x14ac:dyDescent="0.3">
      <c r="A1930" t="s">
        <v>5765</v>
      </c>
      <c r="B1930" t="s">
        <v>5766</v>
      </c>
      <c r="C1930" s="1">
        <v>45762</v>
      </c>
      <c r="D1930" s="3">
        <v>0.22283564814814816</v>
      </c>
      <c r="E1930">
        <f t="shared" si="270"/>
        <v>5</v>
      </c>
      <c r="F1930">
        <v>19</v>
      </c>
      <c r="G1930" t="s">
        <v>46</v>
      </c>
      <c r="H1930" t="s">
        <v>61</v>
      </c>
      <c r="I1930" t="s">
        <v>119</v>
      </c>
      <c r="J1930" t="s">
        <v>72</v>
      </c>
      <c r="K1930" t="s">
        <v>32</v>
      </c>
      <c r="L1930">
        <v>72.849999999999994</v>
      </c>
      <c r="M1930" t="s">
        <v>115</v>
      </c>
      <c r="N1930">
        <f t="shared" si="271"/>
        <v>0</v>
      </c>
      <c r="O1930" t="s">
        <v>86</v>
      </c>
      <c r="P1930" t="s">
        <v>5767</v>
      </c>
      <c r="Q1930">
        <v>0</v>
      </c>
      <c r="R1930">
        <v>211</v>
      </c>
      <c r="S1930">
        <f t="shared" si="272"/>
        <v>-1.4088482468257753</v>
      </c>
      <c r="T1930">
        <f t="shared" si="273"/>
        <v>0</v>
      </c>
      <c r="U1930">
        <f t="shared" si="274"/>
        <v>1</v>
      </c>
      <c r="V1930">
        <f t="shared" si="275"/>
        <v>1</v>
      </c>
      <c r="W1930">
        <f t="shared" si="276"/>
        <v>3</v>
      </c>
      <c r="X1930">
        <f t="shared" si="277"/>
        <v>0</v>
      </c>
      <c r="Y1930">
        <f t="shared" si="278"/>
        <v>0</v>
      </c>
    </row>
    <row r="1931" spans="1:25" x14ac:dyDescent="0.3">
      <c r="A1931" t="s">
        <v>335</v>
      </c>
      <c r="B1931" t="s">
        <v>336</v>
      </c>
      <c r="C1931" s="1">
        <v>45864</v>
      </c>
      <c r="D1931" s="3">
        <v>0.66410879629629627</v>
      </c>
      <c r="E1931">
        <f t="shared" si="270"/>
        <v>15</v>
      </c>
      <c r="F1931">
        <v>64</v>
      </c>
      <c r="G1931" t="s">
        <v>6479</v>
      </c>
      <c r="H1931" t="s">
        <v>185</v>
      </c>
      <c r="I1931" t="s">
        <v>48</v>
      </c>
      <c r="J1931" t="s">
        <v>127</v>
      </c>
      <c r="K1931" t="s">
        <v>101</v>
      </c>
      <c r="L1931">
        <v>72.400000000000006</v>
      </c>
      <c r="M1931" t="s">
        <v>33</v>
      </c>
      <c r="N1931">
        <f t="shared" si="271"/>
        <v>0</v>
      </c>
      <c r="O1931" t="s">
        <v>24</v>
      </c>
      <c r="P1931" t="s">
        <v>337</v>
      </c>
      <c r="Q1931">
        <v>0</v>
      </c>
      <c r="R1931">
        <v>371</v>
      </c>
      <c r="S1931">
        <f t="shared" si="272"/>
        <v>-1.4150781635900167</v>
      </c>
      <c r="T1931">
        <f t="shared" si="273"/>
        <v>0</v>
      </c>
      <c r="U1931">
        <f t="shared" si="274"/>
        <v>0</v>
      </c>
      <c r="V1931">
        <f t="shared" si="275"/>
        <v>0</v>
      </c>
      <c r="W1931">
        <f t="shared" si="276"/>
        <v>0</v>
      </c>
      <c r="X1931">
        <f t="shared" si="277"/>
        <v>0</v>
      </c>
      <c r="Y1931">
        <f t="shared" si="278"/>
        <v>0</v>
      </c>
    </row>
    <row r="1932" spans="1:25" x14ac:dyDescent="0.3">
      <c r="A1932" t="s">
        <v>4637</v>
      </c>
      <c r="B1932" t="s">
        <v>4638</v>
      </c>
      <c r="C1932" s="1">
        <v>45817</v>
      </c>
      <c r="D1932" s="3">
        <v>0.10832175925925926</v>
      </c>
      <c r="E1932">
        <f t="shared" si="270"/>
        <v>2</v>
      </c>
      <c r="F1932">
        <v>60</v>
      </c>
      <c r="G1932" t="s">
        <v>46</v>
      </c>
      <c r="H1932" t="s">
        <v>29</v>
      </c>
      <c r="I1932" t="s">
        <v>105</v>
      </c>
      <c r="J1932" t="s">
        <v>132</v>
      </c>
      <c r="K1932" t="s">
        <v>22</v>
      </c>
      <c r="L1932">
        <v>71.989999999999995</v>
      </c>
      <c r="M1932" t="s">
        <v>23</v>
      </c>
      <c r="N1932">
        <f t="shared" si="271"/>
        <v>0</v>
      </c>
      <c r="O1932" t="s">
        <v>86</v>
      </c>
      <c r="P1932" t="s">
        <v>4639</v>
      </c>
      <c r="Q1932">
        <v>0</v>
      </c>
      <c r="R1932">
        <v>463</v>
      </c>
      <c r="S1932">
        <f t="shared" si="272"/>
        <v>-1.4207543099752147</v>
      </c>
      <c r="T1932">
        <f t="shared" si="273"/>
        <v>0</v>
      </c>
      <c r="U1932">
        <f t="shared" si="274"/>
        <v>1</v>
      </c>
      <c r="V1932">
        <f t="shared" si="275"/>
        <v>0</v>
      </c>
      <c r="W1932">
        <f t="shared" si="276"/>
        <v>2</v>
      </c>
      <c r="X1932">
        <f t="shared" si="277"/>
        <v>0</v>
      </c>
      <c r="Y1932">
        <f t="shared" si="278"/>
        <v>0</v>
      </c>
    </row>
    <row r="1933" spans="1:25" x14ac:dyDescent="0.3">
      <c r="A1933" t="s">
        <v>3011</v>
      </c>
      <c r="B1933" t="s">
        <v>3012</v>
      </c>
      <c r="C1933" s="1">
        <v>45774</v>
      </c>
      <c r="D1933" s="3">
        <v>0.30321759259259257</v>
      </c>
      <c r="E1933">
        <f t="shared" si="270"/>
        <v>7</v>
      </c>
      <c r="F1933" s="4">
        <v>41</v>
      </c>
      <c r="G1933" t="s">
        <v>46</v>
      </c>
      <c r="H1933" t="s">
        <v>29</v>
      </c>
      <c r="I1933" t="s">
        <v>71</v>
      </c>
      <c r="J1933" t="s">
        <v>49</v>
      </c>
      <c r="K1933" t="s">
        <v>120</v>
      </c>
      <c r="L1933">
        <v>71.97</v>
      </c>
      <c r="M1933" t="s">
        <v>33</v>
      </c>
      <c r="N1933">
        <f t="shared" si="271"/>
        <v>0</v>
      </c>
      <c r="O1933" t="s">
        <v>34</v>
      </c>
      <c r="P1933" t="s">
        <v>3013</v>
      </c>
      <c r="Q1933">
        <v>0</v>
      </c>
      <c r="R1933">
        <v>137</v>
      </c>
      <c r="S1933">
        <f t="shared" si="272"/>
        <v>-1.4210311951647365</v>
      </c>
      <c r="T1933">
        <f t="shared" si="273"/>
        <v>0</v>
      </c>
      <c r="U1933">
        <f t="shared" si="274"/>
        <v>0</v>
      </c>
      <c r="V1933">
        <f t="shared" si="275"/>
        <v>1</v>
      </c>
      <c r="W1933">
        <f t="shared" si="276"/>
        <v>1</v>
      </c>
      <c r="X1933">
        <f t="shared" si="277"/>
        <v>0</v>
      </c>
      <c r="Y1933">
        <f t="shared" si="278"/>
        <v>0</v>
      </c>
    </row>
    <row r="1934" spans="1:25" x14ac:dyDescent="0.3">
      <c r="A1934" t="s">
        <v>3593</v>
      </c>
      <c r="B1934" t="s">
        <v>3594</v>
      </c>
      <c r="C1934" s="1">
        <v>45727</v>
      </c>
      <c r="D1934" s="3">
        <v>0.80013888888888884</v>
      </c>
      <c r="E1934">
        <f t="shared" si="270"/>
        <v>19</v>
      </c>
      <c r="F1934">
        <v>25</v>
      </c>
      <c r="G1934" t="s">
        <v>18</v>
      </c>
      <c r="H1934" t="s">
        <v>312</v>
      </c>
      <c r="I1934" t="s">
        <v>20</v>
      </c>
      <c r="J1934" t="s">
        <v>21</v>
      </c>
      <c r="K1934" t="s">
        <v>95</v>
      </c>
      <c r="L1934">
        <v>71.930000000000007</v>
      </c>
      <c r="M1934" t="s">
        <v>115</v>
      </c>
      <c r="N1934">
        <f t="shared" si="271"/>
        <v>0</v>
      </c>
      <c r="O1934" t="s">
        <v>34</v>
      </c>
      <c r="P1934" t="s">
        <v>3595</v>
      </c>
      <c r="Q1934">
        <v>0</v>
      </c>
      <c r="R1934">
        <v>297</v>
      </c>
      <c r="S1934">
        <f t="shared" si="272"/>
        <v>-1.4215849655437802</v>
      </c>
      <c r="T1934">
        <f t="shared" si="273"/>
        <v>0</v>
      </c>
      <c r="U1934">
        <f t="shared" si="274"/>
        <v>0</v>
      </c>
      <c r="V1934">
        <f t="shared" si="275"/>
        <v>0</v>
      </c>
      <c r="W1934">
        <f t="shared" si="276"/>
        <v>0</v>
      </c>
      <c r="X1934">
        <f t="shared" si="277"/>
        <v>0</v>
      </c>
      <c r="Y1934">
        <f t="shared" si="278"/>
        <v>0</v>
      </c>
    </row>
    <row r="1935" spans="1:25" x14ac:dyDescent="0.3">
      <c r="A1935" t="s">
        <v>2864</v>
      </c>
      <c r="B1935" t="s">
        <v>2865</v>
      </c>
      <c r="C1935" s="1">
        <v>45715</v>
      </c>
      <c r="D1935" s="3">
        <v>0.65043981481481483</v>
      </c>
      <c r="E1935">
        <f t="shared" si="270"/>
        <v>15</v>
      </c>
      <c r="F1935">
        <v>34</v>
      </c>
      <c r="G1935" t="s">
        <v>60</v>
      </c>
      <c r="H1935" t="s">
        <v>80</v>
      </c>
      <c r="I1935" t="s">
        <v>119</v>
      </c>
      <c r="J1935" t="s">
        <v>56</v>
      </c>
      <c r="K1935" t="s">
        <v>41</v>
      </c>
      <c r="L1935">
        <v>71.86</v>
      </c>
      <c r="M1935" t="s">
        <v>23</v>
      </c>
      <c r="N1935">
        <f t="shared" si="271"/>
        <v>0</v>
      </c>
      <c r="O1935" t="s">
        <v>86</v>
      </c>
      <c r="P1935" t="s">
        <v>2866</v>
      </c>
      <c r="Q1935">
        <v>0</v>
      </c>
      <c r="R1935">
        <v>437</v>
      </c>
      <c r="S1935">
        <f t="shared" si="272"/>
        <v>-1.4225540637071068</v>
      </c>
      <c r="T1935">
        <f t="shared" si="273"/>
        <v>0</v>
      </c>
      <c r="U1935">
        <f t="shared" si="274"/>
        <v>0</v>
      </c>
      <c r="V1935">
        <f t="shared" si="275"/>
        <v>0</v>
      </c>
      <c r="W1935">
        <f t="shared" si="276"/>
        <v>0</v>
      </c>
      <c r="X1935">
        <f t="shared" si="277"/>
        <v>0</v>
      </c>
      <c r="Y1935">
        <f t="shared" si="278"/>
        <v>0</v>
      </c>
    </row>
    <row r="1936" spans="1:25" x14ac:dyDescent="0.3">
      <c r="A1936" t="s">
        <v>6137</v>
      </c>
      <c r="B1936" t="s">
        <v>6138</v>
      </c>
      <c r="C1936" s="1">
        <v>45707</v>
      </c>
      <c r="D1936" s="3">
        <v>0.55974537037037042</v>
      </c>
      <c r="E1936">
        <f t="shared" si="270"/>
        <v>13</v>
      </c>
      <c r="F1936">
        <v>19</v>
      </c>
      <c r="G1936" t="s">
        <v>46</v>
      </c>
      <c r="H1936" t="s">
        <v>167</v>
      </c>
      <c r="I1936" t="s">
        <v>30</v>
      </c>
      <c r="J1936" t="s">
        <v>31</v>
      </c>
      <c r="K1936" t="s">
        <v>41</v>
      </c>
      <c r="L1936">
        <v>71.459999999999994</v>
      </c>
      <c r="M1936" t="s">
        <v>42</v>
      </c>
      <c r="N1936">
        <f t="shared" si="271"/>
        <v>0</v>
      </c>
      <c r="O1936" t="s">
        <v>34</v>
      </c>
      <c r="P1936" t="s">
        <v>6139</v>
      </c>
      <c r="Q1936">
        <v>0</v>
      </c>
      <c r="R1936">
        <v>219</v>
      </c>
      <c r="S1936">
        <f t="shared" si="272"/>
        <v>-1.4280917674975437</v>
      </c>
      <c r="T1936">
        <f t="shared" si="273"/>
        <v>0</v>
      </c>
      <c r="U1936">
        <f t="shared" si="274"/>
        <v>0</v>
      </c>
      <c r="V1936">
        <f t="shared" si="275"/>
        <v>1</v>
      </c>
      <c r="W1936">
        <f t="shared" si="276"/>
        <v>1</v>
      </c>
      <c r="X1936">
        <f t="shared" si="277"/>
        <v>0</v>
      </c>
      <c r="Y1936">
        <f t="shared" si="278"/>
        <v>0</v>
      </c>
    </row>
    <row r="1937" spans="1:25" x14ac:dyDescent="0.3">
      <c r="A1937" t="s">
        <v>1868</v>
      </c>
      <c r="B1937" t="s">
        <v>1869</v>
      </c>
      <c r="C1937" s="1">
        <v>45800</v>
      </c>
      <c r="D1937" s="3">
        <v>1.8888888888888889E-2</v>
      </c>
      <c r="E1937">
        <f t="shared" si="270"/>
        <v>0</v>
      </c>
      <c r="F1937">
        <v>38</v>
      </c>
      <c r="G1937" t="s">
        <v>60</v>
      </c>
      <c r="H1937" t="s">
        <v>167</v>
      </c>
      <c r="I1937" t="s">
        <v>119</v>
      </c>
      <c r="J1937" t="s">
        <v>49</v>
      </c>
      <c r="K1937" t="s">
        <v>50</v>
      </c>
      <c r="L1937">
        <v>71.41</v>
      </c>
      <c r="M1937" t="s">
        <v>23</v>
      </c>
      <c r="N1937">
        <f t="shared" si="271"/>
        <v>0</v>
      </c>
      <c r="O1937" t="s">
        <v>34</v>
      </c>
      <c r="P1937" t="s">
        <v>1870</v>
      </c>
      <c r="Q1937">
        <v>0</v>
      </c>
      <c r="R1937">
        <v>307</v>
      </c>
      <c r="S1937">
        <f t="shared" si="272"/>
        <v>-1.4287839804713485</v>
      </c>
      <c r="T1937">
        <f t="shared" si="273"/>
        <v>0</v>
      </c>
      <c r="U1937">
        <f t="shared" si="274"/>
        <v>1</v>
      </c>
      <c r="V1937">
        <f t="shared" si="275"/>
        <v>0</v>
      </c>
      <c r="W1937">
        <f t="shared" si="276"/>
        <v>2</v>
      </c>
      <c r="X1937">
        <f t="shared" si="277"/>
        <v>0</v>
      </c>
      <c r="Y1937">
        <f t="shared" si="278"/>
        <v>0</v>
      </c>
    </row>
    <row r="1938" spans="1:25" x14ac:dyDescent="0.3">
      <c r="A1938" t="s">
        <v>4778</v>
      </c>
      <c r="B1938" t="s">
        <v>4779</v>
      </c>
      <c r="C1938" s="1">
        <v>45870</v>
      </c>
      <c r="D1938" s="3">
        <v>0.8566435185185185</v>
      </c>
      <c r="E1938">
        <f t="shared" si="270"/>
        <v>20</v>
      </c>
      <c r="F1938">
        <v>31</v>
      </c>
      <c r="G1938" t="s">
        <v>18</v>
      </c>
      <c r="H1938" t="s">
        <v>189</v>
      </c>
      <c r="I1938" t="s">
        <v>71</v>
      </c>
      <c r="J1938" t="s">
        <v>49</v>
      </c>
      <c r="K1938" t="s">
        <v>32</v>
      </c>
      <c r="L1938">
        <v>71.239999999999995</v>
      </c>
      <c r="M1938" t="s">
        <v>33</v>
      </c>
      <c r="N1938">
        <f t="shared" si="271"/>
        <v>0</v>
      </c>
      <c r="O1938" t="s">
        <v>51</v>
      </c>
      <c r="P1938" t="s">
        <v>4780</v>
      </c>
      <c r="Q1938">
        <v>0</v>
      </c>
      <c r="R1938">
        <v>461</v>
      </c>
      <c r="S1938">
        <f t="shared" si="272"/>
        <v>-1.4311375045822841</v>
      </c>
      <c r="T1938">
        <f t="shared" si="273"/>
        <v>0</v>
      </c>
      <c r="U1938">
        <f t="shared" si="274"/>
        <v>0</v>
      </c>
      <c r="V1938">
        <f t="shared" si="275"/>
        <v>0</v>
      </c>
      <c r="W1938">
        <f t="shared" si="276"/>
        <v>0</v>
      </c>
      <c r="X1938">
        <f t="shared" si="277"/>
        <v>0</v>
      </c>
      <c r="Y1938">
        <f t="shared" si="278"/>
        <v>0</v>
      </c>
    </row>
    <row r="1939" spans="1:25" x14ac:dyDescent="0.3">
      <c r="A1939" t="s">
        <v>3455</v>
      </c>
      <c r="B1939" t="s">
        <v>3456</v>
      </c>
      <c r="C1939" s="1">
        <v>45736</v>
      </c>
      <c r="D1939" s="3">
        <v>3.1886574074074074E-2</v>
      </c>
      <c r="E1939">
        <f t="shared" si="270"/>
        <v>0</v>
      </c>
      <c r="F1939">
        <v>46</v>
      </c>
      <c r="G1939" t="s">
        <v>99</v>
      </c>
      <c r="H1939" t="s">
        <v>84</v>
      </c>
      <c r="I1939" t="s">
        <v>85</v>
      </c>
      <c r="J1939" t="s">
        <v>49</v>
      </c>
      <c r="K1939" t="s">
        <v>95</v>
      </c>
      <c r="L1939">
        <v>71.16</v>
      </c>
      <c r="M1939" t="s">
        <v>115</v>
      </c>
      <c r="N1939">
        <f t="shared" si="271"/>
        <v>0</v>
      </c>
      <c r="O1939" t="s">
        <v>86</v>
      </c>
      <c r="P1939" t="s">
        <v>3457</v>
      </c>
      <c r="Q1939">
        <v>0</v>
      </c>
      <c r="R1939">
        <v>307</v>
      </c>
      <c r="S1939">
        <f t="shared" si="272"/>
        <v>-1.4322450453403714</v>
      </c>
      <c r="T1939">
        <f t="shared" si="273"/>
        <v>0</v>
      </c>
      <c r="U1939">
        <f t="shared" si="274"/>
        <v>1</v>
      </c>
      <c r="V1939">
        <f t="shared" si="275"/>
        <v>0</v>
      </c>
      <c r="W1939">
        <f t="shared" si="276"/>
        <v>2</v>
      </c>
      <c r="X1939">
        <f t="shared" si="277"/>
        <v>0</v>
      </c>
      <c r="Y1939">
        <f t="shared" si="278"/>
        <v>0</v>
      </c>
    </row>
    <row r="1940" spans="1:25" x14ac:dyDescent="0.3">
      <c r="A1940" t="s">
        <v>4040</v>
      </c>
      <c r="B1940" t="s">
        <v>4041</v>
      </c>
      <c r="C1940" s="1">
        <v>45837</v>
      </c>
      <c r="D1940" s="3">
        <v>0.23809027777777778</v>
      </c>
      <c r="E1940">
        <f t="shared" si="270"/>
        <v>5</v>
      </c>
      <c r="F1940">
        <v>64</v>
      </c>
      <c r="G1940" t="s">
        <v>46</v>
      </c>
      <c r="H1940" t="s">
        <v>80</v>
      </c>
      <c r="I1940" t="s">
        <v>66</v>
      </c>
      <c r="J1940" t="s">
        <v>72</v>
      </c>
      <c r="K1940" t="s">
        <v>114</v>
      </c>
      <c r="L1940">
        <v>71.16</v>
      </c>
      <c r="M1940" t="s">
        <v>33</v>
      </c>
      <c r="N1940">
        <f t="shared" si="271"/>
        <v>0</v>
      </c>
      <c r="O1940" t="s">
        <v>51</v>
      </c>
      <c r="P1940" t="s">
        <v>4042</v>
      </c>
      <c r="Q1940">
        <v>0</v>
      </c>
      <c r="R1940">
        <v>235</v>
      </c>
      <c r="S1940">
        <f t="shared" si="272"/>
        <v>-1.4322450453403714</v>
      </c>
      <c r="T1940">
        <f t="shared" si="273"/>
        <v>0</v>
      </c>
      <c r="U1940">
        <f t="shared" si="274"/>
        <v>1</v>
      </c>
      <c r="V1940">
        <f t="shared" si="275"/>
        <v>1</v>
      </c>
      <c r="W1940">
        <f t="shared" si="276"/>
        <v>3</v>
      </c>
      <c r="X1940">
        <f t="shared" si="277"/>
        <v>0</v>
      </c>
      <c r="Y1940">
        <f t="shared" si="278"/>
        <v>0</v>
      </c>
    </row>
    <row r="1941" spans="1:25" x14ac:dyDescent="0.3">
      <c r="A1941" t="s">
        <v>2198</v>
      </c>
      <c r="B1941" t="s">
        <v>2199</v>
      </c>
      <c r="C1941" s="1">
        <v>45866</v>
      </c>
      <c r="D1941" s="3">
        <v>0.38894675925925926</v>
      </c>
      <c r="E1941">
        <f t="shared" si="270"/>
        <v>9</v>
      </c>
      <c r="F1941">
        <v>45</v>
      </c>
      <c r="G1941" t="s">
        <v>6479</v>
      </c>
      <c r="H1941" t="s">
        <v>80</v>
      </c>
      <c r="I1941" t="s">
        <v>85</v>
      </c>
      <c r="J1941" t="s">
        <v>132</v>
      </c>
      <c r="K1941" t="s">
        <v>32</v>
      </c>
      <c r="L1941">
        <v>71.069999999999993</v>
      </c>
      <c r="M1941" t="s">
        <v>115</v>
      </c>
      <c r="N1941">
        <f t="shared" si="271"/>
        <v>0</v>
      </c>
      <c r="O1941" t="s">
        <v>34</v>
      </c>
      <c r="P1941" t="s">
        <v>2200</v>
      </c>
      <c r="Q1941">
        <v>0</v>
      </c>
      <c r="R1941">
        <v>344</v>
      </c>
      <c r="S1941">
        <f t="shared" si="272"/>
        <v>-1.4334910286932199</v>
      </c>
      <c r="T1941">
        <f t="shared" si="273"/>
        <v>0</v>
      </c>
      <c r="U1941">
        <f t="shared" si="274"/>
        <v>0</v>
      </c>
      <c r="V1941">
        <f t="shared" si="275"/>
        <v>0</v>
      </c>
      <c r="W1941">
        <f t="shared" si="276"/>
        <v>0</v>
      </c>
      <c r="X1941">
        <f t="shared" si="277"/>
        <v>0</v>
      </c>
      <c r="Y1941">
        <f t="shared" si="278"/>
        <v>0</v>
      </c>
    </row>
    <row r="1942" spans="1:25" x14ac:dyDescent="0.3">
      <c r="A1942" t="s">
        <v>215</v>
      </c>
      <c r="B1942" t="s">
        <v>216</v>
      </c>
      <c r="C1942" s="1">
        <v>45856</v>
      </c>
      <c r="D1942" s="3">
        <v>0.92664351851851856</v>
      </c>
      <c r="E1942">
        <f t="shared" ref="E1942:E2005" si="279">HOUR(D1942)</f>
        <v>22</v>
      </c>
      <c r="F1942">
        <v>26</v>
      </c>
      <c r="G1942" t="s">
        <v>18</v>
      </c>
      <c r="H1942" t="s">
        <v>185</v>
      </c>
      <c r="I1942" t="s">
        <v>119</v>
      </c>
      <c r="J1942" t="s">
        <v>72</v>
      </c>
      <c r="K1942" t="s">
        <v>168</v>
      </c>
      <c r="L1942">
        <v>70.59</v>
      </c>
      <c r="M1942" t="s">
        <v>115</v>
      </c>
      <c r="N1942">
        <f t="shared" si="271"/>
        <v>0</v>
      </c>
      <c r="O1942" t="s">
        <v>34</v>
      </c>
      <c r="P1942" t="s">
        <v>217</v>
      </c>
      <c r="Q1942">
        <v>0</v>
      </c>
      <c r="R1942">
        <v>265</v>
      </c>
      <c r="S1942">
        <f t="shared" si="272"/>
        <v>-1.440136273241744</v>
      </c>
      <c r="T1942">
        <f t="shared" si="273"/>
        <v>0</v>
      </c>
      <c r="U1942">
        <f t="shared" si="274"/>
        <v>0</v>
      </c>
      <c r="V1942">
        <f t="shared" si="275"/>
        <v>1</v>
      </c>
      <c r="W1942">
        <f t="shared" si="276"/>
        <v>1</v>
      </c>
      <c r="X1942">
        <f t="shared" si="277"/>
        <v>0</v>
      </c>
      <c r="Y1942">
        <f t="shared" si="278"/>
        <v>0</v>
      </c>
    </row>
    <row r="1943" spans="1:25" x14ac:dyDescent="0.3">
      <c r="A1943" t="s">
        <v>5507</v>
      </c>
      <c r="B1943" t="s">
        <v>5508</v>
      </c>
      <c r="C1943" s="1">
        <v>45774</v>
      </c>
      <c r="D1943" s="3">
        <v>0.77228009259259256</v>
      </c>
      <c r="E1943">
        <f t="shared" si="279"/>
        <v>18</v>
      </c>
      <c r="F1943">
        <v>22</v>
      </c>
      <c r="G1943" t="s">
        <v>46</v>
      </c>
      <c r="H1943" t="s">
        <v>29</v>
      </c>
      <c r="I1943" t="s">
        <v>110</v>
      </c>
      <c r="J1943" t="s">
        <v>40</v>
      </c>
      <c r="K1943" t="s">
        <v>120</v>
      </c>
      <c r="L1943">
        <v>70.569999999999993</v>
      </c>
      <c r="M1943" t="s">
        <v>6479</v>
      </c>
      <c r="N1943">
        <f t="shared" si="271"/>
        <v>1</v>
      </c>
      <c r="O1943" t="s">
        <v>34</v>
      </c>
      <c r="P1943" t="s">
        <v>5509</v>
      </c>
      <c r="Q1943">
        <v>0</v>
      </c>
      <c r="R1943">
        <v>333</v>
      </c>
      <c r="S1943">
        <f t="shared" si="272"/>
        <v>-1.440413158431266</v>
      </c>
      <c r="T1943">
        <f t="shared" si="273"/>
        <v>0</v>
      </c>
      <c r="U1943">
        <f t="shared" si="274"/>
        <v>0</v>
      </c>
      <c r="V1943">
        <f t="shared" si="275"/>
        <v>0</v>
      </c>
      <c r="W1943">
        <f t="shared" si="276"/>
        <v>2</v>
      </c>
      <c r="X1943">
        <f t="shared" si="277"/>
        <v>0</v>
      </c>
      <c r="Y1943">
        <f t="shared" si="278"/>
        <v>1</v>
      </c>
    </row>
    <row r="1944" spans="1:25" x14ac:dyDescent="0.3">
      <c r="A1944" t="s">
        <v>1967</v>
      </c>
      <c r="B1944" t="s">
        <v>1968</v>
      </c>
      <c r="C1944" s="1">
        <v>45742</v>
      </c>
      <c r="D1944" s="3">
        <v>0.78222222222222226</v>
      </c>
      <c r="E1944">
        <f t="shared" si="279"/>
        <v>18</v>
      </c>
      <c r="F1944">
        <v>46</v>
      </c>
      <c r="G1944" t="s">
        <v>46</v>
      </c>
      <c r="H1944" t="s">
        <v>29</v>
      </c>
      <c r="I1944" t="s">
        <v>110</v>
      </c>
      <c r="J1944" t="s">
        <v>49</v>
      </c>
      <c r="K1944" t="s">
        <v>114</v>
      </c>
      <c r="L1944">
        <v>70.47</v>
      </c>
      <c r="M1944" t="s">
        <v>6479</v>
      </c>
      <c r="N1944">
        <f t="shared" si="271"/>
        <v>1</v>
      </c>
      <c r="O1944" t="s">
        <v>34</v>
      </c>
      <c r="P1944" t="s">
        <v>1969</v>
      </c>
      <c r="Q1944">
        <v>0</v>
      </c>
      <c r="R1944">
        <v>419</v>
      </c>
      <c r="S1944">
        <f t="shared" si="272"/>
        <v>-1.4417975843788753</v>
      </c>
      <c r="T1944">
        <f t="shared" si="273"/>
        <v>0</v>
      </c>
      <c r="U1944">
        <f t="shared" si="274"/>
        <v>0</v>
      </c>
      <c r="V1944">
        <f t="shared" si="275"/>
        <v>0</v>
      </c>
      <c r="W1944">
        <f t="shared" si="276"/>
        <v>2</v>
      </c>
      <c r="X1944">
        <f t="shared" si="277"/>
        <v>0</v>
      </c>
      <c r="Y1944">
        <f t="shared" si="278"/>
        <v>1</v>
      </c>
    </row>
    <row r="1945" spans="1:25" x14ac:dyDescent="0.3">
      <c r="A1945" t="s">
        <v>1520</v>
      </c>
      <c r="B1945" t="s">
        <v>1521</v>
      </c>
      <c r="C1945" s="1">
        <v>45751</v>
      </c>
      <c r="D1945" s="3">
        <v>2.0902777777777777E-2</v>
      </c>
      <c r="E1945">
        <f t="shared" si="279"/>
        <v>0</v>
      </c>
      <c r="F1945">
        <v>43</v>
      </c>
      <c r="G1945" t="s">
        <v>18</v>
      </c>
      <c r="H1945" t="s">
        <v>70</v>
      </c>
      <c r="I1945" t="s">
        <v>71</v>
      </c>
      <c r="J1945" t="s">
        <v>40</v>
      </c>
      <c r="K1945" t="s">
        <v>62</v>
      </c>
      <c r="L1945">
        <v>70.37</v>
      </c>
      <c r="M1945" t="s">
        <v>33</v>
      </c>
      <c r="N1945">
        <f t="shared" si="271"/>
        <v>0</v>
      </c>
      <c r="O1945" t="s">
        <v>24</v>
      </c>
      <c r="P1945" t="s">
        <v>1522</v>
      </c>
      <c r="Q1945">
        <v>0</v>
      </c>
      <c r="R1945">
        <v>366</v>
      </c>
      <c r="S1945">
        <f t="shared" si="272"/>
        <v>-1.4431820103264845</v>
      </c>
      <c r="T1945">
        <f t="shared" si="273"/>
        <v>0</v>
      </c>
      <c r="U1945">
        <f t="shared" si="274"/>
        <v>1</v>
      </c>
      <c r="V1945">
        <f t="shared" si="275"/>
        <v>0</v>
      </c>
      <c r="W1945">
        <f t="shared" si="276"/>
        <v>2</v>
      </c>
      <c r="X1945">
        <f t="shared" si="277"/>
        <v>0</v>
      </c>
      <c r="Y1945">
        <f t="shared" si="278"/>
        <v>0</v>
      </c>
    </row>
    <row r="1946" spans="1:25" x14ac:dyDescent="0.3">
      <c r="A1946" t="s">
        <v>1406</v>
      </c>
      <c r="B1946" t="s">
        <v>1407</v>
      </c>
      <c r="C1946" s="1">
        <v>45712</v>
      </c>
      <c r="D1946" s="3">
        <v>0.92534722222222221</v>
      </c>
      <c r="E1946">
        <f t="shared" si="279"/>
        <v>22</v>
      </c>
      <c r="F1946">
        <v>43</v>
      </c>
      <c r="G1946" t="s">
        <v>46</v>
      </c>
      <c r="H1946" t="s">
        <v>131</v>
      </c>
      <c r="I1946" t="s">
        <v>66</v>
      </c>
      <c r="J1946" t="s">
        <v>72</v>
      </c>
      <c r="K1946" t="s">
        <v>50</v>
      </c>
      <c r="L1946">
        <v>70.36</v>
      </c>
      <c r="M1946" t="s">
        <v>115</v>
      </c>
      <c r="N1946">
        <f t="shared" si="271"/>
        <v>0</v>
      </c>
      <c r="O1946" t="s">
        <v>24</v>
      </c>
      <c r="P1946" t="s">
        <v>1408</v>
      </c>
      <c r="Q1946">
        <v>0</v>
      </c>
      <c r="R1946">
        <v>136</v>
      </c>
      <c r="S1946">
        <f t="shared" si="272"/>
        <v>-1.4433204529212453</v>
      </c>
      <c r="T1946">
        <f t="shared" si="273"/>
        <v>0</v>
      </c>
      <c r="U1946">
        <f t="shared" si="274"/>
        <v>0</v>
      </c>
      <c r="V1946">
        <f t="shared" si="275"/>
        <v>1</v>
      </c>
      <c r="W1946">
        <f t="shared" si="276"/>
        <v>1</v>
      </c>
      <c r="X1946">
        <f t="shared" si="277"/>
        <v>0</v>
      </c>
      <c r="Y1946">
        <f t="shared" si="278"/>
        <v>0</v>
      </c>
    </row>
    <row r="1947" spans="1:25" x14ac:dyDescent="0.3">
      <c r="A1947" t="s">
        <v>3806</v>
      </c>
      <c r="B1947" t="s">
        <v>3807</v>
      </c>
      <c r="C1947" s="1">
        <v>45820</v>
      </c>
      <c r="D1947" s="3">
        <v>0.35782407407407407</v>
      </c>
      <c r="E1947">
        <f t="shared" si="279"/>
        <v>8</v>
      </c>
      <c r="F1947">
        <v>49</v>
      </c>
      <c r="G1947" t="s">
        <v>18</v>
      </c>
      <c r="H1947" t="s">
        <v>312</v>
      </c>
      <c r="I1947" t="s">
        <v>85</v>
      </c>
      <c r="J1947" t="s">
        <v>21</v>
      </c>
      <c r="K1947" t="s">
        <v>114</v>
      </c>
      <c r="L1947">
        <v>70.08</v>
      </c>
      <c r="M1947" t="s">
        <v>115</v>
      </c>
      <c r="N1947">
        <f t="shared" si="271"/>
        <v>0</v>
      </c>
      <c r="O1947" t="s">
        <v>24</v>
      </c>
      <c r="P1947" t="s">
        <v>3808</v>
      </c>
      <c r="Q1947">
        <v>0</v>
      </c>
      <c r="R1947">
        <v>183</v>
      </c>
      <c r="S1947">
        <f t="shared" si="272"/>
        <v>-1.4471968455745514</v>
      </c>
      <c r="T1947">
        <f t="shared" si="273"/>
        <v>0</v>
      </c>
      <c r="U1947">
        <f t="shared" si="274"/>
        <v>0</v>
      </c>
      <c r="V1947">
        <f t="shared" si="275"/>
        <v>1</v>
      </c>
      <c r="W1947">
        <f t="shared" si="276"/>
        <v>1</v>
      </c>
      <c r="X1947">
        <f t="shared" si="277"/>
        <v>0</v>
      </c>
      <c r="Y1947">
        <f t="shared" si="278"/>
        <v>0</v>
      </c>
    </row>
    <row r="1948" spans="1:25" x14ac:dyDescent="0.3">
      <c r="A1948" t="s">
        <v>6293</v>
      </c>
      <c r="B1948" t="s">
        <v>6294</v>
      </c>
      <c r="C1948" s="1">
        <v>45714</v>
      </c>
      <c r="D1948" s="3">
        <v>0.91293981481481479</v>
      </c>
      <c r="E1948">
        <f t="shared" si="279"/>
        <v>21</v>
      </c>
      <c r="F1948">
        <v>54</v>
      </c>
      <c r="G1948" t="s">
        <v>46</v>
      </c>
      <c r="H1948" t="s">
        <v>90</v>
      </c>
      <c r="I1948" t="s">
        <v>85</v>
      </c>
      <c r="J1948" t="s">
        <v>31</v>
      </c>
      <c r="K1948" t="s">
        <v>101</v>
      </c>
      <c r="L1948">
        <v>70.02</v>
      </c>
      <c r="M1948" t="s">
        <v>23</v>
      </c>
      <c r="N1948">
        <f t="shared" si="271"/>
        <v>0</v>
      </c>
      <c r="O1948" t="s">
        <v>51</v>
      </c>
      <c r="P1948" t="s">
        <v>6295</v>
      </c>
      <c r="Q1948">
        <v>1</v>
      </c>
      <c r="R1948">
        <v>489</v>
      </c>
      <c r="S1948">
        <f t="shared" si="272"/>
        <v>-1.448027501143117</v>
      </c>
      <c r="T1948">
        <f t="shared" si="273"/>
        <v>0</v>
      </c>
      <c r="U1948">
        <f t="shared" si="274"/>
        <v>0</v>
      </c>
      <c r="V1948">
        <f t="shared" si="275"/>
        <v>0</v>
      </c>
      <c r="W1948">
        <f t="shared" si="276"/>
        <v>0</v>
      </c>
      <c r="X1948">
        <f t="shared" si="277"/>
        <v>0</v>
      </c>
      <c r="Y1948">
        <f t="shared" si="278"/>
        <v>0</v>
      </c>
    </row>
    <row r="1949" spans="1:25" x14ac:dyDescent="0.3">
      <c r="A1949" t="s">
        <v>3041</v>
      </c>
      <c r="B1949" t="s">
        <v>3042</v>
      </c>
      <c r="C1949" s="1">
        <v>45752</v>
      </c>
      <c r="D1949" s="3">
        <v>0.8182638888888889</v>
      </c>
      <c r="E1949">
        <f t="shared" si="279"/>
        <v>19</v>
      </c>
      <c r="F1949">
        <v>19</v>
      </c>
      <c r="G1949" t="s">
        <v>18</v>
      </c>
      <c r="H1949" t="s">
        <v>84</v>
      </c>
      <c r="I1949" t="s">
        <v>119</v>
      </c>
      <c r="J1949" t="s">
        <v>56</v>
      </c>
      <c r="K1949" t="s">
        <v>114</v>
      </c>
      <c r="L1949">
        <v>69.900000000000006</v>
      </c>
      <c r="M1949" t="s">
        <v>115</v>
      </c>
      <c r="N1949">
        <f t="shared" si="271"/>
        <v>0</v>
      </c>
      <c r="O1949" t="s">
        <v>24</v>
      </c>
      <c r="P1949" t="s">
        <v>3043</v>
      </c>
      <c r="Q1949">
        <v>0</v>
      </c>
      <c r="R1949">
        <v>75</v>
      </c>
      <c r="S1949">
        <f t="shared" si="272"/>
        <v>-1.4496888122802478</v>
      </c>
      <c r="T1949">
        <f t="shared" si="273"/>
        <v>0</v>
      </c>
      <c r="U1949">
        <f t="shared" si="274"/>
        <v>0</v>
      </c>
      <c r="V1949">
        <f t="shared" si="275"/>
        <v>1</v>
      </c>
      <c r="W1949">
        <f t="shared" si="276"/>
        <v>1</v>
      </c>
      <c r="X1949">
        <f t="shared" si="277"/>
        <v>0</v>
      </c>
      <c r="Y1949">
        <f t="shared" si="278"/>
        <v>0</v>
      </c>
    </row>
    <row r="1950" spans="1:25" x14ac:dyDescent="0.3">
      <c r="A1950" t="s">
        <v>998</v>
      </c>
      <c r="B1950" t="s">
        <v>999</v>
      </c>
      <c r="C1950" s="1">
        <v>45844</v>
      </c>
      <c r="D1950" s="3">
        <v>0.28597222222222224</v>
      </c>
      <c r="E1950">
        <f t="shared" si="279"/>
        <v>6</v>
      </c>
      <c r="F1950">
        <v>50</v>
      </c>
      <c r="G1950" t="s">
        <v>18</v>
      </c>
      <c r="H1950" t="s">
        <v>19</v>
      </c>
      <c r="I1950" t="s">
        <v>20</v>
      </c>
      <c r="J1950" t="s">
        <v>127</v>
      </c>
      <c r="K1950" t="s">
        <v>101</v>
      </c>
      <c r="L1950">
        <v>69.78</v>
      </c>
      <c r="M1950" t="s">
        <v>33</v>
      </c>
      <c r="N1950">
        <f t="shared" si="271"/>
        <v>0</v>
      </c>
      <c r="O1950" t="s">
        <v>24</v>
      </c>
      <c r="P1950" t="s">
        <v>1000</v>
      </c>
      <c r="Q1950">
        <v>0</v>
      </c>
      <c r="R1950">
        <v>440</v>
      </c>
      <c r="S1950">
        <f t="shared" si="272"/>
        <v>-1.4513501234173789</v>
      </c>
      <c r="T1950">
        <f t="shared" si="273"/>
        <v>0</v>
      </c>
      <c r="U1950">
        <f t="shared" si="274"/>
        <v>0</v>
      </c>
      <c r="V1950">
        <f t="shared" si="275"/>
        <v>0</v>
      </c>
      <c r="W1950">
        <f t="shared" si="276"/>
        <v>0</v>
      </c>
      <c r="X1950">
        <f t="shared" si="277"/>
        <v>0</v>
      </c>
      <c r="Y1950">
        <f t="shared" si="278"/>
        <v>0</v>
      </c>
    </row>
    <row r="1951" spans="1:25" x14ac:dyDescent="0.3">
      <c r="A1951" t="s">
        <v>5591</v>
      </c>
      <c r="B1951" t="s">
        <v>5592</v>
      </c>
      <c r="C1951" s="1">
        <v>45869</v>
      </c>
      <c r="D1951" s="3">
        <v>0.15767361111111111</v>
      </c>
      <c r="E1951">
        <f t="shared" si="279"/>
        <v>3</v>
      </c>
      <c r="F1951" s="4">
        <v>41</v>
      </c>
      <c r="G1951" t="s">
        <v>28</v>
      </c>
      <c r="H1951" t="s">
        <v>84</v>
      </c>
      <c r="I1951" t="s">
        <v>85</v>
      </c>
      <c r="J1951" t="s">
        <v>21</v>
      </c>
      <c r="K1951" t="s">
        <v>41</v>
      </c>
      <c r="L1951">
        <v>69.510000000000005</v>
      </c>
      <c r="M1951" t="s">
        <v>23</v>
      </c>
      <c r="N1951">
        <f t="shared" si="271"/>
        <v>0</v>
      </c>
      <c r="O1951" t="s">
        <v>86</v>
      </c>
      <c r="P1951" t="s">
        <v>5593</v>
      </c>
      <c r="Q1951">
        <v>0</v>
      </c>
      <c r="R1951">
        <v>301</v>
      </c>
      <c r="S1951">
        <f t="shared" si="272"/>
        <v>-1.4550880734759239</v>
      </c>
      <c r="T1951">
        <f t="shared" si="273"/>
        <v>0</v>
      </c>
      <c r="U1951">
        <f t="shared" si="274"/>
        <v>1</v>
      </c>
      <c r="V1951">
        <f t="shared" si="275"/>
        <v>0</v>
      </c>
      <c r="W1951">
        <f t="shared" si="276"/>
        <v>2</v>
      </c>
      <c r="X1951">
        <f t="shared" si="277"/>
        <v>0</v>
      </c>
      <c r="Y1951">
        <f t="shared" si="278"/>
        <v>0</v>
      </c>
    </row>
    <row r="1952" spans="1:25" x14ac:dyDescent="0.3">
      <c r="A1952" t="s">
        <v>5858</v>
      </c>
      <c r="B1952" t="s">
        <v>5859</v>
      </c>
      <c r="C1952" s="1">
        <v>45728</v>
      </c>
      <c r="D1952" s="3">
        <v>0.77678240740740745</v>
      </c>
      <c r="E1952">
        <f t="shared" si="279"/>
        <v>18</v>
      </c>
      <c r="F1952">
        <v>29</v>
      </c>
      <c r="G1952" t="s">
        <v>46</v>
      </c>
      <c r="H1952" t="s">
        <v>167</v>
      </c>
      <c r="I1952" t="s">
        <v>119</v>
      </c>
      <c r="J1952" t="s">
        <v>72</v>
      </c>
      <c r="K1952" t="s">
        <v>32</v>
      </c>
      <c r="L1952">
        <v>69.459999999999994</v>
      </c>
      <c r="M1952" t="s">
        <v>33</v>
      </c>
      <c r="N1952">
        <f t="shared" si="271"/>
        <v>0</v>
      </c>
      <c r="O1952" t="s">
        <v>34</v>
      </c>
      <c r="P1952" t="s">
        <v>5860</v>
      </c>
      <c r="Q1952">
        <v>0</v>
      </c>
      <c r="R1952">
        <v>259</v>
      </c>
      <c r="S1952">
        <f t="shared" si="272"/>
        <v>-1.4557802864497287</v>
      </c>
      <c r="T1952">
        <f t="shared" si="273"/>
        <v>0</v>
      </c>
      <c r="U1952">
        <f t="shared" si="274"/>
        <v>0</v>
      </c>
      <c r="V1952">
        <f t="shared" si="275"/>
        <v>1</v>
      </c>
      <c r="W1952">
        <f t="shared" si="276"/>
        <v>1</v>
      </c>
      <c r="X1952">
        <f t="shared" si="277"/>
        <v>0</v>
      </c>
      <c r="Y1952">
        <f t="shared" si="278"/>
        <v>0</v>
      </c>
    </row>
    <row r="1953" spans="1:25" x14ac:dyDescent="0.3">
      <c r="A1953" t="s">
        <v>3662</v>
      </c>
      <c r="B1953" t="s">
        <v>3663</v>
      </c>
      <c r="C1953" s="1">
        <v>45783</v>
      </c>
      <c r="D1953" s="3">
        <v>0.82287037037037036</v>
      </c>
      <c r="E1953">
        <f t="shared" si="279"/>
        <v>19</v>
      </c>
      <c r="F1953">
        <v>38</v>
      </c>
      <c r="G1953" t="s">
        <v>46</v>
      </c>
      <c r="H1953" t="s">
        <v>239</v>
      </c>
      <c r="I1953" t="s">
        <v>110</v>
      </c>
      <c r="J1953" t="s">
        <v>49</v>
      </c>
      <c r="K1953" t="s">
        <v>41</v>
      </c>
      <c r="L1953">
        <v>69.400000000000006</v>
      </c>
      <c r="M1953" t="s">
        <v>115</v>
      </c>
      <c r="N1953">
        <f t="shared" si="271"/>
        <v>0</v>
      </c>
      <c r="O1953" t="s">
        <v>34</v>
      </c>
      <c r="P1953" t="s">
        <v>3664</v>
      </c>
      <c r="Q1953">
        <v>0</v>
      </c>
      <c r="R1953">
        <v>224</v>
      </c>
      <c r="S1953">
        <f t="shared" si="272"/>
        <v>-1.456610942018294</v>
      </c>
      <c r="T1953">
        <f t="shared" si="273"/>
        <v>0</v>
      </c>
      <c r="U1953">
        <f t="shared" si="274"/>
        <v>0</v>
      </c>
      <c r="V1953">
        <f t="shared" si="275"/>
        <v>1</v>
      </c>
      <c r="W1953">
        <f t="shared" si="276"/>
        <v>1</v>
      </c>
      <c r="X1953">
        <f t="shared" si="277"/>
        <v>0</v>
      </c>
      <c r="Y1953">
        <f t="shared" si="278"/>
        <v>0</v>
      </c>
    </row>
    <row r="1954" spans="1:25" x14ac:dyDescent="0.3">
      <c r="A1954" t="s">
        <v>3773</v>
      </c>
      <c r="B1954" t="s">
        <v>3774</v>
      </c>
      <c r="C1954" s="1">
        <v>45746</v>
      </c>
      <c r="D1954" s="3">
        <v>0.34211805555555558</v>
      </c>
      <c r="E1954">
        <f t="shared" si="279"/>
        <v>8</v>
      </c>
      <c r="F1954">
        <v>37</v>
      </c>
      <c r="G1954" t="s">
        <v>6479</v>
      </c>
      <c r="H1954" t="s">
        <v>175</v>
      </c>
      <c r="I1954" t="s">
        <v>48</v>
      </c>
      <c r="J1954" t="s">
        <v>72</v>
      </c>
      <c r="K1954" t="s">
        <v>50</v>
      </c>
      <c r="L1954">
        <v>69.260000000000005</v>
      </c>
      <c r="M1954" t="s">
        <v>115</v>
      </c>
      <c r="N1954">
        <f t="shared" si="271"/>
        <v>0</v>
      </c>
      <c r="O1954" t="s">
        <v>51</v>
      </c>
      <c r="P1954" t="s">
        <v>3775</v>
      </c>
      <c r="Q1954">
        <v>0</v>
      </c>
      <c r="R1954">
        <v>258</v>
      </c>
      <c r="S1954">
        <f t="shared" si="272"/>
        <v>-1.4585491383449469</v>
      </c>
      <c r="T1954">
        <f t="shared" si="273"/>
        <v>0</v>
      </c>
      <c r="U1954">
        <f t="shared" si="274"/>
        <v>0</v>
      </c>
      <c r="V1954">
        <f t="shared" si="275"/>
        <v>1</v>
      </c>
      <c r="W1954">
        <f t="shared" si="276"/>
        <v>1</v>
      </c>
      <c r="X1954">
        <f t="shared" si="277"/>
        <v>0</v>
      </c>
      <c r="Y1954">
        <f t="shared" si="278"/>
        <v>0</v>
      </c>
    </row>
    <row r="1955" spans="1:25" x14ac:dyDescent="0.3">
      <c r="A1955" t="s">
        <v>5279</v>
      </c>
      <c r="B1955" t="s">
        <v>5280</v>
      </c>
      <c r="C1955" s="1">
        <v>45741</v>
      </c>
      <c r="D1955" s="3">
        <v>0.77908564814814818</v>
      </c>
      <c r="E1955">
        <f t="shared" si="279"/>
        <v>18</v>
      </c>
      <c r="F1955">
        <v>58</v>
      </c>
      <c r="G1955" t="s">
        <v>18</v>
      </c>
      <c r="H1955" t="s">
        <v>61</v>
      </c>
      <c r="I1955" t="s">
        <v>85</v>
      </c>
      <c r="J1955" t="s">
        <v>72</v>
      </c>
      <c r="K1955" t="s">
        <v>101</v>
      </c>
      <c r="L1955">
        <v>68.790000000000006</v>
      </c>
      <c r="M1955" t="s">
        <v>115</v>
      </c>
      <c r="N1955">
        <f t="shared" si="271"/>
        <v>0</v>
      </c>
      <c r="O1955" t="s">
        <v>34</v>
      </c>
      <c r="P1955" t="s">
        <v>5281</v>
      </c>
      <c r="Q1955">
        <v>0</v>
      </c>
      <c r="R1955">
        <v>254</v>
      </c>
      <c r="S1955">
        <f t="shared" si="272"/>
        <v>-1.4650559402987104</v>
      </c>
      <c r="T1955">
        <f t="shared" si="273"/>
        <v>0</v>
      </c>
      <c r="U1955">
        <f t="shared" si="274"/>
        <v>0</v>
      </c>
      <c r="V1955">
        <f t="shared" si="275"/>
        <v>1</v>
      </c>
      <c r="W1955">
        <f t="shared" si="276"/>
        <v>1</v>
      </c>
      <c r="X1955">
        <f t="shared" si="277"/>
        <v>0</v>
      </c>
      <c r="Y1955">
        <f t="shared" si="278"/>
        <v>0</v>
      </c>
    </row>
    <row r="1956" spans="1:25" x14ac:dyDescent="0.3">
      <c r="A1956" t="s">
        <v>4049</v>
      </c>
      <c r="B1956" t="s">
        <v>4050</v>
      </c>
      <c r="C1956" s="1">
        <v>45744</v>
      </c>
      <c r="D1956" s="3">
        <v>0.71131944444444439</v>
      </c>
      <c r="E1956">
        <f t="shared" si="279"/>
        <v>17</v>
      </c>
      <c r="F1956">
        <v>28</v>
      </c>
      <c r="G1956" t="s">
        <v>18</v>
      </c>
      <c r="H1956" t="s">
        <v>131</v>
      </c>
      <c r="I1956" t="s">
        <v>105</v>
      </c>
      <c r="J1956" t="s">
        <v>127</v>
      </c>
      <c r="K1956" t="s">
        <v>32</v>
      </c>
      <c r="L1956">
        <v>68.599999999999994</v>
      </c>
      <c r="M1956" t="s">
        <v>115</v>
      </c>
      <c r="N1956">
        <f t="shared" si="271"/>
        <v>0</v>
      </c>
      <c r="O1956" t="s">
        <v>24</v>
      </c>
      <c r="P1956" t="s">
        <v>4051</v>
      </c>
      <c r="Q1956">
        <v>0</v>
      </c>
      <c r="R1956">
        <v>74</v>
      </c>
      <c r="S1956">
        <f t="shared" si="272"/>
        <v>-1.4676863495991681</v>
      </c>
      <c r="T1956">
        <f t="shared" si="273"/>
        <v>0</v>
      </c>
      <c r="U1956">
        <f t="shared" si="274"/>
        <v>0</v>
      </c>
      <c r="V1956">
        <f t="shared" si="275"/>
        <v>1</v>
      </c>
      <c r="W1956">
        <f t="shared" si="276"/>
        <v>1</v>
      </c>
      <c r="X1956">
        <f t="shared" si="277"/>
        <v>0</v>
      </c>
      <c r="Y1956">
        <f t="shared" si="278"/>
        <v>0</v>
      </c>
    </row>
    <row r="1957" spans="1:25" x14ac:dyDescent="0.3">
      <c r="A1957" t="s">
        <v>785</v>
      </c>
      <c r="B1957" t="s">
        <v>786</v>
      </c>
      <c r="C1957" s="1">
        <v>45786</v>
      </c>
      <c r="D1957" s="3">
        <v>0.68670138888888888</v>
      </c>
      <c r="E1957">
        <f t="shared" si="279"/>
        <v>16</v>
      </c>
      <c r="F1957">
        <v>26</v>
      </c>
      <c r="G1957" t="s">
        <v>28</v>
      </c>
      <c r="H1957" t="s">
        <v>70</v>
      </c>
      <c r="I1957" t="s">
        <v>66</v>
      </c>
      <c r="J1957" t="s">
        <v>21</v>
      </c>
      <c r="K1957" t="s">
        <v>22</v>
      </c>
      <c r="L1957">
        <v>68.39</v>
      </c>
      <c r="M1957" t="s">
        <v>115</v>
      </c>
      <c r="N1957">
        <f t="shared" si="271"/>
        <v>0</v>
      </c>
      <c r="O1957" t="s">
        <v>24</v>
      </c>
      <c r="P1957" t="s">
        <v>787</v>
      </c>
      <c r="Q1957">
        <v>0</v>
      </c>
      <c r="R1957">
        <v>137</v>
      </c>
      <c r="S1957">
        <f t="shared" si="272"/>
        <v>-1.4705936440891476</v>
      </c>
      <c r="T1957">
        <f t="shared" si="273"/>
        <v>0</v>
      </c>
      <c r="U1957">
        <f t="shared" si="274"/>
        <v>0</v>
      </c>
      <c r="V1957">
        <f t="shared" si="275"/>
        <v>1</v>
      </c>
      <c r="W1957">
        <f t="shared" si="276"/>
        <v>1</v>
      </c>
      <c r="X1957">
        <f t="shared" si="277"/>
        <v>0</v>
      </c>
      <c r="Y1957">
        <f t="shared" si="278"/>
        <v>0</v>
      </c>
    </row>
    <row r="1958" spans="1:25" x14ac:dyDescent="0.3">
      <c r="A1958" t="s">
        <v>431</v>
      </c>
      <c r="B1958" t="s">
        <v>432</v>
      </c>
      <c r="C1958" s="1">
        <v>45737</v>
      </c>
      <c r="D1958" s="3">
        <v>0.76354166666666667</v>
      </c>
      <c r="E1958">
        <f t="shared" si="279"/>
        <v>18</v>
      </c>
      <c r="F1958">
        <v>29</v>
      </c>
      <c r="G1958" t="s">
        <v>18</v>
      </c>
      <c r="H1958" t="s">
        <v>232</v>
      </c>
      <c r="I1958" t="s">
        <v>105</v>
      </c>
      <c r="J1958" t="s">
        <v>56</v>
      </c>
      <c r="K1958" t="s">
        <v>50</v>
      </c>
      <c r="L1958">
        <v>68.260000000000005</v>
      </c>
      <c r="M1958" t="s">
        <v>6479</v>
      </c>
      <c r="N1958">
        <f t="shared" si="271"/>
        <v>1</v>
      </c>
      <c r="O1958" t="s">
        <v>34</v>
      </c>
      <c r="P1958" t="s">
        <v>433</v>
      </c>
      <c r="Q1958">
        <v>0</v>
      </c>
      <c r="R1958">
        <v>394</v>
      </c>
      <c r="S1958">
        <f t="shared" si="272"/>
        <v>-1.4723933978210395</v>
      </c>
      <c r="T1958">
        <f t="shared" si="273"/>
        <v>0</v>
      </c>
      <c r="U1958">
        <f t="shared" si="274"/>
        <v>0</v>
      </c>
      <c r="V1958">
        <f t="shared" si="275"/>
        <v>0</v>
      </c>
      <c r="W1958">
        <f t="shared" si="276"/>
        <v>2</v>
      </c>
      <c r="X1958">
        <f t="shared" si="277"/>
        <v>0</v>
      </c>
      <c r="Y1958">
        <f t="shared" si="278"/>
        <v>1</v>
      </c>
    </row>
    <row r="1959" spans="1:25" x14ac:dyDescent="0.3">
      <c r="A1959" t="s">
        <v>3395</v>
      </c>
      <c r="B1959" t="s">
        <v>3396</v>
      </c>
      <c r="C1959" s="1">
        <v>45731</v>
      </c>
      <c r="D1959" s="3">
        <v>0.61061342592592593</v>
      </c>
      <c r="E1959">
        <f t="shared" si="279"/>
        <v>14</v>
      </c>
      <c r="F1959">
        <v>55</v>
      </c>
      <c r="G1959" t="s">
        <v>18</v>
      </c>
      <c r="H1959" t="s">
        <v>167</v>
      </c>
      <c r="I1959" t="s">
        <v>119</v>
      </c>
      <c r="J1959" t="s">
        <v>56</v>
      </c>
      <c r="K1959" t="s">
        <v>62</v>
      </c>
      <c r="L1959">
        <v>68.260000000000005</v>
      </c>
      <c r="M1959" t="s">
        <v>33</v>
      </c>
      <c r="N1959">
        <f t="shared" si="271"/>
        <v>0</v>
      </c>
      <c r="O1959" t="s">
        <v>86</v>
      </c>
      <c r="P1959" t="s">
        <v>3397</v>
      </c>
      <c r="Q1959">
        <v>0</v>
      </c>
      <c r="R1959">
        <v>141</v>
      </c>
      <c r="S1959">
        <f t="shared" si="272"/>
        <v>-1.4723933978210395</v>
      </c>
      <c r="T1959">
        <f t="shared" si="273"/>
        <v>0</v>
      </c>
      <c r="U1959">
        <f t="shared" si="274"/>
        <v>0</v>
      </c>
      <c r="V1959">
        <f t="shared" si="275"/>
        <v>1</v>
      </c>
      <c r="W1959">
        <f t="shared" si="276"/>
        <v>1</v>
      </c>
      <c r="X1959">
        <f t="shared" si="277"/>
        <v>0</v>
      </c>
      <c r="Y1959">
        <f t="shared" si="278"/>
        <v>0</v>
      </c>
    </row>
    <row r="1960" spans="1:25" x14ac:dyDescent="0.3">
      <c r="A1960" t="s">
        <v>5225</v>
      </c>
      <c r="B1960" t="s">
        <v>5226</v>
      </c>
      <c r="C1960" s="1">
        <v>45721</v>
      </c>
      <c r="D1960" s="3">
        <v>0.72464120370370366</v>
      </c>
      <c r="E1960">
        <f t="shared" si="279"/>
        <v>17</v>
      </c>
      <c r="F1960">
        <v>49</v>
      </c>
      <c r="G1960" t="s">
        <v>28</v>
      </c>
      <c r="H1960" t="s">
        <v>70</v>
      </c>
      <c r="I1960" t="s">
        <v>39</v>
      </c>
      <c r="J1960" t="s">
        <v>49</v>
      </c>
      <c r="K1960" t="s">
        <v>101</v>
      </c>
      <c r="L1960">
        <v>68.23</v>
      </c>
      <c r="M1960" t="s">
        <v>23</v>
      </c>
      <c r="N1960">
        <f t="shared" si="271"/>
        <v>0</v>
      </c>
      <c r="O1960" t="s">
        <v>51</v>
      </c>
      <c r="P1960" t="s">
        <v>5227</v>
      </c>
      <c r="Q1960">
        <v>0</v>
      </c>
      <c r="R1960">
        <v>445</v>
      </c>
      <c r="S1960">
        <f t="shared" si="272"/>
        <v>-1.4728087256053222</v>
      </c>
      <c r="T1960">
        <f t="shared" si="273"/>
        <v>0</v>
      </c>
      <c r="U1960">
        <f t="shared" si="274"/>
        <v>0</v>
      </c>
      <c r="V1960">
        <f t="shared" si="275"/>
        <v>0</v>
      </c>
      <c r="W1960">
        <f t="shared" si="276"/>
        <v>0</v>
      </c>
      <c r="X1960">
        <f t="shared" si="277"/>
        <v>0</v>
      </c>
      <c r="Y1960">
        <f t="shared" si="278"/>
        <v>0</v>
      </c>
    </row>
    <row r="1961" spans="1:25" x14ac:dyDescent="0.3">
      <c r="A1961" t="s">
        <v>2069</v>
      </c>
      <c r="B1961" t="s">
        <v>2070</v>
      </c>
      <c r="C1961" s="1">
        <v>45808</v>
      </c>
      <c r="D1961" s="3">
        <v>0.86366898148148152</v>
      </c>
      <c r="E1961">
        <f t="shared" si="279"/>
        <v>20</v>
      </c>
      <c r="F1961">
        <v>18</v>
      </c>
      <c r="G1961" t="s">
        <v>60</v>
      </c>
      <c r="H1961" t="s">
        <v>19</v>
      </c>
      <c r="I1961" t="s">
        <v>66</v>
      </c>
      <c r="J1961" t="s">
        <v>21</v>
      </c>
      <c r="K1961" t="s">
        <v>41</v>
      </c>
      <c r="L1961">
        <v>67.989999999999995</v>
      </c>
      <c r="M1961" t="s">
        <v>23</v>
      </c>
      <c r="N1961">
        <f t="shared" si="271"/>
        <v>0</v>
      </c>
      <c r="O1961" t="s">
        <v>51</v>
      </c>
      <c r="P1961" t="s">
        <v>2071</v>
      </c>
      <c r="Q1961">
        <v>0</v>
      </c>
      <c r="R1961">
        <v>215</v>
      </c>
      <c r="S1961">
        <f t="shared" si="272"/>
        <v>-1.4761313478795846</v>
      </c>
      <c r="T1961">
        <f t="shared" si="273"/>
        <v>0</v>
      </c>
      <c r="U1961">
        <f t="shared" si="274"/>
        <v>0</v>
      </c>
      <c r="V1961">
        <f t="shared" si="275"/>
        <v>1</v>
      </c>
      <c r="W1961">
        <f t="shared" si="276"/>
        <v>1</v>
      </c>
      <c r="X1961">
        <f t="shared" si="277"/>
        <v>0</v>
      </c>
      <c r="Y1961">
        <f t="shared" si="278"/>
        <v>0</v>
      </c>
    </row>
    <row r="1962" spans="1:25" x14ac:dyDescent="0.3">
      <c r="A1962" t="s">
        <v>2246</v>
      </c>
      <c r="B1962" t="s">
        <v>2247</v>
      </c>
      <c r="C1962" s="1">
        <v>45766</v>
      </c>
      <c r="D1962" s="3">
        <v>0.13440972222222222</v>
      </c>
      <c r="E1962">
        <f t="shared" si="279"/>
        <v>3</v>
      </c>
      <c r="F1962">
        <v>65</v>
      </c>
      <c r="G1962" t="s">
        <v>28</v>
      </c>
      <c r="H1962" t="s">
        <v>185</v>
      </c>
      <c r="I1962" t="s">
        <v>105</v>
      </c>
      <c r="J1962" t="s">
        <v>72</v>
      </c>
      <c r="K1962" t="s">
        <v>168</v>
      </c>
      <c r="L1962">
        <v>67.97</v>
      </c>
      <c r="M1962" t="s">
        <v>23</v>
      </c>
      <c r="N1962">
        <f t="shared" si="271"/>
        <v>0</v>
      </c>
      <c r="O1962" t="s">
        <v>24</v>
      </c>
      <c r="P1962" t="s">
        <v>2248</v>
      </c>
      <c r="Q1962">
        <v>0</v>
      </c>
      <c r="R1962">
        <v>436</v>
      </c>
      <c r="S1962">
        <f t="shared" si="272"/>
        <v>-1.4764082330691064</v>
      </c>
      <c r="T1962">
        <f t="shared" si="273"/>
        <v>0</v>
      </c>
      <c r="U1962">
        <f t="shared" si="274"/>
        <v>1</v>
      </c>
      <c r="V1962">
        <f t="shared" si="275"/>
        <v>0</v>
      </c>
      <c r="W1962">
        <f t="shared" si="276"/>
        <v>2</v>
      </c>
      <c r="X1962">
        <f t="shared" si="277"/>
        <v>0</v>
      </c>
      <c r="Y1962">
        <f t="shared" si="278"/>
        <v>0</v>
      </c>
    </row>
    <row r="1963" spans="1:25" x14ac:dyDescent="0.3">
      <c r="A1963" t="s">
        <v>1835</v>
      </c>
      <c r="B1963" t="s">
        <v>1836</v>
      </c>
      <c r="C1963" s="1">
        <v>45713</v>
      </c>
      <c r="D1963" s="3">
        <v>0.11844907407407407</v>
      </c>
      <c r="E1963">
        <f t="shared" si="279"/>
        <v>2</v>
      </c>
      <c r="F1963">
        <v>24</v>
      </c>
      <c r="G1963" t="s">
        <v>46</v>
      </c>
      <c r="H1963" t="s">
        <v>175</v>
      </c>
      <c r="I1963" t="s">
        <v>20</v>
      </c>
      <c r="J1963" t="s">
        <v>94</v>
      </c>
      <c r="K1963" t="s">
        <v>168</v>
      </c>
      <c r="L1963">
        <v>67.92</v>
      </c>
      <c r="M1963" t="s">
        <v>23</v>
      </c>
      <c r="N1963">
        <f t="shared" si="271"/>
        <v>0</v>
      </c>
      <c r="O1963" t="s">
        <v>24</v>
      </c>
      <c r="P1963" t="s">
        <v>1837</v>
      </c>
      <c r="Q1963">
        <v>1</v>
      </c>
      <c r="R1963">
        <v>55</v>
      </c>
      <c r="S1963">
        <f t="shared" si="272"/>
        <v>-1.4771004460429109</v>
      </c>
      <c r="T1963">
        <f t="shared" si="273"/>
        <v>0</v>
      </c>
      <c r="U1963">
        <f t="shared" si="274"/>
        <v>1</v>
      </c>
      <c r="V1963">
        <f t="shared" si="275"/>
        <v>1</v>
      </c>
      <c r="W1963">
        <f t="shared" si="276"/>
        <v>3</v>
      </c>
      <c r="X1963">
        <f t="shared" si="277"/>
        <v>0</v>
      </c>
      <c r="Y1963">
        <f t="shared" si="278"/>
        <v>0</v>
      </c>
    </row>
    <row r="1964" spans="1:25" x14ac:dyDescent="0.3">
      <c r="A1964" t="s">
        <v>854</v>
      </c>
      <c r="B1964" t="s">
        <v>855</v>
      </c>
      <c r="C1964" s="1">
        <v>45807</v>
      </c>
      <c r="D1964" s="3">
        <v>3.3344907407407406E-2</v>
      </c>
      <c r="E1964">
        <f t="shared" si="279"/>
        <v>0</v>
      </c>
      <c r="F1964">
        <v>42</v>
      </c>
      <c r="G1964" t="s">
        <v>6479</v>
      </c>
      <c r="H1964" t="s">
        <v>239</v>
      </c>
      <c r="I1964" t="s">
        <v>110</v>
      </c>
      <c r="J1964" t="s">
        <v>21</v>
      </c>
      <c r="K1964" t="s">
        <v>168</v>
      </c>
      <c r="L1964">
        <v>67.86</v>
      </c>
      <c r="M1964" t="s">
        <v>23</v>
      </c>
      <c r="N1964">
        <f t="shared" si="271"/>
        <v>0</v>
      </c>
      <c r="O1964" t="s">
        <v>51</v>
      </c>
      <c r="P1964" t="s">
        <v>856</v>
      </c>
      <c r="Q1964">
        <v>0</v>
      </c>
      <c r="R1964">
        <v>205</v>
      </c>
      <c r="S1964">
        <f t="shared" si="272"/>
        <v>-1.4779311016114764</v>
      </c>
      <c r="T1964">
        <f t="shared" si="273"/>
        <v>0</v>
      </c>
      <c r="U1964">
        <f t="shared" si="274"/>
        <v>1</v>
      </c>
      <c r="V1964">
        <f t="shared" si="275"/>
        <v>1</v>
      </c>
      <c r="W1964">
        <f t="shared" si="276"/>
        <v>3</v>
      </c>
      <c r="X1964">
        <f t="shared" si="277"/>
        <v>0</v>
      </c>
      <c r="Y1964">
        <f t="shared" si="278"/>
        <v>0</v>
      </c>
    </row>
    <row r="1965" spans="1:25" x14ac:dyDescent="0.3">
      <c r="A1965" t="s">
        <v>6317</v>
      </c>
      <c r="B1965" t="s">
        <v>6318</v>
      </c>
      <c r="C1965" s="1">
        <v>45814</v>
      </c>
      <c r="D1965" s="3">
        <v>0.72278935185185189</v>
      </c>
      <c r="E1965">
        <f t="shared" si="279"/>
        <v>17</v>
      </c>
      <c r="F1965">
        <v>61</v>
      </c>
      <c r="G1965" t="s">
        <v>46</v>
      </c>
      <c r="H1965" t="s">
        <v>90</v>
      </c>
      <c r="I1965" t="s">
        <v>20</v>
      </c>
      <c r="J1965" t="s">
        <v>94</v>
      </c>
      <c r="K1965" t="s">
        <v>22</v>
      </c>
      <c r="L1965">
        <v>67.849999999999994</v>
      </c>
      <c r="M1965" t="s">
        <v>42</v>
      </c>
      <c r="N1965">
        <f t="shared" si="271"/>
        <v>0</v>
      </c>
      <c r="O1965" t="s">
        <v>34</v>
      </c>
      <c r="P1965" t="s">
        <v>6319</v>
      </c>
      <c r="Q1965">
        <v>0</v>
      </c>
      <c r="R1965">
        <v>68</v>
      </c>
      <c r="S1965">
        <f t="shared" si="272"/>
        <v>-1.4780695442062375</v>
      </c>
      <c r="T1965">
        <f t="shared" si="273"/>
        <v>0</v>
      </c>
      <c r="U1965">
        <f t="shared" si="274"/>
        <v>0</v>
      </c>
      <c r="V1965">
        <f t="shared" si="275"/>
        <v>1</v>
      </c>
      <c r="W1965">
        <f t="shared" si="276"/>
        <v>1</v>
      </c>
      <c r="X1965">
        <f t="shared" si="277"/>
        <v>0</v>
      </c>
      <c r="Y1965">
        <f t="shared" si="278"/>
        <v>0</v>
      </c>
    </row>
    <row r="1966" spans="1:25" x14ac:dyDescent="0.3">
      <c r="A1966" t="s">
        <v>3215</v>
      </c>
      <c r="B1966" t="s">
        <v>3216</v>
      </c>
      <c r="C1966" s="1">
        <v>45822</v>
      </c>
      <c r="D1966" s="3">
        <v>0.96891203703703699</v>
      </c>
      <c r="E1966">
        <f t="shared" si="279"/>
        <v>23</v>
      </c>
      <c r="F1966">
        <v>52</v>
      </c>
      <c r="G1966" t="s">
        <v>18</v>
      </c>
      <c r="H1966" t="s">
        <v>239</v>
      </c>
      <c r="I1966" t="s">
        <v>71</v>
      </c>
      <c r="J1966" t="s">
        <v>94</v>
      </c>
      <c r="K1966" t="s">
        <v>50</v>
      </c>
      <c r="L1966">
        <v>67.75</v>
      </c>
      <c r="M1966" t="s">
        <v>42</v>
      </c>
      <c r="N1966">
        <f t="shared" si="271"/>
        <v>0</v>
      </c>
      <c r="O1966" t="s">
        <v>51</v>
      </c>
      <c r="P1966" t="s">
        <v>3217</v>
      </c>
      <c r="Q1966">
        <v>0</v>
      </c>
      <c r="R1966">
        <v>258</v>
      </c>
      <c r="S1966">
        <f t="shared" si="272"/>
        <v>-1.4794539701538467</v>
      </c>
      <c r="T1966">
        <f t="shared" si="273"/>
        <v>0</v>
      </c>
      <c r="U1966">
        <f t="shared" si="274"/>
        <v>0</v>
      </c>
      <c r="V1966">
        <f t="shared" si="275"/>
        <v>1</v>
      </c>
      <c r="W1966">
        <f t="shared" si="276"/>
        <v>1</v>
      </c>
      <c r="X1966">
        <f t="shared" si="277"/>
        <v>0</v>
      </c>
      <c r="Y1966">
        <f t="shared" si="278"/>
        <v>0</v>
      </c>
    </row>
    <row r="1967" spans="1:25" x14ac:dyDescent="0.3">
      <c r="A1967" t="s">
        <v>4763</v>
      </c>
      <c r="B1967" t="s">
        <v>4764</v>
      </c>
      <c r="C1967" s="1">
        <v>45728</v>
      </c>
      <c r="D1967" s="3">
        <v>0.3162847222222222</v>
      </c>
      <c r="E1967">
        <f t="shared" si="279"/>
        <v>7</v>
      </c>
      <c r="F1967">
        <v>22</v>
      </c>
      <c r="G1967" t="s">
        <v>46</v>
      </c>
      <c r="H1967" t="s">
        <v>38</v>
      </c>
      <c r="I1967" t="s">
        <v>20</v>
      </c>
      <c r="J1967" t="s">
        <v>127</v>
      </c>
      <c r="K1967" t="s">
        <v>120</v>
      </c>
      <c r="L1967">
        <v>67.67</v>
      </c>
      <c r="M1967" t="s">
        <v>33</v>
      </c>
      <c r="N1967">
        <f t="shared" si="271"/>
        <v>0</v>
      </c>
      <c r="O1967" t="s">
        <v>51</v>
      </c>
      <c r="P1967" t="s">
        <v>4765</v>
      </c>
      <c r="Q1967">
        <v>0</v>
      </c>
      <c r="R1967">
        <v>261</v>
      </c>
      <c r="S1967">
        <f t="shared" si="272"/>
        <v>-1.4805615109119341</v>
      </c>
      <c r="T1967">
        <f t="shared" si="273"/>
        <v>0</v>
      </c>
      <c r="U1967">
        <f t="shared" si="274"/>
        <v>0</v>
      </c>
      <c r="V1967">
        <f t="shared" si="275"/>
        <v>1</v>
      </c>
      <c r="W1967">
        <f t="shared" si="276"/>
        <v>1</v>
      </c>
      <c r="X1967">
        <f t="shared" si="277"/>
        <v>0</v>
      </c>
      <c r="Y1967">
        <f t="shared" si="278"/>
        <v>0</v>
      </c>
    </row>
    <row r="1968" spans="1:25" x14ac:dyDescent="0.3">
      <c r="A1968" t="s">
        <v>1739</v>
      </c>
      <c r="B1968" t="s">
        <v>1740</v>
      </c>
      <c r="C1968" s="1">
        <v>45779</v>
      </c>
      <c r="D1968" s="3">
        <v>0.15961805555555555</v>
      </c>
      <c r="E1968">
        <f t="shared" si="279"/>
        <v>3</v>
      </c>
      <c r="F1968">
        <v>41</v>
      </c>
      <c r="G1968" t="s">
        <v>46</v>
      </c>
      <c r="H1968" t="s">
        <v>90</v>
      </c>
      <c r="I1968" t="s">
        <v>105</v>
      </c>
      <c r="J1968" t="s">
        <v>72</v>
      </c>
      <c r="K1968" t="s">
        <v>22</v>
      </c>
      <c r="L1968">
        <v>67.56</v>
      </c>
      <c r="M1968" t="s">
        <v>33</v>
      </c>
      <c r="N1968">
        <f t="shared" si="271"/>
        <v>0</v>
      </c>
      <c r="O1968" t="s">
        <v>51</v>
      </c>
      <c r="P1968" t="s">
        <v>1741</v>
      </c>
      <c r="Q1968">
        <v>0</v>
      </c>
      <c r="R1968">
        <v>384</v>
      </c>
      <c r="S1968">
        <f t="shared" si="272"/>
        <v>-1.4820843794543042</v>
      </c>
      <c r="T1968">
        <f t="shared" si="273"/>
        <v>0</v>
      </c>
      <c r="U1968">
        <f t="shared" si="274"/>
        <v>1</v>
      </c>
      <c r="V1968">
        <f t="shared" si="275"/>
        <v>0</v>
      </c>
      <c r="W1968">
        <f t="shared" si="276"/>
        <v>2</v>
      </c>
      <c r="X1968">
        <f t="shared" si="277"/>
        <v>0</v>
      </c>
      <c r="Y1968">
        <f t="shared" si="278"/>
        <v>0</v>
      </c>
    </row>
    <row r="1969" spans="1:25" x14ac:dyDescent="0.3">
      <c r="A1969" t="s">
        <v>3632</v>
      </c>
      <c r="B1969" t="s">
        <v>3633</v>
      </c>
      <c r="C1969" s="1">
        <v>45788</v>
      </c>
      <c r="D1969" s="3">
        <v>0.23931712962962962</v>
      </c>
      <c r="E1969">
        <f t="shared" si="279"/>
        <v>5</v>
      </c>
      <c r="F1969">
        <v>63</v>
      </c>
      <c r="G1969" t="s">
        <v>60</v>
      </c>
      <c r="H1969" t="s">
        <v>189</v>
      </c>
      <c r="I1969" t="s">
        <v>119</v>
      </c>
      <c r="J1969" t="s">
        <v>94</v>
      </c>
      <c r="K1969" t="s">
        <v>32</v>
      </c>
      <c r="L1969">
        <v>67.510000000000005</v>
      </c>
      <c r="M1969" t="s">
        <v>23</v>
      </c>
      <c r="N1969">
        <f t="shared" si="271"/>
        <v>0</v>
      </c>
      <c r="O1969" t="s">
        <v>24</v>
      </c>
      <c r="P1969" t="s">
        <v>3634</v>
      </c>
      <c r="Q1969">
        <v>0</v>
      </c>
      <c r="R1969">
        <v>394</v>
      </c>
      <c r="S1969">
        <f t="shared" si="272"/>
        <v>-1.4827765924281089</v>
      </c>
      <c r="T1969">
        <f t="shared" si="273"/>
        <v>0</v>
      </c>
      <c r="U1969">
        <f t="shared" si="274"/>
        <v>1</v>
      </c>
      <c r="V1969">
        <f t="shared" si="275"/>
        <v>0</v>
      </c>
      <c r="W1969">
        <f t="shared" si="276"/>
        <v>2</v>
      </c>
      <c r="X1969">
        <f t="shared" si="277"/>
        <v>0</v>
      </c>
      <c r="Y1969">
        <f t="shared" si="278"/>
        <v>0</v>
      </c>
    </row>
    <row r="1970" spans="1:25" x14ac:dyDescent="0.3">
      <c r="A1970" t="s">
        <v>3890</v>
      </c>
      <c r="B1970" t="s">
        <v>3891</v>
      </c>
      <c r="C1970" s="1">
        <v>45799</v>
      </c>
      <c r="D1970" s="3">
        <v>0.48114583333333333</v>
      </c>
      <c r="E1970">
        <f t="shared" si="279"/>
        <v>11</v>
      </c>
      <c r="F1970">
        <v>51</v>
      </c>
      <c r="G1970" t="s">
        <v>60</v>
      </c>
      <c r="H1970" t="s">
        <v>90</v>
      </c>
      <c r="I1970" t="s">
        <v>20</v>
      </c>
      <c r="J1970" t="s">
        <v>94</v>
      </c>
      <c r="K1970" t="s">
        <v>22</v>
      </c>
      <c r="L1970">
        <v>67.45</v>
      </c>
      <c r="M1970" t="s">
        <v>23</v>
      </c>
      <c r="N1970">
        <f t="shared" si="271"/>
        <v>0</v>
      </c>
      <c r="O1970" t="s">
        <v>51</v>
      </c>
      <c r="P1970" t="s">
        <v>3892</v>
      </c>
      <c r="Q1970">
        <v>0</v>
      </c>
      <c r="R1970">
        <v>186</v>
      </c>
      <c r="S1970">
        <f t="shared" si="272"/>
        <v>-1.4836072479966744</v>
      </c>
      <c r="T1970">
        <f t="shared" si="273"/>
        <v>0</v>
      </c>
      <c r="U1970">
        <f t="shared" si="274"/>
        <v>0</v>
      </c>
      <c r="V1970">
        <f t="shared" si="275"/>
        <v>1</v>
      </c>
      <c r="W1970">
        <f t="shared" si="276"/>
        <v>1</v>
      </c>
      <c r="X1970">
        <f t="shared" si="277"/>
        <v>0</v>
      </c>
      <c r="Y1970">
        <f t="shared" si="278"/>
        <v>0</v>
      </c>
    </row>
    <row r="1971" spans="1:25" x14ac:dyDescent="0.3">
      <c r="A1971" t="s">
        <v>770</v>
      </c>
      <c r="B1971" t="s">
        <v>771</v>
      </c>
      <c r="C1971" s="1">
        <v>45863</v>
      </c>
      <c r="D1971" s="3">
        <v>0.27539351851851851</v>
      </c>
      <c r="E1971">
        <f t="shared" si="279"/>
        <v>6</v>
      </c>
      <c r="F1971">
        <v>39</v>
      </c>
      <c r="G1971" t="s">
        <v>99</v>
      </c>
      <c r="H1971" t="s">
        <v>131</v>
      </c>
      <c r="I1971" t="s">
        <v>66</v>
      </c>
      <c r="J1971" t="s">
        <v>49</v>
      </c>
      <c r="K1971" t="s">
        <v>168</v>
      </c>
      <c r="L1971">
        <v>67.44</v>
      </c>
      <c r="M1971" t="s">
        <v>115</v>
      </c>
      <c r="N1971">
        <f t="shared" si="271"/>
        <v>0</v>
      </c>
      <c r="O1971" t="s">
        <v>34</v>
      </c>
      <c r="P1971" t="s">
        <v>772</v>
      </c>
      <c r="Q1971">
        <v>0</v>
      </c>
      <c r="R1971">
        <v>484</v>
      </c>
      <c r="S1971">
        <f t="shared" si="272"/>
        <v>-1.4837456905914355</v>
      </c>
      <c r="T1971">
        <f t="shared" si="273"/>
        <v>0</v>
      </c>
      <c r="U1971">
        <f t="shared" si="274"/>
        <v>0</v>
      </c>
      <c r="V1971">
        <f t="shared" si="275"/>
        <v>0</v>
      </c>
      <c r="W1971">
        <f t="shared" si="276"/>
        <v>0</v>
      </c>
      <c r="X1971">
        <f t="shared" si="277"/>
        <v>0</v>
      </c>
      <c r="Y1971">
        <f t="shared" si="278"/>
        <v>0</v>
      </c>
    </row>
    <row r="1972" spans="1:25" x14ac:dyDescent="0.3">
      <c r="A1972" t="s">
        <v>5027</v>
      </c>
      <c r="B1972" t="s">
        <v>5028</v>
      </c>
      <c r="C1972" s="1">
        <v>45780</v>
      </c>
      <c r="D1972" s="3">
        <v>0.35152777777777777</v>
      </c>
      <c r="E1972">
        <f t="shared" si="279"/>
        <v>8</v>
      </c>
      <c r="F1972">
        <v>32</v>
      </c>
      <c r="G1972" t="s">
        <v>46</v>
      </c>
      <c r="H1972" t="s">
        <v>19</v>
      </c>
      <c r="I1972" t="s">
        <v>20</v>
      </c>
      <c r="J1972" t="s">
        <v>40</v>
      </c>
      <c r="K1972" t="s">
        <v>50</v>
      </c>
      <c r="L1972">
        <v>67.42</v>
      </c>
      <c r="M1972" t="s">
        <v>23</v>
      </c>
      <c r="N1972">
        <f t="shared" si="271"/>
        <v>0</v>
      </c>
      <c r="O1972" t="s">
        <v>51</v>
      </c>
      <c r="P1972" t="s">
        <v>5029</v>
      </c>
      <c r="Q1972">
        <v>0</v>
      </c>
      <c r="R1972">
        <v>142</v>
      </c>
      <c r="S1972">
        <f t="shared" si="272"/>
        <v>-1.4840225757809571</v>
      </c>
      <c r="T1972">
        <f t="shared" si="273"/>
        <v>0</v>
      </c>
      <c r="U1972">
        <f t="shared" si="274"/>
        <v>0</v>
      </c>
      <c r="V1972">
        <f t="shared" si="275"/>
        <v>1</v>
      </c>
      <c r="W1972">
        <f t="shared" si="276"/>
        <v>1</v>
      </c>
      <c r="X1972">
        <f t="shared" si="277"/>
        <v>0</v>
      </c>
      <c r="Y1972">
        <f t="shared" si="278"/>
        <v>0</v>
      </c>
    </row>
    <row r="1973" spans="1:25" x14ac:dyDescent="0.3">
      <c r="A1973" t="s">
        <v>2606</v>
      </c>
      <c r="B1973" t="s">
        <v>2607</v>
      </c>
      <c r="C1973" s="1">
        <v>45844</v>
      </c>
      <c r="D1973" s="3">
        <v>0.9462962962962963</v>
      </c>
      <c r="E1973">
        <f t="shared" si="279"/>
        <v>22</v>
      </c>
      <c r="F1973">
        <v>40</v>
      </c>
      <c r="G1973" t="s">
        <v>18</v>
      </c>
      <c r="H1973" t="s">
        <v>38</v>
      </c>
      <c r="I1973" t="s">
        <v>20</v>
      </c>
      <c r="J1973" t="s">
        <v>127</v>
      </c>
      <c r="K1973" t="s">
        <v>114</v>
      </c>
      <c r="L1973">
        <v>67.28</v>
      </c>
      <c r="M1973" t="s">
        <v>115</v>
      </c>
      <c r="N1973">
        <f t="shared" si="271"/>
        <v>0</v>
      </c>
      <c r="O1973" t="s">
        <v>51</v>
      </c>
      <c r="P1973" t="s">
        <v>2608</v>
      </c>
      <c r="Q1973">
        <v>0</v>
      </c>
      <c r="R1973">
        <v>147</v>
      </c>
      <c r="S1973">
        <f t="shared" si="272"/>
        <v>-1.4859607721076102</v>
      </c>
      <c r="T1973">
        <f t="shared" si="273"/>
        <v>0</v>
      </c>
      <c r="U1973">
        <f t="shared" si="274"/>
        <v>0</v>
      </c>
      <c r="V1973">
        <f t="shared" si="275"/>
        <v>1</v>
      </c>
      <c r="W1973">
        <f t="shared" si="276"/>
        <v>1</v>
      </c>
      <c r="X1973">
        <f t="shared" si="277"/>
        <v>0</v>
      </c>
      <c r="Y1973">
        <f t="shared" si="278"/>
        <v>0</v>
      </c>
    </row>
    <row r="1974" spans="1:25" x14ac:dyDescent="0.3">
      <c r="A1974" t="s">
        <v>1883</v>
      </c>
      <c r="B1974" t="s">
        <v>1884</v>
      </c>
      <c r="C1974" s="1">
        <v>45869</v>
      </c>
      <c r="D1974" s="3">
        <v>0.4881597222222222</v>
      </c>
      <c r="E1974">
        <f t="shared" si="279"/>
        <v>11</v>
      </c>
      <c r="F1974">
        <v>62</v>
      </c>
      <c r="G1974" t="s">
        <v>46</v>
      </c>
      <c r="H1974" t="s">
        <v>142</v>
      </c>
      <c r="I1974" t="s">
        <v>66</v>
      </c>
      <c r="J1974" t="s">
        <v>21</v>
      </c>
      <c r="K1974" t="s">
        <v>168</v>
      </c>
      <c r="L1974">
        <v>67.25</v>
      </c>
      <c r="M1974" t="s">
        <v>33</v>
      </c>
      <c r="N1974">
        <f t="shared" si="271"/>
        <v>0</v>
      </c>
      <c r="O1974" t="s">
        <v>86</v>
      </c>
      <c r="P1974" t="s">
        <v>1885</v>
      </c>
      <c r="Q1974">
        <v>0</v>
      </c>
      <c r="R1974">
        <v>328</v>
      </c>
      <c r="S1974">
        <f t="shared" si="272"/>
        <v>-1.4863760998918929</v>
      </c>
      <c r="T1974">
        <f t="shared" si="273"/>
        <v>0</v>
      </c>
      <c r="U1974">
        <f t="shared" si="274"/>
        <v>0</v>
      </c>
      <c r="V1974">
        <f t="shared" si="275"/>
        <v>0</v>
      </c>
      <c r="W1974">
        <f t="shared" si="276"/>
        <v>0</v>
      </c>
      <c r="X1974">
        <f t="shared" si="277"/>
        <v>0</v>
      </c>
      <c r="Y1974">
        <f t="shared" si="278"/>
        <v>0</v>
      </c>
    </row>
    <row r="1975" spans="1:25" x14ac:dyDescent="0.3">
      <c r="A1975" t="s">
        <v>5564</v>
      </c>
      <c r="B1975" t="s">
        <v>5565</v>
      </c>
      <c r="C1975" s="1">
        <v>45856</v>
      </c>
      <c r="D1975" s="3">
        <v>0.43238425925925927</v>
      </c>
      <c r="E1975">
        <f t="shared" si="279"/>
        <v>10</v>
      </c>
      <c r="F1975">
        <v>46</v>
      </c>
      <c r="G1975" t="s">
        <v>60</v>
      </c>
      <c r="H1975" t="s">
        <v>167</v>
      </c>
      <c r="I1975" t="s">
        <v>39</v>
      </c>
      <c r="J1975" t="s">
        <v>56</v>
      </c>
      <c r="K1975" t="s">
        <v>120</v>
      </c>
      <c r="L1975">
        <v>67.13</v>
      </c>
      <c r="M1975" t="s">
        <v>33</v>
      </c>
      <c r="N1975">
        <f t="shared" si="271"/>
        <v>0</v>
      </c>
      <c r="O1975" t="s">
        <v>51</v>
      </c>
      <c r="P1975" t="s">
        <v>5566</v>
      </c>
      <c r="Q1975">
        <v>0</v>
      </c>
      <c r="R1975">
        <v>147</v>
      </c>
      <c r="S1975">
        <f t="shared" si="272"/>
        <v>-1.488037411029024</v>
      </c>
      <c r="T1975">
        <f t="shared" si="273"/>
        <v>0</v>
      </c>
      <c r="U1975">
        <f t="shared" si="274"/>
        <v>0</v>
      </c>
      <c r="V1975">
        <f t="shared" si="275"/>
        <v>1</v>
      </c>
      <c r="W1975">
        <f t="shared" si="276"/>
        <v>1</v>
      </c>
      <c r="X1975">
        <f t="shared" si="277"/>
        <v>0</v>
      </c>
      <c r="Y1975">
        <f t="shared" si="278"/>
        <v>0</v>
      </c>
    </row>
    <row r="1976" spans="1:25" x14ac:dyDescent="0.3">
      <c r="A1976" t="s">
        <v>2753</v>
      </c>
      <c r="B1976" t="s">
        <v>2754</v>
      </c>
      <c r="C1976" s="1">
        <v>45777</v>
      </c>
      <c r="D1976" s="3">
        <v>0.75218750000000001</v>
      </c>
      <c r="E1976">
        <f t="shared" si="279"/>
        <v>18</v>
      </c>
      <c r="F1976">
        <v>52</v>
      </c>
      <c r="G1976" t="s">
        <v>46</v>
      </c>
      <c r="H1976" t="s">
        <v>175</v>
      </c>
      <c r="I1976" t="s">
        <v>71</v>
      </c>
      <c r="J1976" t="s">
        <v>94</v>
      </c>
      <c r="K1976" t="s">
        <v>32</v>
      </c>
      <c r="L1976">
        <v>67.09</v>
      </c>
      <c r="M1976" t="s">
        <v>23</v>
      </c>
      <c r="N1976">
        <f t="shared" si="271"/>
        <v>0</v>
      </c>
      <c r="O1976" t="s">
        <v>34</v>
      </c>
      <c r="P1976" t="s">
        <v>2755</v>
      </c>
      <c r="Q1976">
        <v>0</v>
      </c>
      <c r="R1976">
        <v>491</v>
      </c>
      <c r="S1976">
        <f t="shared" si="272"/>
        <v>-1.4885911814080677</v>
      </c>
      <c r="T1976">
        <f t="shared" si="273"/>
        <v>0</v>
      </c>
      <c r="U1976">
        <f t="shared" si="274"/>
        <v>0</v>
      </c>
      <c r="V1976">
        <f t="shared" si="275"/>
        <v>0</v>
      </c>
      <c r="W1976">
        <f t="shared" si="276"/>
        <v>0</v>
      </c>
      <c r="X1976">
        <f t="shared" si="277"/>
        <v>0</v>
      </c>
      <c r="Y1976">
        <f t="shared" si="278"/>
        <v>0</v>
      </c>
    </row>
    <row r="1977" spans="1:25" x14ac:dyDescent="0.3">
      <c r="A1977" t="s">
        <v>4979</v>
      </c>
      <c r="B1977" t="s">
        <v>4980</v>
      </c>
      <c r="C1977" s="1">
        <v>45815</v>
      </c>
      <c r="D1977" s="3">
        <v>0.64861111111111114</v>
      </c>
      <c r="E1977">
        <f t="shared" si="279"/>
        <v>15</v>
      </c>
      <c r="F1977">
        <v>45</v>
      </c>
      <c r="G1977" t="s">
        <v>6479</v>
      </c>
      <c r="H1977" t="s">
        <v>70</v>
      </c>
      <c r="I1977" t="s">
        <v>110</v>
      </c>
      <c r="J1977" t="s">
        <v>76</v>
      </c>
      <c r="K1977" t="s">
        <v>114</v>
      </c>
      <c r="L1977">
        <v>67.069999999999993</v>
      </c>
      <c r="M1977" t="s">
        <v>42</v>
      </c>
      <c r="N1977">
        <f t="shared" si="271"/>
        <v>0</v>
      </c>
      <c r="O1977" t="s">
        <v>34</v>
      </c>
      <c r="P1977" t="s">
        <v>4981</v>
      </c>
      <c r="Q1977">
        <v>0</v>
      </c>
      <c r="R1977">
        <v>172</v>
      </c>
      <c r="S1977">
        <f t="shared" si="272"/>
        <v>-1.4888680665975897</v>
      </c>
      <c r="T1977">
        <f t="shared" si="273"/>
        <v>0</v>
      </c>
      <c r="U1977">
        <f t="shared" si="274"/>
        <v>0</v>
      </c>
      <c r="V1977">
        <f t="shared" si="275"/>
        <v>1</v>
      </c>
      <c r="W1977">
        <f t="shared" si="276"/>
        <v>1</v>
      </c>
      <c r="X1977">
        <f t="shared" si="277"/>
        <v>0</v>
      </c>
      <c r="Y1977">
        <f t="shared" si="278"/>
        <v>0</v>
      </c>
    </row>
    <row r="1978" spans="1:25" x14ac:dyDescent="0.3">
      <c r="A1978" t="s">
        <v>5741</v>
      </c>
      <c r="B1978" t="s">
        <v>5742</v>
      </c>
      <c r="C1978" s="1">
        <v>45879</v>
      </c>
      <c r="D1978" s="3">
        <v>0.28828703703703706</v>
      </c>
      <c r="E1978">
        <f t="shared" si="279"/>
        <v>6</v>
      </c>
      <c r="F1978">
        <v>39</v>
      </c>
      <c r="G1978" t="s">
        <v>18</v>
      </c>
      <c r="H1978" t="s">
        <v>29</v>
      </c>
      <c r="I1978" t="s">
        <v>110</v>
      </c>
      <c r="J1978" t="s">
        <v>40</v>
      </c>
      <c r="K1978" t="s">
        <v>22</v>
      </c>
      <c r="L1978">
        <v>67.06</v>
      </c>
      <c r="M1978" t="s">
        <v>115</v>
      </c>
      <c r="N1978">
        <f t="shared" si="271"/>
        <v>0</v>
      </c>
      <c r="O1978" t="s">
        <v>24</v>
      </c>
      <c r="P1978" t="s">
        <v>5743</v>
      </c>
      <c r="Q1978">
        <v>0</v>
      </c>
      <c r="R1978">
        <v>50</v>
      </c>
      <c r="S1978">
        <f t="shared" si="272"/>
        <v>-1.4890065091923506</v>
      </c>
      <c r="T1978">
        <f t="shared" si="273"/>
        <v>0</v>
      </c>
      <c r="U1978">
        <f t="shared" si="274"/>
        <v>0</v>
      </c>
      <c r="V1978">
        <f t="shared" si="275"/>
        <v>1</v>
      </c>
      <c r="W1978">
        <f t="shared" si="276"/>
        <v>1</v>
      </c>
      <c r="X1978">
        <f t="shared" si="277"/>
        <v>0</v>
      </c>
      <c r="Y1978">
        <f t="shared" si="278"/>
        <v>0</v>
      </c>
    </row>
    <row r="1979" spans="1:25" x14ac:dyDescent="0.3">
      <c r="A1979" t="s">
        <v>4157</v>
      </c>
      <c r="B1979" t="s">
        <v>4158</v>
      </c>
      <c r="C1979" s="1">
        <v>45845</v>
      </c>
      <c r="D1979" s="3">
        <v>0.38089120370370372</v>
      </c>
      <c r="E1979">
        <f t="shared" si="279"/>
        <v>9</v>
      </c>
      <c r="F1979">
        <v>63</v>
      </c>
      <c r="G1979" t="s">
        <v>46</v>
      </c>
      <c r="H1979" t="s">
        <v>239</v>
      </c>
      <c r="I1979" t="s">
        <v>20</v>
      </c>
      <c r="J1979" t="s">
        <v>21</v>
      </c>
      <c r="K1979" t="s">
        <v>101</v>
      </c>
      <c r="L1979">
        <v>66.98</v>
      </c>
      <c r="M1979" t="s">
        <v>42</v>
      </c>
      <c r="N1979">
        <f t="shared" si="271"/>
        <v>0</v>
      </c>
      <c r="O1979" t="s">
        <v>34</v>
      </c>
      <c r="P1979" t="s">
        <v>4159</v>
      </c>
      <c r="Q1979">
        <v>0</v>
      </c>
      <c r="R1979">
        <v>283</v>
      </c>
      <c r="S1979">
        <f t="shared" si="272"/>
        <v>-1.4901140499504379</v>
      </c>
      <c r="T1979">
        <f t="shared" si="273"/>
        <v>0</v>
      </c>
      <c r="U1979">
        <f t="shared" si="274"/>
        <v>0</v>
      </c>
      <c r="V1979">
        <f t="shared" si="275"/>
        <v>0</v>
      </c>
      <c r="W1979">
        <f t="shared" si="276"/>
        <v>0</v>
      </c>
      <c r="X1979">
        <f t="shared" si="277"/>
        <v>0</v>
      </c>
      <c r="Y1979">
        <f t="shared" si="278"/>
        <v>0</v>
      </c>
    </row>
    <row r="1980" spans="1:25" x14ac:dyDescent="0.3">
      <c r="A1980" t="s">
        <v>5468</v>
      </c>
      <c r="B1980" t="s">
        <v>5469</v>
      </c>
      <c r="C1980" s="1">
        <v>45831</v>
      </c>
      <c r="D1980" s="3">
        <v>0.43259259259259258</v>
      </c>
      <c r="E1980">
        <f t="shared" si="279"/>
        <v>10</v>
      </c>
      <c r="F1980">
        <v>44</v>
      </c>
      <c r="G1980" t="s">
        <v>18</v>
      </c>
      <c r="H1980" t="s">
        <v>142</v>
      </c>
      <c r="I1980" t="s">
        <v>71</v>
      </c>
      <c r="J1980" t="s">
        <v>21</v>
      </c>
      <c r="K1980" t="s">
        <v>50</v>
      </c>
      <c r="L1980">
        <v>66.89</v>
      </c>
      <c r="M1980" t="s">
        <v>115</v>
      </c>
      <c r="N1980">
        <f t="shared" si="271"/>
        <v>0</v>
      </c>
      <c r="O1980" t="s">
        <v>51</v>
      </c>
      <c r="P1980" t="s">
        <v>5470</v>
      </c>
      <c r="Q1980">
        <v>0</v>
      </c>
      <c r="R1980">
        <v>212</v>
      </c>
      <c r="S1980">
        <f t="shared" si="272"/>
        <v>-1.4913600333032861</v>
      </c>
      <c r="T1980">
        <f t="shared" si="273"/>
        <v>0</v>
      </c>
      <c r="U1980">
        <f t="shared" si="274"/>
        <v>0</v>
      </c>
      <c r="V1980">
        <f t="shared" si="275"/>
        <v>1</v>
      </c>
      <c r="W1980">
        <f t="shared" si="276"/>
        <v>1</v>
      </c>
      <c r="X1980">
        <f t="shared" si="277"/>
        <v>0</v>
      </c>
      <c r="Y1980">
        <f t="shared" si="278"/>
        <v>0</v>
      </c>
    </row>
    <row r="1981" spans="1:25" x14ac:dyDescent="0.3">
      <c r="A1981" t="s">
        <v>292</v>
      </c>
      <c r="B1981" t="s">
        <v>293</v>
      </c>
      <c r="C1981" s="1">
        <v>45818</v>
      </c>
      <c r="D1981" s="3">
        <v>0.18119212962962963</v>
      </c>
      <c r="E1981">
        <f t="shared" si="279"/>
        <v>4</v>
      </c>
      <c r="F1981">
        <v>27</v>
      </c>
      <c r="G1981" t="s">
        <v>46</v>
      </c>
      <c r="H1981" t="s">
        <v>38</v>
      </c>
      <c r="I1981" t="s">
        <v>85</v>
      </c>
      <c r="J1981" t="s">
        <v>49</v>
      </c>
      <c r="K1981" t="s">
        <v>95</v>
      </c>
      <c r="L1981">
        <v>66.8</v>
      </c>
      <c r="M1981" t="s">
        <v>33</v>
      </c>
      <c r="N1981">
        <f t="shared" si="271"/>
        <v>0</v>
      </c>
      <c r="O1981" t="s">
        <v>24</v>
      </c>
      <c r="P1981" t="s">
        <v>294</v>
      </c>
      <c r="Q1981">
        <v>1</v>
      </c>
      <c r="R1981">
        <v>449</v>
      </c>
      <c r="S1981">
        <f t="shared" si="272"/>
        <v>-1.4926060166561346</v>
      </c>
      <c r="T1981">
        <f t="shared" si="273"/>
        <v>0</v>
      </c>
      <c r="U1981">
        <f t="shared" si="274"/>
        <v>1</v>
      </c>
      <c r="V1981">
        <f t="shared" si="275"/>
        <v>0</v>
      </c>
      <c r="W1981">
        <f t="shared" si="276"/>
        <v>2</v>
      </c>
      <c r="X1981">
        <f t="shared" si="277"/>
        <v>0</v>
      </c>
      <c r="Y1981">
        <f t="shared" si="278"/>
        <v>0</v>
      </c>
    </row>
    <row r="1982" spans="1:25" x14ac:dyDescent="0.3">
      <c r="A1982" t="s">
        <v>5801</v>
      </c>
      <c r="B1982" t="s">
        <v>5802</v>
      </c>
      <c r="C1982" s="1">
        <v>45875</v>
      </c>
      <c r="D1982" s="3">
        <v>0.32153935185185184</v>
      </c>
      <c r="E1982">
        <f t="shared" si="279"/>
        <v>7</v>
      </c>
      <c r="F1982">
        <v>55</v>
      </c>
      <c r="G1982" t="s">
        <v>60</v>
      </c>
      <c r="H1982" t="s">
        <v>142</v>
      </c>
      <c r="I1982" t="s">
        <v>110</v>
      </c>
      <c r="J1982" t="s">
        <v>132</v>
      </c>
      <c r="K1982" t="s">
        <v>41</v>
      </c>
      <c r="L1982">
        <v>66.77</v>
      </c>
      <c r="M1982" t="s">
        <v>33</v>
      </c>
      <c r="N1982">
        <f t="shared" si="271"/>
        <v>0</v>
      </c>
      <c r="O1982" t="s">
        <v>34</v>
      </c>
      <c r="P1982" t="s">
        <v>5803</v>
      </c>
      <c r="Q1982">
        <v>0</v>
      </c>
      <c r="R1982">
        <v>374</v>
      </c>
      <c r="S1982">
        <f t="shared" si="272"/>
        <v>-1.4930213444404175</v>
      </c>
      <c r="T1982">
        <f t="shared" si="273"/>
        <v>0</v>
      </c>
      <c r="U1982">
        <f t="shared" si="274"/>
        <v>0</v>
      </c>
      <c r="V1982">
        <f t="shared" si="275"/>
        <v>0</v>
      </c>
      <c r="W1982">
        <f t="shared" si="276"/>
        <v>0</v>
      </c>
      <c r="X1982">
        <f t="shared" si="277"/>
        <v>0</v>
      </c>
      <c r="Y1982">
        <f t="shared" si="278"/>
        <v>0</v>
      </c>
    </row>
    <row r="1983" spans="1:25" x14ac:dyDescent="0.3">
      <c r="A1983" t="s">
        <v>392</v>
      </c>
      <c r="B1983" t="s">
        <v>393</v>
      </c>
      <c r="C1983" s="1">
        <v>45770</v>
      </c>
      <c r="D1983" s="3">
        <v>0.44123842592592594</v>
      </c>
      <c r="E1983">
        <f t="shared" si="279"/>
        <v>10</v>
      </c>
      <c r="F1983">
        <v>34</v>
      </c>
      <c r="G1983" t="s">
        <v>46</v>
      </c>
      <c r="H1983" t="s">
        <v>100</v>
      </c>
      <c r="I1983" t="s">
        <v>39</v>
      </c>
      <c r="J1983" t="s">
        <v>127</v>
      </c>
      <c r="K1983" t="s">
        <v>95</v>
      </c>
      <c r="L1983">
        <v>66.599999999999994</v>
      </c>
      <c r="M1983" t="s">
        <v>42</v>
      </c>
      <c r="N1983">
        <f t="shared" si="271"/>
        <v>0</v>
      </c>
      <c r="O1983" t="s">
        <v>24</v>
      </c>
      <c r="P1983" t="s">
        <v>394</v>
      </c>
      <c r="Q1983">
        <v>0</v>
      </c>
      <c r="R1983">
        <v>354</v>
      </c>
      <c r="S1983">
        <f t="shared" si="272"/>
        <v>-1.495374868551353</v>
      </c>
      <c r="T1983">
        <f t="shared" si="273"/>
        <v>0</v>
      </c>
      <c r="U1983">
        <f t="shared" si="274"/>
        <v>0</v>
      </c>
      <c r="V1983">
        <f t="shared" si="275"/>
        <v>0</v>
      </c>
      <c r="W1983">
        <f t="shared" si="276"/>
        <v>0</v>
      </c>
      <c r="X1983">
        <f t="shared" si="277"/>
        <v>0</v>
      </c>
      <c r="Y1983">
        <f t="shared" si="278"/>
        <v>0</v>
      </c>
    </row>
    <row r="1984" spans="1:25" x14ac:dyDescent="0.3">
      <c r="A1984" t="s">
        <v>271</v>
      </c>
      <c r="B1984" t="s">
        <v>272</v>
      </c>
      <c r="C1984" s="1">
        <v>45760</v>
      </c>
      <c r="D1984" s="3">
        <v>0.84687500000000004</v>
      </c>
      <c r="E1984">
        <f t="shared" si="279"/>
        <v>20</v>
      </c>
      <c r="F1984">
        <v>59</v>
      </c>
      <c r="G1984" t="s">
        <v>46</v>
      </c>
      <c r="H1984" t="s">
        <v>38</v>
      </c>
      <c r="I1984" t="s">
        <v>71</v>
      </c>
      <c r="J1984" t="s">
        <v>94</v>
      </c>
      <c r="K1984" t="s">
        <v>62</v>
      </c>
      <c r="L1984">
        <v>66.48</v>
      </c>
      <c r="M1984" t="s">
        <v>42</v>
      </c>
      <c r="N1984">
        <f t="shared" si="271"/>
        <v>0</v>
      </c>
      <c r="O1984" t="s">
        <v>86</v>
      </c>
      <c r="P1984" t="s">
        <v>273</v>
      </c>
      <c r="Q1984">
        <v>0</v>
      </c>
      <c r="R1984">
        <v>484</v>
      </c>
      <c r="S1984">
        <f t="shared" si="272"/>
        <v>-1.4970361796884841</v>
      </c>
      <c r="T1984">
        <f t="shared" si="273"/>
        <v>0</v>
      </c>
      <c r="U1984">
        <f t="shared" si="274"/>
        <v>0</v>
      </c>
      <c r="V1984">
        <f t="shared" si="275"/>
        <v>0</v>
      </c>
      <c r="W1984">
        <f t="shared" si="276"/>
        <v>0</v>
      </c>
      <c r="X1984">
        <f t="shared" si="277"/>
        <v>0</v>
      </c>
      <c r="Y1984">
        <f t="shared" si="278"/>
        <v>0</v>
      </c>
    </row>
    <row r="1985" spans="1:25" x14ac:dyDescent="0.3">
      <c r="A1985" t="s">
        <v>2882</v>
      </c>
      <c r="B1985" t="s">
        <v>2883</v>
      </c>
      <c r="C1985" s="1">
        <v>45765</v>
      </c>
      <c r="D1985" s="3">
        <v>0.44739583333333333</v>
      </c>
      <c r="E1985">
        <f t="shared" si="279"/>
        <v>10</v>
      </c>
      <c r="F1985">
        <v>20</v>
      </c>
      <c r="G1985" t="s">
        <v>18</v>
      </c>
      <c r="H1985" t="s">
        <v>47</v>
      </c>
      <c r="I1985" t="s">
        <v>71</v>
      </c>
      <c r="J1985" t="s">
        <v>72</v>
      </c>
      <c r="K1985" t="s">
        <v>95</v>
      </c>
      <c r="L1985">
        <v>66.28</v>
      </c>
      <c r="M1985" t="s">
        <v>115</v>
      </c>
      <c r="N1985">
        <f t="shared" si="271"/>
        <v>0</v>
      </c>
      <c r="O1985" t="s">
        <v>34</v>
      </c>
      <c r="P1985" t="s">
        <v>2884</v>
      </c>
      <c r="Q1985">
        <v>0</v>
      </c>
      <c r="R1985">
        <v>306</v>
      </c>
      <c r="S1985">
        <f t="shared" si="272"/>
        <v>-1.4998050315837026</v>
      </c>
      <c r="T1985">
        <f t="shared" si="273"/>
        <v>0</v>
      </c>
      <c r="U1985">
        <f t="shared" si="274"/>
        <v>0</v>
      </c>
      <c r="V1985">
        <f t="shared" si="275"/>
        <v>0</v>
      </c>
      <c r="W1985">
        <f t="shared" si="276"/>
        <v>0</v>
      </c>
      <c r="X1985">
        <f t="shared" si="277"/>
        <v>0</v>
      </c>
      <c r="Y1985">
        <f t="shared" si="278"/>
        <v>0</v>
      </c>
    </row>
    <row r="1986" spans="1:25" x14ac:dyDescent="0.3">
      <c r="A1986" t="s">
        <v>878</v>
      </c>
      <c r="B1986" t="s">
        <v>879</v>
      </c>
      <c r="C1986" s="1">
        <v>45805</v>
      </c>
      <c r="D1986" s="3">
        <v>7.7569444444444441E-2</v>
      </c>
      <c r="E1986">
        <f t="shared" si="279"/>
        <v>1</v>
      </c>
      <c r="F1986">
        <v>43</v>
      </c>
      <c r="G1986" t="s">
        <v>6479</v>
      </c>
      <c r="H1986" t="s">
        <v>232</v>
      </c>
      <c r="I1986" t="s">
        <v>20</v>
      </c>
      <c r="J1986" t="s">
        <v>56</v>
      </c>
      <c r="K1986" t="s">
        <v>95</v>
      </c>
      <c r="L1986">
        <v>66.25</v>
      </c>
      <c r="M1986" t="s">
        <v>115</v>
      </c>
      <c r="N1986">
        <f t="shared" ref="N1986:N2049" si="280">IF(M1986="Unknown",1,0)</f>
        <v>0</v>
      </c>
      <c r="O1986" t="s">
        <v>51</v>
      </c>
      <c r="P1986" t="s">
        <v>880</v>
      </c>
      <c r="Q1986">
        <v>0</v>
      </c>
      <c r="R1986">
        <v>94</v>
      </c>
      <c r="S1986">
        <f t="shared" ref="S1986:S2049" si="281">(L1986-$P$2137)/$P$2138</f>
        <v>-1.5002203593679855</v>
      </c>
      <c r="T1986">
        <f t="shared" ref="T1986:T2049" si="282">IF(ABS(Z1986)&gt;3,1,0)</f>
        <v>0</v>
      </c>
      <c r="U1986">
        <f t="shared" ref="U1986:U2049" si="283">IF(AND(E1986&gt;=0,E1986&lt;=5),1,0)</f>
        <v>1</v>
      </c>
      <c r="V1986">
        <f t="shared" ref="V1986:V2049" si="284">IF(R1986&lt;AVERAGE($R:$R),1,0)</f>
        <v>1</v>
      </c>
      <c r="W1986">
        <f t="shared" ref="W1986:W2049" si="285">T1986*3+U1986*2+V1986*1+N1986*2</f>
        <v>3</v>
      </c>
      <c r="X1986">
        <f t="shared" ref="X1986:X2049" si="286">IF(W1986&gt;=5,1,0)</f>
        <v>0</v>
      </c>
      <c r="Y1986">
        <f t="shared" ref="Y1986:Y2049" si="287">IF(M1986="Unknown",1,0)</f>
        <v>0</v>
      </c>
    </row>
    <row r="1987" spans="1:25" x14ac:dyDescent="0.3">
      <c r="A1987" t="s">
        <v>2270</v>
      </c>
      <c r="B1987" t="s">
        <v>2271</v>
      </c>
      <c r="C1987" s="1">
        <v>45868</v>
      </c>
      <c r="D1987" s="3">
        <v>0.67268518518518516</v>
      </c>
      <c r="E1987">
        <f t="shared" si="279"/>
        <v>16</v>
      </c>
      <c r="F1987">
        <v>64</v>
      </c>
      <c r="G1987" t="s">
        <v>46</v>
      </c>
      <c r="H1987" t="s">
        <v>185</v>
      </c>
      <c r="I1987" t="s">
        <v>20</v>
      </c>
      <c r="J1987" t="s">
        <v>132</v>
      </c>
      <c r="K1987" t="s">
        <v>32</v>
      </c>
      <c r="L1987">
        <v>66.22</v>
      </c>
      <c r="M1987" t="s">
        <v>42</v>
      </c>
      <c r="N1987">
        <f t="shared" si="280"/>
        <v>0</v>
      </c>
      <c r="O1987" t="s">
        <v>34</v>
      </c>
      <c r="P1987" t="s">
        <v>2272</v>
      </c>
      <c r="Q1987">
        <v>0</v>
      </c>
      <c r="R1987">
        <v>437</v>
      </c>
      <c r="S1987">
        <f t="shared" si="281"/>
        <v>-1.5006356871522681</v>
      </c>
      <c r="T1987">
        <f t="shared" si="282"/>
        <v>0</v>
      </c>
      <c r="U1987">
        <f t="shared" si="283"/>
        <v>0</v>
      </c>
      <c r="V1987">
        <f t="shared" si="284"/>
        <v>0</v>
      </c>
      <c r="W1987">
        <f t="shared" si="285"/>
        <v>0</v>
      </c>
      <c r="X1987">
        <f t="shared" si="286"/>
        <v>0</v>
      </c>
      <c r="Y1987">
        <f t="shared" si="287"/>
        <v>0</v>
      </c>
    </row>
    <row r="1988" spans="1:25" x14ac:dyDescent="0.3">
      <c r="A1988" t="s">
        <v>4445</v>
      </c>
      <c r="B1988" t="s">
        <v>4446</v>
      </c>
      <c r="C1988" s="1">
        <v>45784</v>
      </c>
      <c r="D1988" s="3">
        <v>0.7292939814814815</v>
      </c>
      <c r="E1988">
        <f t="shared" si="279"/>
        <v>17</v>
      </c>
      <c r="F1988" s="4">
        <v>41</v>
      </c>
      <c r="G1988" t="s">
        <v>99</v>
      </c>
      <c r="H1988" t="s">
        <v>189</v>
      </c>
      <c r="I1988" t="s">
        <v>110</v>
      </c>
      <c r="J1988" t="s">
        <v>94</v>
      </c>
      <c r="K1988" t="s">
        <v>168</v>
      </c>
      <c r="L1988">
        <v>66.08</v>
      </c>
      <c r="M1988" t="s">
        <v>42</v>
      </c>
      <c r="N1988">
        <f t="shared" si="280"/>
        <v>0</v>
      </c>
      <c r="O1988" t="s">
        <v>34</v>
      </c>
      <c r="P1988" t="s">
        <v>4447</v>
      </c>
      <c r="Q1988">
        <v>0</v>
      </c>
      <c r="R1988">
        <v>79</v>
      </c>
      <c r="S1988">
        <f t="shared" si="281"/>
        <v>-1.5025738834789211</v>
      </c>
      <c r="T1988">
        <f t="shared" si="282"/>
        <v>0</v>
      </c>
      <c r="U1988">
        <f t="shared" si="283"/>
        <v>0</v>
      </c>
      <c r="V1988">
        <f t="shared" si="284"/>
        <v>1</v>
      </c>
      <c r="W1988">
        <f t="shared" si="285"/>
        <v>1</v>
      </c>
      <c r="X1988">
        <f t="shared" si="286"/>
        <v>0</v>
      </c>
      <c r="Y1988">
        <f t="shared" si="287"/>
        <v>0</v>
      </c>
    </row>
    <row r="1989" spans="1:25" x14ac:dyDescent="0.3">
      <c r="A1989" t="s">
        <v>1184</v>
      </c>
      <c r="B1989" t="s">
        <v>1185</v>
      </c>
      <c r="C1989" s="1">
        <v>45720</v>
      </c>
      <c r="D1989" s="3">
        <v>0.11243055555555556</v>
      </c>
      <c r="E1989">
        <f t="shared" si="279"/>
        <v>2</v>
      </c>
      <c r="F1989">
        <v>57</v>
      </c>
      <c r="G1989" t="s">
        <v>46</v>
      </c>
      <c r="H1989" t="s">
        <v>167</v>
      </c>
      <c r="I1989" t="s">
        <v>20</v>
      </c>
      <c r="J1989" t="s">
        <v>56</v>
      </c>
      <c r="K1989" t="s">
        <v>22</v>
      </c>
      <c r="L1989">
        <v>65.98</v>
      </c>
      <c r="M1989" t="s">
        <v>42</v>
      </c>
      <c r="N1989">
        <f t="shared" si="280"/>
        <v>0</v>
      </c>
      <c r="O1989" t="s">
        <v>51</v>
      </c>
      <c r="P1989" t="s">
        <v>1186</v>
      </c>
      <c r="Q1989">
        <v>0</v>
      </c>
      <c r="R1989">
        <v>157</v>
      </c>
      <c r="S1989">
        <f t="shared" si="281"/>
        <v>-1.5039583094265303</v>
      </c>
      <c r="T1989">
        <f t="shared" si="282"/>
        <v>0</v>
      </c>
      <c r="U1989">
        <f t="shared" si="283"/>
        <v>1</v>
      </c>
      <c r="V1989">
        <f t="shared" si="284"/>
        <v>1</v>
      </c>
      <c r="W1989">
        <f t="shared" si="285"/>
        <v>3</v>
      </c>
      <c r="X1989">
        <f t="shared" si="286"/>
        <v>0</v>
      </c>
      <c r="Y1989">
        <f t="shared" si="287"/>
        <v>0</v>
      </c>
    </row>
    <row r="1990" spans="1:25" x14ac:dyDescent="0.3">
      <c r="A1990" t="s">
        <v>6062</v>
      </c>
      <c r="B1990" t="s">
        <v>6063</v>
      </c>
      <c r="C1990" s="1">
        <v>45863</v>
      </c>
      <c r="D1990" s="3">
        <v>0.38915509259259257</v>
      </c>
      <c r="E1990">
        <f t="shared" si="279"/>
        <v>9</v>
      </c>
      <c r="F1990" s="4">
        <v>41</v>
      </c>
      <c r="G1990" t="s">
        <v>106</v>
      </c>
      <c r="H1990" t="s">
        <v>55</v>
      </c>
      <c r="I1990" t="s">
        <v>71</v>
      </c>
      <c r="J1990" t="s">
        <v>94</v>
      </c>
      <c r="K1990" t="s">
        <v>101</v>
      </c>
      <c r="L1990">
        <v>65.75</v>
      </c>
      <c r="M1990" t="s">
        <v>42</v>
      </c>
      <c r="N1990">
        <f t="shared" si="280"/>
        <v>0</v>
      </c>
      <c r="O1990" t="s">
        <v>24</v>
      </c>
      <c r="P1990" t="s">
        <v>6064</v>
      </c>
      <c r="Q1990">
        <v>0</v>
      </c>
      <c r="R1990">
        <v>170</v>
      </c>
      <c r="S1990">
        <f t="shared" si="281"/>
        <v>-1.5071424891060317</v>
      </c>
      <c r="T1990">
        <f t="shared" si="282"/>
        <v>0</v>
      </c>
      <c r="U1990">
        <f t="shared" si="283"/>
        <v>0</v>
      </c>
      <c r="V1990">
        <f t="shared" si="284"/>
        <v>1</v>
      </c>
      <c r="W1990">
        <f t="shared" si="285"/>
        <v>1</v>
      </c>
      <c r="X1990">
        <f t="shared" si="286"/>
        <v>0</v>
      </c>
      <c r="Y1990">
        <f t="shared" si="287"/>
        <v>0</v>
      </c>
    </row>
    <row r="1991" spans="1:25" x14ac:dyDescent="0.3">
      <c r="A1991" t="s">
        <v>2345</v>
      </c>
      <c r="B1991" t="s">
        <v>2346</v>
      </c>
      <c r="C1991" s="1">
        <v>45743</v>
      </c>
      <c r="D1991" s="3">
        <v>0.60818287037037033</v>
      </c>
      <c r="E1991">
        <f t="shared" si="279"/>
        <v>14</v>
      </c>
      <c r="F1991">
        <v>65</v>
      </c>
      <c r="G1991" t="s">
        <v>46</v>
      </c>
      <c r="H1991" t="s">
        <v>239</v>
      </c>
      <c r="I1991" t="s">
        <v>30</v>
      </c>
      <c r="J1991" t="s">
        <v>49</v>
      </c>
      <c r="K1991" t="s">
        <v>62</v>
      </c>
      <c r="L1991">
        <v>65.72</v>
      </c>
      <c r="M1991" t="s">
        <v>33</v>
      </c>
      <c r="N1991">
        <f t="shared" si="280"/>
        <v>0</v>
      </c>
      <c r="O1991" t="s">
        <v>34</v>
      </c>
      <c r="P1991" t="s">
        <v>2347</v>
      </c>
      <c r="Q1991">
        <v>0</v>
      </c>
      <c r="R1991">
        <v>97</v>
      </c>
      <c r="S1991">
        <f t="shared" si="281"/>
        <v>-1.5075578168903143</v>
      </c>
      <c r="T1991">
        <f t="shared" si="282"/>
        <v>0</v>
      </c>
      <c r="U1991">
        <f t="shared" si="283"/>
        <v>0</v>
      </c>
      <c r="V1991">
        <f t="shared" si="284"/>
        <v>1</v>
      </c>
      <c r="W1991">
        <f t="shared" si="285"/>
        <v>1</v>
      </c>
      <c r="X1991">
        <f t="shared" si="286"/>
        <v>0</v>
      </c>
      <c r="Y1991">
        <f t="shared" si="287"/>
        <v>0</v>
      </c>
    </row>
    <row r="1992" spans="1:25" x14ac:dyDescent="0.3">
      <c r="A1992" t="s">
        <v>277</v>
      </c>
      <c r="B1992" t="s">
        <v>278</v>
      </c>
      <c r="C1992" s="1">
        <v>45722</v>
      </c>
      <c r="D1992" s="3">
        <v>0.89258101851851857</v>
      </c>
      <c r="E1992">
        <f t="shared" si="279"/>
        <v>21</v>
      </c>
      <c r="F1992">
        <v>46</v>
      </c>
      <c r="G1992" t="s">
        <v>28</v>
      </c>
      <c r="H1992" t="s">
        <v>70</v>
      </c>
      <c r="I1992" t="s">
        <v>66</v>
      </c>
      <c r="J1992" t="s">
        <v>76</v>
      </c>
      <c r="K1992" t="s">
        <v>41</v>
      </c>
      <c r="L1992">
        <v>65.53</v>
      </c>
      <c r="M1992" t="s">
        <v>42</v>
      </c>
      <c r="N1992">
        <f t="shared" si="280"/>
        <v>0</v>
      </c>
      <c r="O1992" t="s">
        <v>24</v>
      </c>
      <c r="P1992" t="s">
        <v>279</v>
      </c>
      <c r="Q1992">
        <v>0</v>
      </c>
      <c r="R1992">
        <v>461</v>
      </c>
      <c r="S1992">
        <f t="shared" si="281"/>
        <v>-1.510188226190772</v>
      </c>
      <c r="T1992">
        <f t="shared" si="282"/>
        <v>0</v>
      </c>
      <c r="U1992">
        <f t="shared" si="283"/>
        <v>0</v>
      </c>
      <c r="V1992">
        <f t="shared" si="284"/>
        <v>0</v>
      </c>
      <c r="W1992">
        <f t="shared" si="285"/>
        <v>0</v>
      </c>
      <c r="X1992">
        <f t="shared" si="286"/>
        <v>0</v>
      </c>
      <c r="Y1992">
        <f t="shared" si="287"/>
        <v>0</v>
      </c>
    </row>
    <row r="1993" spans="1:25" x14ac:dyDescent="0.3">
      <c r="A1993" t="s">
        <v>2006</v>
      </c>
      <c r="B1993" t="s">
        <v>2007</v>
      </c>
      <c r="C1993" s="1">
        <v>45721</v>
      </c>
      <c r="D1993" s="3">
        <v>0.13577546296296297</v>
      </c>
      <c r="E1993">
        <f t="shared" si="279"/>
        <v>3</v>
      </c>
      <c r="F1993">
        <v>21</v>
      </c>
      <c r="G1993" t="s">
        <v>18</v>
      </c>
      <c r="H1993" t="s">
        <v>185</v>
      </c>
      <c r="I1993" t="s">
        <v>71</v>
      </c>
      <c r="J1993" t="s">
        <v>72</v>
      </c>
      <c r="K1993" t="s">
        <v>50</v>
      </c>
      <c r="L1993">
        <v>65.290000000000006</v>
      </c>
      <c r="M1993" t="s">
        <v>115</v>
      </c>
      <c r="N1993">
        <f t="shared" si="280"/>
        <v>0</v>
      </c>
      <c r="O1993" t="s">
        <v>51</v>
      </c>
      <c r="P1993" t="s">
        <v>2008</v>
      </c>
      <c r="Q1993">
        <v>0</v>
      </c>
      <c r="R1993">
        <v>306</v>
      </c>
      <c r="S1993">
        <f t="shared" si="281"/>
        <v>-1.5135108484650341</v>
      </c>
      <c r="T1993">
        <f t="shared" si="282"/>
        <v>0</v>
      </c>
      <c r="U1993">
        <f t="shared" si="283"/>
        <v>1</v>
      </c>
      <c r="V1993">
        <f t="shared" si="284"/>
        <v>0</v>
      </c>
      <c r="W1993">
        <f t="shared" si="285"/>
        <v>2</v>
      </c>
      <c r="X1993">
        <f t="shared" si="286"/>
        <v>0</v>
      </c>
      <c r="Y1993">
        <f t="shared" si="287"/>
        <v>0</v>
      </c>
    </row>
    <row r="1994" spans="1:25" x14ac:dyDescent="0.3">
      <c r="A1994" t="s">
        <v>4010</v>
      </c>
      <c r="B1994" t="s">
        <v>4011</v>
      </c>
      <c r="C1994" s="1">
        <v>45735</v>
      </c>
      <c r="D1994" s="3">
        <v>0.71466435185185184</v>
      </c>
      <c r="E1994">
        <f t="shared" si="279"/>
        <v>17</v>
      </c>
      <c r="F1994">
        <v>40</v>
      </c>
      <c r="G1994" t="s">
        <v>46</v>
      </c>
      <c r="H1994" t="s">
        <v>29</v>
      </c>
      <c r="I1994" t="s">
        <v>39</v>
      </c>
      <c r="J1994" t="s">
        <v>72</v>
      </c>
      <c r="K1994" t="s">
        <v>32</v>
      </c>
      <c r="L1994">
        <v>65.14</v>
      </c>
      <c r="M1994" t="s">
        <v>33</v>
      </c>
      <c r="N1994">
        <f t="shared" si="280"/>
        <v>0</v>
      </c>
      <c r="O1994" t="s">
        <v>34</v>
      </c>
      <c r="P1994" t="s">
        <v>4012</v>
      </c>
      <c r="Q1994">
        <v>0</v>
      </c>
      <c r="R1994">
        <v>310</v>
      </c>
      <c r="S1994">
        <f t="shared" si="281"/>
        <v>-1.5155874873864481</v>
      </c>
      <c r="T1994">
        <f t="shared" si="282"/>
        <v>0</v>
      </c>
      <c r="U1994">
        <f t="shared" si="283"/>
        <v>0</v>
      </c>
      <c r="V1994">
        <f t="shared" si="284"/>
        <v>0</v>
      </c>
      <c r="W1994">
        <f t="shared" si="285"/>
        <v>0</v>
      </c>
      <c r="X1994">
        <f t="shared" si="286"/>
        <v>0</v>
      </c>
      <c r="Y1994">
        <f t="shared" si="287"/>
        <v>0</v>
      </c>
    </row>
    <row r="1995" spans="1:25" x14ac:dyDescent="0.3">
      <c r="A1995" t="s">
        <v>1517</v>
      </c>
      <c r="B1995" t="s">
        <v>1518</v>
      </c>
      <c r="C1995" s="1">
        <v>45870</v>
      </c>
      <c r="D1995" s="3">
        <v>0.67317129629629635</v>
      </c>
      <c r="E1995">
        <f t="shared" si="279"/>
        <v>16</v>
      </c>
      <c r="F1995">
        <v>43</v>
      </c>
      <c r="G1995" t="s">
        <v>18</v>
      </c>
      <c r="H1995" t="s">
        <v>312</v>
      </c>
      <c r="I1995" t="s">
        <v>110</v>
      </c>
      <c r="J1995" t="s">
        <v>132</v>
      </c>
      <c r="K1995" t="s">
        <v>62</v>
      </c>
      <c r="L1995">
        <v>65.06</v>
      </c>
      <c r="M1995" t="s">
        <v>42</v>
      </c>
      <c r="N1995">
        <f t="shared" si="280"/>
        <v>0</v>
      </c>
      <c r="O1995" t="s">
        <v>34</v>
      </c>
      <c r="P1995" t="s">
        <v>1519</v>
      </c>
      <c r="Q1995">
        <v>0</v>
      </c>
      <c r="R1995">
        <v>389</v>
      </c>
      <c r="S1995">
        <f t="shared" si="281"/>
        <v>-1.5166950281445353</v>
      </c>
      <c r="T1995">
        <f t="shared" si="282"/>
        <v>0</v>
      </c>
      <c r="U1995">
        <f t="shared" si="283"/>
        <v>0</v>
      </c>
      <c r="V1995">
        <f t="shared" si="284"/>
        <v>0</v>
      </c>
      <c r="W1995">
        <f t="shared" si="285"/>
        <v>0</v>
      </c>
      <c r="X1995">
        <f t="shared" si="286"/>
        <v>0</v>
      </c>
      <c r="Y1995">
        <f t="shared" si="287"/>
        <v>0</v>
      </c>
    </row>
    <row r="1996" spans="1:25" x14ac:dyDescent="0.3">
      <c r="A1996" t="s">
        <v>3935</v>
      </c>
      <c r="B1996" t="s">
        <v>3936</v>
      </c>
      <c r="C1996" s="1">
        <v>45857</v>
      </c>
      <c r="D1996" s="3">
        <v>0.9312731481481481</v>
      </c>
      <c r="E1996">
        <f t="shared" si="279"/>
        <v>22</v>
      </c>
      <c r="F1996">
        <v>20</v>
      </c>
      <c r="G1996" t="s">
        <v>99</v>
      </c>
      <c r="H1996" t="s">
        <v>90</v>
      </c>
      <c r="I1996" t="s">
        <v>30</v>
      </c>
      <c r="J1996" t="s">
        <v>132</v>
      </c>
      <c r="K1996" t="s">
        <v>32</v>
      </c>
      <c r="L1996">
        <v>64.98</v>
      </c>
      <c r="M1996" t="s">
        <v>42</v>
      </c>
      <c r="N1996">
        <f t="shared" si="280"/>
        <v>0</v>
      </c>
      <c r="O1996" t="s">
        <v>51</v>
      </c>
      <c r="P1996" t="s">
        <v>3937</v>
      </c>
      <c r="Q1996">
        <v>0</v>
      </c>
      <c r="R1996">
        <v>201</v>
      </c>
      <c r="S1996">
        <f t="shared" si="281"/>
        <v>-1.5178025689026227</v>
      </c>
      <c r="T1996">
        <f t="shared" si="282"/>
        <v>0</v>
      </c>
      <c r="U1996">
        <f t="shared" si="283"/>
        <v>0</v>
      </c>
      <c r="V1996">
        <f t="shared" si="284"/>
        <v>1</v>
      </c>
      <c r="W1996">
        <f t="shared" si="285"/>
        <v>1</v>
      </c>
      <c r="X1996">
        <f t="shared" si="286"/>
        <v>0</v>
      </c>
      <c r="Y1996">
        <f t="shared" si="287"/>
        <v>0</v>
      </c>
    </row>
    <row r="1997" spans="1:25" x14ac:dyDescent="0.3">
      <c r="A1997" t="s">
        <v>1262</v>
      </c>
      <c r="B1997" t="s">
        <v>1263</v>
      </c>
      <c r="C1997" s="1">
        <v>45731</v>
      </c>
      <c r="D1997" s="3">
        <v>0.69956018518518515</v>
      </c>
      <c r="E1997">
        <f t="shared" si="279"/>
        <v>16</v>
      </c>
      <c r="F1997">
        <v>24</v>
      </c>
      <c r="G1997" t="s">
        <v>46</v>
      </c>
      <c r="H1997" t="s">
        <v>167</v>
      </c>
      <c r="I1997" t="s">
        <v>20</v>
      </c>
      <c r="J1997" t="s">
        <v>76</v>
      </c>
      <c r="K1997" t="s">
        <v>168</v>
      </c>
      <c r="L1997">
        <v>64.97</v>
      </c>
      <c r="M1997" t="s">
        <v>23</v>
      </c>
      <c r="N1997">
        <f t="shared" si="280"/>
        <v>0</v>
      </c>
      <c r="O1997" t="s">
        <v>51</v>
      </c>
      <c r="P1997" t="s">
        <v>1264</v>
      </c>
      <c r="Q1997">
        <v>0</v>
      </c>
      <c r="R1997">
        <v>108</v>
      </c>
      <c r="S1997">
        <f t="shared" si="281"/>
        <v>-1.5179410114973837</v>
      </c>
      <c r="T1997">
        <f t="shared" si="282"/>
        <v>0</v>
      </c>
      <c r="U1997">
        <f t="shared" si="283"/>
        <v>0</v>
      </c>
      <c r="V1997">
        <f t="shared" si="284"/>
        <v>1</v>
      </c>
      <c r="W1997">
        <f t="shared" si="285"/>
        <v>1</v>
      </c>
      <c r="X1997">
        <f t="shared" si="286"/>
        <v>0</v>
      </c>
      <c r="Y1997">
        <f t="shared" si="287"/>
        <v>0</v>
      </c>
    </row>
    <row r="1998" spans="1:25" x14ac:dyDescent="0.3">
      <c r="A1998" t="s">
        <v>2063</v>
      </c>
      <c r="B1998" t="s">
        <v>2064</v>
      </c>
      <c r="C1998" s="1">
        <v>45840</v>
      </c>
      <c r="D1998" s="3">
        <v>0.72251157407407407</v>
      </c>
      <c r="E1998">
        <f t="shared" si="279"/>
        <v>17</v>
      </c>
      <c r="F1998">
        <v>58</v>
      </c>
      <c r="G1998" t="s">
        <v>46</v>
      </c>
      <c r="H1998" t="s">
        <v>47</v>
      </c>
      <c r="I1998" t="s">
        <v>66</v>
      </c>
      <c r="J1998" t="s">
        <v>49</v>
      </c>
      <c r="K1998" t="s">
        <v>50</v>
      </c>
      <c r="L1998">
        <v>64.930000000000007</v>
      </c>
      <c r="M1998" t="s">
        <v>23</v>
      </c>
      <c r="N1998">
        <f t="shared" si="280"/>
        <v>0</v>
      </c>
      <c r="O1998" t="s">
        <v>24</v>
      </c>
      <c r="P1998" t="s">
        <v>2065</v>
      </c>
      <c r="Q1998">
        <v>0</v>
      </c>
      <c r="R1998">
        <v>93</v>
      </c>
      <c r="S1998">
        <f t="shared" si="281"/>
        <v>-1.5184947818764274</v>
      </c>
      <c r="T1998">
        <f t="shared" si="282"/>
        <v>0</v>
      </c>
      <c r="U1998">
        <f t="shared" si="283"/>
        <v>0</v>
      </c>
      <c r="V1998">
        <f t="shared" si="284"/>
        <v>1</v>
      </c>
      <c r="W1998">
        <f t="shared" si="285"/>
        <v>1</v>
      </c>
      <c r="X1998">
        <f t="shared" si="286"/>
        <v>0</v>
      </c>
      <c r="Y1998">
        <f t="shared" si="287"/>
        <v>0</v>
      </c>
    </row>
    <row r="1999" spans="1:25" x14ac:dyDescent="0.3">
      <c r="A1999" t="s">
        <v>5333</v>
      </c>
      <c r="B1999" t="s">
        <v>5334</v>
      </c>
      <c r="C1999" s="1">
        <v>45740</v>
      </c>
      <c r="D1999" s="3">
        <v>0.69600694444444444</v>
      </c>
      <c r="E1999">
        <f t="shared" si="279"/>
        <v>16</v>
      </c>
      <c r="F1999">
        <v>34</v>
      </c>
      <c r="G1999" t="s">
        <v>46</v>
      </c>
      <c r="H1999" t="s">
        <v>239</v>
      </c>
      <c r="I1999" t="s">
        <v>66</v>
      </c>
      <c r="J1999" t="s">
        <v>49</v>
      </c>
      <c r="K1999" t="s">
        <v>114</v>
      </c>
      <c r="L1999">
        <v>64.75</v>
      </c>
      <c r="M1999" t="s">
        <v>33</v>
      </c>
      <c r="N1999">
        <f t="shared" si="280"/>
        <v>0</v>
      </c>
      <c r="O1999" t="s">
        <v>24</v>
      </c>
      <c r="P1999" t="s">
        <v>5335</v>
      </c>
      <c r="Q1999">
        <v>0</v>
      </c>
      <c r="R1999">
        <v>293</v>
      </c>
      <c r="S1999">
        <f t="shared" si="281"/>
        <v>-1.520986748582124</v>
      </c>
      <c r="T1999">
        <f t="shared" si="282"/>
        <v>0</v>
      </c>
      <c r="U1999">
        <f t="shared" si="283"/>
        <v>0</v>
      </c>
      <c r="V1999">
        <f t="shared" si="284"/>
        <v>0</v>
      </c>
      <c r="W1999">
        <f t="shared" si="285"/>
        <v>0</v>
      </c>
      <c r="X1999">
        <f t="shared" si="286"/>
        <v>0</v>
      </c>
      <c r="Y1999">
        <f t="shared" si="287"/>
        <v>0</v>
      </c>
    </row>
    <row r="2000" spans="1:25" x14ac:dyDescent="0.3">
      <c r="A2000" t="s">
        <v>2705</v>
      </c>
      <c r="B2000" t="s">
        <v>2706</v>
      </c>
      <c r="C2000" s="1">
        <v>45751</v>
      </c>
      <c r="D2000" s="3">
        <v>0.45864583333333331</v>
      </c>
      <c r="E2000">
        <f t="shared" si="279"/>
        <v>11</v>
      </c>
      <c r="F2000">
        <v>43</v>
      </c>
      <c r="G2000" t="s">
        <v>60</v>
      </c>
      <c r="H2000" t="s">
        <v>19</v>
      </c>
      <c r="I2000" t="s">
        <v>119</v>
      </c>
      <c r="J2000" t="s">
        <v>56</v>
      </c>
      <c r="K2000" t="s">
        <v>41</v>
      </c>
      <c r="L2000">
        <v>64.64</v>
      </c>
      <c r="M2000" t="s">
        <v>115</v>
      </c>
      <c r="N2000">
        <f t="shared" si="280"/>
        <v>0</v>
      </c>
      <c r="O2000" t="s">
        <v>51</v>
      </c>
      <c r="P2000" t="s">
        <v>2707</v>
      </c>
      <c r="Q2000">
        <v>0</v>
      </c>
      <c r="R2000">
        <v>290</v>
      </c>
      <c r="S2000">
        <f t="shared" si="281"/>
        <v>-1.5225096171244943</v>
      </c>
      <c r="T2000">
        <f t="shared" si="282"/>
        <v>0</v>
      </c>
      <c r="U2000">
        <f t="shared" si="283"/>
        <v>0</v>
      </c>
      <c r="V2000">
        <f t="shared" si="284"/>
        <v>0</v>
      </c>
      <c r="W2000">
        <f t="shared" si="285"/>
        <v>0</v>
      </c>
      <c r="X2000">
        <f t="shared" si="286"/>
        <v>0</v>
      </c>
      <c r="Y2000">
        <f t="shared" si="287"/>
        <v>0</v>
      </c>
    </row>
    <row r="2001" spans="1:25" x14ac:dyDescent="0.3">
      <c r="A2001" t="s">
        <v>6200</v>
      </c>
      <c r="B2001" t="s">
        <v>6201</v>
      </c>
      <c r="C2001" s="1">
        <v>45841</v>
      </c>
      <c r="D2001" s="3">
        <v>0.40053240740740742</v>
      </c>
      <c r="E2001">
        <f t="shared" si="279"/>
        <v>9</v>
      </c>
      <c r="F2001">
        <v>18</v>
      </c>
      <c r="G2001" t="s">
        <v>18</v>
      </c>
      <c r="H2001" t="s">
        <v>55</v>
      </c>
      <c r="I2001" t="s">
        <v>20</v>
      </c>
      <c r="J2001" t="s">
        <v>72</v>
      </c>
      <c r="K2001" t="s">
        <v>168</v>
      </c>
      <c r="L2001">
        <v>64.36</v>
      </c>
      <c r="M2001" t="s">
        <v>23</v>
      </c>
      <c r="N2001">
        <f t="shared" si="280"/>
        <v>0</v>
      </c>
      <c r="O2001" t="s">
        <v>86</v>
      </c>
      <c r="P2001" t="s">
        <v>6202</v>
      </c>
      <c r="Q2001">
        <v>0</v>
      </c>
      <c r="R2001">
        <v>316</v>
      </c>
      <c r="S2001">
        <f t="shared" si="281"/>
        <v>-1.5263860097778001</v>
      </c>
      <c r="T2001">
        <f t="shared" si="282"/>
        <v>0</v>
      </c>
      <c r="U2001">
        <f t="shared" si="283"/>
        <v>0</v>
      </c>
      <c r="V2001">
        <f t="shared" si="284"/>
        <v>0</v>
      </c>
      <c r="W2001">
        <f t="shared" si="285"/>
        <v>0</v>
      </c>
      <c r="X2001">
        <f t="shared" si="286"/>
        <v>0</v>
      </c>
      <c r="Y2001">
        <f t="shared" si="287"/>
        <v>0</v>
      </c>
    </row>
    <row r="2002" spans="1:25" x14ac:dyDescent="0.3">
      <c r="A2002" t="s">
        <v>2414</v>
      </c>
      <c r="B2002" t="s">
        <v>2415</v>
      </c>
      <c r="C2002" s="1">
        <v>45712</v>
      </c>
      <c r="D2002" s="3">
        <v>0.84619212962962964</v>
      </c>
      <c r="E2002">
        <f t="shared" si="279"/>
        <v>20</v>
      </c>
      <c r="F2002">
        <v>21</v>
      </c>
      <c r="G2002" t="s">
        <v>46</v>
      </c>
      <c r="H2002" t="s">
        <v>312</v>
      </c>
      <c r="I2002" t="s">
        <v>39</v>
      </c>
      <c r="J2002" t="s">
        <v>72</v>
      </c>
      <c r="K2002" t="s">
        <v>62</v>
      </c>
      <c r="L2002">
        <v>64.23</v>
      </c>
      <c r="M2002" t="s">
        <v>23</v>
      </c>
      <c r="N2002">
        <f t="shared" si="280"/>
        <v>0</v>
      </c>
      <c r="O2002" t="s">
        <v>34</v>
      </c>
      <c r="P2002" t="s">
        <v>2416</v>
      </c>
      <c r="Q2002">
        <v>0</v>
      </c>
      <c r="R2002">
        <v>473</v>
      </c>
      <c r="S2002">
        <f t="shared" si="281"/>
        <v>-1.528185763509692</v>
      </c>
      <c r="T2002">
        <f t="shared" si="282"/>
        <v>0</v>
      </c>
      <c r="U2002">
        <f t="shared" si="283"/>
        <v>0</v>
      </c>
      <c r="V2002">
        <f t="shared" si="284"/>
        <v>0</v>
      </c>
      <c r="W2002">
        <f t="shared" si="285"/>
        <v>0</v>
      </c>
      <c r="X2002">
        <f t="shared" si="286"/>
        <v>0</v>
      </c>
      <c r="Y2002">
        <f t="shared" si="287"/>
        <v>0</v>
      </c>
    </row>
    <row r="2003" spans="1:25" x14ac:dyDescent="0.3">
      <c r="A2003" t="s">
        <v>563</v>
      </c>
      <c r="B2003" t="s">
        <v>564</v>
      </c>
      <c r="C2003" s="1">
        <v>45702</v>
      </c>
      <c r="D2003" s="3">
        <v>0.63416666666666666</v>
      </c>
      <c r="E2003">
        <f t="shared" si="279"/>
        <v>15</v>
      </c>
      <c r="F2003">
        <v>30</v>
      </c>
      <c r="G2003" t="s">
        <v>18</v>
      </c>
      <c r="H2003" t="s">
        <v>167</v>
      </c>
      <c r="I2003" t="s">
        <v>105</v>
      </c>
      <c r="J2003" t="s">
        <v>72</v>
      </c>
      <c r="K2003" t="s">
        <v>114</v>
      </c>
      <c r="L2003">
        <v>64.180000000000007</v>
      </c>
      <c r="M2003" t="s">
        <v>33</v>
      </c>
      <c r="N2003">
        <f t="shared" si="280"/>
        <v>0</v>
      </c>
      <c r="O2003" t="s">
        <v>86</v>
      </c>
      <c r="P2003" t="s">
        <v>565</v>
      </c>
      <c r="Q2003">
        <v>0</v>
      </c>
      <c r="R2003">
        <v>165</v>
      </c>
      <c r="S2003">
        <f t="shared" si="281"/>
        <v>-1.5288779764834968</v>
      </c>
      <c r="T2003">
        <f t="shared" si="282"/>
        <v>0</v>
      </c>
      <c r="U2003">
        <f t="shared" si="283"/>
        <v>0</v>
      </c>
      <c r="V2003">
        <f t="shared" si="284"/>
        <v>1</v>
      </c>
      <c r="W2003">
        <f t="shared" si="285"/>
        <v>1</v>
      </c>
      <c r="X2003">
        <f t="shared" si="286"/>
        <v>0</v>
      </c>
      <c r="Y2003">
        <f t="shared" si="287"/>
        <v>0</v>
      </c>
    </row>
    <row r="2004" spans="1:25" x14ac:dyDescent="0.3">
      <c r="A2004" t="s">
        <v>1574</v>
      </c>
      <c r="B2004" t="s">
        <v>1575</v>
      </c>
      <c r="C2004" s="1">
        <v>45769</v>
      </c>
      <c r="D2004" s="3">
        <v>0.23659722222222221</v>
      </c>
      <c r="E2004">
        <f t="shared" si="279"/>
        <v>5</v>
      </c>
      <c r="F2004">
        <v>22</v>
      </c>
      <c r="G2004" t="s">
        <v>18</v>
      </c>
      <c r="H2004" t="s">
        <v>239</v>
      </c>
      <c r="I2004" t="s">
        <v>119</v>
      </c>
      <c r="J2004" t="s">
        <v>94</v>
      </c>
      <c r="K2004" t="s">
        <v>62</v>
      </c>
      <c r="L2004">
        <v>64.02</v>
      </c>
      <c r="M2004" t="s">
        <v>115</v>
      </c>
      <c r="N2004">
        <f t="shared" si="280"/>
        <v>0</v>
      </c>
      <c r="O2004" t="s">
        <v>86</v>
      </c>
      <c r="P2004" t="s">
        <v>1576</v>
      </c>
      <c r="Q2004">
        <v>0</v>
      </c>
      <c r="R2004">
        <v>407</v>
      </c>
      <c r="S2004">
        <f t="shared" si="281"/>
        <v>-1.5310930579996715</v>
      </c>
      <c r="T2004">
        <f t="shared" si="282"/>
        <v>0</v>
      </c>
      <c r="U2004">
        <f t="shared" si="283"/>
        <v>1</v>
      </c>
      <c r="V2004">
        <f t="shared" si="284"/>
        <v>0</v>
      </c>
      <c r="W2004">
        <f t="shared" si="285"/>
        <v>2</v>
      </c>
      <c r="X2004">
        <f t="shared" si="286"/>
        <v>0</v>
      </c>
      <c r="Y2004">
        <f t="shared" si="287"/>
        <v>0</v>
      </c>
    </row>
    <row r="2005" spans="1:25" x14ac:dyDescent="0.3">
      <c r="A2005" t="s">
        <v>650</v>
      </c>
      <c r="B2005" t="s">
        <v>651</v>
      </c>
      <c r="C2005" s="1">
        <v>45722</v>
      </c>
      <c r="D2005" s="3">
        <v>0.8573263888888889</v>
      </c>
      <c r="E2005">
        <f t="shared" si="279"/>
        <v>20</v>
      </c>
      <c r="F2005">
        <v>26</v>
      </c>
      <c r="G2005" t="s">
        <v>60</v>
      </c>
      <c r="H2005" t="s">
        <v>29</v>
      </c>
      <c r="I2005" t="s">
        <v>30</v>
      </c>
      <c r="J2005" t="s">
        <v>94</v>
      </c>
      <c r="K2005" t="s">
        <v>41</v>
      </c>
      <c r="L2005">
        <v>63.89</v>
      </c>
      <c r="M2005" t="s">
        <v>115</v>
      </c>
      <c r="N2005">
        <f t="shared" si="280"/>
        <v>0</v>
      </c>
      <c r="O2005" t="s">
        <v>34</v>
      </c>
      <c r="P2005" t="s">
        <v>652</v>
      </c>
      <c r="Q2005">
        <v>0</v>
      </c>
      <c r="R2005">
        <v>401</v>
      </c>
      <c r="S2005">
        <f t="shared" si="281"/>
        <v>-1.5328928117315637</v>
      </c>
      <c r="T2005">
        <f t="shared" si="282"/>
        <v>0</v>
      </c>
      <c r="U2005">
        <f t="shared" si="283"/>
        <v>0</v>
      </c>
      <c r="V2005">
        <f t="shared" si="284"/>
        <v>0</v>
      </c>
      <c r="W2005">
        <f t="shared" si="285"/>
        <v>0</v>
      </c>
      <c r="X2005">
        <f t="shared" si="286"/>
        <v>0</v>
      </c>
      <c r="Y2005">
        <f t="shared" si="287"/>
        <v>0</v>
      </c>
    </row>
    <row r="2006" spans="1:25" x14ac:dyDescent="0.3">
      <c r="A2006" t="s">
        <v>3575</v>
      </c>
      <c r="B2006" t="s">
        <v>3576</v>
      </c>
      <c r="C2006" s="1">
        <v>45828</v>
      </c>
      <c r="D2006" s="3">
        <v>0.39968749999999997</v>
      </c>
      <c r="E2006">
        <f t="shared" ref="E2006:E2069" si="288">HOUR(D2006)</f>
        <v>9</v>
      </c>
      <c r="F2006">
        <v>61</v>
      </c>
      <c r="G2006" t="s">
        <v>46</v>
      </c>
      <c r="H2006" t="s">
        <v>142</v>
      </c>
      <c r="I2006" t="s">
        <v>20</v>
      </c>
      <c r="J2006" t="s">
        <v>132</v>
      </c>
      <c r="K2006" t="s">
        <v>41</v>
      </c>
      <c r="L2006">
        <v>63.7</v>
      </c>
      <c r="M2006" t="s">
        <v>23</v>
      </c>
      <c r="N2006">
        <f t="shared" si="280"/>
        <v>0</v>
      </c>
      <c r="O2006" t="s">
        <v>86</v>
      </c>
      <c r="P2006" t="s">
        <v>3577</v>
      </c>
      <c r="Q2006">
        <v>0</v>
      </c>
      <c r="R2006">
        <v>57</v>
      </c>
      <c r="S2006">
        <f t="shared" si="281"/>
        <v>-1.5355232210320211</v>
      </c>
      <c r="T2006">
        <f t="shared" si="282"/>
        <v>0</v>
      </c>
      <c r="U2006">
        <f t="shared" si="283"/>
        <v>0</v>
      </c>
      <c r="V2006">
        <f t="shared" si="284"/>
        <v>1</v>
      </c>
      <c r="W2006">
        <f t="shared" si="285"/>
        <v>1</v>
      </c>
      <c r="X2006">
        <f t="shared" si="286"/>
        <v>0</v>
      </c>
      <c r="Y2006">
        <f t="shared" si="287"/>
        <v>0</v>
      </c>
    </row>
    <row r="2007" spans="1:25" x14ac:dyDescent="0.3">
      <c r="A2007" t="s">
        <v>3734</v>
      </c>
      <c r="B2007" t="s">
        <v>3735</v>
      </c>
      <c r="C2007" s="1">
        <v>45716</v>
      </c>
      <c r="D2007" s="3">
        <v>7.2800925925925922E-2</v>
      </c>
      <c r="E2007">
        <f t="shared" si="288"/>
        <v>1</v>
      </c>
      <c r="F2007">
        <v>23</v>
      </c>
      <c r="G2007" t="s">
        <v>46</v>
      </c>
      <c r="H2007" t="s">
        <v>167</v>
      </c>
      <c r="I2007" t="s">
        <v>30</v>
      </c>
      <c r="J2007" t="s">
        <v>21</v>
      </c>
      <c r="K2007" t="s">
        <v>114</v>
      </c>
      <c r="L2007">
        <v>63.59</v>
      </c>
      <c r="M2007" t="s">
        <v>115</v>
      </c>
      <c r="N2007">
        <f t="shared" si="280"/>
        <v>0</v>
      </c>
      <c r="O2007" t="s">
        <v>24</v>
      </c>
      <c r="P2007" t="s">
        <v>3736</v>
      </c>
      <c r="Q2007">
        <v>0</v>
      </c>
      <c r="R2007">
        <v>64</v>
      </c>
      <c r="S2007">
        <f t="shared" si="281"/>
        <v>-1.5370460895743914</v>
      </c>
      <c r="T2007">
        <f t="shared" si="282"/>
        <v>0</v>
      </c>
      <c r="U2007">
        <f t="shared" si="283"/>
        <v>1</v>
      </c>
      <c r="V2007">
        <f t="shared" si="284"/>
        <v>1</v>
      </c>
      <c r="W2007">
        <f t="shared" si="285"/>
        <v>3</v>
      </c>
      <c r="X2007">
        <f t="shared" si="286"/>
        <v>0</v>
      </c>
      <c r="Y2007">
        <f t="shared" si="287"/>
        <v>0</v>
      </c>
    </row>
    <row r="2008" spans="1:25" x14ac:dyDescent="0.3">
      <c r="A2008" t="s">
        <v>5024</v>
      </c>
      <c r="B2008" t="s">
        <v>5025</v>
      </c>
      <c r="C2008" s="1">
        <v>45872</v>
      </c>
      <c r="D2008" s="3">
        <v>0.86636574074074069</v>
      </c>
      <c r="E2008">
        <f t="shared" si="288"/>
        <v>20</v>
      </c>
      <c r="F2008">
        <v>41</v>
      </c>
      <c r="G2008" t="s">
        <v>18</v>
      </c>
      <c r="H2008" t="s">
        <v>70</v>
      </c>
      <c r="I2008" t="s">
        <v>48</v>
      </c>
      <c r="J2008" t="s">
        <v>72</v>
      </c>
      <c r="K2008" t="s">
        <v>101</v>
      </c>
      <c r="L2008">
        <v>63.47</v>
      </c>
      <c r="M2008" t="s">
        <v>42</v>
      </c>
      <c r="N2008">
        <f t="shared" si="280"/>
        <v>0</v>
      </c>
      <c r="O2008" t="s">
        <v>24</v>
      </c>
      <c r="P2008" t="s">
        <v>5026</v>
      </c>
      <c r="Q2008">
        <v>0</v>
      </c>
      <c r="R2008">
        <v>466</v>
      </c>
      <c r="S2008">
        <f t="shared" si="281"/>
        <v>-1.5387074007115225</v>
      </c>
      <c r="T2008">
        <f t="shared" si="282"/>
        <v>0</v>
      </c>
      <c r="U2008">
        <f t="shared" si="283"/>
        <v>0</v>
      </c>
      <c r="V2008">
        <f t="shared" si="284"/>
        <v>0</v>
      </c>
      <c r="W2008">
        <f t="shared" si="285"/>
        <v>0</v>
      </c>
      <c r="X2008">
        <f t="shared" si="286"/>
        <v>0</v>
      </c>
      <c r="Y2008">
        <f t="shared" si="287"/>
        <v>0</v>
      </c>
    </row>
    <row r="2009" spans="1:25" x14ac:dyDescent="0.3">
      <c r="A2009" t="s">
        <v>2624</v>
      </c>
      <c r="B2009" t="s">
        <v>2625</v>
      </c>
      <c r="C2009" s="1">
        <v>45816</v>
      </c>
      <c r="D2009" s="3">
        <v>5.8657407407407408E-2</v>
      </c>
      <c r="E2009">
        <f t="shared" si="288"/>
        <v>1</v>
      </c>
      <c r="F2009">
        <v>21</v>
      </c>
      <c r="G2009" t="s">
        <v>46</v>
      </c>
      <c r="H2009" t="s">
        <v>167</v>
      </c>
      <c r="I2009" t="s">
        <v>39</v>
      </c>
      <c r="J2009" t="s">
        <v>56</v>
      </c>
      <c r="K2009" t="s">
        <v>114</v>
      </c>
      <c r="L2009">
        <v>63.35</v>
      </c>
      <c r="M2009" t="s">
        <v>33</v>
      </c>
      <c r="N2009">
        <f t="shared" si="280"/>
        <v>0</v>
      </c>
      <c r="O2009" t="s">
        <v>24</v>
      </c>
      <c r="P2009" t="s">
        <v>2626</v>
      </c>
      <c r="Q2009">
        <v>0</v>
      </c>
      <c r="R2009">
        <v>409</v>
      </c>
      <c r="S2009">
        <f t="shared" si="281"/>
        <v>-1.5403687118486535</v>
      </c>
      <c r="T2009">
        <f t="shared" si="282"/>
        <v>0</v>
      </c>
      <c r="U2009">
        <f t="shared" si="283"/>
        <v>1</v>
      </c>
      <c r="V2009">
        <f t="shared" si="284"/>
        <v>0</v>
      </c>
      <c r="W2009">
        <f t="shared" si="285"/>
        <v>2</v>
      </c>
      <c r="X2009">
        <f t="shared" si="286"/>
        <v>0</v>
      </c>
      <c r="Y2009">
        <f t="shared" si="287"/>
        <v>0</v>
      </c>
    </row>
    <row r="2010" spans="1:25" x14ac:dyDescent="0.3">
      <c r="A2010" t="s">
        <v>2978</v>
      </c>
      <c r="B2010" t="s">
        <v>2979</v>
      </c>
      <c r="C2010" s="1">
        <v>45742</v>
      </c>
      <c r="D2010" s="3">
        <v>0.36658564814814815</v>
      </c>
      <c r="E2010">
        <f t="shared" si="288"/>
        <v>8</v>
      </c>
      <c r="F2010">
        <v>47</v>
      </c>
      <c r="G2010" t="s">
        <v>46</v>
      </c>
      <c r="H2010" t="s">
        <v>90</v>
      </c>
      <c r="I2010" t="s">
        <v>20</v>
      </c>
      <c r="J2010" t="s">
        <v>40</v>
      </c>
      <c r="K2010" t="s">
        <v>62</v>
      </c>
      <c r="L2010">
        <v>63.34</v>
      </c>
      <c r="M2010" t="s">
        <v>6479</v>
      </c>
      <c r="N2010">
        <f t="shared" si="280"/>
        <v>1</v>
      </c>
      <c r="O2010" t="s">
        <v>34</v>
      </c>
      <c r="P2010" t="s">
        <v>2980</v>
      </c>
      <c r="Q2010">
        <v>0</v>
      </c>
      <c r="R2010">
        <v>179</v>
      </c>
      <c r="S2010">
        <f t="shared" si="281"/>
        <v>-1.5405071544434144</v>
      </c>
      <c r="T2010">
        <f t="shared" si="282"/>
        <v>0</v>
      </c>
      <c r="U2010">
        <f t="shared" si="283"/>
        <v>0</v>
      </c>
      <c r="V2010">
        <f t="shared" si="284"/>
        <v>1</v>
      </c>
      <c r="W2010">
        <f t="shared" si="285"/>
        <v>3</v>
      </c>
      <c r="X2010">
        <f t="shared" si="286"/>
        <v>0</v>
      </c>
      <c r="Y2010">
        <f t="shared" si="287"/>
        <v>1</v>
      </c>
    </row>
    <row r="2011" spans="1:25" x14ac:dyDescent="0.3">
      <c r="A2011" t="s">
        <v>5345</v>
      </c>
      <c r="B2011" t="s">
        <v>5346</v>
      </c>
      <c r="C2011" s="1">
        <v>45815</v>
      </c>
      <c r="D2011" s="3">
        <v>0.85858796296296291</v>
      </c>
      <c r="E2011">
        <f t="shared" si="288"/>
        <v>20</v>
      </c>
      <c r="F2011">
        <v>43</v>
      </c>
      <c r="G2011" t="s">
        <v>28</v>
      </c>
      <c r="H2011" t="s">
        <v>189</v>
      </c>
      <c r="I2011" t="s">
        <v>66</v>
      </c>
      <c r="J2011" t="s">
        <v>31</v>
      </c>
      <c r="K2011" t="s">
        <v>22</v>
      </c>
      <c r="L2011">
        <v>63.33</v>
      </c>
      <c r="M2011" t="s">
        <v>115</v>
      </c>
      <c r="N2011">
        <f t="shared" si="280"/>
        <v>0</v>
      </c>
      <c r="O2011" t="s">
        <v>86</v>
      </c>
      <c r="P2011" t="s">
        <v>5347</v>
      </c>
      <c r="Q2011">
        <v>0</v>
      </c>
      <c r="R2011">
        <v>213</v>
      </c>
      <c r="S2011">
        <f t="shared" si="281"/>
        <v>-1.5406455970381754</v>
      </c>
      <c r="T2011">
        <f t="shared" si="282"/>
        <v>0</v>
      </c>
      <c r="U2011">
        <f t="shared" si="283"/>
        <v>0</v>
      </c>
      <c r="V2011">
        <f t="shared" si="284"/>
        <v>1</v>
      </c>
      <c r="W2011">
        <f t="shared" si="285"/>
        <v>1</v>
      </c>
      <c r="X2011">
        <f t="shared" si="286"/>
        <v>0</v>
      </c>
      <c r="Y2011">
        <f t="shared" si="287"/>
        <v>0</v>
      </c>
    </row>
    <row r="2012" spans="1:25" x14ac:dyDescent="0.3">
      <c r="A2012" t="s">
        <v>2417</v>
      </c>
      <c r="B2012" s="2" t="s">
        <v>2418</v>
      </c>
      <c r="C2012" s="1">
        <v>45790</v>
      </c>
      <c r="D2012" s="3">
        <v>0.58096064814814818</v>
      </c>
      <c r="E2012">
        <f t="shared" si="288"/>
        <v>13</v>
      </c>
      <c r="F2012">
        <v>18</v>
      </c>
      <c r="G2012" t="s">
        <v>60</v>
      </c>
      <c r="H2012" t="s">
        <v>84</v>
      </c>
      <c r="I2012" t="s">
        <v>119</v>
      </c>
      <c r="J2012" t="s">
        <v>72</v>
      </c>
      <c r="K2012" t="s">
        <v>50</v>
      </c>
      <c r="L2012">
        <v>63.12</v>
      </c>
      <c r="M2012" t="s">
        <v>42</v>
      </c>
      <c r="N2012">
        <f t="shared" si="280"/>
        <v>0</v>
      </c>
      <c r="O2012" t="s">
        <v>24</v>
      </c>
      <c r="P2012" t="s">
        <v>2419</v>
      </c>
      <c r="Q2012">
        <v>0</v>
      </c>
      <c r="R2012">
        <v>409</v>
      </c>
      <c r="S2012">
        <f t="shared" si="281"/>
        <v>-1.5435528915281547</v>
      </c>
      <c r="T2012">
        <f t="shared" si="282"/>
        <v>0</v>
      </c>
      <c r="U2012">
        <f t="shared" si="283"/>
        <v>0</v>
      </c>
      <c r="V2012">
        <f t="shared" si="284"/>
        <v>0</v>
      </c>
      <c r="W2012">
        <f t="shared" si="285"/>
        <v>0</v>
      </c>
      <c r="X2012">
        <f t="shared" si="286"/>
        <v>0</v>
      </c>
      <c r="Y2012">
        <f t="shared" si="287"/>
        <v>0</v>
      </c>
    </row>
    <row r="2013" spans="1:25" x14ac:dyDescent="0.3">
      <c r="A2013" t="s">
        <v>165</v>
      </c>
      <c r="B2013" t="s">
        <v>166</v>
      </c>
      <c r="C2013" s="1">
        <v>45703</v>
      </c>
      <c r="D2013" s="3">
        <v>0.19439814814814815</v>
      </c>
      <c r="E2013">
        <f t="shared" si="288"/>
        <v>4</v>
      </c>
      <c r="F2013">
        <v>45</v>
      </c>
      <c r="G2013" t="s">
        <v>18</v>
      </c>
      <c r="H2013" t="s">
        <v>167</v>
      </c>
      <c r="I2013" t="s">
        <v>39</v>
      </c>
      <c r="J2013" t="s">
        <v>56</v>
      </c>
      <c r="K2013" t="s">
        <v>168</v>
      </c>
      <c r="L2013">
        <v>63.02</v>
      </c>
      <c r="M2013" t="s">
        <v>42</v>
      </c>
      <c r="N2013">
        <f t="shared" si="280"/>
        <v>0</v>
      </c>
      <c r="O2013" t="s">
        <v>51</v>
      </c>
      <c r="P2013" t="s">
        <v>169</v>
      </c>
      <c r="Q2013">
        <v>0</v>
      </c>
      <c r="R2013">
        <v>426</v>
      </c>
      <c r="S2013">
        <f t="shared" si="281"/>
        <v>-1.5449373174757639</v>
      </c>
      <c r="T2013">
        <f t="shared" si="282"/>
        <v>0</v>
      </c>
      <c r="U2013">
        <f t="shared" si="283"/>
        <v>1</v>
      </c>
      <c r="V2013">
        <f t="shared" si="284"/>
        <v>0</v>
      </c>
      <c r="W2013">
        <f t="shared" si="285"/>
        <v>2</v>
      </c>
      <c r="X2013">
        <f t="shared" si="286"/>
        <v>0</v>
      </c>
      <c r="Y2013">
        <f t="shared" si="287"/>
        <v>0</v>
      </c>
    </row>
    <row r="2014" spans="1:25" x14ac:dyDescent="0.3">
      <c r="A2014" t="s">
        <v>5813</v>
      </c>
      <c r="B2014" t="s">
        <v>5814</v>
      </c>
      <c r="C2014" s="1">
        <v>45774</v>
      </c>
      <c r="D2014" s="3">
        <v>0.84943287037037041</v>
      </c>
      <c r="E2014">
        <f t="shared" si="288"/>
        <v>20</v>
      </c>
      <c r="F2014">
        <v>32</v>
      </c>
      <c r="G2014" t="s">
        <v>60</v>
      </c>
      <c r="H2014" t="s">
        <v>29</v>
      </c>
      <c r="I2014" t="s">
        <v>48</v>
      </c>
      <c r="J2014" t="s">
        <v>56</v>
      </c>
      <c r="K2014" t="s">
        <v>168</v>
      </c>
      <c r="L2014">
        <v>62.95</v>
      </c>
      <c r="M2014" t="s">
        <v>115</v>
      </c>
      <c r="N2014">
        <f t="shared" si="280"/>
        <v>0</v>
      </c>
      <c r="O2014" t="s">
        <v>34</v>
      </c>
      <c r="P2014" t="s">
        <v>5815</v>
      </c>
      <c r="Q2014">
        <v>0</v>
      </c>
      <c r="R2014">
        <v>494</v>
      </c>
      <c r="S2014">
        <f t="shared" si="281"/>
        <v>-1.5459064156390905</v>
      </c>
      <c r="T2014">
        <f t="shared" si="282"/>
        <v>0</v>
      </c>
      <c r="U2014">
        <f t="shared" si="283"/>
        <v>0</v>
      </c>
      <c r="V2014">
        <f t="shared" si="284"/>
        <v>0</v>
      </c>
      <c r="W2014">
        <f t="shared" si="285"/>
        <v>0</v>
      </c>
      <c r="X2014">
        <f t="shared" si="286"/>
        <v>0</v>
      </c>
      <c r="Y2014">
        <f t="shared" si="287"/>
        <v>0</v>
      </c>
    </row>
    <row r="2015" spans="1:25" x14ac:dyDescent="0.3">
      <c r="A2015" t="s">
        <v>1829</v>
      </c>
      <c r="B2015" t="s">
        <v>1830</v>
      </c>
      <c r="C2015" s="1">
        <v>45739</v>
      </c>
      <c r="D2015" s="3">
        <v>0.61159722222222224</v>
      </c>
      <c r="E2015">
        <f t="shared" si="288"/>
        <v>14</v>
      </c>
      <c r="F2015">
        <v>29</v>
      </c>
      <c r="G2015" t="s">
        <v>18</v>
      </c>
      <c r="H2015" t="s">
        <v>167</v>
      </c>
      <c r="I2015" t="s">
        <v>119</v>
      </c>
      <c r="J2015" t="s">
        <v>94</v>
      </c>
      <c r="K2015" t="s">
        <v>101</v>
      </c>
      <c r="L2015">
        <v>62.63</v>
      </c>
      <c r="M2015" t="s">
        <v>33</v>
      </c>
      <c r="N2015">
        <f t="shared" si="280"/>
        <v>0</v>
      </c>
      <c r="O2015" t="s">
        <v>34</v>
      </c>
      <c r="P2015" t="s">
        <v>1831</v>
      </c>
      <c r="Q2015">
        <v>0</v>
      </c>
      <c r="R2015">
        <v>232</v>
      </c>
      <c r="S2015">
        <f t="shared" si="281"/>
        <v>-1.55033657867144</v>
      </c>
      <c r="T2015">
        <f t="shared" si="282"/>
        <v>0</v>
      </c>
      <c r="U2015">
        <f t="shared" si="283"/>
        <v>0</v>
      </c>
      <c r="V2015">
        <f t="shared" si="284"/>
        <v>1</v>
      </c>
      <c r="W2015">
        <f t="shared" si="285"/>
        <v>1</v>
      </c>
      <c r="X2015">
        <f t="shared" si="286"/>
        <v>0</v>
      </c>
      <c r="Y2015">
        <f t="shared" si="287"/>
        <v>0</v>
      </c>
    </row>
    <row r="2016" spans="1:25" x14ac:dyDescent="0.3">
      <c r="A2016" t="s">
        <v>872</v>
      </c>
      <c r="B2016" t="s">
        <v>873</v>
      </c>
      <c r="C2016" s="1">
        <v>45727</v>
      </c>
      <c r="D2016" s="3">
        <v>0.29162037037037036</v>
      </c>
      <c r="E2016">
        <f t="shared" si="288"/>
        <v>6</v>
      </c>
      <c r="F2016">
        <v>24</v>
      </c>
      <c r="G2016" t="s">
        <v>99</v>
      </c>
      <c r="H2016" t="s">
        <v>80</v>
      </c>
      <c r="I2016" t="s">
        <v>110</v>
      </c>
      <c r="J2016" t="s">
        <v>72</v>
      </c>
      <c r="K2016" t="s">
        <v>50</v>
      </c>
      <c r="L2016">
        <v>62.45</v>
      </c>
      <c r="M2016" t="s">
        <v>33</v>
      </c>
      <c r="N2016">
        <f t="shared" si="280"/>
        <v>0</v>
      </c>
      <c r="O2016" t="s">
        <v>34</v>
      </c>
      <c r="P2016" t="s">
        <v>874</v>
      </c>
      <c r="Q2016">
        <v>0</v>
      </c>
      <c r="R2016">
        <v>147</v>
      </c>
      <c r="S2016">
        <f t="shared" si="281"/>
        <v>-1.5528285453771367</v>
      </c>
      <c r="T2016">
        <f t="shared" si="282"/>
        <v>0</v>
      </c>
      <c r="U2016">
        <f t="shared" si="283"/>
        <v>0</v>
      </c>
      <c r="V2016">
        <f t="shared" si="284"/>
        <v>1</v>
      </c>
      <c r="W2016">
        <f t="shared" si="285"/>
        <v>1</v>
      </c>
      <c r="X2016">
        <f t="shared" si="286"/>
        <v>0</v>
      </c>
      <c r="Y2016">
        <f t="shared" si="287"/>
        <v>0</v>
      </c>
    </row>
    <row r="2017" spans="1:25" x14ac:dyDescent="0.3">
      <c r="A2017" t="s">
        <v>5063</v>
      </c>
      <c r="B2017" t="s">
        <v>5064</v>
      </c>
      <c r="C2017" s="1">
        <v>45776</v>
      </c>
      <c r="D2017" s="3">
        <v>0.63427083333333334</v>
      </c>
      <c r="E2017">
        <f t="shared" si="288"/>
        <v>15</v>
      </c>
      <c r="F2017">
        <v>22</v>
      </c>
      <c r="G2017" t="s">
        <v>60</v>
      </c>
      <c r="H2017" t="s">
        <v>312</v>
      </c>
      <c r="I2017" t="s">
        <v>20</v>
      </c>
      <c r="J2017" t="s">
        <v>76</v>
      </c>
      <c r="K2017" t="s">
        <v>41</v>
      </c>
      <c r="L2017">
        <v>62.45</v>
      </c>
      <c r="M2017" t="s">
        <v>23</v>
      </c>
      <c r="N2017">
        <f t="shared" si="280"/>
        <v>0</v>
      </c>
      <c r="O2017" t="s">
        <v>51</v>
      </c>
      <c r="P2017" t="s">
        <v>5065</v>
      </c>
      <c r="Q2017">
        <v>0</v>
      </c>
      <c r="R2017">
        <v>74</v>
      </c>
      <c r="S2017">
        <f t="shared" si="281"/>
        <v>-1.5528285453771367</v>
      </c>
      <c r="T2017">
        <f t="shared" si="282"/>
        <v>0</v>
      </c>
      <c r="U2017">
        <f t="shared" si="283"/>
        <v>0</v>
      </c>
      <c r="V2017">
        <f t="shared" si="284"/>
        <v>1</v>
      </c>
      <c r="W2017">
        <f t="shared" si="285"/>
        <v>1</v>
      </c>
      <c r="X2017">
        <f t="shared" si="286"/>
        <v>0</v>
      </c>
      <c r="Y2017">
        <f t="shared" si="287"/>
        <v>0</v>
      </c>
    </row>
    <row r="2018" spans="1:25" x14ac:dyDescent="0.3">
      <c r="A2018" t="s">
        <v>6383</v>
      </c>
      <c r="B2018" t="s">
        <v>6384</v>
      </c>
      <c r="C2018" s="1">
        <v>45871</v>
      </c>
      <c r="D2018" s="3">
        <v>0.71248842592592587</v>
      </c>
      <c r="E2018">
        <f t="shared" si="288"/>
        <v>17</v>
      </c>
      <c r="F2018">
        <v>42</v>
      </c>
      <c r="G2018" t="s">
        <v>18</v>
      </c>
      <c r="H2018" t="s">
        <v>38</v>
      </c>
      <c r="I2018" t="s">
        <v>85</v>
      </c>
      <c r="J2018" t="s">
        <v>31</v>
      </c>
      <c r="K2018" t="s">
        <v>41</v>
      </c>
      <c r="L2018">
        <v>62.37</v>
      </c>
      <c r="M2018" t="s">
        <v>23</v>
      </c>
      <c r="N2018">
        <f t="shared" si="280"/>
        <v>0</v>
      </c>
      <c r="O2018" t="s">
        <v>86</v>
      </c>
      <c r="P2018" t="s">
        <v>6385</v>
      </c>
      <c r="Q2018">
        <v>0</v>
      </c>
      <c r="R2018">
        <v>281</v>
      </c>
      <c r="S2018">
        <f t="shared" si="281"/>
        <v>-1.553936086135224</v>
      </c>
      <c r="T2018">
        <f t="shared" si="282"/>
        <v>0</v>
      </c>
      <c r="U2018">
        <f t="shared" si="283"/>
        <v>0</v>
      </c>
      <c r="V2018">
        <f t="shared" si="284"/>
        <v>0</v>
      </c>
      <c r="W2018">
        <f t="shared" si="285"/>
        <v>0</v>
      </c>
      <c r="X2018">
        <f t="shared" si="286"/>
        <v>0</v>
      </c>
      <c r="Y2018">
        <f t="shared" si="287"/>
        <v>0</v>
      </c>
    </row>
    <row r="2019" spans="1:25" x14ac:dyDescent="0.3">
      <c r="A2019" t="s">
        <v>5756</v>
      </c>
      <c r="B2019" t="s">
        <v>5757</v>
      </c>
      <c r="C2019" s="1">
        <v>45807</v>
      </c>
      <c r="D2019" s="3">
        <v>0.79039351851851847</v>
      </c>
      <c r="E2019">
        <f t="shared" si="288"/>
        <v>18</v>
      </c>
      <c r="F2019">
        <v>57</v>
      </c>
      <c r="G2019" t="s">
        <v>46</v>
      </c>
      <c r="H2019" t="s">
        <v>19</v>
      </c>
      <c r="I2019" t="s">
        <v>105</v>
      </c>
      <c r="J2019" t="s">
        <v>40</v>
      </c>
      <c r="K2019" t="s">
        <v>101</v>
      </c>
      <c r="L2019">
        <v>62.26</v>
      </c>
      <c r="M2019" t="s">
        <v>42</v>
      </c>
      <c r="N2019">
        <f t="shared" si="280"/>
        <v>0</v>
      </c>
      <c r="O2019" t="s">
        <v>24</v>
      </c>
      <c r="P2019" t="s">
        <v>5758</v>
      </c>
      <c r="Q2019">
        <v>0</v>
      </c>
      <c r="R2019">
        <v>411</v>
      </c>
      <c r="S2019">
        <f t="shared" si="281"/>
        <v>-1.5554589546775943</v>
      </c>
      <c r="T2019">
        <f t="shared" si="282"/>
        <v>0</v>
      </c>
      <c r="U2019">
        <f t="shared" si="283"/>
        <v>0</v>
      </c>
      <c r="V2019">
        <f t="shared" si="284"/>
        <v>0</v>
      </c>
      <c r="W2019">
        <f t="shared" si="285"/>
        <v>0</v>
      </c>
      <c r="X2019">
        <f t="shared" si="286"/>
        <v>0</v>
      </c>
      <c r="Y2019">
        <f t="shared" si="287"/>
        <v>0</v>
      </c>
    </row>
    <row r="2020" spans="1:25" x14ac:dyDescent="0.3">
      <c r="A2020" t="s">
        <v>4871</v>
      </c>
      <c r="B2020" t="s">
        <v>4872</v>
      </c>
      <c r="C2020" s="1">
        <v>45748</v>
      </c>
      <c r="D2020" s="3">
        <v>0.49140046296296297</v>
      </c>
      <c r="E2020">
        <f t="shared" si="288"/>
        <v>11</v>
      </c>
      <c r="F2020">
        <v>62</v>
      </c>
      <c r="G2020" t="s">
        <v>46</v>
      </c>
      <c r="H2020" t="s">
        <v>312</v>
      </c>
      <c r="I2020" t="s">
        <v>105</v>
      </c>
      <c r="J2020" t="s">
        <v>49</v>
      </c>
      <c r="K2020" t="s">
        <v>62</v>
      </c>
      <c r="L2020">
        <v>62.21</v>
      </c>
      <c r="M2020" t="s">
        <v>33</v>
      </c>
      <c r="N2020">
        <f t="shared" si="280"/>
        <v>0</v>
      </c>
      <c r="O2020" t="s">
        <v>34</v>
      </c>
      <c r="P2020" t="s">
        <v>4873</v>
      </c>
      <c r="Q2020">
        <v>0</v>
      </c>
      <c r="R2020">
        <v>469</v>
      </c>
      <c r="S2020">
        <f t="shared" si="281"/>
        <v>-1.5561511676513988</v>
      </c>
      <c r="T2020">
        <f t="shared" si="282"/>
        <v>0</v>
      </c>
      <c r="U2020">
        <f t="shared" si="283"/>
        <v>0</v>
      </c>
      <c r="V2020">
        <f t="shared" si="284"/>
        <v>0</v>
      </c>
      <c r="W2020">
        <f t="shared" si="285"/>
        <v>0</v>
      </c>
      <c r="X2020">
        <f t="shared" si="286"/>
        <v>0</v>
      </c>
      <c r="Y2020">
        <f t="shared" si="287"/>
        <v>0</v>
      </c>
    </row>
    <row r="2021" spans="1:25" x14ac:dyDescent="0.3">
      <c r="A2021" t="s">
        <v>1958</v>
      </c>
      <c r="B2021" t="s">
        <v>1959</v>
      </c>
      <c r="C2021" s="1">
        <v>45811</v>
      </c>
      <c r="D2021" s="3">
        <v>0.62167824074074074</v>
      </c>
      <c r="E2021">
        <f t="shared" si="288"/>
        <v>14</v>
      </c>
      <c r="F2021">
        <v>44</v>
      </c>
      <c r="G2021" t="s">
        <v>18</v>
      </c>
      <c r="H2021" t="s">
        <v>189</v>
      </c>
      <c r="I2021" t="s">
        <v>66</v>
      </c>
      <c r="J2021" t="s">
        <v>21</v>
      </c>
      <c r="K2021" t="s">
        <v>168</v>
      </c>
      <c r="L2021">
        <v>62.14</v>
      </c>
      <c r="M2021" t="s">
        <v>33</v>
      </c>
      <c r="N2021">
        <f t="shared" si="280"/>
        <v>0</v>
      </c>
      <c r="O2021" t="s">
        <v>34</v>
      </c>
      <c r="P2021" t="s">
        <v>1960</v>
      </c>
      <c r="Q2021">
        <v>0</v>
      </c>
      <c r="R2021">
        <v>307</v>
      </c>
      <c r="S2021">
        <f t="shared" si="281"/>
        <v>-1.5571202658147254</v>
      </c>
      <c r="T2021">
        <f t="shared" si="282"/>
        <v>0</v>
      </c>
      <c r="U2021">
        <f t="shared" si="283"/>
        <v>0</v>
      </c>
      <c r="V2021">
        <f t="shared" si="284"/>
        <v>0</v>
      </c>
      <c r="W2021">
        <f t="shared" si="285"/>
        <v>0</v>
      </c>
      <c r="X2021">
        <f t="shared" si="286"/>
        <v>0</v>
      </c>
      <c r="Y2021">
        <f t="shared" si="287"/>
        <v>0</v>
      </c>
    </row>
    <row r="2022" spans="1:25" x14ac:dyDescent="0.3">
      <c r="A2022" t="s">
        <v>88</v>
      </c>
      <c r="B2022" t="s">
        <v>89</v>
      </c>
      <c r="C2022" s="1">
        <v>45853</v>
      </c>
      <c r="D2022" s="3">
        <v>0.54068287037037033</v>
      </c>
      <c r="E2022">
        <f t="shared" si="288"/>
        <v>12</v>
      </c>
      <c r="F2022">
        <v>41</v>
      </c>
      <c r="G2022" t="s">
        <v>46</v>
      </c>
      <c r="H2022" t="s">
        <v>90</v>
      </c>
      <c r="I2022" t="s">
        <v>39</v>
      </c>
      <c r="J2022" t="s">
        <v>76</v>
      </c>
      <c r="K2022" t="s">
        <v>22</v>
      </c>
      <c r="L2022">
        <v>62.07</v>
      </c>
      <c r="M2022" t="s">
        <v>33</v>
      </c>
      <c r="N2022">
        <f t="shared" si="280"/>
        <v>0</v>
      </c>
      <c r="O2022" t="s">
        <v>34</v>
      </c>
      <c r="P2022" t="s">
        <v>91</v>
      </c>
      <c r="Q2022">
        <v>1</v>
      </c>
      <c r="R2022">
        <v>384</v>
      </c>
      <c r="S2022">
        <f t="shared" si="281"/>
        <v>-1.558089363978052</v>
      </c>
      <c r="T2022">
        <f t="shared" si="282"/>
        <v>0</v>
      </c>
      <c r="U2022">
        <f t="shared" si="283"/>
        <v>0</v>
      </c>
      <c r="V2022">
        <f t="shared" si="284"/>
        <v>0</v>
      </c>
      <c r="W2022">
        <f t="shared" si="285"/>
        <v>0</v>
      </c>
      <c r="X2022">
        <f t="shared" si="286"/>
        <v>0</v>
      </c>
      <c r="Y2022">
        <f t="shared" si="287"/>
        <v>0</v>
      </c>
    </row>
    <row r="2023" spans="1:25" x14ac:dyDescent="0.3">
      <c r="A2023" t="s">
        <v>4517</v>
      </c>
      <c r="B2023" t="s">
        <v>4518</v>
      </c>
      <c r="C2023" s="1">
        <v>45819</v>
      </c>
      <c r="D2023" s="3">
        <v>0.58347222222222217</v>
      </c>
      <c r="E2023">
        <f t="shared" si="288"/>
        <v>14</v>
      </c>
      <c r="F2023">
        <v>58</v>
      </c>
      <c r="G2023" t="s">
        <v>18</v>
      </c>
      <c r="H2023" t="s">
        <v>29</v>
      </c>
      <c r="I2023" t="s">
        <v>20</v>
      </c>
      <c r="J2023" t="s">
        <v>127</v>
      </c>
      <c r="K2023" t="s">
        <v>62</v>
      </c>
      <c r="L2023">
        <v>62</v>
      </c>
      <c r="M2023" t="s">
        <v>33</v>
      </c>
      <c r="N2023">
        <f t="shared" si="280"/>
        <v>0</v>
      </c>
      <c r="O2023" t="s">
        <v>34</v>
      </c>
      <c r="P2023" t="s">
        <v>4519</v>
      </c>
      <c r="Q2023">
        <v>0</v>
      </c>
      <c r="R2023">
        <v>269</v>
      </c>
      <c r="S2023">
        <f t="shared" si="281"/>
        <v>-1.5590584621413783</v>
      </c>
      <c r="T2023">
        <f t="shared" si="282"/>
        <v>0</v>
      </c>
      <c r="U2023">
        <f t="shared" si="283"/>
        <v>0</v>
      </c>
      <c r="V2023">
        <f t="shared" si="284"/>
        <v>1</v>
      </c>
      <c r="W2023">
        <f t="shared" si="285"/>
        <v>1</v>
      </c>
      <c r="X2023">
        <f t="shared" si="286"/>
        <v>0</v>
      </c>
      <c r="Y2023">
        <f t="shared" si="287"/>
        <v>0</v>
      </c>
    </row>
    <row r="2024" spans="1:25" x14ac:dyDescent="0.3">
      <c r="A2024" t="s">
        <v>2240</v>
      </c>
      <c r="B2024" t="s">
        <v>2241</v>
      </c>
      <c r="C2024" s="1">
        <v>45773</v>
      </c>
      <c r="D2024" s="3">
        <v>0.89229166666666671</v>
      </c>
      <c r="E2024">
        <f t="shared" si="288"/>
        <v>21</v>
      </c>
      <c r="F2024">
        <v>30</v>
      </c>
      <c r="G2024" t="s">
        <v>46</v>
      </c>
      <c r="H2024" t="s">
        <v>29</v>
      </c>
      <c r="I2024" t="s">
        <v>71</v>
      </c>
      <c r="J2024" t="s">
        <v>132</v>
      </c>
      <c r="K2024" t="s">
        <v>101</v>
      </c>
      <c r="L2024">
        <v>61.9</v>
      </c>
      <c r="M2024" t="s">
        <v>115</v>
      </c>
      <c r="N2024">
        <f t="shared" si="280"/>
        <v>0</v>
      </c>
      <c r="O2024" t="s">
        <v>24</v>
      </c>
      <c r="P2024" t="s">
        <v>2242</v>
      </c>
      <c r="Q2024">
        <v>0</v>
      </c>
      <c r="R2024">
        <v>92</v>
      </c>
      <c r="S2024">
        <f t="shared" si="281"/>
        <v>-1.5604428880889876</v>
      </c>
      <c r="T2024">
        <f t="shared" si="282"/>
        <v>0</v>
      </c>
      <c r="U2024">
        <f t="shared" si="283"/>
        <v>0</v>
      </c>
      <c r="V2024">
        <f t="shared" si="284"/>
        <v>1</v>
      </c>
      <c r="W2024">
        <f t="shared" si="285"/>
        <v>1</v>
      </c>
      <c r="X2024">
        <f t="shared" si="286"/>
        <v>0</v>
      </c>
      <c r="Y2024">
        <f t="shared" si="287"/>
        <v>0</v>
      </c>
    </row>
    <row r="2025" spans="1:25" x14ac:dyDescent="0.3">
      <c r="A2025" t="s">
        <v>2630</v>
      </c>
      <c r="B2025" t="s">
        <v>2631</v>
      </c>
      <c r="C2025" s="1">
        <v>45725</v>
      </c>
      <c r="D2025" s="3">
        <v>0.56384259259259262</v>
      </c>
      <c r="E2025">
        <f t="shared" si="288"/>
        <v>13</v>
      </c>
      <c r="F2025">
        <v>21</v>
      </c>
      <c r="G2025" t="s">
        <v>18</v>
      </c>
      <c r="H2025" t="s">
        <v>29</v>
      </c>
      <c r="I2025" t="s">
        <v>119</v>
      </c>
      <c r="J2025" t="s">
        <v>21</v>
      </c>
      <c r="K2025" t="s">
        <v>62</v>
      </c>
      <c r="L2025">
        <v>61.85</v>
      </c>
      <c r="M2025" t="s">
        <v>23</v>
      </c>
      <c r="N2025">
        <f t="shared" si="280"/>
        <v>0</v>
      </c>
      <c r="O2025" t="s">
        <v>51</v>
      </c>
      <c r="P2025" t="s">
        <v>2632</v>
      </c>
      <c r="Q2025">
        <v>0</v>
      </c>
      <c r="R2025">
        <v>137</v>
      </c>
      <c r="S2025">
        <f t="shared" si="281"/>
        <v>-1.5611351010627923</v>
      </c>
      <c r="T2025">
        <f t="shared" si="282"/>
        <v>0</v>
      </c>
      <c r="U2025">
        <f t="shared" si="283"/>
        <v>0</v>
      </c>
      <c r="V2025">
        <f t="shared" si="284"/>
        <v>1</v>
      </c>
      <c r="W2025">
        <f t="shared" si="285"/>
        <v>1</v>
      </c>
      <c r="X2025">
        <f t="shared" si="286"/>
        <v>0</v>
      </c>
      <c r="Y2025">
        <f t="shared" si="287"/>
        <v>0</v>
      </c>
    </row>
    <row r="2026" spans="1:25" x14ac:dyDescent="0.3">
      <c r="A2026" t="s">
        <v>3458</v>
      </c>
      <c r="B2026" t="s">
        <v>3459</v>
      </c>
      <c r="C2026" s="1">
        <v>45719</v>
      </c>
      <c r="D2026" s="3">
        <v>0.89848379629629627</v>
      </c>
      <c r="E2026">
        <f t="shared" si="288"/>
        <v>21</v>
      </c>
      <c r="F2026">
        <v>25</v>
      </c>
      <c r="G2026" t="s">
        <v>18</v>
      </c>
      <c r="H2026" t="s">
        <v>312</v>
      </c>
      <c r="I2026" t="s">
        <v>48</v>
      </c>
      <c r="J2026" t="s">
        <v>21</v>
      </c>
      <c r="K2026" t="s">
        <v>50</v>
      </c>
      <c r="L2026">
        <v>61.62</v>
      </c>
      <c r="M2026" t="s">
        <v>33</v>
      </c>
      <c r="N2026">
        <f t="shared" si="280"/>
        <v>0</v>
      </c>
      <c r="O2026" t="s">
        <v>34</v>
      </c>
      <c r="P2026" t="s">
        <v>3460</v>
      </c>
      <c r="Q2026">
        <v>0</v>
      </c>
      <c r="R2026">
        <v>437</v>
      </c>
      <c r="S2026">
        <f t="shared" si="281"/>
        <v>-1.5643192807422934</v>
      </c>
      <c r="T2026">
        <f t="shared" si="282"/>
        <v>0</v>
      </c>
      <c r="U2026">
        <f t="shared" si="283"/>
        <v>0</v>
      </c>
      <c r="V2026">
        <f t="shared" si="284"/>
        <v>0</v>
      </c>
      <c r="W2026">
        <f t="shared" si="285"/>
        <v>0</v>
      </c>
      <c r="X2026">
        <f t="shared" si="286"/>
        <v>0</v>
      </c>
      <c r="Y2026">
        <f t="shared" si="287"/>
        <v>0</v>
      </c>
    </row>
    <row r="2027" spans="1:25" x14ac:dyDescent="0.3">
      <c r="A2027" t="s">
        <v>2072</v>
      </c>
      <c r="B2027" t="s">
        <v>2073</v>
      </c>
      <c r="C2027" s="1">
        <v>45717</v>
      </c>
      <c r="D2027" s="3">
        <v>9.7037037037037033E-2</v>
      </c>
      <c r="E2027">
        <f t="shared" si="288"/>
        <v>2</v>
      </c>
      <c r="F2027">
        <v>20</v>
      </c>
      <c r="G2027" t="s">
        <v>46</v>
      </c>
      <c r="H2027" t="s">
        <v>84</v>
      </c>
      <c r="I2027" t="s">
        <v>48</v>
      </c>
      <c r="J2027" t="s">
        <v>76</v>
      </c>
      <c r="K2027" t="s">
        <v>41</v>
      </c>
      <c r="L2027">
        <v>61.51</v>
      </c>
      <c r="M2027" t="s">
        <v>115</v>
      </c>
      <c r="N2027">
        <f t="shared" si="280"/>
        <v>0</v>
      </c>
      <c r="O2027" t="s">
        <v>51</v>
      </c>
      <c r="P2027" t="s">
        <v>2074</v>
      </c>
      <c r="Q2027">
        <v>0</v>
      </c>
      <c r="R2027">
        <v>79</v>
      </c>
      <c r="S2027">
        <f t="shared" si="281"/>
        <v>-1.5658421492846637</v>
      </c>
      <c r="T2027">
        <f t="shared" si="282"/>
        <v>0</v>
      </c>
      <c r="U2027">
        <f t="shared" si="283"/>
        <v>1</v>
      </c>
      <c r="V2027">
        <f t="shared" si="284"/>
        <v>1</v>
      </c>
      <c r="W2027">
        <f t="shared" si="285"/>
        <v>3</v>
      </c>
      <c r="X2027">
        <f t="shared" si="286"/>
        <v>0</v>
      </c>
      <c r="Y2027">
        <f t="shared" si="287"/>
        <v>0</v>
      </c>
    </row>
    <row r="2028" spans="1:25" x14ac:dyDescent="0.3">
      <c r="A2028" t="s">
        <v>4646</v>
      </c>
      <c r="B2028" t="s">
        <v>4647</v>
      </c>
      <c r="C2028" s="1">
        <v>45788</v>
      </c>
      <c r="D2028" s="3">
        <v>0.76193287037037039</v>
      </c>
      <c r="E2028">
        <f t="shared" si="288"/>
        <v>18</v>
      </c>
      <c r="F2028">
        <v>40</v>
      </c>
      <c r="G2028" t="s">
        <v>60</v>
      </c>
      <c r="H2028" t="s">
        <v>142</v>
      </c>
      <c r="I2028" t="s">
        <v>30</v>
      </c>
      <c r="J2028" t="s">
        <v>31</v>
      </c>
      <c r="K2028" t="s">
        <v>101</v>
      </c>
      <c r="L2028">
        <v>61.37</v>
      </c>
      <c r="M2028" t="s">
        <v>23</v>
      </c>
      <c r="N2028">
        <f t="shared" si="280"/>
        <v>0</v>
      </c>
      <c r="O2028" t="s">
        <v>86</v>
      </c>
      <c r="P2028" t="s">
        <v>4648</v>
      </c>
      <c r="Q2028">
        <v>0</v>
      </c>
      <c r="R2028">
        <v>245</v>
      </c>
      <c r="S2028">
        <f t="shared" si="281"/>
        <v>-1.5677803456113164</v>
      </c>
      <c r="T2028">
        <f t="shared" si="282"/>
        <v>0</v>
      </c>
      <c r="U2028">
        <f t="shared" si="283"/>
        <v>0</v>
      </c>
      <c r="V2028">
        <f t="shared" si="284"/>
        <v>1</v>
      </c>
      <c r="W2028">
        <f t="shared" si="285"/>
        <v>1</v>
      </c>
      <c r="X2028">
        <f t="shared" si="286"/>
        <v>0</v>
      </c>
      <c r="Y2028">
        <f t="shared" si="287"/>
        <v>0</v>
      </c>
    </row>
    <row r="2029" spans="1:25" x14ac:dyDescent="0.3">
      <c r="A2029" t="s">
        <v>1043</v>
      </c>
      <c r="B2029" t="s">
        <v>1044</v>
      </c>
      <c r="C2029" s="1">
        <v>45824</v>
      </c>
      <c r="D2029" s="3">
        <v>0.58809027777777778</v>
      </c>
      <c r="E2029">
        <f t="shared" si="288"/>
        <v>14</v>
      </c>
      <c r="F2029">
        <v>39</v>
      </c>
      <c r="G2029" t="s">
        <v>28</v>
      </c>
      <c r="H2029" t="s">
        <v>70</v>
      </c>
      <c r="I2029" t="s">
        <v>119</v>
      </c>
      <c r="J2029" t="s">
        <v>56</v>
      </c>
      <c r="K2029" t="s">
        <v>101</v>
      </c>
      <c r="L2029">
        <v>61.26</v>
      </c>
      <c r="M2029" t="s">
        <v>23</v>
      </c>
      <c r="N2029">
        <f t="shared" si="280"/>
        <v>0</v>
      </c>
      <c r="O2029" t="s">
        <v>24</v>
      </c>
      <c r="P2029" t="s">
        <v>1045</v>
      </c>
      <c r="Q2029">
        <v>0</v>
      </c>
      <c r="R2029">
        <v>275</v>
      </c>
      <c r="S2029">
        <f t="shared" si="281"/>
        <v>-1.5693032141536869</v>
      </c>
      <c r="T2029">
        <f t="shared" si="282"/>
        <v>0</v>
      </c>
      <c r="U2029">
        <f t="shared" si="283"/>
        <v>0</v>
      </c>
      <c r="V2029">
        <f t="shared" si="284"/>
        <v>0</v>
      </c>
      <c r="W2029">
        <f t="shared" si="285"/>
        <v>0</v>
      </c>
      <c r="X2029">
        <f t="shared" si="286"/>
        <v>0</v>
      </c>
      <c r="Y2029">
        <f t="shared" si="287"/>
        <v>0</v>
      </c>
    </row>
    <row r="2030" spans="1:25" x14ac:dyDescent="0.3">
      <c r="A2030" t="s">
        <v>3851</v>
      </c>
      <c r="B2030" t="s">
        <v>3852</v>
      </c>
      <c r="C2030" s="1">
        <v>45852</v>
      </c>
      <c r="D2030" s="3">
        <v>0.27940972222222221</v>
      </c>
      <c r="E2030">
        <f t="shared" si="288"/>
        <v>6</v>
      </c>
      <c r="F2030">
        <v>47</v>
      </c>
      <c r="G2030" t="s">
        <v>46</v>
      </c>
      <c r="H2030" t="s">
        <v>84</v>
      </c>
      <c r="I2030" t="s">
        <v>85</v>
      </c>
      <c r="J2030" t="s">
        <v>132</v>
      </c>
      <c r="K2030" t="s">
        <v>101</v>
      </c>
      <c r="L2030">
        <v>61.23</v>
      </c>
      <c r="M2030" t="s">
        <v>33</v>
      </c>
      <c r="N2030">
        <f t="shared" si="280"/>
        <v>0</v>
      </c>
      <c r="O2030" t="s">
        <v>34</v>
      </c>
      <c r="P2030" t="s">
        <v>3853</v>
      </c>
      <c r="Q2030">
        <v>0</v>
      </c>
      <c r="R2030">
        <v>197</v>
      </c>
      <c r="S2030">
        <f t="shared" si="281"/>
        <v>-1.5697185419379696</v>
      </c>
      <c r="T2030">
        <f t="shared" si="282"/>
        <v>0</v>
      </c>
      <c r="U2030">
        <f t="shared" si="283"/>
        <v>0</v>
      </c>
      <c r="V2030">
        <f t="shared" si="284"/>
        <v>1</v>
      </c>
      <c r="W2030">
        <f t="shared" si="285"/>
        <v>1</v>
      </c>
      <c r="X2030">
        <f t="shared" si="286"/>
        <v>0</v>
      </c>
      <c r="Y2030">
        <f t="shared" si="287"/>
        <v>0</v>
      </c>
    </row>
    <row r="2031" spans="1:25" x14ac:dyDescent="0.3">
      <c r="A2031" t="s">
        <v>992</v>
      </c>
      <c r="B2031" t="s">
        <v>993</v>
      </c>
      <c r="C2031" s="1">
        <v>45810</v>
      </c>
      <c r="D2031" s="3">
        <v>0.90182870370370372</v>
      </c>
      <c r="E2031">
        <f t="shared" si="288"/>
        <v>21</v>
      </c>
      <c r="F2031">
        <v>58</v>
      </c>
      <c r="G2031" t="s">
        <v>60</v>
      </c>
      <c r="H2031" t="s">
        <v>84</v>
      </c>
      <c r="I2031" t="s">
        <v>39</v>
      </c>
      <c r="J2031" t="s">
        <v>132</v>
      </c>
      <c r="K2031" t="s">
        <v>62</v>
      </c>
      <c r="L2031">
        <v>61.12</v>
      </c>
      <c r="M2031" t="s">
        <v>42</v>
      </c>
      <c r="N2031">
        <f t="shared" si="280"/>
        <v>0</v>
      </c>
      <c r="O2031" t="s">
        <v>34</v>
      </c>
      <c r="P2031" t="s">
        <v>994</v>
      </c>
      <c r="Q2031">
        <v>0</v>
      </c>
      <c r="R2031">
        <v>490</v>
      </c>
      <c r="S2031">
        <f t="shared" si="281"/>
        <v>-1.5712414104803396</v>
      </c>
      <c r="T2031">
        <f t="shared" si="282"/>
        <v>0</v>
      </c>
      <c r="U2031">
        <f t="shared" si="283"/>
        <v>0</v>
      </c>
      <c r="V2031">
        <f t="shared" si="284"/>
        <v>0</v>
      </c>
      <c r="W2031">
        <f t="shared" si="285"/>
        <v>0</v>
      </c>
      <c r="X2031">
        <f t="shared" si="286"/>
        <v>0</v>
      </c>
      <c r="Y2031">
        <f t="shared" si="287"/>
        <v>0</v>
      </c>
    </row>
    <row r="2032" spans="1:25" x14ac:dyDescent="0.3">
      <c r="A2032" t="s">
        <v>2597</v>
      </c>
      <c r="B2032" t="s">
        <v>2598</v>
      </c>
      <c r="C2032" s="1">
        <v>45763</v>
      </c>
      <c r="D2032" s="3">
        <v>0.96128472222222228</v>
      </c>
      <c r="E2032">
        <f t="shared" si="288"/>
        <v>23</v>
      </c>
      <c r="F2032">
        <v>65</v>
      </c>
      <c r="G2032" t="s">
        <v>18</v>
      </c>
      <c r="H2032" t="s">
        <v>185</v>
      </c>
      <c r="I2032" t="s">
        <v>105</v>
      </c>
      <c r="J2032" t="s">
        <v>76</v>
      </c>
      <c r="K2032" t="s">
        <v>168</v>
      </c>
      <c r="L2032">
        <v>61.05</v>
      </c>
      <c r="M2032" t="s">
        <v>115</v>
      </c>
      <c r="N2032">
        <f t="shared" si="280"/>
        <v>0</v>
      </c>
      <c r="O2032" t="s">
        <v>51</v>
      </c>
      <c r="P2032" t="s">
        <v>2599</v>
      </c>
      <c r="Q2032">
        <v>0</v>
      </c>
      <c r="R2032">
        <v>284</v>
      </c>
      <c r="S2032">
        <f t="shared" si="281"/>
        <v>-1.5722105086436662</v>
      </c>
      <c r="T2032">
        <f t="shared" si="282"/>
        <v>0</v>
      </c>
      <c r="U2032">
        <f t="shared" si="283"/>
        <v>0</v>
      </c>
      <c r="V2032">
        <f t="shared" si="284"/>
        <v>0</v>
      </c>
      <c r="W2032">
        <f t="shared" si="285"/>
        <v>0</v>
      </c>
      <c r="X2032">
        <f t="shared" si="286"/>
        <v>0</v>
      </c>
      <c r="Y2032">
        <f t="shared" si="287"/>
        <v>0</v>
      </c>
    </row>
    <row r="2033" spans="1:25" x14ac:dyDescent="0.3">
      <c r="A2033" t="s">
        <v>1274</v>
      </c>
      <c r="B2033" t="s">
        <v>1275</v>
      </c>
      <c r="C2033" s="1">
        <v>45771</v>
      </c>
      <c r="D2033" s="3">
        <v>0.8183449074074074</v>
      </c>
      <c r="E2033">
        <f t="shared" si="288"/>
        <v>19</v>
      </c>
      <c r="F2033">
        <v>18</v>
      </c>
      <c r="G2033" t="s">
        <v>18</v>
      </c>
      <c r="H2033" t="s">
        <v>47</v>
      </c>
      <c r="I2033" t="s">
        <v>71</v>
      </c>
      <c r="J2033" t="s">
        <v>40</v>
      </c>
      <c r="K2033" t="s">
        <v>114</v>
      </c>
      <c r="L2033">
        <v>60.94</v>
      </c>
      <c r="M2033" t="s">
        <v>23</v>
      </c>
      <c r="N2033">
        <f t="shared" si="280"/>
        <v>0</v>
      </c>
      <c r="O2033" t="s">
        <v>86</v>
      </c>
      <c r="P2033" t="s">
        <v>1276</v>
      </c>
      <c r="Q2033">
        <v>0</v>
      </c>
      <c r="R2033">
        <v>330</v>
      </c>
      <c r="S2033">
        <f t="shared" si="281"/>
        <v>-1.5737333771860365</v>
      </c>
      <c r="T2033">
        <f t="shared" si="282"/>
        <v>0</v>
      </c>
      <c r="U2033">
        <f t="shared" si="283"/>
        <v>0</v>
      </c>
      <c r="V2033">
        <f t="shared" si="284"/>
        <v>0</v>
      </c>
      <c r="W2033">
        <f t="shared" si="285"/>
        <v>0</v>
      </c>
      <c r="X2033">
        <f t="shared" si="286"/>
        <v>0</v>
      </c>
      <c r="Y2033">
        <f t="shared" si="287"/>
        <v>0</v>
      </c>
    </row>
    <row r="2034" spans="1:25" x14ac:dyDescent="0.3">
      <c r="A2034" t="s">
        <v>3761</v>
      </c>
      <c r="B2034" t="s">
        <v>3762</v>
      </c>
      <c r="C2034" s="1">
        <v>45846</v>
      </c>
      <c r="D2034" s="3">
        <v>0.87776620370370373</v>
      </c>
      <c r="E2034">
        <f t="shared" si="288"/>
        <v>21</v>
      </c>
      <c r="F2034">
        <v>24</v>
      </c>
      <c r="G2034" t="s">
        <v>46</v>
      </c>
      <c r="H2034" t="s">
        <v>90</v>
      </c>
      <c r="I2034" t="s">
        <v>48</v>
      </c>
      <c r="J2034" t="s">
        <v>31</v>
      </c>
      <c r="K2034" t="s">
        <v>50</v>
      </c>
      <c r="L2034">
        <v>60.9</v>
      </c>
      <c r="M2034" t="s">
        <v>33</v>
      </c>
      <c r="N2034">
        <f t="shared" si="280"/>
        <v>0</v>
      </c>
      <c r="O2034" t="s">
        <v>34</v>
      </c>
      <c r="P2034" t="s">
        <v>3763</v>
      </c>
      <c r="Q2034">
        <v>0</v>
      </c>
      <c r="R2034">
        <v>209</v>
      </c>
      <c r="S2034">
        <f t="shared" si="281"/>
        <v>-1.5742871475650799</v>
      </c>
      <c r="T2034">
        <f t="shared" si="282"/>
        <v>0</v>
      </c>
      <c r="U2034">
        <f t="shared" si="283"/>
        <v>0</v>
      </c>
      <c r="V2034">
        <f t="shared" si="284"/>
        <v>1</v>
      </c>
      <c r="W2034">
        <f t="shared" si="285"/>
        <v>1</v>
      </c>
      <c r="X2034">
        <f t="shared" si="286"/>
        <v>0</v>
      </c>
      <c r="Y2034">
        <f t="shared" si="287"/>
        <v>0</v>
      </c>
    </row>
    <row r="2035" spans="1:25" x14ac:dyDescent="0.3">
      <c r="A2035" t="s">
        <v>356</v>
      </c>
      <c r="B2035" t="s">
        <v>357</v>
      </c>
      <c r="C2035" s="1">
        <v>45771</v>
      </c>
      <c r="D2035" s="3">
        <v>0.39861111111111114</v>
      </c>
      <c r="E2035">
        <f t="shared" si="288"/>
        <v>9</v>
      </c>
      <c r="F2035" s="4">
        <v>41</v>
      </c>
      <c r="G2035" t="s">
        <v>46</v>
      </c>
      <c r="H2035" t="s">
        <v>239</v>
      </c>
      <c r="I2035" t="s">
        <v>48</v>
      </c>
      <c r="J2035" t="s">
        <v>49</v>
      </c>
      <c r="K2035" t="s">
        <v>168</v>
      </c>
      <c r="L2035">
        <v>60.78</v>
      </c>
      <c r="M2035" t="s">
        <v>33</v>
      </c>
      <c r="N2035">
        <f t="shared" si="280"/>
        <v>0</v>
      </c>
      <c r="O2035" t="s">
        <v>24</v>
      </c>
      <c r="P2035" t="s">
        <v>358</v>
      </c>
      <c r="Q2035">
        <v>0</v>
      </c>
      <c r="R2035">
        <v>96</v>
      </c>
      <c r="S2035">
        <f t="shared" si="281"/>
        <v>-1.575948458702211</v>
      </c>
      <c r="T2035">
        <f t="shared" si="282"/>
        <v>0</v>
      </c>
      <c r="U2035">
        <f t="shared" si="283"/>
        <v>0</v>
      </c>
      <c r="V2035">
        <f t="shared" si="284"/>
        <v>1</v>
      </c>
      <c r="W2035">
        <f t="shared" si="285"/>
        <v>1</v>
      </c>
      <c r="X2035">
        <f t="shared" si="286"/>
        <v>0</v>
      </c>
      <c r="Y2035">
        <f t="shared" si="287"/>
        <v>0</v>
      </c>
    </row>
    <row r="2036" spans="1:25" x14ac:dyDescent="0.3">
      <c r="A2036" t="s">
        <v>3407</v>
      </c>
      <c r="B2036" t="s">
        <v>3408</v>
      </c>
      <c r="C2036" s="1">
        <v>45741</v>
      </c>
      <c r="D2036" s="3">
        <v>0.37041666666666667</v>
      </c>
      <c r="E2036">
        <f t="shared" si="288"/>
        <v>8</v>
      </c>
      <c r="F2036">
        <v>50</v>
      </c>
      <c r="G2036" t="s">
        <v>60</v>
      </c>
      <c r="H2036" t="s">
        <v>185</v>
      </c>
      <c r="I2036" t="s">
        <v>105</v>
      </c>
      <c r="J2036" t="s">
        <v>132</v>
      </c>
      <c r="K2036" t="s">
        <v>168</v>
      </c>
      <c r="L2036">
        <v>60.75</v>
      </c>
      <c r="M2036" t="s">
        <v>23</v>
      </c>
      <c r="N2036">
        <f t="shared" si="280"/>
        <v>0</v>
      </c>
      <c r="O2036" t="s">
        <v>24</v>
      </c>
      <c r="P2036" t="s">
        <v>3409</v>
      </c>
      <c r="Q2036">
        <v>0</v>
      </c>
      <c r="R2036">
        <v>255</v>
      </c>
      <c r="S2036">
        <f t="shared" si="281"/>
        <v>-1.5763637864864939</v>
      </c>
      <c r="T2036">
        <f t="shared" si="282"/>
        <v>0</v>
      </c>
      <c r="U2036">
        <f t="shared" si="283"/>
        <v>0</v>
      </c>
      <c r="V2036">
        <f t="shared" si="284"/>
        <v>1</v>
      </c>
      <c r="W2036">
        <f t="shared" si="285"/>
        <v>1</v>
      </c>
      <c r="X2036">
        <f t="shared" si="286"/>
        <v>0</v>
      </c>
      <c r="Y2036">
        <f t="shared" si="287"/>
        <v>0</v>
      </c>
    </row>
    <row r="2037" spans="1:25" x14ac:dyDescent="0.3">
      <c r="A2037" t="s">
        <v>6110</v>
      </c>
      <c r="B2037" t="s">
        <v>6111</v>
      </c>
      <c r="C2037" s="1">
        <v>45723</v>
      </c>
      <c r="D2037" s="3">
        <v>0.19416666666666665</v>
      </c>
      <c r="E2037">
        <f t="shared" si="288"/>
        <v>4</v>
      </c>
      <c r="F2037">
        <v>25</v>
      </c>
      <c r="G2037" t="s">
        <v>46</v>
      </c>
      <c r="H2037" t="s">
        <v>61</v>
      </c>
      <c r="I2037" t="s">
        <v>110</v>
      </c>
      <c r="J2037" t="s">
        <v>49</v>
      </c>
      <c r="K2037" t="s">
        <v>32</v>
      </c>
      <c r="L2037">
        <v>60.63</v>
      </c>
      <c r="M2037" t="s">
        <v>42</v>
      </c>
      <c r="N2037">
        <f t="shared" si="280"/>
        <v>0</v>
      </c>
      <c r="O2037" t="s">
        <v>24</v>
      </c>
      <c r="P2037" t="s">
        <v>6112</v>
      </c>
      <c r="Q2037">
        <v>0</v>
      </c>
      <c r="R2037">
        <v>70</v>
      </c>
      <c r="S2037">
        <f t="shared" si="281"/>
        <v>-1.578025097623625</v>
      </c>
      <c r="T2037">
        <f t="shared" si="282"/>
        <v>0</v>
      </c>
      <c r="U2037">
        <f t="shared" si="283"/>
        <v>1</v>
      </c>
      <c r="V2037">
        <f t="shared" si="284"/>
        <v>1</v>
      </c>
      <c r="W2037">
        <f t="shared" si="285"/>
        <v>3</v>
      </c>
      <c r="X2037">
        <f t="shared" si="286"/>
        <v>0</v>
      </c>
      <c r="Y2037">
        <f t="shared" si="287"/>
        <v>0</v>
      </c>
    </row>
    <row r="2038" spans="1:25" x14ac:dyDescent="0.3">
      <c r="A2038" t="s">
        <v>4097</v>
      </c>
      <c r="B2038" t="s">
        <v>4098</v>
      </c>
      <c r="C2038" s="1">
        <v>45803</v>
      </c>
      <c r="D2038" s="3">
        <v>0.46438657407407408</v>
      </c>
      <c r="E2038">
        <f t="shared" si="288"/>
        <v>11</v>
      </c>
      <c r="F2038" s="4">
        <v>41</v>
      </c>
      <c r="G2038" t="s">
        <v>60</v>
      </c>
      <c r="H2038" t="s">
        <v>19</v>
      </c>
      <c r="I2038" t="s">
        <v>85</v>
      </c>
      <c r="J2038" t="s">
        <v>76</v>
      </c>
      <c r="K2038" t="s">
        <v>41</v>
      </c>
      <c r="L2038">
        <v>60.62</v>
      </c>
      <c r="M2038" t="s">
        <v>33</v>
      </c>
      <c r="N2038">
        <f t="shared" si="280"/>
        <v>0</v>
      </c>
      <c r="O2038" t="s">
        <v>34</v>
      </c>
      <c r="P2038" t="s">
        <v>4099</v>
      </c>
      <c r="Q2038">
        <v>0</v>
      </c>
      <c r="R2038">
        <v>212</v>
      </c>
      <c r="S2038">
        <f t="shared" si="281"/>
        <v>-1.5781635402183858</v>
      </c>
      <c r="T2038">
        <f t="shared" si="282"/>
        <v>0</v>
      </c>
      <c r="U2038">
        <f t="shared" si="283"/>
        <v>0</v>
      </c>
      <c r="V2038">
        <f t="shared" si="284"/>
        <v>1</v>
      </c>
      <c r="W2038">
        <f t="shared" si="285"/>
        <v>1</v>
      </c>
      <c r="X2038">
        <f t="shared" si="286"/>
        <v>0</v>
      </c>
      <c r="Y2038">
        <f t="shared" si="287"/>
        <v>0</v>
      </c>
    </row>
    <row r="2039" spans="1:25" x14ac:dyDescent="0.3">
      <c r="A2039" t="s">
        <v>5588</v>
      </c>
      <c r="B2039" t="s">
        <v>5589</v>
      </c>
      <c r="C2039" s="1">
        <v>45781</v>
      </c>
      <c r="D2039" s="3">
        <v>0.99589120370370365</v>
      </c>
      <c r="E2039">
        <f t="shared" si="288"/>
        <v>23</v>
      </c>
      <c r="F2039">
        <v>61</v>
      </c>
      <c r="G2039" t="s">
        <v>60</v>
      </c>
      <c r="H2039" t="s">
        <v>55</v>
      </c>
      <c r="I2039" t="s">
        <v>105</v>
      </c>
      <c r="J2039" t="s">
        <v>56</v>
      </c>
      <c r="K2039" t="s">
        <v>114</v>
      </c>
      <c r="L2039">
        <v>60.22</v>
      </c>
      <c r="M2039" t="s">
        <v>42</v>
      </c>
      <c r="N2039">
        <f t="shared" si="280"/>
        <v>0</v>
      </c>
      <c r="O2039" t="s">
        <v>24</v>
      </c>
      <c r="P2039" t="s">
        <v>5590</v>
      </c>
      <c r="Q2039">
        <v>0</v>
      </c>
      <c r="R2039">
        <v>100</v>
      </c>
      <c r="S2039">
        <f t="shared" si="281"/>
        <v>-1.583701244008823</v>
      </c>
      <c r="T2039">
        <f t="shared" si="282"/>
        <v>0</v>
      </c>
      <c r="U2039">
        <f t="shared" si="283"/>
        <v>0</v>
      </c>
      <c r="V2039">
        <f t="shared" si="284"/>
        <v>1</v>
      </c>
      <c r="W2039">
        <f t="shared" si="285"/>
        <v>1</v>
      </c>
      <c r="X2039">
        <f t="shared" si="286"/>
        <v>0</v>
      </c>
      <c r="Y2039">
        <f t="shared" si="287"/>
        <v>0</v>
      </c>
    </row>
    <row r="2040" spans="1:25" x14ac:dyDescent="0.3">
      <c r="A2040" t="s">
        <v>5486</v>
      </c>
      <c r="B2040" t="s">
        <v>5487</v>
      </c>
      <c r="C2040" s="1">
        <v>45814</v>
      </c>
      <c r="D2040" s="3">
        <v>0.50230324074074073</v>
      </c>
      <c r="E2040">
        <f t="shared" si="288"/>
        <v>12</v>
      </c>
      <c r="F2040">
        <v>38</v>
      </c>
      <c r="G2040" t="s">
        <v>46</v>
      </c>
      <c r="H2040" t="s">
        <v>189</v>
      </c>
      <c r="I2040" t="s">
        <v>119</v>
      </c>
      <c r="J2040" t="s">
        <v>127</v>
      </c>
      <c r="K2040" t="s">
        <v>62</v>
      </c>
      <c r="L2040">
        <v>59.79</v>
      </c>
      <c r="M2040" t="s">
        <v>23</v>
      </c>
      <c r="N2040">
        <f t="shared" si="280"/>
        <v>0</v>
      </c>
      <c r="O2040" t="s">
        <v>51</v>
      </c>
      <c r="P2040" t="s">
        <v>5488</v>
      </c>
      <c r="Q2040">
        <v>0</v>
      </c>
      <c r="R2040">
        <v>487</v>
      </c>
      <c r="S2040">
        <f t="shared" si="281"/>
        <v>-1.5896542755835428</v>
      </c>
      <c r="T2040">
        <f t="shared" si="282"/>
        <v>0</v>
      </c>
      <c r="U2040">
        <f t="shared" si="283"/>
        <v>0</v>
      </c>
      <c r="V2040">
        <f t="shared" si="284"/>
        <v>0</v>
      </c>
      <c r="W2040">
        <f t="shared" si="285"/>
        <v>0</v>
      </c>
      <c r="X2040">
        <f t="shared" si="286"/>
        <v>0</v>
      </c>
      <c r="Y2040">
        <f t="shared" si="287"/>
        <v>0</v>
      </c>
    </row>
    <row r="2041" spans="1:25" x14ac:dyDescent="0.3">
      <c r="A2041" t="s">
        <v>2672</v>
      </c>
      <c r="B2041" t="s">
        <v>2673</v>
      </c>
      <c r="C2041" s="1">
        <v>45810</v>
      </c>
      <c r="D2041" s="3">
        <v>0.91767361111111112</v>
      </c>
      <c r="E2041">
        <f t="shared" si="288"/>
        <v>22</v>
      </c>
      <c r="F2041" s="4">
        <v>41</v>
      </c>
      <c r="G2041" t="s">
        <v>46</v>
      </c>
      <c r="H2041" t="s">
        <v>38</v>
      </c>
      <c r="I2041" t="s">
        <v>71</v>
      </c>
      <c r="J2041" t="s">
        <v>72</v>
      </c>
      <c r="K2041" t="s">
        <v>168</v>
      </c>
      <c r="L2041">
        <v>59.72</v>
      </c>
      <c r="M2041" t="s">
        <v>42</v>
      </c>
      <c r="N2041">
        <f t="shared" si="280"/>
        <v>0</v>
      </c>
      <c r="O2041" t="s">
        <v>24</v>
      </c>
      <c r="P2041" t="s">
        <v>2674</v>
      </c>
      <c r="Q2041">
        <v>0</v>
      </c>
      <c r="R2041">
        <v>356</v>
      </c>
      <c r="S2041">
        <f t="shared" si="281"/>
        <v>-1.5906233737468691</v>
      </c>
      <c r="T2041">
        <f t="shared" si="282"/>
        <v>0</v>
      </c>
      <c r="U2041">
        <f t="shared" si="283"/>
        <v>0</v>
      </c>
      <c r="V2041">
        <f t="shared" si="284"/>
        <v>0</v>
      </c>
      <c r="W2041">
        <f t="shared" si="285"/>
        <v>0</v>
      </c>
      <c r="X2041">
        <f t="shared" si="286"/>
        <v>0</v>
      </c>
      <c r="Y2041">
        <f t="shared" si="287"/>
        <v>0</v>
      </c>
    </row>
    <row r="2042" spans="1:25" x14ac:dyDescent="0.3">
      <c r="A2042" t="s">
        <v>839</v>
      </c>
      <c r="B2042" t="s">
        <v>840</v>
      </c>
      <c r="C2042" s="1">
        <v>45726</v>
      </c>
      <c r="D2042" s="3">
        <v>0.9048032407407407</v>
      </c>
      <c r="E2042">
        <f t="shared" si="288"/>
        <v>21</v>
      </c>
      <c r="F2042">
        <v>35</v>
      </c>
      <c r="G2042" t="s">
        <v>18</v>
      </c>
      <c r="H2042" t="s">
        <v>38</v>
      </c>
      <c r="I2042" t="s">
        <v>105</v>
      </c>
      <c r="J2042" t="s">
        <v>49</v>
      </c>
      <c r="K2042" t="s">
        <v>168</v>
      </c>
      <c r="L2042">
        <v>59.65</v>
      </c>
      <c r="M2042" t="s">
        <v>42</v>
      </c>
      <c r="N2042">
        <f t="shared" si="280"/>
        <v>0</v>
      </c>
      <c r="O2042" t="s">
        <v>51</v>
      </c>
      <c r="P2042" t="s">
        <v>841</v>
      </c>
      <c r="Q2042">
        <v>0</v>
      </c>
      <c r="R2042">
        <v>83</v>
      </c>
      <c r="S2042">
        <f t="shared" si="281"/>
        <v>-1.5915924719101955</v>
      </c>
      <c r="T2042">
        <f t="shared" si="282"/>
        <v>0</v>
      </c>
      <c r="U2042">
        <f t="shared" si="283"/>
        <v>0</v>
      </c>
      <c r="V2042">
        <f t="shared" si="284"/>
        <v>1</v>
      </c>
      <c r="W2042">
        <f t="shared" si="285"/>
        <v>1</v>
      </c>
      <c r="X2042">
        <f t="shared" si="286"/>
        <v>0</v>
      </c>
      <c r="Y2042">
        <f t="shared" si="287"/>
        <v>0</v>
      </c>
    </row>
    <row r="2043" spans="1:25" x14ac:dyDescent="0.3">
      <c r="A2043" t="s">
        <v>1286</v>
      </c>
      <c r="B2043" t="s">
        <v>1287</v>
      </c>
      <c r="C2043" s="1">
        <v>45789</v>
      </c>
      <c r="D2043" s="3">
        <v>0.72531250000000003</v>
      </c>
      <c r="E2043">
        <f t="shared" si="288"/>
        <v>17</v>
      </c>
      <c r="F2043">
        <v>31</v>
      </c>
      <c r="G2043" t="s">
        <v>60</v>
      </c>
      <c r="H2043" t="s">
        <v>90</v>
      </c>
      <c r="I2043" t="s">
        <v>30</v>
      </c>
      <c r="J2043" t="s">
        <v>56</v>
      </c>
      <c r="K2043" t="s">
        <v>95</v>
      </c>
      <c r="L2043">
        <v>59.61</v>
      </c>
      <c r="M2043" t="s">
        <v>23</v>
      </c>
      <c r="N2043">
        <f t="shared" si="280"/>
        <v>0</v>
      </c>
      <c r="O2043" t="s">
        <v>34</v>
      </c>
      <c r="P2043" t="s">
        <v>1288</v>
      </c>
      <c r="Q2043">
        <v>0</v>
      </c>
      <c r="R2043">
        <v>286</v>
      </c>
      <c r="S2043">
        <f t="shared" si="281"/>
        <v>-1.5921462422892394</v>
      </c>
      <c r="T2043">
        <f t="shared" si="282"/>
        <v>0</v>
      </c>
      <c r="U2043">
        <f t="shared" si="283"/>
        <v>0</v>
      </c>
      <c r="V2043">
        <f t="shared" si="284"/>
        <v>0</v>
      </c>
      <c r="W2043">
        <f t="shared" si="285"/>
        <v>0</v>
      </c>
      <c r="X2043">
        <f t="shared" si="286"/>
        <v>0</v>
      </c>
      <c r="Y2043">
        <f t="shared" si="287"/>
        <v>0</v>
      </c>
    </row>
    <row r="2044" spans="1:25" x14ac:dyDescent="0.3">
      <c r="A2044" t="s">
        <v>2402</v>
      </c>
      <c r="B2044" t="s">
        <v>2403</v>
      </c>
      <c r="C2044" s="1">
        <v>45877</v>
      </c>
      <c r="D2044" s="3">
        <v>0.29040509259259262</v>
      </c>
      <c r="E2044">
        <f t="shared" si="288"/>
        <v>6</v>
      </c>
      <c r="F2044">
        <v>63</v>
      </c>
      <c r="G2044" t="s">
        <v>18</v>
      </c>
      <c r="H2044" t="s">
        <v>239</v>
      </c>
      <c r="I2044" t="s">
        <v>20</v>
      </c>
      <c r="J2044" t="s">
        <v>72</v>
      </c>
      <c r="K2044" t="s">
        <v>114</v>
      </c>
      <c r="L2044">
        <v>59.61</v>
      </c>
      <c r="M2044" t="s">
        <v>23</v>
      </c>
      <c r="N2044">
        <f t="shared" si="280"/>
        <v>0</v>
      </c>
      <c r="O2044" t="s">
        <v>86</v>
      </c>
      <c r="P2044" t="s">
        <v>2404</v>
      </c>
      <c r="Q2044">
        <v>0</v>
      </c>
      <c r="R2044">
        <v>332</v>
      </c>
      <c r="S2044">
        <f t="shared" si="281"/>
        <v>-1.5921462422892394</v>
      </c>
      <c r="T2044">
        <f t="shared" si="282"/>
        <v>0</v>
      </c>
      <c r="U2044">
        <f t="shared" si="283"/>
        <v>0</v>
      </c>
      <c r="V2044">
        <f t="shared" si="284"/>
        <v>0</v>
      </c>
      <c r="W2044">
        <f t="shared" si="285"/>
        <v>0</v>
      </c>
      <c r="X2044">
        <f t="shared" si="286"/>
        <v>0</v>
      </c>
      <c r="Y2044">
        <f t="shared" si="287"/>
        <v>0</v>
      </c>
    </row>
    <row r="2045" spans="1:25" x14ac:dyDescent="0.3">
      <c r="A2045" t="s">
        <v>4001</v>
      </c>
      <c r="B2045" t="s">
        <v>4002</v>
      </c>
      <c r="C2045" s="1">
        <v>45710</v>
      </c>
      <c r="D2045" s="3">
        <v>0.18035879629629631</v>
      </c>
      <c r="E2045">
        <f t="shared" si="288"/>
        <v>4</v>
      </c>
      <c r="F2045">
        <v>27</v>
      </c>
      <c r="G2045" t="s">
        <v>60</v>
      </c>
      <c r="H2045" t="s">
        <v>55</v>
      </c>
      <c r="I2045" t="s">
        <v>20</v>
      </c>
      <c r="J2045" t="s">
        <v>21</v>
      </c>
      <c r="K2045" t="s">
        <v>114</v>
      </c>
      <c r="L2045">
        <v>59.58</v>
      </c>
      <c r="M2045" t="s">
        <v>42</v>
      </c>
      <c r="N2045">
        <f t="shared" si="280"/>
        <v>0</v>
      </c>
      <c r="O2045" t="s">
        <v>34</v>
      </c>
      <c r="P2045" t="s">
        <v>4003</v>
      </c>
      <c r="Q2045">
        <v>0</v>
      </c>
      <c r="R2045">
        <v>93</v>
      </c>
      <c r="S2045">
        <f t="shared" si="281"/>
        <v>-1.5925615700735221</v>
      </c>
      <c r="T2045">
        <f t="shared" si="282"/>
        <v>0</v>
      </c>
      <c r="U2045">
        <f t="shared" si="283"/>
        <v>1</v>
      </c>
      <c r="V2045">
        <f t="shared" si="284"/>
        <v>1</v>
      </c>
      <c r="W2045">
        <f t="shared" si="285"/>
        <v>3</v>
      </c>
      <c r="X2045">
        <f t="shared" si="286"/>
        <v>0</v>
      </c>
      <c r="Y2045">
        <f t="shared" si="287"/>
        <v>0</v>
      </c>
    </row>
    <row r="2046" spans="1:25" x14ac:dyDescent="0.3">
      <c r="A2046" t="s">
        <v>2846</v>
      </c>
      <c r="B2046" t="s">
        <v>2847</v>
      </c>
      <c r="C2046" s="1">
        <v>45804</v>
      </c>
      <c r="D2046" s="3">
        <v>0.77625</v>
      </c>
      <c r="E2046">
        <f t="shared" si="288"/>
        <v>18</v>
      </c>
      <c r="F2046">
        <v>34</v>
      </c>
      <c r="G2046" t="s">
        <v>18</v>
      </c>
      <c r="H2046" t="s">
        <v>131</v>
      </c>
      <c r="I2046" t="s">
        <v>48</v>
      </c>
      <c r="J2046" t="s">
        <v>21</v>
      </c>
      <c r="K2046" t="s">
        <v>32</v>
      </c>
      <c r="L2046">
        <v>59.3</v>
      </c>
      <c r="M2046" t="s">
        <v>42</v>
      </c>
      <c r="N2046">
        <f t="shared" si="280"/>
        <v>0</v>
      </c>
      <c r="O2046" t="s">
        <v>51</v>
      </c>
      <c r="P2046" t="s">
        <v>2848</v>
      </c>
      <c r="Q2046">
        <v>0</v>
      </c>
      <c r="R2046">
        <v>342</v>
      </c>
      <c r="S2046">
        <f t="shared" si="281"/>
        <v>-1.5964379627268279</v>
      </c>
      <c r="T2046">
        <f t="shared" si="282"/>
        <v>0</v>
      </c>
      <c r="U2046">
        <f t="shared" si="283"/>
        <v>0</v>
      </c>
      <c r="V2046">
        <f t="shared" si="284"/>
        <v>0</v>
      </c>
      <c r="W2046">
        <f t="shared" si="285"/>
        <v>0</v>
      </c>
      <c r="X2046">
        <f t="shared" si="286"/>
        <v>0</v>
      </c>
      <c r="Y2046">
        <f t="shared" si="287"/>
        <v>0</v>
      </c>
    </row>
    <row r="2047" spans="1:25" x14ac:dyDescent="0.3">
      <c r="A2047" t="s">
        <v>3488</v>
      </c>
      <c r="B2047" t="s">
        <v>3489</v>
      </c>
      <c r="C2047" s="1">
        <v>45850</v>
      </c>
      <c r="D2047" s="3">
        <v>4.2141203703703702E-2</v>
      </c>
      <c r="E2047">
        <f t="shared" si="288"/>
        <v>1</v>
      </c>
      <c r="F2047">
        <v>53</v>
      </c>
      <c r="G2047" t="s">
        <v>60</v>
      </c>
      <c r="H2047" t="s">
        <v>232</v>
      </c>
      <c r="I2047" t="s">
        <v>39</v>
      </c>
      <c r="J2047" t="s">
        <v>56</v>
      </c>
      <c r="K2047" t="s">
        <v>114</v>
      </c>
      <c r="L2047">
        <v>59.19</v>
      </c>
      <c r="M2047" t="s">
        <v>23</v>
      </c>
      <c r="N2047">
        <f t="shared" si="280"/>
        <v>0</v>
      </c>
      <c r="O2047" t="s">
        <v>86</v>
      </c>
      <c r="P2047" t="s">
        <v>3490</v>
      </c>
      <c r="Q2047">
        <v>0</v>
      </c>
      <c r="R2047">
        <v>185</v>
      </c>
      <c r="S2047">
        <f t="shared" si="281"/>
        <v>-1.5979608312691982</v>
      </c>
      <c r="T2047">
        <f t="shared" si="282"/>
        <v>0</v>
      </c>
      <c r="U2047">
        <f t="shared" si="283"/>
        <v>1</v>
      </c>
      <c r="V2047">
        <f t="shared" si="284"/>
        <v>1</v>
      </c>
      <c r="W2047">
        <f t="shared" si="285"/>
        <v>3</v>
      </c>
      <c r="X2047">
        <f t="shared" si="286"/>
        <v>0</v>
      </c>
      <c r="Y2047">
        <f t="shared" si="287"/>
        <v>0</v>
      </c>
    </row>
    <row r="2048" spans="1:25" x14ac:dyDescent="0.3">
      <c r="A2048" t="s">
        <v>4019</v>
      </c>
      <c r="B2048" t="s">
        <v>4020</v>
      </c>
      <c r="C2048" s="1">
        <v>45785</v>
      </c>
      <c r="D2048" s="3">
        <v>0.71202546296296299</v>
      </c>
      <c r="E2048">
        <f t="shared" si="288"/>
        <v>17</v>
      </c>
      <c r="F2048">
        <v>65</v>
      </c>
      <c r="G2048" t="s">
        <v>46</v>
      </c>
      <c r="H2048" t="s">
        <v>175</v>
      </c>
      <c r="I2048" t="s">
        <v>105</v>
      </c>
      <c r="J2048" t="s">
        <v>49</v>
      </c>
      <c r="K2048" t="s">
        <v>41</v>
      </c>
      <c r="L2048">
        <v>59.17</v>
      </c>
      <c r="M2048" t="s">
        <v>6479</v>
      </c>
      <c r="N2048">
        <f t="shared" si="280"/>
        <v>1</v>
      </c>
      <c r="O2048" t="s">
        <v>51</v>
      </c>
      <c r="P2048" t="s">
        <v>4021</v>
      </c>
      <c r="Q2048">
        <v>0</v>
      </c>
      <c r="R2048">
        <v>437</v>
      </c>
      <c r="S2048">
        <f t="shared" si="281"/>
        <v>-1.59823771645872</v>
      </c>
      <c r="T2048">
        <f t="shared" si="282"/>
        <v>0</v>
      </c>
      <c r="U2048">
        <f t="shared" si="283"/>
        <v>0</v>
      </c>
      <c r="V2048">
        <f t="shared" si="284"/>
        <v>0</v>
      </c>
      <c r="W2048">
        <f t="shared" si="285"/>
        <v>2</v>
      </c>
      <c r="X2048">
        <f t="shared" si="286"/>
        <v>0</v>
      </c>
      <c r="Y2048">
        <f t="shared" si="287"/>
        <v>1</v>
      </c>
    </row>
    <row r="2049" spans="1:25" x14ac:dyDescent="0.3">
      <c r="A2049" t="s">
        <v>5177</v>
      </c>
      <c r="B2049" t="s">
        <v>5178</v>
      </c>
      <c r="C2049" s="1">
        <v>45794</v>
      </c>
      <c r="D2049" s="3">
        <v>0.30596064814814816</v>
      </c>
      <c r="E2049">
        <f t="shared" si="288"/>
        <v>7</v>
      </c>
      <c r="F2049">
        <v>59</v>
      </c>
      <c r="G2049" t="s">
        <v>18</v>
      </c>
      <c r="H2049" t="s">
        <v>70</v>
      </c>
      <c r="I2049" t="s">
        <v>110</v>
      </c>
      <c r="J2049" t="s">
        <v>132</v>
      </c>
      <c r="K2049" t="s">
        <v>95</v>
      </c>
      <c r="L2049">
        <v>58.9</v>
      </c>
      <c r="M2049" t="s">
        <v>23</v>
      </c>
      <c r="N2049">
        <f t="shared" si="280"/>
        <v>0</v>
      </c>
      <c r="O2049" t="s">
        <v>51</v>
      </c>
      <c r="P2049" t="s">
        <v>5179</v>
      </c>
      <c r="Q2049">
        <v>0</v>
      </c>
      <c r="R2049">
        <v>218</v>
      </c>
      <c r="S2049">
        <f t="shared" si="281"/>
        <v>-1.6019756665172649</v>
      </c>
      <c r="T2049">
        <f t="shared" si="282"/>
        <v>0</v>
      </c>
      <c r="U2049">
        <f t="shared" si="283"/>
        <v>0</v>
      </c>
      <c r="V2049">
        <f t="shared" si="284"/>
        <v>1</v>
      </c>
      <c r="W2049">
        <f t="shared" si="285"/>
        <v>1</v>
      </c>
      <c r="X2049">
        <f t="shared" si="286"/>
        <v>0</v>
      </c>
      <c r="Y2049">
        <f t="shared" si="287"/>
        <v>0</v>
      </c>
    </row>
    <row r="2050" spans="1:25" x14ac:dyDescent="0.3">
      <c r="A2050" t="s">
        <v>2138</v>
      </c>
      <c r="B2050" t="s">
        <v>2139</v>
      </c>
      <c r="C2050" s="1">
        <v>45813</v>
      </c>
      <c r="D2050" s="3">
        <v>0.7572106481481482</v>
      </c>
      <c r="E2050">
        <f t="shared" si="288"/>
        <v>18</v>
      </c>
      <c r="F2050" s="4">
        <v>41</v>
      </c>
      <c r="G2050" t="s">
        <v>60</v>
      </c>
      <c r="H2050" t="s">
        <v>189</v>
      </c>
      <c r="I2050" t="s">
        <v>39</v>
      </c>
      <c r="J2050" t="s">
        <v>76</v>
      </c>
      <c r="K2050" t="s">
        <v>114</v>
      </c>
      <c r="L2050">
        <v>58.69</v>
      </c>
      <c r="M2050" t="s">
        <v>33</v>
      </c>
      <c r="N2050">
        <f t="shared" ref="N2050:N2113" si="289">IF(M2050="Unknown",1,0)</f>
        <v>0</v>
      </c>
      <c r="O2050" t="s">
        <v>24</v>
      </c>
      <c r="P2050" t="s">
        <v>2140</v>
      </c>
      <c r="Q2050">
        <v>0</v>
      </c>
      <c r="R2050">
        <v>62</v>
      </c>
      <c r="S2050">
        <f t="shared" ref="S2050:S2113" si="290">(L2050-$P$2137)/$P$2138</f>
        <v>-1.6048829610072444</v>
      </c>
      <c r="T2050">
        <f t="shared" ref="T2050:T2113" si="291">IF(ABS(Z2050)&gt;3,1,0)</f>
        <v>0</v>
      </c>
      <c r="U2050">
        <f t="shared" ref="U2050:U2113" si="292">IF(AND(E2050&gt;=0,E2050&lt;=5),1,0)</f>
        <v>0</v>
      </c>
      <c r="V2050">
        <f t="shared" ref="V2050:V2113" si="293">IF(R2050&lt;AVERAGE($R:$R),1,0)</f>
        <v>1</v>
      </c>
      <c r="W2050">
        <f t="shared" ref="W2050:W2113" si="294">T2050*3+U2050*2+V2050*1+N2050*2</f>
        <v>1</v>
      </c>
      <c r="X2050">
        <f t="shared" ref="X2050:X2113" si="295">IF(W2050&gt;=5,1,0)</f>
        <v>0</v>
      </c>
      <c r="Y2050">
        <f t="shared" ref="Y2050:Y2113" si="296">IF(M2050="Unknown",1,0)</f>
        <v>0</v>
      </c>
    </row>
    <row r="2051" spans="1:25" x14ac:dyDescent="0.3">
      <c r="A2051" t="s">
        <v>4736</v>
      </c>
      <c r="B2051" t="s">
        <v>4737</v>
      </c>
      <c r="C2051" s="1">
        <v>45807</v>
      </c>
      <c r="D2051" s="3">
        <v>0.65232638888888894</v>
      </c>
      <c r="E2051">
        <f t="shared" si="288"/>
        <v>15</v>
      </c>
      <c r="F2051">
        <v>61</v>
      </c>
      <c r="G2051" t="s">
        <v>18</v>
      </c>
      <c r="H2051" t="s">
        <v>29</v>
      </c>
      <c r="I2051" t="s">
        <v>48</v>
      </c>
      <c r="J2051" t="s">
        <v>40</v>
      </c>
      <c r="K2051" t="s">
        <v>95</v>
      </c>
      <c r="L2051">
        <v>58.52</v>
      </c>
      <c r="M2051" t="s">
        <v>115</v>
      </c>
      <c r="N2051">
        <f t="shared" si="289"/>
        <v>0</v>
      </c>
      <c r="O2051" t="s">
        <v>34</v>
      </c>
      <c r="P2051" t="s">
        <v>4738</v>
      </c>
      <c r="Q2051">
        <v>0</v>
      </c>
      <c r="R2051">
        <v>410</v>
      </c>
      <c r="S2051">
        <f t="shared" si="290"/>
        <v>-1.60723648511818</v>
      </c>
      <c r="T2051">
        <f t="shared" si="291"/>
        <v>0</v>
      </c>
      <c r="U2051">
        <f t="shared" si="292"/>
        <v>0</v>
      </c>
      <c r="V2051">
        <f t="shared" si="293"/>
        <v>0</v>
      </c>
      <c r="W2051">
        <f t="shared" si="294"/>
        <v>0</v>
      </c>
      <c r="X2051">
        <f t="shared" si="295"/>
        <v>0</v>
      </c>
      <c r="Y2051">
        <f t="shared" si="296"/>
        <v>0</v>
      </c>
    </row>
    <row r="2052" spans="1:25" x14ac:dyDescent="0.3">
      <c r="A2052" t="s">
        <v>2546</v>
      </c>
      <c r="B2052" t="s">
        <v>2547</v>
      </c>
      <c r="C2052" s="1">
        <v>45828</v>
      </c>
      <c r="D2052" s="3">
        <v>0.42233796296296294</v>
      </c>
      <c r="E2052">
        <f t="shared" si="288"/>
        <v>10</v>
      </c>
      <c r="F2052">
        <v>34</v>
      </c>
      <c r="G2052" t="s">
        <v>60</v>
      </c>
      <c r="H2052" t="s">
        <v>232</v>
      </c>
      <c r="I2052" t="s">
        <v>119</v>
      </c>
      <c r="J2052" t="s">
        <v>21</v>
      </c>
      <c r="K2052" t="s">
        <v>168</v>
      </c>
      <c r="L2052">
        <v>58.51</v>
      </c>
      <c r="M2052" t="s">
        <v>23</v>
      </c>
      <c r="N2052">
        <f t="shared" si="289"/>
        <v>0</v>
      </c>
      <c r="O2052" t="s">
        <v>34</v>
      </c>
      <c r="P2052" t="s">
        <v>2548</v>
      </c>
      <c r="Q2052">
        <v>0</v>
      </c>
      <c r="R2052">
        <v>243</v>
      </c>
      <c r="S2052">
        <f t="shared" si="290"/>
        <v>-1.6073749277129412</v>
      </c>
      <c r="T2052">
        <f t="shared" si="291"/>
        <v>0</v>
      </c>
      <c r="U2052">
        <f t="shared" si="292"/>
        <v>0</v>
      </c>
      <c r="V2052">
        <f t="shared" si="293"/>
        <v>1</v>
      </c>
      <c r="W2052">
        <f t="shared" si="294"/>
        <v>1</v>
      </c>
      <c r="X2052">
        <f t="shared" si="295"/>
        <v>0</v>
      </c>
      <c r="Y2052">
        <f t="shared" si="296"/>
        <v>0</v>
      </c>
    </row>
    <row r="2053" spans="1:25" x14ac:dyDescent="0.3">
      <c r="A2053" t="s">
        <v>1841</v>
      </c>
      <c r="B2053" t="s">
        <v>1842</v>
      </c>
      <c r="C2053" s="1">
        <v>45823</v>
      </c>
      <c r="D2053" s="3">
        <v>0.27172453703703703</v>
      </c>
      <c r="E2053">
        <f t="shared" si="288"/>
        <v>6</v>
      </c>
      <c r="F2053">
        <v>31</v>
      </c>
      <c r="G2053" t="s">
        <v>46</v>
      </c>
      <c r="H2053" t="s">
        <v>312</v>
      </c>
      <c r="I2053" t="s">
        <v>66</v>
      </c>
      <c r="J2053" t="s">
        <v>31</v>
      </c>
      <c r="K2053" t="s">
        <v>120</v>
      </c>
      <c r="L2053">
        <v>58.49</v>
      </c>
      <c r="M2053" t="s">
        <v>42</v>
      </c>
      <c r="N2053">
        <f t="shared" si="289"/>
        <v>0</v>
      </c>
      <c r="O2053" t="s">
        <v>34</v>
      </c>
      <c r="P2053" t="s">
        <v>1843</v>
      </c>
      <c r="Q2053">
        <v>0</v>
      </c>
      <c r="R2053">
        <v>481</v>
      </c>
      <c r="S2053">
        <f t="shared" si="290"/>
        <v>-1.6076518129024626</v>
      </c>
      <c r="T2053">
        <f t="shared" si="291"/>
        <v>0</v>
      </c>
      <c r="U2053">
        <f t="shared" si="292"/>
        <v>0</v>
      </c>
      <c r="V2053">
        <f t="shared" si="293"/>
        <v>0</v>
      </c>
      <c r="W2053">
        <f t="shared" si="294"/>
        <v>0</v>
      </c>
      <c r="X2053">
        <f t="shared" si="295"/>
        <v>0</v>
      </c>
      <c r="Y2053">
        <f t="shared" si="296"/>
        <v>0</v>
      </c>
    </row>
    <row r="2054" spans="1:25" x14ac:dyDescent="0.3">
      <c r="A2054" t="s">
        <v>4388</v>
      </c>
      <c r="B2054" t="s">
        <v>4389</v>
      </c>
      <c r="C2054" s="1">
        <v>45761</v>
      </c>
      <c r="D2054" s="3">
        <v>0.99916666666666665</v>
      </c>
      <c r="E2054">
        <f t="shared" si="288"/>
        <v>23</v>
      </c>
      <c r="F2054">
        <v>57</v>
      </c>
      <c r="G2054" t="s">
        <v>18</v>
      </c>
      <c r="H2054" t="s">
        <v>19</v>
      </c>
      <c r="I2054" t="s">
        <v>119</v>
      </c>
      <c r="J2054" t="s">
        <v>31</v>
      </c>
      <c r="K2054" t="s">
        <v>120</v>
      </c>
      <c r="L2054">
        <v>58.31</v>
      </c>
      <c r="M2054" t="s">
        <v>33</v>
      </c>
      <c r="N2054">
        <f t="shared" si="289"/>
        <v>0</v>
      </c>
      <c r="O2054" t="s">
        <v>51</v>
      </c>
      <c r="P2054" t="s">
        <v>4390</v>
      </c>
      <c r="Q2054">
        <v>0</v>
      </c>
      <c r="R2054">
        <v>230</v>
      </c>
      <c r="S2054">
        <f t="shared" si="290"/>
        <v>-1.6101437796081595</v>
      </c>
      <c r="T2054">
        <f t="shared" si="291"/>
        <v>0</v>
      </c>
      <c r="U2054">
        <f t="shared" si="292"/>
        <v>0</v>
      </c>
      <c r="V2054">
        <f t="shared" si="293"/>
        <v>1</v>
      </c>
      <c r="W2054">
        <f t="shared" si="294"/>
        <v>1</v>
      </c>
      <c r="X2054">
        <f t="shared" si="295"/>
        <v>0</v>
      </c>
      <c r="Y2054">
        <f t="shared" si="296"/>
        <v>0</v>
      </c>
    </row>
    <row r="2055" spans="1:25" x14ac:dyDescent="0.3">
      <c r="A2055" t="s">
        <v>5471</v>
      </c>
      <c r="B2055" t="s">
        <v>5472</v>
      </c>
      <c r="C2055" s="1">
        <v>45867</v>
      </c>
      <c r="D2055" s="3">
        <v>0.56040509259259264</v>
      </c>
      <c r="E2055">
        <f t="shared" si="288"/>
        <v>13</v>
      </c>
      <c r="F2055">
        <v>20</v>
      </c>
      <c r="G2055" t="s">
        <v>28</v>
      </c>
      <c r="H2055" t="s">
        <v>84</v>
      </c>
      <c r="I2055" t="s">
        <v>48</v>
      </c>
      <c r="J2055" t="s">
        <v>21</v>
      </c>
      <c r="K2055" t="s">
        <v>168</v>
      </c>
      <c r="L2055">
        <v>58.23</v>
      </c>
      <c r="M2055" t="s">
        <v>42</v>
      </c>
      <c r="N2055">
        <f t="shared" si="289"/>
        <v>0</v>
      </c>
      <c r="O2055" t="s">
        <v>51</v>
      </c>
      <c r="P2055" t="s">
        <v>5473</v>
      </c>
      <c r="Q2055">
        <v>0</v>
      </c>
      <c r="R2055">
        <v>214</v>
      </c>
      <c r="S2055">
        <f t="shared" si="290"/>
        <v>-1.6112513203662471</v>
      </c>
      <c r="T2055">
        <f t="shared" si="291"/>
        <v>0</v>
      </c>
      <c r="U2055">
        <f t="shared" si="292"/>
        <v>0</v>
      </c>
      <c r="V2055">
        <f t="shared" si="293"/>
        <v>1</v>
      </c>
      <c r="W2055">
        <f t="shared" si="294"/>
        <v>1</v>
      </c>
      <c r="X2055">
        <f t="shared" si="295"/>
        <v>0</v>
      </c>
      <c r="Y2055">
        <f t="shared" si="296"/>
        <v>0</v>
      </c>
    </row>
    <row r="2056" spans="1:25" x14ac:dyDescent="0.3">
      <c r="A2056" t="s">
        <v>1628</v>
      </c>
      <c r="B2056" t="s">
        <v>1629</v>
      </c>
      <c r="C2056" s="1">
        <v>45835</v>
      </c>
      <c r="D2056" s="3">
        <v>0.75396990740740744</v>
      </c>
      <c r="E2056">
        <f t="shared" si="288"/>
        <v>18</v>
      </c>
      <c r="F2056">
        <v>29</v>
      </c>
      <c r="G2056" t="s">
        <v>46</v>
      </c>
      <c r="H2056" t="s">
        <v>61</v>
      </c>
      <c r="I2056" t="s">
        <v>48</v>
      </c>
      <c r="J2056" t="s">
        <v>21</v>
      </c>
      <c r="K2056" t="s">
        <v>62</v>
      </c>
      <c r="L2056">
        <v>58.16</v>
      </c>
      <c r="M2056" t="s">
        <v>42</v>
      </c>
      <c r="N2056">
        <f t="shared" si="289"/>
        <v>0</v>
      </c>
      <c r="O2056" t="s">
        <v>51</v>
      </c>
      <c r="P2056" t="s">
        <v>1630</v>
      </c>
      <c r="Q2056">
        <v>0</v>
      </c>
      <c r="R2056">
        <v>133</v>
      </c>
      <c r="S2056">
        <f t="shared" si="290"/>
        <v>-1.6122204185295734</v>
      </c>
      <c r="T2056">
        <f t="shared" si="291"/>
        <v>0</v>
      </c>
      <c r="U2056">
        <f t="shared" si="292"/>
        <v>0</v>
      </c>
      <c r="V2056">
        <f t="shared" si="293"/>
        <v>1</v>
      </c>
      <c r="W2056">
        <f t="shared" si="294"/>
        <v>1</v>
      </c>
      <c r="X2056">
        <f t="shared" si="295"/>
        <v>0</v>
      </c>
      <c r="Y2056">
        <f t="shared" si="296"/>
        <v>0</v>
      </c>
    </row>
    <row r="2057" spans="1:25" x14ac:dyDescent="0.3">
      <c r="A2057" t="s">
        <v>857</v>
      </c>
      <c r="B2057" t="s">
        <v>858</v>
      </c>
      <c r="C2057" s="1">
        <v>45821</v>
      </c>
      <c r="D2057" s="3">
        <v>0.3956365740740741</v>
      </c>
      <c r="E2057">
        <f t="shared" si="288"/>
        <v>9</v>
      </c>
      <c r="F2057">
        <v>40</v>
      </c>
      <c r="G2057" t="s">
        <v>46</v>
      </c>
      <c r="H2057" t="s">
        <v>142</v>
      </c>
      <c r="I2057" t="s">
        <v>30</v>
      </c>
      <c r="J2057" t="s">
        <v>132</v>
      </c>
      <c r="K2057" t="s">
        <v>114</v>
      </c>
      <c r="L2057">
        <v>58.12</v>
      </c>
      <c r="M2057" t="s">
        <v>33</v>
      </c>
      <c r="N2057">
        <f t="shared" si="289"/>
        <v>0</v>
      </c>
      <c r="O2057" t="s">
        <v>86</v>
      </c>
      <c r="P2057" t="s">
        <v>859</v>
      </c>
      <c r="Q2057">
        <v>0</v>
      </c>
      <c r="R2057">
        <v>323</v>
      </c>
      <c r="S2057">
        <f t="shared" si="290"/>
        <v>-1.6127741889086169</v>
      </c>
      <c r="T2057">
        <f t="shared" si="291"/>
        <v>0</v>
      </c>
      <c r="U2057">
        <f t="shared" si="292"/>
        <v>0</v>
      </c>
      <c r="V2057">
        <f t="shared" si="293"/>
        <v>0</v>
      </c>
      <c r="W2057">
        <f t="shared" si="294"/>
        <v>0</v>
      </c>
      <c r="X2057">
        <f t="shared" si="295"/>
        <v>0</v>
      </c>
      <c r="Y2057">
        <f t="shared" si="296"/>
        <v>0</v>
      </c>
    </row>
    <row r="2058" spans="1:25" x14ac:dyDescent="0.3">
      <c r="A2058" t="s">
        <v>5006</v>
      </c>
      <c r="B2058" t="s">
        <v>5007</v>
      </c>
      <c r="C2058" s="1">
        <v>45774</v>
      </c>
      <c r="D2058" s="3">
        <v>0.98708333333333331</v>
      </c>
      <c r="E2058">
        <f t="shared" si="288"/>
        <v>23</v>
      </c>
      <c r="F2058">
        <v>32</v>
      </c>
      <c r="G2058" t="s">
        <v>60</v>
      </c>
      <c r="H2058" t="s">
        <v>239</v>
      </c>
      <c r="I2058" t="s">
        <v>105</v>
      </c>
      <c r="J2058" t="s">
        <v>76</v>
      </c>
      <c r="K2058" t="s">
        <v>32</v>
      </c>
      <c r="L2058">
        <v>58.09</v>
      </c>
      <c r="M2058" t="s">
        <v>23</v>
      </c>
      <c r="N2058">
        <f t="shared" si="289"/>
        <v>0</v>
      </c>
      <c r="O2058" t="s">
        <v>24</v>
      </c>
      <c r="P2058" t="s">
        <v>5008</v>
      </c>
      <c r="Q2058">
        <v>0</v>
      </c>
      <c r="R2058">
        <v>125</v>
      </c>
      <c r="S2058">
        <f t="shared" si="290"/>
        <v>-1.6131895166928998</v>
      </c>
      <c r="T2058">
        <f t="shared" si="291"/>
        <v>0</v>
      </c>
      <c r="U2058">
        <f t="shared" si="292"/>
        <v>0</v>
      </c>
      <c r="V2058">
        <f t="shared" si="293"/>
        <v>1</v>
      </c>
      <c r="W2058">
        <f t="shared" si="294"/>
        <v>1</v>
      </c>
      <c r="X2058">
        <f t="shared" si="295"/>
        <v>0</v>
      </c>
      <c r="Y2058">
        <f t="shared" si="296"/>
        <v>0</v>
      </c>
    </row>
    <row r="2059" spans="1:25" x14ac:dyDescent="0.3">
      <c r="A2059" t="s">
        <v>1559</v>
      </c>
      <c r="B2059" t="s">
        <v>1560</v>
      </c>
      <c r="C2059" s="1">
        <v>45709</v>
      </c>
      <c r="D2059" s="3">
        <v>0.96913194444444439</v>
      </c>
      <c r="E2059">
        <f t="shared" si="288"/>
        <v>23</v>
      </c>
      <c r="F2059">
        <v>48</v>
      </c>
      <c r="G2059" t="s">
        <v>60</v>
      </c>
      <c r="H2059" t="s">
        <v>38</v>
      </c>
      <c r="I2059" t="s">
        <v>105</v>
      </c>
      <c r="J2059" t="s">
        <v>127</v>
      </c>
      <c r="K2059" t="s">
        <v>95</v>
      </c>
      <c r="L2059">
        <v>58</v>
      </c>
      <c r="M2059" t="s">
        <v>23</v>
      </c>
      <c r="N2059">
        <f t="shared" si="289"/>
        <v>0</v>
      </c>
      <c r="O2059" t="s">
        <v>86</v>
      </c>
      <c r="P2059" t="s">
        <v>1561</v>
      </c>
      <c r="Q2059">
        <v>0</v>
      </c>
      <c r="R2059">
        <v>183</v>
      </c>
      <c r="S2059">
        <f t="shared" si="290"/>
        <v>-1.6144355000457482</v>
      </c>
      <c r="T2059">
        <f t="shared" si="291"/>
        <v>0</v>
      </c>
      <c r="U2059">
        <f t="shared" si="292"/>
        <v>0</v>
      </c>
      <c r="V2059">
        <f t="shared" si="293"/>
        <v>1</v>
      </c>
      <c r="W2059">
        <f t="shared" si="294"/>
        <v>1</v>
      </c>
      <c r="X2059">
        <f t="shared" si="295"/>
        <v>0</v>
      </c>
      <c r="Y2059">
        <f t="shared" si="296"/>
        <v>0</v>
      </c>
    </row>
    <row r="2060" spans="1:25" x14ac:dyDescent="0.3">
      <c r="A2060" t="s">
        <v>4961</v>
      </c>
      <c r="B2060" t="s">
        <v>4962</v>
      </c>
      <c r="C2060" s="1">
        <v>45771</v>
      </c>
      <c r="D2060" s="3">
        <v>0.3271412037037037</v>
      </c>
      <c r="E2060">
        <f t="shared" si="288"/>
        <v>7</v>
      </c>
      <c r="F2060">
        <v>31</v>
      </c>
      <c r="G2060" t="s">
        <v>46</v>
      </c>
      <c r="H2060" t="s">
        <v>80</v>
      </c>
      <c r="I2060" t="s">
        <v>48</v>
      </c>
      <c r="J2060" t="s">
        <v>31</v>
      </c>
      <c r="K2060" t="s">
        <v>41</v>
      </c>
      <c r="L2060">
        <v>57.95</v>
      </c>
      <c r="M2060" t="s">
        <v>42</v>
      </c>
      <c r="N2060">
        <f t="shared" si="289"/>
        <v>0</v>
      </c>
      <c r="O2060" t="s">
        <v>51</v>
      </c>
      <c r="P2060" t="s">
        <v>4963</v>
      </c>
      <c r="Q2060">
        <v>0</v>
      </c>
      <c r="R2060">
        <v>468</v>
      </c>
      <c r="S2060">
        <f t="shared" si="290"/>
        <v>-1.6151277130195527</v>
      </c>
      <c r="T2060">
        <f t="shared" si="291"/>
        <v>0</v>
      </c>
      <c r="U2060">
        <f t="shared" si="292"/>
        <v>0</v>
      </c>
      <c r="V2060">
        <f t="shared" si="293"/>
        <v>0</v>
      </c>
      <c r="W2060">
        <f t="shared" si="294"/>
        <v>0</v>
      </c>
      <c r="X2060">
        <f t="shared" si="295"/>
        <v>0</v>
      </c>
      <c r="Y2060">
        <f t="shared" si="296"/>
        <v>0</v>
      </c>
    </row>
    <row r="2061" spans="1:25" x14ac:dyDescent="0.3">
      <c r="A2061" t="s">
        <v>4751</v>
      </c>
      <c r="B2061" t="s">
        <v>4752</v>
      </c>
      <c r="C2061" s="1">
        <v>45775</v>
      </c>
      <c r="D2061" s="3">
        <v>0.35290509259259262</v>
      </c>
      <c r="E2061">
        <f t="shared" si="288"/>
        <v>8</v>
      </c>
      <c r="F2061">
        <v>47</v>
      </c>
      <c r="G2061" t="s">
        <v>60</v>
      </c>
      <c r="H2061" t="s">
        <v>142</v>
      </c>
      <c r="I2061" t="s">
        <v>30</v>
      </c>
      <c r="J2061" t="s">
        <v>94</v>
      </c>
      <c r="K2061" t="s">
        <v>168</v>
      </c>
      <c r="L2061">
        <v>57.78</v>
      </c>
      <c r="M2061" t="s">
        <v>115</v>
      </c>
      <c r="N2061">
        <f t="shared" si="289"/>
        <v>0</v>
      </c>
      <c r="O2061" t="s">
        <v>86</v>
      </c>
      <c r="P2061" t="s">
        <v>4753</v>
      </c>
      <c r="Q2061">
        <v>0</v>
      </c>
      <c r="R2061">
        <v>425</v>
      </c>
      <c r="S2061">
        <f t="shared" si="290"/>
        <v>-1.6174812371304885</v>
      </c>
      <c r="T2061">
        <f t="shared" si="291"/>
        <v>0</v>
      </c>
      <c r="U2061">
        <f t="shared" si="292"/>
        <v>0</v>
      </c>
      <c r="V2061">
        <f t="shared" si="293"/>
        <v>0</v>
      </c>
      <c r="W2061">
        <f t="shared" si="294"/>
        <v>0</v>
      </c>
      <c r="X2061">
        <f t="shared" si="295"/>
        <v>0</v>
      </c>
      <c r="Y2061">
        <f t="shared" si="296"/>
        <v>0</v>
      </c>
    </row>
    <row r="2062" spans="1:25" x14ac:dyDescent="0.3">
      <c r="A2062" t="s">
        <v>1823</v>
      </c>
      <c r="B2062" t="s">
        <v>1824</v>
      </c>
      <c r="C2062" s="1">
        <v>45759</v>
      </c>
      <c r="D2062" s="3">
        <v>0.44236111111111109</v>
      </c>
      <c r="E2062">
        <f t="shared" si="288"/>
        <v>10</v>
      </c>
      <c r="F2062">
        <v>58</v>
      </c>
      <c r="G2062" t="s">
        <v>18</v>
      </c>
      <c r="H2062" t="s">
        <v>38</v>
      </c>
      <c r="I2062" t="s">
        <v>30</v>
      </c>
      <c r="J2062" t="s">
        <v>72</v>
      </c>
      <c r="K2062" t="s">
        <v>32</v>
      </c>
      <c r="L2062">
        <v>57.77</v>
      </c>
      <c r="M2062" t="s">
        <v>42</v>
      </c>
      <c r="N2062">
        <f t="shared" si="289"/>
        <v>0</v>
      </c>
      <c r="O2062" t="s">
        <v>86</v>
      </c>
      <c r="P2062" t="s">
        <v>1825</v>
      </c>
      <c r="Q2062">
        <v>0</v>
      </c>
      <c r="R2062">
        <v>402</v>
      </c>
      <c r="S2062">
        <f t="shared" si="290"/>
        <v>-1.6176196797252493</v>
      </c>
      <c r="T2062">
        <f t="shared" si="291"/>
        <v>0</v>
      </c>
      <c r="U2062">
        <f t="shared" si="292"/>
        <v>0</v>
      </c>
      <c r="V2062">
        <f t="shared" si="293"/>
        <v>0</v>
      </c>
      <c r="W2062">
        <f t="shared" si="294"/>
        <v>0</v>
      </c>
      <c r="X2062">
        <f t="shared" si="295"/>
        <v>0</v>
      </c>
      <c r="Y2062">
        <f t="shared" si="296"/>
        <v>0</v>
      </c>
    </row>
    <row r="2063" spans="1:25" x14ac:dyDescent="0.3">
      <c r="A2063" t="s">
        <v>2471</v>
      </c>
      <c r="B2063" t="s">
        <v>2472</v>
      </c>
      <c r="C2063" s="1">
        <v>45813</v>
      </c>
      <c r="D2063" s="3">
        <v>0.96097222222222223</v>
      </c>
      <c r="E2063">
        <f t="shared" si="288"/>
        <v>23</v>
      </c>
      <c r="F2063">
        <v>65</v>
      </c>
      <c r="G2063" t="s">
        <v>18</v>
      </c>
      <c r="H2063" t="s">
        <v>38</v>
      </c>
      <c r="I2063" t="s">
        <v>105</v>
      </c>
      <c r="J2063" t="s">
        <v>72</v>
      </c>
      <c r="K2063" t="s">
        <v>120</v>
      </c>
      <c r="L2063">
        <v>57.77</v>
      </c>
      <c r="M2063" t="s">
        <v>23</v>
      </c>
      <c r="N2063">
        <f t="shared" si="289"/>
        <v>0</v>
      </c>
      <c r="O2063" t="s">
        <v>51</v>
      </c>
      <c r="P2063" t="s">
        <v>2473</v>
      </c>
      <c r="Q2063">
        <v>0</v>
      </c>
      <c r="R2063">
        <v>495</v>
      </c>
      <c r="S2063">
        <f t="shared" si="290"/>
        <v>-1.6176196797252493</v>
      </c>
      <c r="T2063">
        <f t="shared" si="291"/>
        <v>0</v>
      </c>
      <c r="U2063">
        <f t="shared" si="292"/>
        <v>0</v>
      </c>
      <c r="V2063">
        <f t="shared" si="293"/>
        <v>0</v>
      </c>
      <c r="W2063">
        <f t="shared" si="294"/>
        <v>0</v>
      </c>
      <c r="X2063">
        <f t="shared" si="295"/>
        <v>0</v>
      </c>
      <c r="Y2063">
        <f t="shared" si="296"/>
        <v>0</v>
      </c>
    </row>
    <row r="2064" spans="1:25" x14ac:dyDescent="0.3">
      <c r="A2064" t="s">
        <v>1034</v>
      </c>
      <c r="B2064" t="s">
        <v>1035</v>
      </c>
      <c r="C2064" s="1">
        <v>45716</v>
      </c>
      <c r="D2064" s="3">
        <v>0.73706018518518523</v>
      </c>
      <c r="E2064">
        <f t="shared" si="288"/>
        <v>17</v>
      </c>
      <c r="F2064">
        <v>65</v>
      </c>
      <c r="G2064" t="s">
        <v>46</v>
      </c>
      <c r="H2064" t="s">
        <v>239</v>
      </c>
      <c r="I2064" t="s">
        <v>71</v>
      </c>
      <c r="J2064" t="s">
        <v>132</v>
      </c>
      <c r="K2064" t="s">
        <v>41</v>
      </c>
      <c r="L2064">
        <v>57.65</v>
      </c>
      <c r="M2064" t="s">
        <v>42</v>
      </c>
      <c r="N2064">
        <f t="shared" si="289"/>
        <v>0</v>
      </c>
      <c r="O2064" t="s">
        <v>24</v>
      </c>
      <c r="P2064" t="s">
        <v>1036</v>
      </c>
      <c r="Q2064">
        <v>0</v>
      </c>
      <c r="R2064">
        <v>168</v>
      </c>
      <c r="S2064">
        <f t="shared" si="290"/>
        <v>-1.6192809908623804</v>
      </c>
      <c r="T2064">
        <f t="shared" si="291"/>
        <v>0</v>
      </c>
      <c r="U2064">
        <f t="shared" si="292"/>
        <v>0</v>
      </c>
      <c r="V2064">
        <f t="shared" si="293"/>
        <v>1</v>
      </c>
      <c r="W2064">
        <f t="shared" si="294"/>
        <v>1</v>
      </c>
      <c r="X2064">
        <f t="shared" si="295"/>
        <v>0</v>
      </c>
      <c r="Y2064">
        <f t="shared" si="296"/>
        <v>0</v>
      </c>
    </row>
    <row r="2065" spans="1:25" x14ac:dyDescent="0.3">
      <c r="A2065" t="s">
        <v>4307</v>
      </c>
      <c r="B2065" t="s">
        <v>4308</v>
      </c>
      <c r="C2065" s="1">
        <v>45841</v>
      </c>
      <c r="D2065" s="3">
        <v>0.37862268518518516</v>
      </c>
      <c r="E2065">
        <f t="shared" si="288"/>
        <v>9</v>
      </c>
      <c r="F2065">
        <v>57</v>
      </c>
      <c r="G2065" t="s">
        <v>28</v>
      </c>
      <c r="H2065" t="s">
        <v>232</v>
      </c>
      <c r="I2065" t="s">
        <v>30</v>
      </c>
      <c r="J2065" t="s">
        <v>40</v>
      </c>
      <c r="K2065" t="s">
        <v>95</v>
      </c>
      <c r="L2065">
        <v>57.64</v>
      </c>
      <c r="M2065" t="s">
        <v>23</v>
      </c>
      <c r="N2065">
        <f t="shared" si="289"/>
        <v>0</v>
      </c>
      <c r="O2065" t="s">
        <v>34</v>
      </c>
      <c r="P2065" t="s">
        <v>4309</v>
      </c>
      <c r="Q2065">
        <v>0</v>
      </c>
      <c r="R2065">
        <v>161</v>
      </c>
      <c r="S2065">
        <f t="shared" si="290"/>
        <v>-1.6194194334571415</v>
      </c>
      <c r="T2065">
        <f t="shared" si="291"/>
        <v>0</v>
      </c>
      <c r="U2065">
        <f t="shared" si="292"/>
        <v>0</v>
      </c>
      <c r="V2065">
        <f t="shared" si="293"/>
        <v>1</v>
      </c>
      <c r="W2065">
        <f t="shared" si="294"/>
        <v>1</v>
      </c>
      <c r="X2065">
        <f t="shared" si="295"/>
        <v>0</v>
      </c>
      <c r="Y2065">
        <f t="shared" si="296"/>
        <v>0</v>
      </c>
    </row>
    <row r="2066" spans="1:25" x14ac:dyDescent="0.3">
      <c r="A2066" t="s">
        <v>4862</v>
      </c>
      <c r="B2066" t="s">
        <v>4863</v>
      </c>
      <c r="C2066" s="1">
        <v>45788</v>
      </c>
      <c r="D2066" s="3">
        <v>0.92891203703703706</v>
      </c>
      <c r="E2066">
        <f t="shared" si="288"/>
        <v>22</v>
      </c>
      <c r="F2066">
        <v>25</v>
      </c>
      <c r="G2066" t="s">
        <v>60</v>
      </c>
      <c r="H2066" t="s">
        <v>61</v>
      </c>
      <c r="I2066" t="s">
        <v>30</v>
      </c>
      <c r="J2066" t="s">
        <v>72</v>
      </c>
      <c r="K2066" t="s">
        <v>114</v>
      </c>
      <c r="L2066">
        <v>57.54</v>
      </c>
      <c r="M2066" t="s">
        <v>115</v>
      </c>
      <c r="N2066">
        <f t="shared" si="289"/>
        <v>0</v>
      </c>
      <c r="O2066" t="s">
        <v>24</v>
      </c>
      <c r="P2066" t="s">
        <v>4864</v>
      </c>
      <c r="Q2066">
        <v>0</v>
      </c>
      <c r="R2066">
        <v>62</v>
      </c>
      <c r="S2066">
        <f t="shared" si="290"/>
        <v>-1.6208038594047507</v>
      </c>
      <c r="T2066">
        <f t="shared" si="291"/>
        <v>0</v>
      </c>
      <c r="U2066">
        <f t="shared" si="292"/>
        <v>0</v>
      </c>
      <c r="V2066">
        <f t="shared" si="293"/>
        <v>1</v>
      </c>
      <c r="W2066">
        <f t="shared" si="294"/>
        <v>1</v>
      </c>
      <c r="X2066">
        <f t="shared" si="295"/>
        <v>0</v>
      </c>
      <c r="Y2066">
        <f t="shared" si="296"/>
        <v>0</v>
      </c>
    </row>
    <row r="2067" spans="1:25" x14ac:dyDescent="0.3">
      <c r="A2067" t="s">
        <v>5072</v>
      </c>
      <c r="B2067" t="s">
        <v>5073</v>
      </c>
      <c r="C2067" s="1">
        <v>45703</v>
      </c>
      <c r="D2067" s="3">
        <v>0.95141203703703703</v>
      </c>
      <c r="E2067">
        <f t="shared" si="288"/>
        <v>22</v>
      </c>
      <c r="F2067">
        <v>57</v>
      </c>
      <c r="G2067" t="s">
        <v>28</v>
      </c>
      <c r="H2067" t="s">
        <v>55</v>
      </c>
      <c r="I2067" t="s">
        <v>48</v>
      </c>
      <c r="J2067" t="s">
        <v>21</v>
      </c>
      <c r="K2067" t="s">
        <v>95</v>
      </c>
      <c r="L2067">
        <v>57.25</v>
      </c>
      <c r="M2067" t="s">
        <v>42</v>
      </c>
      <c r="N2067">
        <f t="shared" si="289"/>
        <v>0</v>
      </c>
      <c r="O2067" t="s">
        <v>24</v>
      </c>
      <c r="P2067" t="s">
        <v>5074</v>
      </c>
      <c r="Q2067">
        <v>0</v>
      </c>
      <c r="R2067">
        <v>230</v>
      </c>
      <c r="S2067">
        <f t="shared" si="290"/>
        <v>-1.6248186946528176</v>
      </c>
      <c r="T2067">
        <f t="shared" si="291"/>
        <v>0</v>
      </c>
      <c r="U2067">
        <f t="shared" si="292"/>
        <v>0</v>
      </c>
      <c r="V2067">
        <f t="shared" si="293"/>
        <v>1</v>
      </c>
      <c r="W2067">
        <f t="shared" si="294"/>
        <v>1</v>
      </c>
      <c r="X2067">
        <f t="shared" si="295"/>
        <v>0</v>
      </c>
      <c r="Y2067">
        <f t="shared" si="296"/>
        <v>0</v>
      </c>
    </row>
    <row r="2068" spans="1:25" x14ac:dyDescent="0.3">
      <c r="A2068" t="s">
        <v>3776</v>
      </c>
      <c r="B2068" t="s">
        <v>3777</v>
      </c>
      <c r="C2068" s="1">
        <v>45722</v>
      </c>
      <c r="D2068" s="3">
        <v>0.62030092592592589</v>
      </c>
      <c r="E2068">
        <f t="shared" si="288"/>
        <v>14</v>
      </c>
      <c r="F2068">
        <v>39</v>
      </c>
      <c r="G2068" t="s">
        <v>46</v>
      </c>
      <c r="H2068" t="s">
        <v>70</v>
      </c>
      <c r="I2068" t="s">
        <v>110</v>
      </c>
      <c r="J2068" t="s">
        <v>94</v>
      </c>
      <c r="K2068" t="s">
        <v>22</v>
      </c>
      <c r="L2068">
        <v>57.12</v>
      </c>
      <c r="M2068" t="s">
        <v>33</v>
      </c>
      <c r="N2068">
        <f t="shared" si="289"/>
        <v>0</v>
      </c>
      <c r="O2068" t="s">
        <v>86</v>
      </c>
      <c r="P2068" t="s">
        <v>3778</v>
      </c>
      <c r="Q2068">
        <v>1</v>
      </c>
      <c r="R2068">
        <v>182</v>
      </c>
      <c r="S2068">
        <f t="shared" si="290"/>
        <v>-1.6266184483847095</v>
      </c>
      <c r="T2068">
        <f t="shared" si="291"/>
        <v>0</v>
      </c>
      <c r="U2068">
        <f t="shared" si="292"/>
        <v>0</v>
      </c>
      <c r="V2068">
        <f t="shared" si="293"/>
        <v>1</v>
      </c>
      <c r="W2068">
        <f t="shared" si="294"/>
        <v>1</v>
      </c>
      <c r="X2068">
        <f t="shared" si="295"/>
        <v>0</v>
      </c>
      <c r="Y2068">
        <f t="shared" si="296"/>
        <v>0</v>
      </c>
    </row>
    <row r="2069" spans="1:25" x14ac:dyDescent="0.3">
      <c r="A2069" t="s">
        <v>4697</v>
      </c>
      <c r="B2069" t="s">
        <v>4698</v>
      </c>
      <c r="C2069" s="1">
        <v>45725</v>
      </c>
      <c r="D2069" s="3">
        <v>0.32541666666666669</v>
      </c>
      <c r="E2069">
        <f t="shared" si="288"/>
        <v>7</v>
      </c>
      <c r="F2069">
        <v>59</v>
      </c>
      <c r="G2069" t="s">
        <v>6479</v>
      </c>
      <c r="H2069" t="s">
        <v>61</v>
      </c>
      <c r="I2069" t="s">
        <v>20</v>
      </c>
      <c r="J2069" t="s">
        <v>94</v>
      </c>
      <c r="K2069" t="s">
        <v>114</v>
      </c>
      <c r="L2069">
        <v>57.08</v>
      </c>
      <c r="M2069" t="s">
        <v>23</v>
      </c>
      <c r="N2069">
        <f t="shared" si="289"/>
        <v>0</v>
      </c>
      <c r="O2069" t="s">
        <v>86</v>
      </c>
      <c r="P2069" t="s">
        <v>4699</v>
      </c>
      <c r="Q2069">
        <v>0</v>
      </c>
      <c r="R2069">
        <v>141</v>
      </c>
      <c r="S2069">
        <f t="shared" si="290"/>
        <v>-1.6271722187637532</v>
      </c>
      <c r="T2069">
        <f t="shared" si="291"/>
        <v>0</v>
      </c>
      <c r="U2069">
        <f t="shared" si="292"/>
        <v>0</v>
      </c>
      <c r="V2069">
        <f t="shared" si="293"/>
        <v>1</v>
      </c>
      <c r="W2069">
        <f t="shared" si="294"/>
        <v>1</v>
      </c>
      <c r="X2069">
        <f t="shared" si="295"/>
        <v>0</v>
      </c>
      <c r="Y2069">
        <f t="shared" si="296"/>
        <v>0</v>
      </c>
    </row>
    <row r="2070" spans="1:25" x14ac:dyDescent="0.3">
      <c r="A2070" t="s">
        <v>4847</v>
      </c>
      <c r="B2070" t="s">
        <v>4848</v>
      </c>
      <c r="C2070" s="1">
        <v>45709</v>
      </c>
      <c r="D2070" s="3">
        <v>0.43518518518518517</v>
      </c>
      <c r="E2070">
        <f t="shared" ref="E2070:E2133" si="297">HOUR(D2070)</f>
        <v>10</v>
      </c>
      <c r="F2070">
        <v>30</v>
      </c>
      <c r="G2070" t="s">
        <v>46</v>
      </c>
      <c r="H2070" t="s">
        <v>19</v>
      </c>
      <c r="I2070" t="s">
        <v>110</v>
      </c>
      <c r="J2070" t="s">
        <v>127</v>
      </c>
      <c r="K2070" t="s">
        <v>101</v>
      </c>
      <c r="L2070">
        <v>56.56</v>
      </c>
      <c r="M2070" t="s">
        <v>33</v>
      </c>
      <c r="N2070">
        <f t="shared" si="289"/>
        <v>0</v>
      </c>
      <c r="O2070" t="s">
        <v>34</v>
      </c>
      <c r="P2070" t="s">
        <v>4849</v>
      </c>
      <c r="Q2070">
        <v>0</v>
      </c>
      <c r="R2070">
        <v>455</v>
      </c>
      <c r="S2070">
        <f t="shared" si="290"/>
        <v>-1.6343712336913212</v>
      </c>
      <c r="T2070">
        <f t="shared" si="291"/>
        <v>0</v>
      </c>
      <c r="U2070">
        <f t="shared" si="292"/>
        <v>0</v>
      </c>
      <c r="V2070">
        <f t="shared" si="293"/>
        <v>0</v>
      </c>
      <c r="W2070">
        <f t="shared" si="294"/>
        <v>0</v>
      </c>
      <c r="X2070">
        <f t="shared" si="295"/>
        <v>0</v>
      </c>
      <c r="Y2070">
        <f t="shared" si="296"/>
        <v>0</v>
      </c>
    </row>
    <row r="2071" spans="1:25" x14ac:dyDescent="0.3">
      <c r="A2071" t="s">
        <v>237</v>
      </c>
      <c r="B2071" t="s">
        <v>238</v>
      </c>
      <c r="C2071" s="1">
        <v>45722</v>
      </c>
      <c r="D2071" s="3">
        <v>0.77579861111111115</v>
      </c>
      <c r="E2071">
        <f t="shared" si="297"/>
        <v>18</v>
      </c>
      <c r="F2071">
        <v>61</v>
      </c>
      <c r="G2071" t="s">
        <v>46</v>
      </c>
      <c r="H2071" t="s">
        <v>239</v>
      </c>
      <c r="I2071" t="s">
        <v>85</v>
      </c>
      <c r="J2071" t="s">
        <v>21</v>
      </c>
      <c r="K2071" t="s">
        <v>114</v>
      </c>
      <c r="L2071">
        <v>56.39</v>
      </c>
      <c r="M2071" t="s">
        <v>42</v>
      </c>
      <c r="N2071">
        <f t="shared" si="289"/>
        <v>0</v>
      </c>
      <c r="O2071" t="s">
        <v>24</v>
      </c>
      <c r="P2071" t="s">
        <v>240</v>
      </c>
      <c r="Q2071">
        <v>0</v>
      </c>
      <c r="R2071">
        <v>104</v>
      </c>
      <c r="S2071">
        <f t="shared" si="290"/>
        <v>-1.636724757802257</v>
      </c>
      <c r="T2071">
        <f t="shared" si="291"/>
        <v>0</v>
      </c>
      <c r="U2071">
        <f t="shared" si="292"/>
        <v>0</v>
      </c>
      <c r="V2071">
        <f t="shared" si="293"/>
        <v>1</v>
      </c>
      <c r="W2071">
        <f t="shared" si="294"/>
        <v>1</v>
      </c>
      <c r="X2071">
        <f t="shared" si="295"/>
        <v>0</v>
      </c>
      <c r="Y2071">
        <f t="shared" si="296"/>
        <v>0</v>
      </c>
    </row>
    <row r="2072" spans="1:25" x14ac:dyDescent="0.3">
      <c r="A2072" t="s">
        <v>6221</v>
      </c>
      <c r="B2072" t="s">
        <v>6222</v>
      </c>
      <c r="C2072" s="1">
        <v>45824</v>
      </c>
      <c r="D2072" s="3">
        <v>0.74525462962962963</v>
      </c>
      <c r="E2072">
        <f t="shared" si="297"/>
        <v>17</v>
      </c>
      <c r="F2072">
        <v>48</v>
      </c>
      <c r="G2072" t="s">
        <v>46</v>
      </c>
      <c r="H2072" t="s">
        <v>239</v>
      </c>
      <c r="I2072" t="s">
        <v>30</v>
      </c>
      <c r="J2072" t="s">
        <v>31</v>
      </c>
      <c r="K2072" t="s">
        <v>168</v>
      </c>
      <c r="L2072">
        <v>56.33</v>
      </c>
      <c r="M2072" t="s">
        <v>33</v>
      </c>
      <c r="N2072">
        <f t="shared" si="289"/>
        <v>0</v>
      </c>
      <c r="O2072" t="s">
        <v>51</v>
      </c>
      <c r="P2072" t="s">
        <v>6223</v>
      </c>
      <c r="Q2072">
        <v>0</v>
      </c>
      <c r="R2072">
        <v>398</v>
      </c>
      <c r="S2072">
        <f t="shared" si="290"/>
        <v>-1.6375554133708226</v>
      </c>
      <c r="T2072">
        <f t="shared" si="291"/>
        <v>0</v>
      </c>
      <c r="U2072">
        <f t="shared" si="292"/>
        <v>0</v>
      </c>
      <c r="V2072">
        <f t="shared" si="293"/>
        <v>0</v>
      </c>
      <c r="W2072">
        <f t="shared" si="294"/>
        <v>0</v>
      </c>
      <c r="X2072">
        <f t="shared" si="295"/>
        <v>0</v>
      </c>
      <c r="Y2072">
        <f t="shared" si="296"/>
        <v>0</v>
      </c>
    </row>
    <row r="2073" spans="1:25" x14ac:dyDescent="0.3">
      <c r="A2073" t="s">
        <v>959</v>
      </c>
      <c r="B2073" t="s">
        <v>960</v>
      </c>
      <c r="C2073" s="1">
        <v>45825</v>
      </c>
      <c r="D2073" s="3">
        <v>0.30548611111111112</v>
      </c>
      <c r="E2073">
        <f t="shared" si="297"/>
        <v>7</v>
      </c>
      <c r="F2073">
        <v>65</v>
      </c>
      <c r="G2073" t="s">
        <v>18</v>
      </c>
      <c r="H2073" t="s">
        <v>239</v>
      </c>
      <c r="I2073" t="s">
        <v>66</v>
      </c>
      <c r="J2073" t="s">
        <v>21</v>
      </c>
      <c r="K2073" t="s">
        <v>168</v>
      </c>
      <c r="L2073">
        <v>56.25</v>
      </c>
      <c r="M2073" t="s">
        <v>33</v>
      </c>
      <c r="N2073">
        <f t="shared" si="289"/>
        <v>0</v>
      </c>
      <c r="O2073" t="s">
        <v>24</v>
      </c>
      <c r="P2073" t="s">
        <v>961</v>
      </c>
      <c r="Q2073">
        <v>0</v>
      </c>
      <c r="R2073">
        <v>421</v>
      </c>
      <c r="S2073">
        <f t="shared" si="290"/>
        <v>-1.6386629541289099</v>
      </c>
      <c r="T2073">
        <f t="shared" si="291"/>
        <v>0</v>
      </c>
      <c r="U2073">
        <f t="shared" si="292"/>
        <v>0</v>
      </c>
      <c r="V2073">
        <f t="shared" si="293"/>
        <v>0</v>
      </c>
      <c r="W2073">
        <f t="shared" si="294"/>
        <v>0</v>
      </c>
      <c r="X2073">
        <f t="shared" si="295"/>
        <v>0</v>
      </c>
      <c r="Y2073">
        <f t="shared" si="296"/>
        <v>0</v>
      </c>
    </row>
    <row r="2074" spans="1:25" x14ac:dyDescent="0.3">
      <c r="A2074" t="s">
        <v>590</v>
      </c>
      <c r="B2074" t="s">
        <v>591</v>
      </c>
      <c r="C2074" s="1">
        <v>45831</v>
      </c>
      <c r="D2074" s="3">
        <v>0.62966435185185188</v>
      </c>
      <c r="E2074">
        <f t="shared" si="297"/>
        <v>15</v>
      </c>
      <c r="F2074">
        <v>45</v>
      </c>
      <c r="G2074" t="s">
        <v>46</v>
      </c>
      <c r="H2074" t="s">
        <v>47</v>
      </c>
      <c r="I2074" t="s">
        <v>20</v>
      </c>
      <c r="J2074" t="s">
        <v>31</v>
      </c>
      <c r="K2074" t="s">
        <v>50</v>
      </c>
      <c r="L2074">
        <v>56.04</v>
      </c>
      <c r="M2074" t="s">
        <v>42</v>
      </c>
      <c r="N2074">
        <f t="shared" si="289"/>
        <v>0</v>
      </c>
      <c r="O2074" t="s">
        <v>86</v>
      </c>
      <c r="P2074" t="s">
        <v>592</v>
      </c>
      <c r="Q2074">
        <v>0</v>
      </c>
      <c r="R2074">
        <v>265</v>
      </c>
      <c r="S2074">
        <f t="shared" si="290"/>
        <v>-1.6415702486188894</v>
      </c>
      <c r="T2074">
        <f t="shared" si="291"/>
        <v>0</v>
      </c>
      <c r="U2074">
        <f t="shared" si="292"/>
        <v>0</v>
      </c>
      <c r="V2074">
        <f t="shared" si="293"/>
        <v>1</v>
      </c>
      <c r="W2074">
        <f t="shared" si="294"/>
        <v>1</v>
      </c>
      <c r="X2074">
        <f t="shared" si="295"/>
        <v>0</v>
      </c>
      <c r="Y2074">
        <f t="shared" si="296"/>
        <v>0</v>
      </c>
    </row>
    <row r="2075" spans="1:25" x14ac:dyDescent="0.3">
      <c r="A2075" t="s">
        <v>3701</v>
      </c>
      <c r="B2075" t="s">
        <v>3702</v>
      </c>
      <c r="C2075" s="1">
        <v>45813</v>
      </c>
      <c r="D2075" s="3">
        <v>0.7754861111111111</v>
      </c>
      <c r="E2075">
        <f t="shared" si="297"/>
        <v>18</v>
      </c>
      <c r="F2075">
        <v>24</v>
      </c>
      <c r="G2075" t="s">
        <v>46</v>
      </c>
      <c r="H2075" t="s">
        <v>100</v>
      </c>
      <c r="I2075" t="s">
        <v>39</v>
      </c>
      <c r="J2075" t="s">
        <v>40</v>
      </c>
      <c r="K2075" t="s">
        <v>50</v>
      </c>
      <c r="L2075">
        <v>56.04</v>
      </c>
      <c r="M2075" t="s">
        <v>115</v>
      </c>
      <c r="N2075">
        <f t="shared" si="289"/>
        <v>0</v>
      </c>
      <c r="O2075" t="s">
        <v>86</v>
      </c>
      <c r="P2075" t="s">
        <v>3703</v>
      </c>
      <c r="Q2075">
        <v>0</v>
      </c>
      <c r="R2075">
        <v>109</v>
      </c>
      <c r="S2075">
        <f t="shared" si="290"/>
        <v>-1.6415702486188894</v>
      </c>
      <c r="T2075">
        <f t="shared" si="291"/>
        <v>0</v>
      </c>
      <c r="U2075">
        <f t="shared" si="292"/>
        <v>0</v>
      </c>
      <c r="V2075">
        <f t="shared" si="293"/>
        <v>1</v>
      </c>
      <c r="W2075">
        <f t="shared" si="294"/>
        <v>1</v>
      </c>
      <c r="X2075">
        <f t="shared" si="295"/>
        <v>0</v>
      </c>
      <c r="Y2075">
        <f t="shared" si="296"/>
        <v>0</v>
      </c>
    </row>
    <row r="2076" spans="1:25" x14ac:dyDescent="0.3">
      <c r="A2076" t="s">
        <v>2090</v>
      </c>
      <c r="B2076" s="2" t="s">
        <v>2091</v>
      </c>
      <c r="C2076" s="1">
        <v>45707</v>
      </c>
      <c r="D2076" s="3">
        <v>0.90812499999999996</v>
      </c>
      <c r="E2076">
        <f t="shared" si="297"/>
        <v>21</v>
      </c>
      <c r="F2076">
        <v>23</v>
      </c>
      <c r="G2076" t="s">
        <v>18</v>
      </c>
      <c r="H2076" t="s">
        <v>55</v>
      </c>
      <c r="I2076" t="s">
        <v>119</v>
      </c>
      <c r="J2076" t="s">
        <v>94</v>
      </c>
      <c r="K2076" t="s">
        <v>168</v>
      </c>
      <c r="L2076">
        <v>56.03</v>
      </c>
      <c r="M2076" t="s">
        <v>33</v>
      </c>
      <c r="N2076">
        <f t="shared" si="289"/>
        <v>0</v>
      </c>
      <c r="O2076" t="s">
        <v>24</v>
      </c>
      <c r="P2076" t="s">
        <v>2092</v>
      </c>
      <c r="Q2076">
        <v>0</v>
      </c>
      <c r="R2076">
        <v>408</v>
      </c>
      <c r="S2076">
        <f t="shared" si="290"/>
        <v>-1.6417086912136503</v>
      </c>
      <c r="T2076">
        <f t="shared" si="291"/>
        <v>0</v>
      </c>
      <c r="U2076">
        <f t="shared" si="292"/>
        <v>0</v>
      </c>
      <c r="V2076">
        <f t="shared" si="293"/>
        <v>0</v>
      </c>
      <c r="W2076">
        <f t="shared" si="294"/>
        <v>0</v>
      </c>
      <c r="X2076">
        <f t="shared" si="295"/>
        <v>0</v>
      </c>
      <c r="Y2076">
        <f t="shared" si="296"/>
        <v>0</v>
      </c>
    </row>
    <row r="2077" spans="1:25" x14ac:dyDescent="0.3">
      <c r="A2077" t="s">
        <v>4898</v>
      </c>
      <c r="B2077" t="s">
        <v>4899</v>
      </c>
      <c r="C2077" s="1">
        <v>45725</v>
      </c>
      <c r="D2077" s="3">
        <v>0.64934027777777781</v>
      </c>
      <c r="E2077">
        <f t="shared" si="297"/>
        <v>15</v>
      </c>
      <c r="F2077">
        <v>22</v>
      </c>
      <c r="G2077" t="s">
        <v>46</v>
      </c>
      <c r="H2077" t="s">
        <v>100</v>
      </c>
      <c r="I2077" t="s">
        <v>85</v>
      </c>
      <c r="J2077" t="s">
        <v>94</v>
      </c>
      <c r="K2077" t="s">
        <v>168</v>
      </c>
      <c r="L2077">
        <v>56.03</v>
      </c>
      <c r="M2077" t="s">
        <v>33</v>
      </c>
      <c r="N2077">
        <f t="shared" si="289"/>
        <v>0</v>
      </c>
      <c r="O2077" t="s">
        <v>24</v>
      </c>
      <c r="P2077" t="s">
        <v>4900</v>
      </c>
      <c r="Q2077">
        <v>0</v>
      </c>
      <c r="R2077">
        <v>463</v>
      </c>
      <c r="S2077">
        <f t="shared" si="290"/>
        <v>-1.6417086912136503</v>
      </c>
      <c r="T2077">
        <f t="shared" si="291"/>
        <v>0</v>
      </c>
      <c r="U2077">
        <f t="shared" si="292"/>
        <v>0</v>
      </c>
      <c r="V2077">
        <f t="shared" si="293"/>
        <v>0</v>
      </c>
      <c r="W2077">
        <f t="shared" si="294"/>
        <v>0</v>
      </c>
      <c r="X2077">
        <f t="shared" si="295"/>
        <v>0</v>
      </c>
      <c r="Y2077">
        <f t="shared" si="296"/>
        <v>0</v>
      </c>
    </row>
    <row r="2078" spans="1:25" x14ac:dyDescent="0.3">
      <c r="A2078" t="s">
        <v>638</v>
      </c>
      <c r="B2078" t="s">
        <v>639</v>
      </c>
      <c r="C2078" s="1">
        <v>45763</v>
      </c>
      <c r="D2078" s="3">
        <v>0.41391203703703705</v>
      </c>
      <c r="E2078">
        <f t="shared" si="297"/>
        <v>9</v>
      </c>
      <c r="F2078">
        <v>56</v>
      </c>
      <c r="G2078" t="s">
        <v>46</v>
      </c>
      <c r="H2078" t="s">
        <v>90</v>
      </c>
      <c r="I2078" t="s">
        <v>85</v>
      </c>
      <c r="J2078" t="s">
        <v>56</v>
      </c>
      <c r="K2078" t="s">
        <v>50</v>
      </c>
      <c r="L2078">
        <v>55.94</v>
      </c>
      <c r="M2078" t="s">
        <v>23</v>
      </c>
      <c r="N2078">
        <f t="shared" si="289"/>
        <v>0</v>
      </c>
      <c r="O2078" t="s">
        <v>86</v>
      </c>
      <c r="P2078" t="s">
        <v>640</v>
      </c>
      <c r="Q2078">
        <v>0</v>
      </c>
      <c r="R2078">
        <v>420</v>
      </c>
      <c r="S2078">
        <f t="shared" si="290"/>
        <v>-1.6429546745664987</v>
      </c>
      <c r="T2078">
        <f t="shared" si="291"/>
        <v>0</v>
      </c>
      <c r="U2078">
        <f t="shared" si="292"/>
        <v>0</v>
      </c>
      <c r="V2078">
        <f t="shared" si="293"/>
        <v>0</v>
      </c>
      <c r="W2078">
        <f t="shared" si="294"/>
        <v>0</v>
      </c>
      <c r="X2078">
        <f t="shared" si="295"/>
        <v>0</v>
      </c>
      <c r="Y2078">
        <f t="shared" si="296"/>
        <v>0</v>
      </c>
    </row>
    <row r="2079" spans="1:25" x14ac:dyDescent="0.3">
      <c r="A2079" t="s">
        <v>3512</v>
      </c>
      <c r="B2079" t="s">
        <v>3513</v>
      </c>
      <c r="C2079" s="1">
        <v>45787</v>
      </c>
      <c r="D2079" s="3">
        <v>0.29547453703703702</v>
      </c>
      <c r="E2079">
        <f t="shared" si="297"/>
        <v>7</v>
      </c>
      <c r="F2079" s="4">
        <v>41</v>
      </c>
      <c r="G2079" t="s">
        <v>60</v>
      </c>
      <c r="H2079" t="s">
        <v>47</v>
      </c>
      <c r="I2079" t="s">
        <v>20</v>
      </c>
      <c r="J2079" t="s">
        <v>127</v>
      </c>
      <c r="K2079" t="s">
        <v>101</v>
      </c>
      <c r="L2079">
        <v>55.82</v>
      </c>
      <c r="M2079" t="s">
        <v>42</v>
      </c>
      <c r="N2079">
        <f t="shared" si="289"/>
        <v>0</v>
      </c>
      <c r="O2079" t="s">
        <v>51</v>
      </c>
      <c r="P2079" t="s">
        <v>3514</v>
      </c>
      <c r="Q2079">
        <v>0</v>
      </c>
      <c r="R2079">
        <v>274</v>
      </c>
      <c r="S2079">
        <f t="shared" si="290"/>
        <v>-1.6446159857036298</v>
      </c>
      <c r="T2079">
        <f t="shared" si="291"/>
        <v>0</v>
      </c>
      <c r="U2079">
        <f t="shared" si="292"/>
        <v>0</v>
      </c>
      <c r="V2079">
        <f t="shared" si="293"/>
        <v>0</v>
      </c>
      <c r="W2079">
        <f t="shared" si="294"/>
        <v>0</v>
      </c>
      <c r="X2079">
        <f t="shared" si="295"/>
        <v>0</v>
      </c>
      <c r="Y2079">
        <f t="shared" si="296"/>
        <v>0</v>
      </c>
    </row>
    <row r="2080" spans="1:25" x14ac:dyDescent="0.3">
      <c r="A2080" t="s">
        <v>3671</v>
      </c>
      <c r="B2080" t="s">
        <v>3672</v>
      </c>
      <c r="C2080" s="1">
        <v>45840</v>
      </c>
      <c r="D2080" s="3">
        <v>0.44846064814814812</v>
      </c>
      <c r="E2080">
        <f t="shared" si="297"/>
        <v>10</v>
      </c>
      <c r="F2080">
        <v>26</v>
      </c>
      <c r="G2080" t="s">
        <v>18</v>
      </c>
      <c r="H2080" t="s">
        <v>142</v>
      </c>
      <c r="I2080" t="s">
        <v>105</v>
      </c>
      <c r="J2080" t="s">
        <v>76</v>
      </c>
      <c r="K2080" t="s">
        <v>50</v>
      </c>
      <c r="L2080">
        <v>55.62</v>
      </c>
      <c r="M2080" t="s">
        <v>33</v>
      </c>
      <c r="N2080">
        <f t="shared" si="289"/>
        <v>0</v>
      </c>
      <c r="O2080" t="s">
        <v>24</v>
      </c>
      <c r="P2080" t="s">
        <v>3673</v>
      </c>
      <c r="Q2080">
        <v>1</v>
      </c>
      <c r="R2080">
        <v>386</v>
      </c>
      <c r="S2080">
        <f t="shared" si="290"/>
        <v>-1.647384837598848</v>
      </c>
      <c r="T2080">
        <f t="shared" si="291"/>
        <v>0</v>
      </c>
      <c r="U2080">
        <f t="shared" si="292"/>
        <v>0</v>
      </c>
      <c r="V2080">
        <f t="shared" si="293"/>
        <v>0</v>
      </c>
      <c r="W2080">
        <f t="shared" si="294"/>
        <v>0</v>
      </c>
      <c r="X2080">
        <f t="shared" si="295"/>
        <v>0</v>
      </c>
      <c r="Y2080">
        <f t="shared" si="296"/>
        <v>0</v>
      </c>
    </row>
    <row r="2081" spans="1:25" x14ac:dyDescent="0.3">
      <c r="A2081" t="s">
        <v>869</v>
      </c>
      <c r="B2081" t="s">
        <v>870</v>
      </c>
      <c r="C2081" s="1">
        <v>45867</v>
      </c>
      <c r="D2081" s="3">
        <v>0.46478009259259262</v>
      </c>
      <c r="E2081">
        <f t="shared" si="297"/>
        <v>11</v>
      </c>
      <c r="F2081">
        <v>52</v>
      </c>
      <c r="G2081" t="s">
        <v>46</v>
      </c>
      <c r="H2081" t="s">
        <v>55</v>
      </c>
      <c r="I2081" t="s">
        <v>48</v>
      </c>
      <c r="J2081" t="s">
        <v>40</v>
      </c>
      <c r="K2081" t="s">
        <v>95</v>
      </c>
      <c r="L2081">
        <v>55.59</v>
      </c>
      <c r="M2081" t="s">
        <v>42</v>
      </c>
      <c r="N2081">
        <f t="shared" si="289"/>
        <v>0</v>
      </c>
      <c r="O2081" t="s">
        <v>86</v>
      </c>
      <c r="P2081" t="s">
        <v>871</v>
      </c>
      <c r="Q2081">
        <v>0</v>
      </c>
      <c r="R2081">
        <v>478</v>
      </c>
      <c r="S2081">
        <f t="shared" si="290"/>
        <v>-1.6478001653831309</v>
      </c>
      <c r="T2081">
        <f t="shared" si="291"/>
        <v>0</v>
      </c>
      <c r="U2081">
        <f t="shared" si="292"/>
        <v>0</v>
      </c>
      <c r="V2081">
        <f t="shared" si="293"/>
        <v>0</v>
      </c>
      <c r="W2081">
        <f t="shared" si="294"/>
        <v>0</v>
      </c>
      <c r="X2081">
        <f t="shared" si="295"/>
        <v>0</v>
      </c>
      <c r="Y2081">
        <f t="shared" si="296"/>
        <v>0</v>
      </c>
    </row>
    <row r="2082" spans="1:25" x14ac:dyDescent="0.3">
      <c r="A2082" t="s">
        <v>144</v>
      </c>
      <c r="B2082" t="s">
        <v>145</v>
      </c>
      <c r="C2082" s="1">
        <v>45881</v>
      </c>
      <c r="D2082" s="3">
        <v>0.94457175925925929</v>
      </c>
      <c r="E2082">
        <f t="shared" si="297"/>
        <v>22</v>
      </c>
      <c r="F2082">
        <v>50</v>
      </c>
      <c r="G2082" t="s">
        <v>60</v>
      </c>
      <c r="H2082" t="s">
        <v>29</v>
      </c>
      <c r="I2082" t="s">
        <v>71</v>
      </c>
      <c r="J2082" t="s">
        <v>31</v>
      </c>
      <c r="K2082" t="s">
        <v>120</v>
      </c>
      <c r="L2082">
        <v>55.12</v>
      </c>
      <c r="M2082" t="s">
        <v>42</v>
      </c>
      <c r="N2082">
        <f t="shared" si="289"/>
        <v>0</v>
      </c>
      <c r="O2082" t="s">
        <v>24</v>
      </c>
      <c r="P2082" t="s">
        <v>146</v>
      </c>
      <c r="Q2082">
        <v>0</v>
      </c>
      <c r="R2082">
        <v>353</v>
      </c>
      <c r="S2082">
        <f t="shared" si="290"/>
        <v>-1.6543069673368944</v>
      </c>
      <c r="T2082">
        <f t="shared" si="291"/>
        <v>0</v>
      </c>
      <c r="U2082">
        <f t="shared" si="292"/>
        <v>0</v>
      </c>
      <c r="V2082">
        <f t="shared" si="293"/>
        <v>0</v>
      </c>
      <c r="W2082">
        <f t="shared" si="294"/>
        <v>0</v>
      </c>
      <c r="X2082">
        <f t="shared" si="295"/>
        <v>0</v>
      </c>
      <c r="Y2082">
        <f t="shared" si="296"/>
        <v>0</v>
      </c>
    </row>
    <row r="2083" spans="1:25" x14ac:dyDescent="0.3">
      <c r="A2083" t="s">
        <v>440</v>
      </c>
      <c r="B2083" t="s">
        <v>441</v>
      </c>
      <c r="C2083" s="1">
        <v>45839</v>
      </c>
      <c r="D2083" s="3">
        <v>0.76377314814814812</v>
      </c>
      <c r="E2083">
        <f t="shared" si="297"/>
        <v>18</v>
      </c>
      <c r="F2083">
        <v>65</v>
      </c>
      <c r="G2083" t="s">
        <v>46</v>
      </c>
      <c r="H2083" t="s">
        <v>19</v>
      </c>
      <c r="I2083" t="s">
        <v>30</v>
      </c>
      <c r="J2083" t="s">
        <v>72</v>
      </c>
      <c r="K2083" t="s">
        <v>168</v>
      </c>
      <c r="L2083">
        <v>55.01</v>
      </c>
      <c r="M2083" t="s">
        <v>115</v>
      </c>
      <c r="N2083">
        <f t="shared" si="289"/>
        <v>0</v>
      </c>
      <c r="O2083" t="s">
        <v>51</v>
      </c>
      <c r="P2083" t="s">
        <v>442</v>
      </c>
      <c r="Q2083">
        <v>0</v>
      </c>
      <c r="R2083">
        <v>350</v>
      </c>
      <c r="S2083">
        <f t="shared" si="290"/>
        <v>-1.6558298358792647</v>
      </c>
      <c r="T2083">
        <f t="shared" si="291"/>
        <v>0</v>
      </c>
      <c r="U2083">
        <f t="shared" si="292"/>
        <v>0</v>
      </c>
      <c r="V2083">
        <f t="shared" si="293"/>
        <v>0</v>
      </c>
      <c r="W2083">
        <f t="shared" si="294"/>
        <v>0</v>
      </c>
      <c r="X2083">
        <f t="shared" si="295"/>
        <v>0</v>
      </c>
      <c r="Y2083">
        <f t="shared" si="296"/>
        <v>0</v>
      </c>
    </row>
    <row r="2084" spans="1:25" x14ac:dyDescent="0.3">
      <c r="A2084" t="s">
        <v>4622</v>
      </c>
      <c r="B2084" t="s">
        <v>4623</v>
      </c>
      <c r="C2084" s="1">
        <v>45869</v>
      </c>
      <c r="D2084" s="3">
        <v>0.55732638888888886</v>
      </c>
      <c r="E2084">
        <f t="shared" si="297"/>
        <v>13</v>
      </c>
      <c r="F2084">
        <v>61</v>
      </c>
      <c r="G2084" t="s">
        <v>60</v>
      </c>
      <c r="H2084" t="s">
        <v>100</v>
      </c>
      <c r="I2084" t="s">
        <v>71</v>
      </c>
      <c r="J2084" t="s">
        <v>31</v>
      </c>
      <c r="K2084" t="s">
        <v>41</v>
      </c>
      <c r="L2084">
        <v>54.93</v>
      </c>
      <c r="M2084" t="s">
        <v>23</v>
      </c>
      <c r="N2084">
        <f t="shared" si="289"/>
        <v>0</v>
      </c>
      <c r="O2084" t="s">
        <v>51</v>
      </c>
      <c r="P2084" t="s">
        <v>4624</v>
      </c>
      <c r="Q2084">
        <v>0</v>
      </c>
      <c r="R2084">
        <v>184</v>
      </c>
      <c r="S2084">
        <f t="shared" si="290"/>
        <v>-1.6569373766373519</v>
      </c>
      <c r="T2084">
        <f t="shared" si="291"/>
        <v>0</v>
      </c>
      <c r="U2084">
        <f t="shared" si="292"/>
        <v>0</v>
      </c>
      <c r="V2084">
        <f t="shared" si="293"/>
        <v>1</v>
      </c>
      <c r="W2084">
        <f t="shared" si="294"/>
        <v>1</v>
      </c>
      <c r="X2084">
        <f t="shared" si="295"/>
        <v>0</v>
      </c>
      <c r="Y2084">
        <f t="shared" si="296"/>
        <v>0</v>
      </c>
    </row>
    <row r="2085" spans="1:25" x14ac:dyDescent="0.3">
      <c r="A2085" t="s">
        <v>6413</v>
      </c>
      <c r="B2085" t="s">
        <v>6414</v>
      </c>
      <c r="C2085" s="1">
        <v>45816</v>
      </c>
      <c r="D2085" s="3">
        <v>0.95743055555555556</v>
      </c>
      <c r="E2085">
        <f t="shared" si="297"/>
        <v>22</v>
      </c>
      <c r="F2085">
        <v>40</v>
      </c>
      <c r="G2085" t="s">
        <v>46</v>
      </c>
      <c r="H2085" t="s">
        <v>90</v>
      </c>
      <c r="I2085" t="s">
        <v>20</v>
      </c>
      <c r="J2085" t="s">
        <v>132</v>
      </c>
      <c r="K2085" t="s">
        <v>120</v>
      </c>
      <c r="L2085">
        <v>54.91</v>
      </c>
      <c r="M2085" t="s">
        <v>115</v>
      </c>
      <c r="N2085">
        <f t="shared" si="289"/>
        <v>0</v>
      </c>
      <c r="O2085" t="s">
        <v>86</v>
      </c>
      <c r="P2085" t="s">
        <v>6415</v>
      </c>
      <c r="Q2085">
        <v>0</v>
      </c>
      <c r="R2085">
        <v>245</v>
      </c>
      <c r="S2085">
        <f t="shared" si="290"/>
        <v>-1.6572142618268739</v>
      </c>
      <c r="T2085">
        <f t="shared" si="291"/>
        <v>0</v>
      </c>
      <c r="U2085">
        <f t="shared" si="292"/>
        <v>0</v>
      </c>
      <c r="V2085">
        <f t="shared" si="293"/>
        <v>1</v>
      </c>
      <c r="W2085">
        <f t="shared" si="294"/>
        <v>1</v>
      </c>
      <c r="X2085">
        <f t="shared" si="295"/>
        <v>0</v>
      </c>
      <c r="Y2085">
        <f t="shared" si="296"/>
        <v>0</v>
      </c>
    </row>
    <row r="2086" spans="1:25" x14ac:dyDescent="0.3">
      <c r="A2086" t="s">
        <v>2486</v>
      </c>
      <c r="B2086" t="s">
        <v>2487</v>
      </c>
      <c r="C2086" s="1">
        <v>45859</v>
      </c>
      <c r="D2086" s="3">
        <v>0.98914351851851856</v>
      </c>
      <c r="E2086">
        <f t="shared" si="297"/>
        <v>23</v>
      </c>
      <c r="F2086">
        <v>38</v>
      </c>
      <c r="G2086" t="s">
        <v>6479</v>
      </c>
      <c r="H2086" t="s">
        <v>175</v>
      </c>
      <c r="I2086" t="s">
        <v>30</v>
      </c>
      <c r="J2086" t="s">
        <v>127</v>
      </c>
      <c r="K2086" t="s">
        <v>114</v>
      </c>
      <c r="L2086">
        <v>54.83</v>
      </c>
      <c r="M2086" t="s">
        <v>33</v>
      </c>
      <c r="N2086">
        <f t="shared" si="289"/>
        <v>0</v>
      </c>
      <c r="O2086" t="s">
        <v>24</v>
      </c>
      <c r="P2086" t="s">
        <v>2488</v>
      </c>
      <c r="Q2086">
        <v>0</v>
      </c>
      <c r="R2086">
        <v>173</v>
      </c>
      <c r="S2086">
        <f t="shared" si="290"/>
        <v>-1.6583218025849613</v>
      </c>
      <c r="T2086">
        <f t="shared" si="291"/>
        <v>0</v>
      </c>
      <c r="U2086">
        <f t="shared" si="292"/>
        <v>0</v>
      </c>
      <c r="V2086">
        <f t="shared" si="293"/>
        <v>1</v>
      </c>
      <c r="W2086">
        <f t="shared" si="294"/>
        <v>1</v>
      </c>
      <c r="X2086">
        <f t="shared" si="295"/>
        <v>0</v>
      </c>
      <c r="Y2086">
        <f t="shared" si="296"/>
        <v>0</v>
      </c>
    </row>
    <row r="2087" spans="1:25" x14ac:dyDescent="0.3">
      <c r="A2087" t="s">
        <v>2738</v>
      </c>
      <c r="B2087" s="2" t="s">
        <v>2739</v>
      </c>
      <c r="C2087" s="1">
        <v>45836</v>
      </c>
      <c r="D2087" s="3">
        <v>0.22495370370370371</v>
      </c>
      <c r="E2087">
        <f t="shared" si="297"/>
        <v>5</v>
      </c>
      <c r="F2087">
        <v>34</v>
      </c>
      <c r="G2087" t="s">
        <v>46</v>
      </c>
      <c r="H2087" t="s">
        <v>38</v>
      </c>
      <c r="I2087" t="s">
        <v>39</v>
      </c>
      <c r="J2087" t="s">
        <v>76</v>
      </c>
      <c r="K2087" t="s">
        <v>101</v>
      </c>
      <c r="L2087">
        <v>54.77</v>
      </c>
      <c r="M2087" t="s">
        <v>42</v>
      </c>
      <c r="N2087">
        <f t="shared" si="289"/>
        <v>0</v>
      </c>
      <c r="O2087" t="s">
        <v>86</v>
      </c>
      <c r="P2087" t="s">
        <v>2740</v>
      </c>
      <c r="Q2087">
        <v>0</v>
      </c>
      <c r="R2087">
        <v>288</v>
      </c>
      <c r="S2087">
        <f t="shared" si="290"/>
        <v>-1.6591524581535266</v>
      </c>
      <c r="T2087">
        <f t="shared" si="291"/>
        <v>0</v>
      </c>
      <c r="U2087">
        <f t="shared" si="292"/>
        <v>1</v>
      </c>
      <c r="V2087">
        <f t="shared" si="293"/>
        <v>0</v>
      </c>
      <c r="W2087">
        <f t="shared" si="294"/>
        <v>2</v>
      </c>
      <c r="X2087">
        <f t="shared" si="295"/>
        <v>0</v>
      </c>
      <c r="Y2087">
        <f t="shared" si="296"/>
        <v>0</v>
      </c>
    </row>
    <row r="2088" spans="1:25" x14ac:dyDescent="0.3">
      <c r="A2088" t="s">
        <v>4733</v>
      </c>
      <c r="B2088" t="s">
        <v>4734</v>
      </c>
      <c r="C2088" s="1">
        <v>45733</v>
      </c>
      <c r="D2088" s="3">
        <v>0.34394675925925927</v>
      </c>
      <c r="E2088">
        <f t="shared" si="297"/>
        <v>8</v>
      </c>
      <c r="F2088">
        <v>46</v>
      </c>
      <c r="G2088" t="s">
        <v>46</v>
      </c>
      <c r="H2088" t="s">
        <v>84</v>
      </c>
      <c r="I2088" t="s">
        <v>20</v>
      </c>
      <c r="J2088" t="s">
        <v>40</v>
      </c>
      <c r="K2088" t="s">
        <v>41</v>
      </c>
      <c r="L2088">
        <v>54.77</v>
      </c>
      <c r="M2088" t="s">
        <v>23</v>
      </c>
      <c r="N2088">
        <f t="shared" si="289"/>
        <v>0</v>
      </c>
      <c r="O2088" t="s">
        <v>51</v>
      </c>
      <c r="P2088" t="s">
        <v>4735</v>
      </c>
      <c r="Q2088">
        <v>0</v>
      </c>
      <c r="R2088">
        <v>448</v>
      </c>
      <c r="S2088">
        <f t="shared" si="290"/>
        <v>-1.6591524581535266</v>
      </c>
      <c r="T2088">
        <f t="shared" si="291"/>
        <v>0</v>
      </c>
      <c r="U2088">
        <f t="shared" si="292"/>
        <v>0</v>
      </c>
      <c r="V2088">
        <f t="shared" si="293"/>
        <v>0</v>
      </c>
      <c r="W2088">
        <f t="shared" si="294"/>
        <v>0</v>
      </c>
      <c r="X2088">
        <f t="shared" si="295"/>
        <v>0</v>
      </c>
      <c r="Y2088">
        <f t="shared" si="296"/>
        <v>0</v>
      </c>
    </row>
    <row r="2089" spans="1:25" x14ac:dyDescent="0.3">
      <c r="A2089" t="s">
        <v>2831</v>
      </c>
      <c r="B2089" t="s">
        <v>2832</v>
      </c>
      <c r="C2089" s="1">
        <v>45715</v>
      </c>
      <c r="D2089" s="3">
        <v>0.68747685185185181</v>
      </c>
      <c r="E2089">
        <f t="shared" si="297"/>
        <v>16</v>
      </c>
      <c r="F2089">
        <v>42</v>
      </c>
      <c r="G2089" t="s">
        <v>46</v>
      </c>
      <c r="H2089" t="s">
        <v>142</v>
      </c>
      <c r="I2089" t="s">
        <v>119</v>
      </c>
      <c r="J2089" t="s">
        <v>21</v>
      </c>
      <c r="K2089" t="s">
        <v>62</v>
      </c>
      <c r="L2089">
        <v>54.72</v>
      </c>
      <c r="M2089" t="s">
        <v>33</v>
      </c>
      <c r="N2089">
        <f t="shared" si="289"/>
        <v>0</v>
      </c>
      <c r="O2089" t="s">
        <v>34</v>
      </c>
      <c r="P2089" t="s">
        <v>2833</v>
      </c>
      <c r="Q2089">
        <v>0</v>
      </c>
      <c r="R2089">
        <v>499</v>
      </c>
      <c r="S2089">
        <f t="shared" si="290"/>
        <v>-1.6598446711273314</v>
      </c>
      <c r="T2089">
        <f t="shared" si="291"/>
        <v>0</v>
      </c>
      <c r="U2089">
        <f t="shared" si="292"/>
        <v>0</v>
      </c>
      <c r="V2089">
        <f t="shared" si="293"/>
        <v>0</v>
      </c>
      <c r="W2089">
        <f t="shared" si="294"/>
        <v>0</v>
      </c>
      <c r="X2089">
        <f t="shared" si="295"/>
        <v>0</v>
      </c>
      <c r="Y2089">
        <f t="shared" si="296"/>
        <v>0</v>
      </c>
    </row>
    <row r="2090" spans="1:25" x14ac:dyDescent="0.3">
      <c r="A2090" t="s">
        <v>3938</v>
      </c>
      <c r="B2090" t="s">
        <v>3939</v>
      </c>
      <c r="C2090" s="1">
        <v>45829</v>
      </c>
      <c r="D2090" s="3">
        <v>8.6145833333333338E-2</v>
      </c>
      <c r="E2090">
        <f t="shared" si="297"/>
        <v>2</v>
      </c>
      <c r="F2090">
        <v>50</v>
      </c>
      <c r="G2090" t="s">
        <v>18</v>
      </c>
      <c r="H2090" t="s">
        <v>142</v>
      </c>
      <c r="I2090" t="s">
        <v>85</v>
      </c>
      <c r="J2090" t="s">
        <v>76</v>
      </c>
      <c r="K2090" t="s">
        <v>101</v>
      </c>
      <c r="L2090">
        <v>54.7</v>
      </c>
      <c r="M2090" t="s">
        <v>115</v>
      </c>
      <c r="N2090">
        <f t="shared" si="289"/>
        <v>0</v>
      </c>
      <c r="O2090" t="s">
        <v>86</v>
      </c>
      <c r="P2090" t="s">
        <v>3940</v>
      </c>
      <c r="Q2090">
        <v>0</v>
      </c>
      <c r="R2090">
        <v>434</v>
      </c>
      <c r="S2090">
        <f t="shared" si="290"/>
        <v>-1.6601215563168532</v>
      </c>
      <c r="T2090">
        <f t="shared" si="291"/>
        <v>0</v>
      </c>
      <c r="U2090">
        <f t="shared" si="292"/>
        <v>1</v>
      </c>
      <c r="V2090">
        <f t="shared" si="293"/>
        <v>0</v>
      </c>
      <c r="W2090">
        <f t="shared" si="294"/>
        <v>2</v>
      </c>
      <c r="X2090">
        <f t="shared" si="295"/>
        <v>0</v>
      </c>
      <c r="Y2090">
        <f t="shared" si="296"/>
        <v>0</v>
      </c>
    </row>
    <row r="2091" spans="1:25" x14ac:dyDescent="0.3">
      <c r="A2091" t="s">
        <v>1160</v>
      </c>
      <c r="B2091" t="s">
        <v>1161</v>
      </c>
      <c r="C2091" s="1">
        <v>45819</v>
      </c>
      <c r="D2091" s="3">
        <v>0.14802083333333332</v>
      </c>
      <c r="E2091">
        <f t="shared" si="297"/>
        <v>3</v>
      </c>
      <c r="F2091">
        <v>40</v>
      </c>
      <c r="G2091" t="s">
        <v>60</v>
      </c>
      <c r="H2091" t="s">
        <v>55</v>
      </c>
      <c r="I2091" t="s">
        <v>48</v>
      </c>
      <c r="J2091" t="s">
        <v>94</v>
      </c>
      <c r="K2091" t="s">
        <v>95</v>
      </c>
      <c r="L2091">
        <v>54.64</v>
      </c>
      <c r="M2091" t="s">
        <v>33</v>
      </c>
      <c r="N2091">
        <f t="shared" si="289"/>
        <v>0</v>
      </c>
      <c r="O2091" t="s">
        <v>24</v>
      </c>
      <c r="P2091" t="s">
        <v>1162</v>
      </c>
      <c r="Q2091">
        <v>0</v>
      </c>
      <c r="R2091">
        <v>81</v>
      </c>
      <c r="S2091">
        <f t="shared" si="290"/>
        <v>-1.6609522118854188</v>
      </c>
      <c r="T2091">
        <f t="shared" si="291"/>
        <v>0</v>
      </c>
      <c r="U2091">
        <f t="shared" si="292"/>
        <v>1</v>
      </c>
      <c r="V2091">
        <f t="shared" si="293"/>
        <v>1</v>
      </c>
      <c r="W2091">
        <f t="shared" si="294"/>
        <v>3</v>
      </c>
      <c r="X2091">
        <f t="shared" si="295"/>
        <v>0</v>
      </c>
      <c r="Y2091">
        <f t="shared" si="296"/>
        <v>0</v>
      </c>
    </row>
    <row r="2092" spans="1:25" x14ac:dyDescent="0.3">
      <c r="A2092" t="s">
        <v>2915</v>
      </c>
      <c r="B2092" t="s">
        <v>2916</v>
      </c>
      <c r="C2092" s="1">
        <v>45815</v>
      </c>
      <c r="D2092" s="3">
        <v>9.1990740740740734E-2</v>
      </c>
      <c r="E2092">
        <f t="shared" si="297"/>
        <v>2</v>
      </c>
      <c r="F2092">
        <v>57</v>
      </c>
      <c r="G2092" t="s">
        <v>46</v>
      </c>
      <c r="H2092" t="s">
        <v>70</v>
      </c>
      <c r="I2092" t="s">
        <v>48</v>
      </c>
      <c r="J2092" t="s">
        <v>56</v>
      </c>
      <c r="K2092" t="s">
        <v>114</v>
      </c>
      <c r="L2092">
        <v>54.64</v>
      </c>
      <c r="M2092" t="s">
        <v>42</v>
      </c>
      <c r="N2092">
        <f t="shared" si="289"/>
        <v>0</v>
      </c>
      <c r="O2092" t="s">
        <v>51</v>
      </c>
      <c r="P2092" t="s">
        <v>2917</v>
      </c>
      <c r="Q2092">
        <v>0</v>
      </c>
      <c r="R2092">
        <v>266</v>
      </c>
      <c r="S2092">
        <f t="shared" si="290"/>
        <v>-1.6609522118854188</v>
      </c>
      <c r="T2092">
        <f t="shared" si="291"/>
        <v>0</v>
      </c>
      <c r="U2092">
        <f t="shared" si="292"/>
        <v>1</v>
      </c>
      <c r="V2092">
        <f t="shared" si="293"/>
        <v>1</v>
      </c>
      <c r="W2092">
        <f t="shared" si="294"/>
        <v>3</v>
      </c>
      <c r="X2092">
        <f t="shared" si="295"/>
        <v>0</v>
      </c>
      <c r="Y2092">
        <f t="shared" si="296"/>
        <v>0</v>
      </c>
    </row>
    <row r="2093" spans="1:25" x14ac:dyDescent="0.3">
      <c r="A2093" t="s">
        <v>1004</v>
      </c>
      <c r="B2093" t="s">
        <v>1005</v>
      </c>
      <c r="C2093" s="1">
        <v>45826</v>
      </c>
      <c r="D2093" s="3">
        <v>0.71770833333333328</v>
      </c>
      <c r="E2093">
        <f t="shared" si="297"/>
        <v>17</v>
      </c>
      <c r="F2093">
        <v>50</v>
      </c>
      <c r="G2093" t="s">
        <v>18</v>
      </c>
      <c r="H2093" t="s">
        <v>47</v>
      </c>
      <c r="I2093" t="s">
        <v>39</v>
      </c>
      <c r="J2093" t="s">
        <v>21</v>
      </c>
      <c r="K2093" t="s">
        <v>32</v>
      </c>
      <c r="L2093">
        <v>54.61</v>
      </c>
      <c r="M2093" t="s">
        <v>23</v>
      </c>
      <c r="N2093">
        <f t="shared" si="289"/>
        <v>0</v>
      </c>
      <c r="O2093" t="s">
        <v>86</v>
      </c>
      <c r="P2093" t="s">
        <v>1006</v>
      </c>
      <c r="Q2093">
        <v>1</v>
      </c>
      <c r="R2093">
        <v>472</v>
      </c>
      <c r="S2093">
        <f t="shared" si="290"/>
        <v>-1.6613675396697016</v>
      </c>
      <c r="T2093">
        <f t="shared" si="291"/>
        <v>0</v>
      </c>
      <c r="U2093">
        <f t="shared" si="292"/>
        <v>0</v>
      </c>
      <c r="V2093">
        <f t="shared" si="293"/>
        <v>0</v>
      </c>
      <c r="W2093">
        <f t="shared" si="294"/>
        <v>0</v>
      </c>
      <c r="X2093">
        <f t="shared" si="295"/>
        <v>0</v>
      </c>
      <c r="Y2093">
        <f t="shared" si="296"/>
        <v>0</v>
      </c>
    </row>
    <row r="2094" spans="1:25" x14ac:dyDescent="0.3">
      <c r="A2094" t="s">
        <v>4088</v>
      </c>
      <c r="B2094" t="s">
        <v>4089</v>
      </c>
      <c r="C2094" s="1">
        <v>45844</v>
      </c>
      <c r="D2094" s="3">
        <v>1.40625E-2</v>
      </c>
      <c r="E2094">
        <f t="shared" si="297"/>
        <v>0</v>
      </c>
      <c r="F2094">
        <v>61</v>
      </c>
      <c r="G2094" t="s">
        <v>46</v>
      </c>
      <c r="H2094" t="s">
        <v>19</v>
      </c>
      <c r="I2094" t="s">
        <v>48</v>
      </c>
      <c r="J2094" t="s">
        <v>76</v>
      </c>
      <c r="K2094" t="s">
        <v>41</v>
      </c>
      <c r="L2094">
        <v>54.57</v>
      </c>
      <c r="M2094" t="s">
        <v>42</v>
      </c>
      <c r="N2094">
        <f t="shared" si="289"/>
        <v>0</v>
      </c>
      <c r="O2094" t="s">
        <v>51</v>
      </c>
      <c r="P2094" t="s">
        <v>4090</v>
      </c>
      <c r="Q2094">
        <v>0</v>
      </c>
      <c r="R2094">
        <v>61</v>
      </c>
      <c r="S2094">
        <f t="shared" si="290"/>
        <v>-1.6619213100487453</v>
      </c>
      <c r="T2094">
        <f t="shared" si="291"/>
        <v>0</v>
      </c>
      <c r="U2094">
        <f t="shared" si="292"/>
        <v>1</v>
      </c>
      <c r="V2094">
        <f t="shared" si="293"/>
        <v>1</v>
      </c>
      <c r="W2094">
        <f t="shared" si="294"/>
        <v>3</v>
      </c>
      <c r="X2094">
        <f t="shared" si="295"/>
        <v>0</v>
      </c>
      <c r="Y2094">
        <f t="shared" si="296"/>
        <v>0</v>
      </c>
    </row>
    <row r="2095" spans="1:25" x14ac:dyDescent="0.3">
      <c r="A2095" t="s">
        <v>551</v>
      </c>
      <c r="B2095" t="s">
        <v>552</v>
      </c>
      <c r="C2095" s="1">
        <v>45777</v>
      </c>
      <c r="D2095" s="3">
        <v>0.1791898148148148</v>
      </c>
      <c r="E2095">
        <f t="shared" si="297"/>
        <v>4</v>
      </c>
      <c r="F2095">
        <v>32</v>
      </c>
      <c r="G2095" t="s">
        <v>6479</v>
      </c>
      <c r="H2095" t="s">
        <v>131</v>
      </c>
      <c r="I2095" t="s">
        <v>66</v>
      </c>
      <c r="J2095" t="s">
        <v>76</v>
      </c>
      <c r="K2095" t="s">
        <v>22</v>
      </c>
      <c r="L2095">
        <v>54.47</v>
      </c>
      <c r="M2095" t="s">
        <v>42</v>
      </c>
      <c r="N2095">
        <f t="shared" si="289"/>
        <v>0</v>
      </c>
      <c r="O2095" t="s">
        <v>86</v>
      </c>
      <c r="P2095" t="s">
        <v>553</v>
      </c>
      <c r="Q2095">
        <v>0</v>
      </c>
      <c r="R2095">
        <v>185</v>
      </c>
      <c r="S2095">
        <f t="shared" si="290"/>
        <v>-1.6633057359963546</v>
      </c>
      <c r="T2095">
        <f t="shared" si="291"/>
        <v>0</v>
      </c>
      <c r="U2095">
        <f t="shared" si="292"/>
        <v>1</v>
      </c>
      <c r="V2095">
        <f t="shared" si="293"/>
        <v>1</v>
      </c>
      <c r="W2095">
        <f t="shared" si="294"/>
        <v>3</v>
      </c>
      <c r="X2095">
        <f t="shared" si="295"/>
        <v>0</v>
      </c>
      <c r="Y2095">
        <f t="shared" si="296"/>
        <v>0</v>
      </c>
    </row>
    <row r="2096" spans="1:25" x14ac:dyDescent="0.3">
      <c r="A2096" t="s">
        <v>2852</v>
      </c>
      <c r="B2096" t="s">
        <v>2853</v>
      </c>
      <c r="C2096" s="1">
        <v>45720</v>
      </c>
      <c r="D2096" s="3">
        <v>0.78409722222222222</v>
      </c>
      <c r="E2096">
        <f t="shared" si="297"/>
        <v>18</v>
      </c>
      <c r="F2096">
        <v>39</v>
      </c>
      <c r="G2096" t="s">
        <v>46</v>
      </c>
      <c r="H2096" t="s">
        <v>312</v>
      </c>
      <c r="I2096" t="s">
        <v>20</v>
      </c>
      <c r="J2096" t="s">
        <v>94</v>
      </c>
      <c r="K2096" t="s">
        <v>41</v>
      </c>
      <c r="L2096">
        <v>54.37</v>
      </c>
      <c r="M2096" t="s">
        <v>23</v>
      </c>
      <c r="N2096">
        <f t="shared" si="289"/>
        <v>0</v>
      </c>
      <c r="O2096" t="s">
        <v>86</v>
      </c>
      <c r="P2096" t="s">
        <v>2854</v>
      </c>
      <c r="Q2096">
        <v>0</v>
      </c>
      <c r="R2096">
        <v>242</v>
      </c>
      <c r="S2096">
        <f t="shared" si="290"/>
        <v>-1.6646901619439636</v>
      </c>
      <c r="T2096">
        <f t="shared" si="291"/>
        <v>0</v>
      </c>
      <c r="U2096">
        <f t="shared" si="292"/>
        <v>0</v>
      </c>
      <c r="V2096">
        <f t="shared" si="293"/>
        <v>1</v>
      </c>
      <c r="W2096">
        <f t="shared" si="294"/>
        <v>1</v>
      </c>
      <c r="X2096">
        <f t="shared" si="295"/>
        <v>0</v>
      </c>
      <c r="Y2096">
        <f t="shared" si="296"/>
        <v>0</v>
      </c>
    </row>
    <row r="2097" spans="1:25" x14ac:dyDescent="0.3">
      <c r="A2097" t="s">
        <v>4943</v>
      </c>
      <c r="B2097" t="s">
        <v>4944</v>
      </c>
      <c r="C2097" s="1">
        <v>45741</v>
      </c>
      <c r="D2097" s="3">
        <v>0.23446759259259259</v>
      </c>
      <c r="E2097">
        <f t="shared" si="297"/>
        <v>5</v>
      </c>
      <c r="F2097">
        <v>55</v>
      </c>
      <c r="G2097" t="s">
        <v>46</v>
      </c>
      <c r="H2097" t="s">
        <v>61</v>
      </c>
      <c r="I2097" t="s">
        <v>30</v>
      </c>
      <c r="J2097" t="s">
        <v>132</v>
      </c>
      <c r="K2097" t="s">
        <v>62</v>
      </c>
      <c r="L2097">
        <v>54.33</v>
      </c>
      <c r="M2097" t="s">
        <v>115</v>
      </c>
      <c r="N2097">
        <f t="shared" si="289"/>
        <v>0</v>
      </c>
      <c r="O2097" t="s">
        <v>86</v>
      </c>
      <c r="P2097" t="s">
        <v>4945</v>
      </c>
      <c r="Q2097">
        <v>0</v>
      </c>
      <c r="R2097">
        <v>450</v>
      </c>
      <c r="S2097">
        <f t="shared" si="290"/>
        <v>-1.6652439323230075</v>
      </c>
      <c r="T2097">
        <f t="shared" si="291"/>
        <v>0</v>
      </c>
      <c r="U2097">
        <f t="shared" si="292"/>
        <v>1</v>
      </c>
      <c r="V2097">
        <f t="shared" si="293"/>
        <v>0</v>
      </c>
      <c r="W2097">
        <f t="shared" si="294"/>
        <v>2</v>
      </c>
      <c r="X2097">
        <f t="shared" si="295"/>
        <v>0</v>
      </c>
      <c r="Y2097">
        <f t="shared" si="296"/>
        <v>0</v>
      </c>
    </row>
    <row r="2098" spans="1:25" x14ac:dyDescent="0.3">
      <c r="A2098" s="2" t="s">
        <v>5696</v>
      </c>
      <c r="B2098" t="s">
        <v>5697</v>
      </c>
      <c r="C2098" s="1">
        <v>45777</v>
      </c>
      <c r="D2098" s="3">
        <v>0.67906250000000001</v>
      </c>
      <c r="E2098">
        <f t="shared" si="297"/>
        <v>16</v>
      </c>
      <c r="F2098">
        <v>42</v>
      </c>
      <c r="G2098" t="s">
        <v>18</v>
      </c>
      <c r="H2098" t="s">
        <v>185</v>
      </c>
      <c r="I2098" t="s">
        <v>48</v>
      </c>
      <c r="J2098" t="s">
        <v>94</v>
      </c>
      <c r="K2098" t="s">
        <v>114</v>
      </c>
      <c r="L2098">
        <v>54.29</v>
      </c>
      <c r="M2098" t="s">
        <v>115</v>
      </c>
      <c r="N2098">
        <f t="shared" si="289"/>
        <v>0</v>
      </c>
      <c r="O2098" t="s">
        <v>24</v>
      </c>
      <c r="P2098" t="s">
        <v>5698</v>
      </c>
      <c r="Q2098">
        <v>0</v>
      </c>
      <c r="R2098">
        <v>105</v>
      </c>
      <c r="S2098">
        <f t="shared" si="290"/>
        <v>-1.6657977027020512</v>
      </c>
      <c r="T2098">
        <f t="shared" si="291"/>
        <v>0</v>
      </c>
      <c r="U2098">
        <f t="shared" si="292"/>
        <v>0</v>
      </c>
      <c r="V2098">
        <f t="shared" si="293"/>
        <v>1</v>
      </c>
      <c r="W2098">
        <f t="shared" si="294"/>
        <v>1</v>
      </c>
      <c r="X2098">
        <f t="shared" si="295"/>
        <v>0</v>
      </c>
      <c r="Y2098">
        <f t="shared" si="296"/>
        <v>0</v>
      </c>
    </row>
    <row r="2099" spans="1:25" x14ac:dyDescent="0.3">
      <c r="A2099" t="s">
        <v>147</v>
      </c>
      <c r="B2099" t="s">
        <v>148</v>
      </c>
      <c r="C2099" s="1">
        <v>45841</v>
      </c>
      <c r="D2099" s="3">
        <v>0.48071759259259261</v>
      </c>
      <c r="E2099">
        <f t="shared" si="297"/>
        <v>11</v>
      </c>
      <c r="F2099">
        <v>29</v>
      </c>
      <c r="G2099" t="s">
        <v>60</v>
      </c>
      <c r="H2099" t="s">
        <v>84</v>
      </c>
      <c r="I2099" t="s">
        <v>48</v>
      </c>
      <c r="J2099" t="s">
        <v>72</v>
      </c>
      <c r="K2099" t="s">
        <v>114</v>
      </c>
      <c r="L2099">
        <v>54.2</v>
      </c>
      <c r="M2099" t="s">
        <v>42</v>
      </c>
      <c r="N2099">
        <f t="shared" si="289"/>
        <v>0</v>
      </c>
      <c r="O2099" t="s">
        <v>86</v>
      </c>
      <c r="P2099" t="s">
        <v>149</v>
      </c>
      <c r="Q2099">
        <v>0</v>
      </c>
      <c r="R2099">
        <v>354</v>
      </c>
      <c r="S2099">
        <f t="shared" si="290"/>
        <v>-1.6670436860548994</v>
      </c>
      <c r="T2099">
        <f t="shared" si="291"/>
        <v>0</v>
      </c>
      <c r="U2099">
        <f t="shared" si="292"/>
        <v>0</v>
      </c>
      <c r="V2099">
        <f t="shared" si="293"/>
        <v>0</v>
      </c>
      <c r="W2099">
        <f t="shared" si="294"/>
        <v>0</v>
      </c>
      <c r="X2099">
        <f t="shared" si="295"/>
        <v>0</v>
      </c>
      <c r="Y2099">
        <f t="shared" si="296"/>
        <v>0</v>
      </c>
    </row>
    <row r="2100" spans="1:25" x14ac:dyDescent="0.3">
      <c r="A2100" t="s">
        <v>3899</v>
      </c>
      <c r="B2100" t="s">
        <v>3900</v>
      </c>
      <c r="C2100" s="1">
        <v>45849</v>
      </c>
      <c r="D2100" s="3">
        <v>0.84189814814814812</v>
      </c>
      <c r="E2100">
        <f t="shared" si="297"/>
        <v>20</v>
      </c>
      <c r="F2100">
        <v>45</v>
      </c>
      <c r="G2100" t="s">
        <v>46</v>
      </c>
      <c r="H2100" t="s">
        <v>61</v>
      </c>
      <c r="I2100" t="s">
        <v>48</v>
      </c>
      <c r="J2100" t="s">
        <v>21</v>
      </c>
      <c r="K2100" t="s">
        <v>95</v>
      </c>
      <c r="L2100">
        <v>53.97</v>
      </c>
      <c r="M2100" t="s">
        <v>6479</v>
      </c>
      <c r="N2100">
        <f t="shared" si="289"/>
        <v>1</v>
      </c>
      <c r="O2100" t="s">
        <v>51</v>
      </c>
      <c r="P2100" t="s">
        <v>3901</v>
      </c>
      <c r="Q2100">
        <v>0</v>
      </c>
      <c r="R2100">
        <v>329</v>
      </c>
      <c r="S2100">
        <f t="shared" si="290"/>
        <v>-1.6702278657344007</v>
      </c>
      <c r="T2100">
        <f t="shared" si="291"/>
        <v>0</v>
      </c>
      <c r="U2100">
        <f t="shared" si="292"/>
        <v>0</v>
      </c>
      <c r="V2100">
        <f t="shared" si="293"/>
        <v>0</v>
      </c>
      <c r="W2100">
        <f t="shared" si="294"/>
        <v>2</v>
      </c>
      <c r="X2100">
        <f t="shared" si="295"/>
        <v>0</v>
      </c>
      <c r="Y2100">
        <f t="shared" si="296"/>
        <v>1</v>
      </c>
    </row>
    <row r="2101" spans="1:25" x14ac:dyDescent="0.3">
      <c r="A2101" t="s">
        <v>5924</v>
      </c>
      <c r="B2101" t="s">
        <v>5925</v>
      </c>
      <c r="C2101" s="1">
        <v>45800</v>
      </c>
      <c r="D2101" s="3">
        <v>0.60968750000000005</v>
      </c>
      <c r="E2101">
        <f t="shared" si="297"/>
        <v>14</v>
      </c>
      <c r="F2101">
        <v>29</v>
      </c>
      <c r="G2101" t="s">
        <v>18</v>
      </c>
      <c r="H2101" t="s">
        <v>55</v>
      </c>
      <c r="I2101" t="s">
        <v>66</v>
      </c>
      <c r="J2101" t="s">
        <v>56</v>
      </c>
      <c r="K2101" t="s">
        <v>168</v>
      </c>
      <c r="L2101">
        <v>53.94</v>
      </c>
      <c r="M2101" t="s">
        <v>6479</v>
      </c>
      <c r="N2101">
        <f t="shared" si="289"/>
        <v>1</v>
      </c>
      <c r="O2101" t="s">
        <v>24</v>
      </c>
      <c r="P2101" t="s">
        <v>5926</v>
      </c>
      <c r="Q2101">
        <v>0</v>
      </c>
      <c r="R2101">
        <v>466</v>
      </c>
      <c r="S2101">
        <f t="shared" si="290"/>
        <v>-1.6706431935186836</v>
      </c>
      <c r="T2101">
        <f t="shared" si="291"/>
        <v>0</v>
      </c>
      <c r="U2101">
        <f t="shared" si="292"/>
        <v>0</v>
      </c>
      <c r="V2101">
        <f t="shared" si="293"/>
        <v>0</v>
      </c>
      <c r="W2101">
        <f t="shared" si="294"/>
        <v>2</v>
      </c>
      <c r="X2101">
        <f t="shared" si="295"/>
        <v>0</v>
      </c>
      <c r="Y2101">
        <f t="shared" si="296"/>
        <v>1</v>
      </c>
    </row>
    <row r="2102" spans="1:25" x14ac:dyDescent="0.3">
      <c r="A2102" t="s">
        <v>6215</v>
      </c>
      <c r="B2102" t="s">
        <v>6216</v>
      </c>
      <c r="C2102" s="1">
        <v>45820</v>
      </c>
      <c r="D2102" s="3">
        <v>0.37015046296296295</v>
      </c>
      <c r="E2102">
        <f t="shared" si="297"/>
        <v>8</v>
      </c>
      <c r="F2102">
        <v>40</v>
      </c>
      <c r="G2102" t="s">
        <v>28</v>
      </c>
      <c r="H2102" t="s">
        <v>70</v>
      </c>
      <c r="I2102" t="s">
        <v>30</v>
      </c>
      <c r="J2102" t="s">
        <v>76</v>
      </c>
      <c r="K2102" t="s">
        <v>114</v>
      </c>
      <c r="L2102">
        <v>53.93</v>
      </c>
      <c r="M2102" t="s">
        <v>23</v>
      </c>
      <c r="N2102">
        <f t="shared" si="289"/>
        <v>0</v>
      </c>
      <c r="O2102" t="s">
        <v>86</v>
      </c>
      <c r="P2102" t="s">
        <v>6217</v>
      </c>
      <c r="Q2102">
        <v>0</v>
      </c>
      <c r="R2102">
        <v>132</v>
      </c>
      <c r="S2102">
        <f t="shared" si="290"/>
        <v>-1.6707816361134444</v>
      </c>
      <c r="T2102">
        <f t="shared" si="291"/>
        <v>0</v>
      </c>
      <c r="U2102">
        <f t="shared" si="292"/>
        <v>0</v>
      </c>
      <c r="V2102">
        <f t="shared" si="293"/>
        <v>1</v>
      </c>
      <c r="W2102">
        <f t="shared" si="294"/>
        <v>1</v>
      </c>
      <c r="X2102">
        <f t="shared" si="295"/>
        <v>0</v>
      </c>
      <c r="Y2102">
        <f t="shared" si="296"/>
        <v>0</v>
      </c>
    </row>
    <row r="2103" spans="1:25" x14ac:dyDescent="0.3">
      <c r="A2103" t="s">
        <v>1862</v>
      </c>
      <c r="B2103" t="s">
        <v>1863</v>
      </c>
      <c r="C2103" s="1">
        <v>45751</v>
      </c>
      <c r="D2103" s="3">
        <v>0.58410879629629631</v>
      </c>
      <c r="E2103">
        <f t="shared" si="297"/>
        <v>14</v>
      </c>
      <c r="F2103">
        <v>29</v>
      </c>
      <c r="G2103" t="s">
        <v>60</v>
      </c>
      <c r="H2103" t="s">
        <v>175</v>
      </c>
      <c r="I2103" t="s">
        <v>39</v>
      </c>
      <c r="J2103" t="s">
        <v>21</v>
      </c>
      <c r="K2103" t="s">
        <v>120</v>
      </c>
      <c r="L2103">
        <v>53.92</v>
      </c>
      <c r="M2103" t="s">
        <v>33</v>
      </c>
      <c r="N2103">
        <f t="shared" si="289"/>
        <v>0</v>
      </c>
      <c r="O2103" t="s">
        <v>34</v>
      </c>
      <c r="P2103" t="s">
        <v>1864</v>
      </c>
      <c r="Q2103">
        <v>0</v>
      </c>
      <c r="R2103">
        <v>426</v>
      </c>
      <c r="S2103">
        <f t="shared" si="290"/>
        <v>-1.6709200787082052</v>
      </c>
      <c r="T2103">
        <f t="shared" si="291"/>
        <v>0</v>
      </c>
      <c r="U2103">
        <f t="shared" si="292"/>
        <v>0</v>
      </c>
      <c r="V2103">
        <f t="shared" si="293"/>
        <v>0</v>
      </c>
      <c r="W2103">
        <f t="shared" si="294"/>
        <v>0</v>
      </c>
      <c r="X2103">
        <f t="shared" si="295"/>
        <v>0</v>
      </c>
      <c r="Y2103">
        <f t="shared" si="296"/>
        <v>0</v>
      </c>
    </row>
    <row r="2104" spans="1:25" x14ac:dyDescent="0.3">
      <c r="A2104" t="s">
        <v>6068</v>
      </c>
      <c r="B2104" t="s">
        <v>6069</v>
      </c>
      <c r="C2104" s="1">
        <v>45849</v>
      </c>
      <c r="D2104" s="3">
        <v>0.57887731481481486</v>
      </c>
      <c r="E2104">
        <f t="shared" si="297"/>
        <v>13</v>
      </c>
      <c r="F2104">
        <v>53</v>
      </c>
      <c r="G2104" t="s">
        <v>60</v>
      </c>
      <c r="H2104" t="s">
        <v>175</v>
      </c>
      <c r="I2104" t="s">
        <v>48</v>
      </c>
      <c r="J2104" t="s">
        <v>31</v>
      </c>
      <c r="K2104" t="s">
        <v>50</v>
      </c>
      <c r="L2104">
        <v>53.9</v>
      </c>
      <c r="M2104" t="s">
        <v>115</v>
      </c>
      <c r="N2104">
        <f t="shared" si="289"/>
        <v>0</v>
      </c>
      <c r="O2104" t="s">
        <v>86</v>
      </c>
      <c r="P2104" t="s">
        <v>6070</v>
      </c>
      <c r="Q2104">
        <v>0</v>
      </c>
      <c r="R2104">
        <v>276</v>
      </c>
      <c r="S2104">
        <f t="shared" si="290"/>
        <v>-1.6711969638977271</v>
      </c>
      <c r="T2104">
        <f t="shared" si="291"/>
        <v>0</v>
      </c>
      <c r="U2104">
        <f t="shared" si="292"/>
        <v>0</v>
      </c>
      <c r="V2104">
        <f t="shared" si="293"/>
        <v>0</v>
      </c>
      <c r="W2104">
        <f t="shared" si="294"/>
        <v>0</v>
      </c>
      <c r="X2104">
        <f t="shared" si="295"/>
        <v>0</v>
      </c>
      <c r="Y2104">
        <f t="shared" si="296"/>
        <v>0</v>
      </c>
    </row>
    <row r="2105" spans="1:25" x14ac:dyDescent="0.3">
      <c r="A2105" t="s">
        <v>809</v>
      </c>
      <c r="B2105" t="s">
        <v>810</v>
      </c>
      <c r="C2105" s="1">
        <v>45840</v>
      </c>
      <c r="D2105" s="3">
        <v>0.75280092592592596</v>
      </c>
      <c r="E2105">
        <f t="shared" si="297"/>
        <v>18</v>
      </c>
      <c r="F2105">
        <v>43</v>
      </c>
      <c r="G2105" t="s">
        <v>46</v>
      </c>
      <c r="H2105" t="s">
        <v>80</v>
      </c>
      <c r="I2105" t="s">
        <v>30</v>
      </c>
      <c r="J2105" t="s">
        <v>132</v>
      </c>
      <c r="K2105" t="s">
        <v>41</v>
      </c>
      <c r="L2105">
        <v>53.72</v>
      </c>
      <c r="M2105" t="s">
        <v>115</v>
      </c>
      <c r="N2105">
        <f t="shared" si="289"/>
        <v>0</v>
      </c>
      <c r="O2105" t="s">
        <v>24</v>
      </c>
      <c r="P2105" t="s">
        <v>811</v>
      </c>
      <c r="Q2105">
        <v>0</v>
      </c>
      <c r="R2105">
        <v>296</v>
      </c>
      <c r="S2105">
        <f t="shared" si="290"/>
        <v>-1.6736889306034239</v>
      </c>
      <c r="T2105">
        <f t="shared" si="291"/>
        <v>0</v>
      </c>
      <c r="U2105">
        <f t="shared" si="292"/>
        <v>0</v>
      </c>
      <c r="V2105">
        <f t="shared" si="293"/>
        <v>0</v>
      </c>
      <c r="W2105">
        <f t="shared" si="294"/>
        <v>0</v>
      </c>
      <c r="X2105">
        <f t="shared" si="295"/>
        <v>0</v>
      </c>
      <c r="Y2105">
        <f t="shared" si="296"/>
        <v>0</v>
      </c>
    </row>
    <row r="2106" spans="1:25" x14ac:dyDescent="0.3">
      <c r="A2106" t="s">
        <v>5906</v>
      </c>
      <c r="B2106" t="s">
        <v>5907</v>
      </c>
      <c r="C2106" s="1">
        <v>45808</v>
      </c>
      <c r="D2106" s="3">
        <v>0.85283564814814816</v>
      </c>
      <c r="E2106">
        <f t="shared" si="297"/>
        <v>20</v>
      </c>
      <c r="F2106">
        <v>59</v>
      </c>
      <c r="G2106" t="s">
        <v>46</v>
      </c>
      <c r="H2106" t="s">
        <v>70</v>
      </c>
      <c r="I2106" t="s">
        <v>110</v>
      </c>
      <c r="J2106" t="s">
        <v>40</v>
      </c>
      <c r="K2106" t="s">
        <v>168</v>
      </c>
      <c r="L2106">
        <v>53.68</v>
      </c>
      <c r="M2106" t="s">
        <v>42</v>
      </c>
      <c r="N2106">
        <f t="shared" si="289"/>
        <v>0</v>
      </c>
      <c r="O2106" t="s">
        <v>34</v>
      </c>
      <c r="P2106" t="s">
        <v>5908</v>
      </c>
      <c r="Q2106">
        <v>0</v>
      </c>
      <c r="R2106">
        <v>136</v>
      </c>
      <c r="S2106">
        <f t="shared" si="290"/>
        <v>-1.6742427009824674</v>
      </c>
      <c r="T2106">
        <f t="shared" si="291"/>
        <v>0</v>
      </c>
      <c r="U2106">
        <f t="shared" si="292"/>
        <v>0</v>
      </c>
      <c r="V2106">
        <f t="shared" si="293"/>
        <v>1</v>
      </c>
      <c r="W2106">
        <f t="shared" si="294"/>
        <v>1</v>
      </c>
      <c r="X2106">
        <f t="shared" si="295"/>
        <v>0</v>
      </c>
      <c r="Y2106">
        <f t="shared" si="296"/>
        <v>0</v>
      </c>
    </row>
    <row r="2107" spans="1:25" x14ac:dyDescent="0.3">
      <c r="A2107" t="s">
        <v>2210</v>
      </c>
      <c r="B2107" t="s">
        <v>2211</v>
      </c>
      <c r="C2107" s="1">
        <v>45748</v>
      </c>
      <c r="D2107" s="3">
        <v>0.98559027777777775</v>
      </c>
      <c r="E2107">
        <f t="shared" si="297"/>
        <v>23</v>
      </c>
      <c r="F2107">
        <v>45</v>
      </c>
      <c r="G2107" t="s">
        <v>18</v>
      </c>
      <c r="H2107" t="s">
        <v>61</v>
      </c>
      <c r="I2107" t="s">
        <v>71</v>
      </c>
      <c r="J2107" t="s">
        <v>56</v>
      </c>
      <c r="K2107" t="s">
        <v>50</v>
      </c>
      <c r="L2107">
        <v>53.56</v>
      </c>
      <c r="M2107" t="s">
        <v>115</v>
      </c>
      <c r="N2107">
        <f t="shared" si="289"/>
        <v>0</v>
      </c>
      <c r="O2107" t="s">
        <v>34</v>
      </c>
      <c r="P2107" t="s">
        <v>2212</v>
      </c>
      <c r="Q2107">
        <v>0</v>
      </c>
      <c r="R2107">
        <v>467</v>
      </c>
      <c r="S2107">
        <f t="shared" si="290"/>
        <v>-1.6759040121195985</v>
      </c>
      <c r="T2107">
        <f t="shared" si="291"/>
        <v>0</v>
      </c>
      <c r="U2107">
        <f t="shared" si="292"/>
        <v>0</v>
      </c>
      <c r="V2107">
        <f t="shared" si="293"/>
        <v>0</v>
      </c>
      <c r="W2107">
        <f t="shared" si="294"/>
        <v>0</v>
      </c>
      <c r="X2107">
        <f t="shared" si="295"/>
        <v>0</v>
      </c>
      <c r="Y2107">
        <f t="shared" si="296"/>
        <v>0</v>
      </c>
    </row>
    <row r="2108" spans="1:25" x14ac:dyDescent="0.3">
      <c r="A2108" t="s">
        <v>1994</v>
      </c>
      <c r="B2108" t="s">
        <v>1995</v>
      </c>
      <c r="C2108" s="1">
        <v>45862</v>
      </c>
      <c r="D2108" s="3">
        <v>0.67554398148148154</v>
      </c>
      <c r="E2108">
        <f t="shared" si="297"/>
        <v>16</v>
      </c>
      <c r="F2108" s="4">
        <v>41</v>
      </c>
      <c r="G2108" t="s">
        <v>46</v>
      </c>
      <c r="H2108" t="s">
        <v>142</v>
      </c>
      <c r="I2108" t="s">
        <v>20</v>
      </c>
      <c r="J2108" t="s">
        <v>72</v>
      </c>
      <c r="K2108" t="s">
        <v>41</v>
      </c>
      <c r="L2108">
        <v>53.32</v>
      </c>
      <c r="M2108" t="s">
        <v>33</v>
      </c>
      <c r="N2108">
        <f t="shared" si="289"/>
        <v>0</v>
      </c>
      <c r="O2108" t="s">
        <v>51</v>
      </c>
      <c r="P2108" t="s">
        <v>1996</v>
      </c>
      <c r="Q2108">
        <v>0</v>
      </c>
      <c r="R2108">
        <v>326</v>
      </c>
      <c r="S2108">
        <f t="shared" si="290"/>
        <v>-1.6792266343938609</v>
      </c>
      <c r="T2108">
        <f t="shared" si="291"/>
        <v>0</v>
      </c>
      <c r="U2108">
        <f t="shared" si="292"/>
        <v>0</v>
      </c>
      <c r="V2108">
        <f t="shared" si="293"/>
        <v>0</v>
      </c>
      <c r="W2108">
        <f t="shared" si="294"/>
        <v>0</v>
      </c>
      <c r="X2108">
        <f t="shared" si="295"/>
        <v>0</v>
      </c>
      <c r="Y2108">
        <f t="shared" si="296"/>
        <v>0</v>
      </c>
    </row>
    <row r="2109" spans="1:25" x14ac:dyDescent="0.3">
      <c r="A2109" t="s">
        <v>2732</v>
      </c>
      <c r="B2109" t="s">
        <v>2733</v>
      </c>
      <c r="C2109" s="1">
        <v>45772</v>
      </c>
      <c r="D2109" s="3">
        <v>0.88616898148148149</v>
      </c>
      <c r="E2109">
        <f t="shared" si="297"/>
        <v>21</v>
      </c>
      <c r="F2109">
        <v>60</v>
      </c>
      <c r="G2109" t="s">
        <v>46</v>
      </c>
      <c r="H2109" t="s">
        <v>100</v>
      </c>
      <c r="I2109" t="s">
        <v>39</v>
      </c>
      <c r="J2109" t="s">
        <v>49</v>
      </c>
      <c r="K2109" t="s">
        <v>32</v>
      </c>
      <c r="L2109">
        <v>53.31</v>
      </c>
      <c r="M2109" t="s">
        <v>115</v>
      </c>
      <c r="N2109">
        <f t="shared" si="289"/>
        <v>0</v>
      </c>
      <c r="O2109" t="s">
        <v>86</v>
      </c>
      <c r="P2109" t="s">
        <v>2734</v>
      </c>
      <c r="Q2109">
        <v>0</v>
      </c>
      <c r="R2109">
        <v>242</v>
      </c>
      <c r="S2109">
        <f t="shared" si="290"/>
        <v>-1.6793650769886217</v>
      </c>
      <c r="T2109">
        <f t="shared" si="291"/>
        <v>0</v>
      </c>
      <c r="U2109">
        <f t="shared" si="292"/>
        <v>0</v>
      </c>
      <c r="V2109">
        <f t="shared" si="293"/>
        <v>1</v>
      </c>
      <c r="W2109">
        <f t="shared" si="294"/>
        <v>1</v>
      </c>
      <c r="X2109">
        <f t="shared" si="295"/>
        <v>0</v>
      </c>
      <c r="Y2109">
        <f t="shared" si="296"/>
        <v>0</v>
      </c>
    </row>
    <row r="2110" spans="1:25" x14ac:dyDescent="0.3">
      <c r="A2110" t="s">
        <v>5714</v>
      </c>
      <c r="B2110" t="s">
        <v>5715</v>
      </c>
      <c r="C2110" s="1">
        <v>45871</v>
      </c>
      <c r="D2110" s="3">
        <v>0.11555555555555555</v>
      </c>
      <c r="E2110">
        <f t="shared" si="297"/>
        <v>2</v>
      </c>
      <c r="F2110" s="4">
        <v>41</v>
      </c>
      <c r="G2110" t="s">
        <v>60</v>
      </c>
      <c r="H2110" t="s">
        <v>239</v>
      </c>
      <c r="I2110" t="s">
        <v>66</v>
      </c>
      <c r="J2110" t="s">
        <v>40</v>
      </c>
      <c r="K2110" t="s">
        <v>50</v>
      </c>
      <c r="L2110">
        <v>53.1</v>
      </c>
      <c r="M2110" t="s">
        <v>115</v>
      </c>
      <c r="N2110">
        <f t="shared" si="289"/>
        <v>0</v>
      </c>
      <c r="O2110" t="s">
        <v>86</v>
      </c>
      <c r="P2110" t="s">
        <v>5716</v>
      </c>
      <c r="Q2110">
        <v>0</v>
      </c>
      <c r="R2110">
        <v>418</v>
      </c>
      <c r="S2110">
        <f t="shared" si="290"/>
        <v>-1.6822723714786012</v>
      </c>
      <c r="T2110">
        <f t="shared" si="291"/>
        <v>0</v>
      </c>
      <c r="U2110">
        <f t="shared" si="292"/>
        <v>1</v>
      </c>
      <c r="V2110">
        <f t="shared" si="293"/>
        <v>0</v>
      </c>
      <c r="W2110">
        <f t="shared" si="294"/>
        <v>2</v>
      </c>
      <c r="X2110">
        <f t="shared" si="295"/>
        <v>0</v>
      </c>
      <c r="Y2110">
        <f t="shared" si="296"/>
        <v>0</v>
      </c>
    </row>
    <row r="2111" spans="1:25" x14ac:dyDescent="0.3">
      <c r="A2111" t="s">
        <v>2255</v>
      </c>
      <c r="B2111" t="s">
        <v>2256</v>
      </c>
      <c r="C2111" s="1">
        <v>45706</v>
      </c>
      <c r="D2111" s="3">
        <v>0.33682870370370371</v>
      </c>
      <c r="E2111">
        <f t="shared" si="297"/>
        <v>8</v>
      </c>
      <c r="F2111">
        <v>63</v>
      </c>
      <c r="G2111" t="s">
        <v>46</v>
      </c>
      <c r="H2111" t="s">
        <v>232</v>
      </c>
      <c r="I2111" t="s">
        <v>48</v>
      </c>
      <c r="J2111" t="s">
        <v>72</v>
      </c>
      <c r="K2111" t="s">
        <v>120</v>
      </c>
      <c r="L2111">
        <v>52.98</v>
      </c>
      <c r="M2111" t="s">
        <v>115</v>
      </c>
      <c r="N2111">
        <f t="shared" si="289"/>
        <v>0</v>
      </c>
      <c r="O2111" t="s">
        <v>86</v>
      </c>
      <c r="P2111" t="s">
        <v>2257</v>
      </c>
      <c r="Q2111">
        <v>0</v>
      </c>
      <c r="R2111">
        <v>145</v>
      </c>
      <c r="S2111">
        <f t="shared" si="290"/>
        <v>-1.6839336826157325</v>
      </c>
      <c r="T2111">
        <f t="shared" si="291"/>
        <v>0</v>
      </c>
      <c r="U2111">
        <f t="shared" si="292"/>
        <v>0</v>
      </c>
      <c r="V2111">
        <f t="shared" si="293"/>
        <v>1</v>
      </c>
      <c r="W2111">
        <f t="shared" si="294"/>
        <v>1</v>
      </c>
      <c r="X2111">
        <f t="shared" si="295"/>
        <v>0</v>
      </c>
      <c r="Y2111">
        <f t="shared" si="296"/>
        <v>0</v>
      </c>
    </row>
    <row r="2112" spans="1:25" x14ac:dyDescent="0.3">
      <c r="A2112" t="s">
        <v>2060</v>
      </c>
      <c r="B2112" t="s">
        <v>2061</v>
      </c>
      <c r="C2112" s="1">
        <v>45786</v>
      </c>
      <c r="D2112" s="3">
        <v>0.28552083333333333</v>
      </c>
      <c r="E2112">
        <f t="shared" si="297"/>
        <v>6</v>
      </c>
      <c r="F2112">
        <v>25</v>
      </c>
      <c r="G2112" t="s">
        <v>46</v>
      </c>
      <c r="H2112" t="s">
        <v>61</v>
      </c>
      <c r="I2112" t="s">
        <v>20</v>
      </c>
      <c r="J2112" t="s">
        <v>40</v>
      </c>
      <c r="K2112" t="s">
        <v>114</v>
      </c>
      <c r="L2112">
        <v>52.76</v>
      </c>
      <c r="M2112" t="s">
        <v>23</v>
      </c>
      <c r="N2112">
        <f t="shared" si="289"/>
        <v>0</v>
      </c>
      <c r="O2112" t="s">
        <v>34</v>
      </c>
      <c r="P2112" t="s">
        <v>2062</v>
      </c>
      <c r="Q2112">
        <v>1</v>
      </c>
      <c r="R2112">
        <v>205</v>
      </c>
      <c r="S2112">
        <f t="shared" si="290"/>
        <v>-1.6869794197004728</v>
      </c>
      <c r="T2112">
        <f t="shared" si="291"/>
        <v>0</v>
      </c>
      <c r="U2112">
        <f t="shared" si="292"/>
        <v>0</v>
      </c>
      <c r="V2112">
        <f t="shared" si="293"/>
        <v>1</v>
      </c>
      <c r="W2112">
        <f t="shared" si="294"/>
        <v>1</v>
      </c>
      <c r="X2112">
        <f t="shared" si="295"/>
        <v>0</v>
      </c>
      <c r="Y2112">
        <f t="shared" si="296"/>
        <v>0</v>
      </c>
    </row>
    <row r="2113" spans="1:25" x14ac:dyDescent="0.3">
      <c r="A2113" t="s">
        <v>2450</v>
      </c>
      <c r="B2113" t="s">
        <v>2451</v>
      </c>
      <c r="C2113" s="1">
        <v>45827</v>
      </c>
      <c r="D2113" s="3">
        <v>1.4328703703703703E-2</v>
      </c>
      <c r="E2113">
        <f t="shared" si="297"/>
        <v>0</v>
      </c>
      <c r="F2113">
        <v>29</v>
      </c>
      <c r="G2113" t="s">
        <v>46</v>
      </c>
      <c r="H2113" t="s">
        <v>131</v>
      </c>
      <c r="I2113" t="s">
        <v>30</v>
      </c>
      <c r="J2113" t="s">
        <v>49</v>
      </c>
      <c r="K2113" t="s">
        <v>32</v>
      </c>
      <c r="L2113">
        <v>52.59</v>
      </c>
      <c r="M2113" t="s">
        <v>23</v>
      </c>
      <c r="N2113">
        <f t="shared" si="289"/>
        <v>0</v>
      </c>
      <c r="O2113" t="s">
        <v>24</v>
      </c>
      <c r="P2113" t="s">
        <v>2452</v>
      </c>
      <c r="Q2113">
        <v>0</v>
      </c>
      <c r="R2113">
        <v>485</v>
      </c>
      <c r="S2113">
        <f t="shared" si="290"/>
        <v>-1.6893329438114082</v>
      </c>
      <c r="T2113">
        <f t="shared" si="291"/>
        <v>0</v>
      </c>
      <c r="U2113">
        <f t="shared" si="292"/>
        <v>1</v>
      </c>
      <c r="V2113">
        <f t="shared" si="293"/>
        <v>0</v>
      </c>
      <c r="W2113">
        <f t="shared" si="294"/>
        <v>2</v>
      </c>
      <c r="X2113">
        <f t="shared" si="295"/>
        <v>0</v>
      </c>
      <c r="Y2113">
        <f t="shared" si="296"/>
        <v>0</v>
      </c>
    </row>
    <row r="2114" spans="1:25" x14ac:dyDescent="0.3">
      <c r="A2114" t="s">
        <v>1535</v>
      </c>
      <c r="B2114" t="s">
        <v>1536</v>
      </c>
      <c r="C2114" s="1">
        <v>45773</v>
      </c>
      <c r="D2114" s="3">
        <v>0.27326388888888886</v>
      </c>
      <c r="E2114">
        <f t="shared" si="297"/>
        <v>6</v>
      </c>
      <c r="F2114">
        <v>50</v>
      </c>
      <c r="G2114" t="s">
        <v>46</v>
      </c>
      <c r="H2114" t="s">
        <v>29</v>
      </c>
      <c r="I2114" t="s">
        <v>105</v>
      </c>
      <c r="J2114" t="s">
        <v>21</v>
      </c>
      <c r="K2114" t="s">
        <v>32</v>
      </c>
      <c r="L2114">
        <v>52.52</v>
      </c>
      <c r="M2114" t="s">
        <v>33</v>
      </c>
      <c r="N2114">
        <f t="shared" ref="N2114:N2134" si="298">IF(M2114="Unknown",1,0)</f>
        <v>0</v>
      </c>
      <c r="O2114" t="s">
        <v>34</v>
      </c>
      <c r="P2114" t="s">
        <v>1537</v>
      </c>
      <c r="Q2114">
        <v>0</v>
      </c>
      <c r="R2114">
        <v>304</v>
      </c>
      <c r="S2114">
        <f t="shared" ref="S2114:S2134" si="299">(L2114-$P$2137)/$P$2138</f>
        <v>-1.6903020419747345</v>
      </c>
      <c r="T2114">
        <f t="shared" ref="T2114:T2134" si="300">IF(ABS(Z2114)&gt;3,1,0)</f>
        <v>0</v>
      </c>
      <c r="U2114">
        <f t="shared" ref="U2114:U2134" si="301">IF(AND(E2114&gt;=0,E2114&lt;=5),1,0)</f>
        <v>0</v>
      </c>
      <c r="V2114">
        <f t="shared" ref="V2114:V2134" si="302">IF(R2114&lt;AVERAGE($R:$R),1,0)</f>
        <v>0</v>
      </c>
      <c r="W2114">
        <f t="shared" ref="W2114:W2177" si="303">T2114*3+U2114*2+V2114*1+N2114*2</f>
        <v>0</v>
      </c>
      <c r="X2114">
        <f t="shared" ref="X2114:X2134" si="304">IF(W2114&gt;=5,1,0)</f>
        <v>0</v>
      </c>
      <c r="Y2114">
        <f t="shared" ref="Y2114:Y2134" si="305">IF(M2114="Unknown",1,0)</f>
        <v>0</v>
      </c>
    </row>
    <row r="2115" spans="1:25" x14ac:dyDescent="0.3">
      <c r="A2115" t="s">
        <v>515</v>
      </c>
      <c r="B2115" t="s">
        <v>516</v>
      </c>
      <c r="C2115" s="1">
        <v>45837</v>
      </c>
      <c r="D2115" s="3">
        <v>0.92822916666666666</v>
      </c>
      <c r="E2115">
        <f t="shared" si="297"/>
        <v>22</v>
      </c>
      <c r="F2115">
        <v>43</v>
      </c>
      <c r="G2115" t="s">
        <v>46</v>
      </c>
      <c r="H2115" t="s">
        <v>185</v>
      </c>
      <c r="I2115" t="s">
        <v>20</v>
      </c>
      <c r="J2115" t="s">
        <v>127</v>
      </c>
      <c r="K2115" t="s">
        <v>114</v>
      </c>
      <c r="L2115">
        <v>52.47</v>
      </c>
      <c r="M2115" t="s">
        <v>33</v>
      </c>
      <c r="N2115">
        <f t="shared" si="298"/>
        <v>0</v>
      </c>
      <c r="O2115" t="s">
        <v>24</v>
      </c>
      <c r="P2115" t="s">
        <v>517</v>
      </c>
      <c r="Q2115">
        <v>0</v>
      </c>
      <c r="R2115">
        <v>340</v>
      </c>
      <c r="S2115">
        <f t="shared" si="299"/>
        <v>-1.6909942549485395</v>
      </c>
      <c r="T2115">
        <f t="shared" si="300"/>
        <v>0</v>
      </c>
      <c r="U2115">
        <f t="shared" si="301"/>
        <v>0</v>
      </c>
      <c r="V2115">
        <f t="shared" si="302"/>
        <v>0</v>
      </c>
      <c r="W2115">
        <f t="shared" si="303"/>
        <v>0</v>
      </c>
      <c r="X2115">
        <f t="shared" si="304"/>
        <v>0</v>
      </c>
      <c r="Y2115">
        <f t="shared" si="305"/>
        <v>0</v>
      </c>
    </row>
    <row r="2116" spans="1:25" x14ac:dyDescent="0.3">
      <c r="A2116" t="s">
        <v>5513</v>
      </c>
      <c r="B2116" t="s">
        <v>5514</v>
      </c>
      <c r="C2116" s="1">
        <v>45806</v>
      </c>
      <c r="D2116" s="3">
        <v>0.50634259259259262</v>
      </c>
      <c r="E2116">
        <f t="shared" si="297"/>
        <v>12</v>
      </c>
      <c r="F2116">
        <v>18</v>
      </c>
      <c r="G2116" t="s">
        <v>18</v>
      </c>
      <c r="H2116" t="s">
        <v>47</v>
      </c>
      <c r="I2116" t="s">
        <v>110</v>
      </c>
      <c r="J2116" t="s">
        <v>49</v>
      </c>
      <c r="K2116" t="s">
        <v>41</v>
      </c>
      <c r="L2116">
        <v>52.28</v>
      </c>
      <c r="M2116" t="s">
        <v>33</v>
      </c>
      <c r="N2116">
        <f t="shared" si="298"/>
        <v>0</v>
      </c>
      <c r="O2116" t="s">
        <v>24</v>
      </c>
      <c r="P2116" t="s">
        <v>5515</v>
      </c>
      <c r="Q2116">
        <v>0</v>
      </c>
      <c r="R2116">
        <v>465</v>
      </c>
      <c r="S2116">
        <f t="shared" si="299"/>
        <v>-1.6936246642489969</v>
      </c>
      <c r="T2116">
        <f t="shared" si="300"/>
        <v>0</v>
      </c>
      <c r="U2116">
        <f t="shared" si="301"/>
        <v>0</v>
      </c>
      <c r="V2116">
        <f t="shared" si="302"/>
        <v>0</v>
      </c>
      <c r="W2116">
        <f t="shared" si="303"/>
        <v>0</v>
      </c>
      <c r="X2116">
        <f t="shared" si="304"/>
        <v>0</v>
      </c>
      <c r="Y2116">
        <f t="shared" si="305"/>
        <v>0</v>
      </c>
    </row>
    <row r="2117" spans="1:25" x14ac:dyDescent="0.3">
      <c r="A2117" t="s">
        <v>449</v>
      </c>
      <c r="B2117" t="s">
        <v>450</v>
      </c>
      <c r="C2117" s="1">
        <v>45811</v>
      </c>
      <c r="D2117" s="3">
        <v>0.63658564814814811</v>
      </c>
      <c r="E2117">
        <f t="shared" si="297"/>
        <v>15</v>
      </c>
      <c r="F2117">
        <v>54</v>
      </c>
      <c r="G2117" t="s">
        <v>46</v>
      </c>
      <c r="H2117" t="s">
        <v>61</v>
      </c>
      <c r="I2117" t="s">
        <v>30</v>
      </c>
      <c r="J2117" t="s">
        <v>49</v>
      </c>
      <c r="K2117" t="s">
        <v>168</v>
      </c>
      <c r="L2117">
        <v>52.21</v>
      </c>
      <c r="M2117" t="s">
        <v>6479</v>
      </c>
      <c r="N2117">
        <f t="shared" si="298"/>
        <v>1</v>
      </c>
      <c r="O2117" t="s">
        <v>51</v>
      </c>
      <c r="P2117" t="s">
        <v>451</v>
      </c>
      <c r="Q2117">
        <v>0</v>
      </c>
      <c r="R2117">
        <v>176</v>
      </c>
      <c r="S2117">
        <f t="shared" si="299"/>
        <v>-1.6945937624123233</v>
      </c>
      <c r="T2117">
        <f t="shared" si="300"/>
        <v>0</v>
      </c>
      <c r="U2117">
        <f t="shared" si="301"/>
        <v>0</v>
      </c>
      <c r="V2117">
        <f t="shared" si="302"/>
        <v>1</v>
      </c>
      <c r="W2117">
        <f t="shared" si="303"/>
        <v>3</v>
      </c>
      <c r="X2117">
        <f t="shared" si="304"/>
        <v>0</v>
      </c>
      <c r="Y2117">
        <f t="shared" si="305"/>
        <v>1</v>
      </c>
    </row>
    <row r="2118" spans="1:25" x14ac:dyDescent="0.3">
      <c r="A2118" t="s">
        <v>5735</v>
      </c>
      <c r="B2118" t="s">
        <v>5736</v>
      </c>
      <c r="C2118" s="1">
        <v>45743</v>
      </c>
      <c r="D2118" s="3">
        <v>0.83931712962962968</v>
      </c>
      <c r="E2118">
        <f t="shared" si="297"/>
        <v>20</v>
      </c>
      <c r="F2118">
        <v>32</v>
      </c>
      <c r="G2118" t="s">
        <v>28</v>
      </c>
      <c r="H2118" t="s">
        <v>80</v>
      </c>
      <c r="I2118" t="s">
        <v>66</v>
      </c>
      <c r="J2118" t="s">
        <v>72</v>
      </c>
      <c r="K2118" t="s">
        <v>168</v>
      </c>
      <c r="L2118">
        <v>52.05</v>
      </c>
      <c r="M2118" t="s">
        <v>33</v>
      </c>
      <c r="N2118">
        <f t="shared" si="298"/>
        <v>0</v>
      </c>
      <c r="O2118" t="s">
        <v>24</v>
      </c>
      <c r="P2118" t="s">
        <v>5737</v>
      </c>
      <c r="Q2118">
        <v>0</v>
      </c>
      <c r="R2118">
        <v>240</v>
      </c>
      <c r="S2118">
        <f t="shared" si="299"/>
        <v>-1.6968088439284983</v>
      </c>
      <c r="T2118">
        <f t="shared" si="300"/>
        <v>0</v>
      </c>
      <c r="U2118">
        <f t="shared" si="301"/>
        <v>0</v>
      </c>
      <c r="V2118">
        <f t="shared" si="302"/>
        <v>1</v>
      </c>
      <c r="W2118">
        <f t="shared" si="303"/>
        <v>1</v>
      </c>
      <c r="X2118">
        <f t="shared" si="304"/>
        <v>0</v>
      </c>
      <c r="Y2118">
        <f t="shared" si="305"/>
        <v>0</v>
      </c>
    </row>
    <row r="2119" spans="1:25" x14ac:dyDescent="0.3">
      <c r="A2119" t="s">
        <v>2381</v>
      </c>
      <c r="B2119" t="s">
        <v>2382</v>
      </c>
      <c r="C2119" s="1">
        <v>45853</v>
      </c>
      <c r="D2119" s="3">
        <v>0.12354166666666666</v>
      </c>
      <c r="E2119">
        <f t="shared" si="297"/>
        <v>2</v>
      </c>
      <c r="F2119">
        <v>27</v>
      </c>
      <c r="G2119" t="s">
        <v>28</v>
      </c>
      <c r="H2119" t="s">
        <v>189</v>
      </c>
      <c r="I2119" t="s">
        <v>66</v>
      </c>
      <c r="J2119" t="s">
        <v>21</v>
      </c>
      <c r="K2119" t="s">
        <v>168</v>
      </c>
      <c r="L2119">
        <v>52.02</v>
      </c>
      <c r="M2119" t="s">
        <v>23</v>
      </c>
      <c r="N2119">
        <f t="shared" si="298"/>
        <v>0</v>
      </c>
      <c r="O2119" t="s">
        <v>24</v>
      </c>
      <c r="P2119" t="s">
        <v>2383</v>
      </c>
      <c r="Q2119">
        <v>0</v>
      </c>
      <c r="R2119">
        <v>79</v>
      </c>
      <c r="S2119">
        <f t="shared" si="299"/>
        <v>-1.6972241717127809</v>
      </c>
      <c r="T2119">
        <f t="shared" si="300"/>
        <v>0</v>
      </c>
      <c r="U2119">
        <f t="shared" si="301"/>
        <v>1</v>
      </c>
      <c r="V2119">
        <f t="shared" si="302"/>
        <v>1</v>
      </c>
      <c r="W2119">
        <f t="shared" si="303"/>
        <v>3</v>
      </c>
      <c r="X2119">
        <f t="shared" si="304"/>
        <v>0</v>
      </c>
      <c r="Y2119">
        <f t="shared" si="305"/>
        <v>0</v>
      </c>
    </row>
    <row r="2120" spans="1:25" x14ac:dyDescent="0.3">
      <c r="A2120" t="s">
        <v>5528</v>
      </c>
      <c r="B2120" t="s">
        <v>5529</v>
      </c>
      <c r="C2120" s="1">
        <v>45863</v>
      </c>
      <c r="D2120" s="3">
        <v>0.57620370370370366</v>
      </c>
      <c r="E2120">
        <f t="shared" si="297"/>
        <v>13</v>
      </c>
      <c r="F2120">
        <v>42</v>
      </c>
      <c r="G2120" t="s">
        <v>18</v>
      </c>
      <c r="H2120" t="s">
        <v>19</v>
      </c>
      <c r="I2120" t="s">
        <v>48</v>
      </c>
      <c r="J2120" t="s">
        <v>94</v>
      </c>
      <c r="K2120" t="s">
        <v>32</v>
      </c>
      <c r="L2120">
        <v>51.95</v>
      </c>
      <c r="M2120" t="s">
        <v>115</v>
      </c>
      <c r="N2120">
        <f t="shared" si="298"/>
        <v>0</v>
      </c>
      <c r="O2120" t="s">
        <v>86</v>
      </c>
      <c r="P2120" t="s">
        <v>5530</v>
      </c>
      <c r="Q2120">
        <v>0</v>
      </c>
      <c r="R2120">
        <v>335</v>
      </c>
      <c r="S2120">
        <f t="shared" si="299"/>
        <v>-1.6981932698761075</v>
      </c>
      <c r="T2120">
        <f t="shared" si="300"/>
        <v>0</v>
      </c>
      <c r="U2120">
        <f t="shared" si="301"/>
        <v>0</v>
      </c>
      <c r="V2120">
        <f t="shared" si="302"/>
        <v>0</v>
      </c>
      <c r="W2120">
        <f t="shared" si="303"/>
        <v>0</v>
      </c>
      <c r="X2120">
        <f t="shared" si="304"/>
        <v>0</v>
      </c>
      <c r="Y2120">
        <f t="shared" si="305"/>
        <v>0</v>
      </c>
    </row>
    <row r="2121" spans="1:25" x14ac:dyDescent="0.3">
      <c r="A2121" t="s">
        <v>629</v>
      </c>
      <c r="B2121" t="s">
        <v>630</v>
      </c>
      <c r="C2121" s="1">
        <v>45730</v>
      </c>
      <c r="D2121" s="3">
        <v>7.8761574074074067E-2</v>
      </c>
      <c r="E2121">
        <f t="shared" si="297"/>
        <v>1</v>
      </c>
      <c r="F2121">
        <v>30</v>
      </c>
      <c r="G2121" t="s">
        <v>28</v>
      </c>
      <c r="H2121" t="s">
        <v>185</v>
      </c>
      <c r="I2121" t="s">
        <v>110</v>
      </c>
      <c r="J2121" t="s">
        <v>56</v>
      </c>
      <c r="K2121" t="s">
        <v>32</v>
      </c>
      <c r="L2121">
        <v>51.62</v>
      </c>
      <c r="M2121" t="s">
        <v>6479</v>
      </c>
      <c r="N2121">
        <f t="shared" si="298"/>
        <v>1</v>
      </c>
      <c r="O2121" t="s">
        <v>24</v>
      </c>
      <c r="P2121" t="s">
        <v>631</v>
      </c>
      <c r="Q2121">
        <v>0</v>
      </c>
      <c r="R2121">
        <v>328</v>
      </c>
      <c r="S2121">
        <f t="shared" si="299"/>
        <v>-1.7027618755032179</v>
      </c>
      <c r="T2121">
        <f t="shared" si="300"/>
        <v>0</v>
      </c>
      <c r="U2121">
        <f t="shared" si="301"/>
        <v>1</v>
      </c>
      <c r="V2121">
        <f t="shared" si="302"/>
        <v>0</v>
      </c>
      <c r="W2121">
        <f t="shared" si="303"/>
        <v>4</v>
      </c>
      <c r="X2121">
        <f t="shared" si="304"/>
        <v>0</v>
      </c>
      <c r="Y2121">
        <f t="shared" si="305"/>
        <v>1</v>
      </c>
    </row>
    <row r="2122" spans="1:25" x14ac:dyDescent="0.3">
      <c r="A2122" t="s">
        <v>4412</v>
      </c>
      <c r="B2122" t="s">
        <v>4413</v>
      </c>
      <c r="C2122" s="1">
        <v>45840</v>
      </c>
      <c r="D2122" s="3">
        <v>0.77299768518518519</v>
      </c>
      <c r="E2122">
        <f t="shared" si="297"/>
        <v>18</v>
      </c>
      <c r="F2122">
        <v>56</v>
      </c>
      <c r="G2122" t="s">
        <v>28</v>
      </c>
      <c r="H2122" t="s">
        <v>38</v>
      </c>
      <c r="I2122" t="s">
        <v>105</v>
      </c>
      <c r="J2122" t="s">
        <v>72</v>
      </c>
      <c r="K2122" t="s">
        <v>41</v>
      </c>
      <c r="L2122">
        <v>51.52</v>
      </c>
      <c r="M2122" t="s">
        <v>23</v>
      </c>
      <c r="N2122">
        <f t="shared" si="298"/>
        <v>0</v>
      </c>
      <c r="O2122" t="s">
        <v>24</v>
      </c>
      <c r="P2122" t="s">
        <v>4414</v>
      </c>
      <c r="Q2122">
        <v>0</v>
      </c>
      <c r="R2122">
        <v>202</v>
      </c>
      <c r="S2122">
        <f t="shared" si="299"/>
        <v>-1.7041463014508271</v>
      </c>
      <c r="T2122">
        <f t="shared" si="300"/>
        <v>0</v>
      </c>
      <c r="U2122">
        <f t="shared" si="301"/>
        <v>0</v>
      </c>
      <c r="V2122">
        <f t="shared" si="302"/>
        <v>1</v>
      </c>
      <c r="W2122">
        <f t="shared" si="303"/>
        <v>1</v>
      </c>
      <c r="X2122">
        <f t="shared" si="304"/>
        <v>0</v>
      </c>
      <c r="Y2122">
        <f t="shared" si="305"/>
        <v>0</v>
      </c>
    </row>
    <row r="2123" spans="1:25" x14ac:dyDescent="0.3">
      <c r="A2123" t="s">
        <v>5810</v>
      </c>
      <c r="B2123" t="s">
        <v>5811</v>
      </c>
      <c r="C2123" s="1">
        <v>45820</v>
      </c>
      <c r="D2123" s="3">
        <v>0.8130208333333333</v>
      </c>
      <c r="E2123">
        <f t="shared" si="297"/>
        <v>19</v>
      </c>
      <c r="F2123">
        <v>63</v>
      </c>
      <c r="G2123" t="s">
        <v>46</v>
      </c>
      <c r="H2123" t="s">
        <v>175</v>
      </c>
      <c r="I2123" t="s">
        <v>71</v>
      </c>
      <c r="J2123" t="s">
        <v>49</v>
      </c>
      <c r="K2123" t="s">
        <v>32</v>
      </c>
      <c r="L2123">
        <v>51.42</v>
      </c>
      <c r="M2123" t="s">
        <v>23</v>
      </c>
      <c r="N2123">
        <f t="shared" si="298"/>
        <v>0</v>
      </c>
      <c r="O2123" t="s">
        <v>24</v>
      </c>
      <c r="P2123" t="s">
        <v>5812</v>
      </c>
      <c r="Q2123">
        <v>0</v>
      </c>
      <c r="R2123">
        <v>194</v>
      </c>
      <c r="S2123">
        <f t="shared" si="299"/>
        <v>-1.7055307273984364</v>
      </c>
      <c r="T2123">
        <f t="shared" si="300"/>
        <v>0</v>
      </c>
      <c r="U2123">
        <f t="shared" si="301"/>
        <v>0</v>
      </c>
      <c r="V2123">
        <f t="shared" si="302"/>
        <v>1</v>
      </c>
      <c r="W2123">
        <f t="shared" si="303"/>
        <v>1</v>
      </c>
      <c r="X2123">
        <f t="shared" si="304"/>
        <v>0</v>
      </c>
      <c r="Y2123">
        <f t="shared" si="305"/>
        <v>0</v>
      </c>
    </row>
    <row r="2124" spans="1:25" x14ac:dyDescent="0.3">
      <c r="A2124" t="s">
        <v>5417</v>
      </c>
      <c r="B2124" t="s">
        <v>5418</v>
      </c>
      <c r="C2124" s="1">
        <v>45850</v>
      </c>
      <c r="D2124" s="3">
        <v>0.7309606481481481</v>
      </c>
      <c r="E2124">
        <f t="shared" si="297"/>
        <v>17</v>
      </c>
      <c r="F2124">
        <v>21</v>
      </c>
      <c r="G2124" t="s">
        <v>18</v>
      </c>
      <c r="H2124" t="s">
        <v>90</v>
      </c>
      <c r="I2124" t="s">
        <v>30</v>
      </c>
      <c r="J2124" t="s">
        <v>31</v>
      </c>
      <c r="K2124" t="s">
        <v>32</v>
      </c>
      <c r="L2124">
        <v>51.24</v>
      </c>
      <c r="M2124" t="s">
        <v>6479</v>
      </c>
      <c r="N2124">
        <f t="shared" si="298"/>
        <v>1</v>
      </c>
      <c r="O2124" t="s">
        <v>34</v>
      </c>
      <c r="P2124" t="s">
        <v>5419</v>
      </c>
      <c r="Q2124">
        <v>0</v>
      </c>
      <c r="R2124">
        <v>54</v>
      </c>
      <c r="S2124">
        <f t="shared" si="299"/>
        <v>-1.708022694104133</v>
      </c>
      <c r="T2124">
        <f t="shared" si="300"/>
        <v>0</v>
      </c>
      <c r="U2124">
        <f t="shared" si="301"/>
        <v>0</v>
      </c>
      <c r="V2124">
        <f t="shared" si="302"/>
        <v>1</v>
      </c>
      <c r="W2124">
        <f t="shared" si="303"/>
        <v>3</v>
      </c>
      <c r="X2124">
        <f t="shared" si="304"/>
        <v>0</v>
      </c>
      <c r="Y2124">
        <f t="shared" si="305"/>
        <v>1</v>
      </c>
    </row>
    <row r="2125" spans="1:25" x14ac:dyDescent="0.3">
      <c r="A2125" t="s">
        <v>5960</v>
      </c>
      <c r="B2125" t="s">
        <v>5961</v>
      </c>
      <c r="C2125" s="1">
        <v>45775</v>
      </c>
      <c r="D2125" s="3">
        <v>7.5810185185185189E-2</v>
      </c>
      <c r="E2125">
        <f t="shared" si="297"/>
        <v>1</v>
      </c>
      <c r="F2125">
        <v>35</v>
      </c>
      <c r="G2125" t="s">
        <v>46</v>
      </c>
      <c r="H2125" t="s">
        <v>131</v>
      </c>
      <c r="I2125" t="s">
        <v>48</v>
      </c>
      <c r="J2125" t="s">
        <v>72</v>
      </c>
      <c r="K2125" t="s">
        <v>168</v>
      </c>
      <c r="L2125">
        <v>50.93</v>
      </c>
      <c r="M2125" t="s">
        <v>33</v>
      </c>
      <c r="N2125">
        <f t="shared" si="298"/>
        <v>0</v>
      </c>
      <c r="O2125" t="s">
        <v>86</v>
      </c>
      <c r="P2125" t="s">
        <v>5962</v>
      </c>
      <c r="Q2125">
        <v>0</v>
      </c>
      <c r="R2125">
        <v>204</v>
      </c>
      <c r="S2125">
        <f t="shared" si="299"/>
        <v>-1.7123144145417217</v>
      </c>
      <c r="T2125">
        <f t="shared" si="300"/>
        <v>0</v>
      </c>
      <c r="U2125">
        <f t="shared" si="301"/>
        <v>1</v>
      </c>
      <c r="V2125">
        <f t="shared" si="302"/>
        <v>1</v>
      </c>
      <c r="W2125">
        <f t="shared" si="303"/>
        <v>3</v>
      </c>
      <c r="X2125">
        <f t="shared" si="304"/>
        <v>0</v>
      </c>
      <c r="Y2125">
        <f t="shared" si="305"/>
        <v>0</v>
      </c>
    </row>
    <row r="2126" spans="1:25" x14ac:dyDescent="0.3">
      <c r="A2126" t="s">
        <v>3299</v>
      </c>
      <c r="B2126" t="s">
        <v>3300</v>
      </c>
      <c r="C2126" s="1">
        <v>45820</v>
      </c>
      <c r="D2126" s="3">
        <v>0.83355324074074078</v>
      </c>
      <c r="E2126">
        <f t="shared" si="297"/>
        <v>20</v>
      </c>
      <c r="F2126">
        <v>57</v>
      </c>
      <c r="G2126" t="s">
        <v>60</v>
      </c>
      <c r="H2126" t="s">
        <v>131</v>
      </c>
      <c r="I2126" t="s">
        <v>85</v>
      </c>
      <c r="J2126" t="s">
        <v>56</v>
      </c>
      <c r="K2126" t="s">
        <v>95</v>
      </c>
      <c r="L2126">
        <v>50.88</v>
      </c>
      <c r="M2126" t="s">
        <v>23</v>
      </c>
      <c r="N2126">
        <f t="shared" si="298"/>
        <v>0</v>
      </c>
      <c r="O2126" t="s">
        <v>51</v>
      </c>
      <c r="P2126" t="s">
        <v>3301</v>
      </c>
      <c r="Q2126">
        <v>0</v>
      </c>
      <c r="R2126">
        <v>145</v>
      </c>
      <c r="S2126">
        <f t="shared" si="299"/>
        <v>-1.7130066275155265</v>
      </c>
      <c r="T2126">
        <f t="shared" si="300"/>
        <v>0</v>
      </c>
      <c r="U2126">
        <f t="shared" si="301"/>
        <v>0</v>
      </c>
      <c r="V2126">
        <f t="shared" si="302"/>
        <v>1</v>
      </c>
      <c r="W2126">
        <f t="shared" si="303"/>
        <v>1</v>
      </c>
      <c r="X2126">
        <f t="shared" si="304"/>
        <v>0</v>
      </c>
      <c r="Y2126">
        <f t="shared" si="305"/>
        <v>0</v>
      </c>
    </row>
    <row r="2127" spans="1:25" x14ac:dyDescent="0.3">
      <c r="A2127" t="s">
        <v>377</v>
      </c>
      <c r="B2127" t="s">
        <v>378</v>
      </c>
      <c r="C2127" s="1">
        <v>45716</v>
      </c>
      <c r="D2127" s="3">
        <v>0.52254629629629634</v>
      </c>
      <c r="E2127">
        <f t="shared" si="297"/>
        <v>12</v>
      </c>
      <c r="F2127">
        <v>18</v>
      </c>
      <c r="G2127" t="s">
        <v>99</v>
      </c>
      <c r="H2127" t="s">
        <v>189</v>
      </c>
      <c r="I2127" t="s">
        <v>119</v>
      </c>
      <c r="J2127" t="s">
        <v>76</v>
      </c>
      <c r="K2127" t="s">
        <v>168</v>
      </c>
      <c r="L2127">
        <v>50.79</v>
      </c>
      <c r="M2127" t="s">
        <v>42</v>
      </c>
      <c r="N2127">
        <f t="shared" si="298"/>
        <v>0</v>
      </c>
      <c r="O2127" t="s">
        <v>86</v>
      </c>
      <c r="P2127" t="s">
        <v>379</v>
      </c>
      <c r="Q2127">
        <v>0</v>
      </c>
      <c r="R2127">
        <v>261</v>
      </c>
      <c r="S2127">
        <f t="shared" si="299"/>
        <v>-1.7142526108683749</v>
      </c>
      <c r="T2127">
        <f t="shared" si="300"/>
        <v>0</v>
      </c>
      <c r="U2127">
        <f t="shared" si="301"/>
        <v>0</v>
      </c>
      <c r="V2127">
        <f t="shared" si="302"/>
        <v>1</v>
      </c>
      <c r="W2127">
        <f t="shared" si="303"/>
        <v>1</v>
      </c>
      <c r="X2127">
        <f t="shared" si="304"/>
        <v>0</v>
      </c>
      <c r="Y2127">
        <f t="shared" si="305"/>
        <v>0</v>
      </c>
    </row>
    <row r="2128" spans="1:25" x14ac:dyDescent="0.3">
      <c r="A2128" t="s">
        <v>1586</v>
      </c>
      <c r="B2128" t="s">
        <v>1587</v>
      </c>
      <c r="C2128" s="1">
        <v>45813</v>
      </c>
      <c r="D2128" s="3">
        <v>0.55833333333333335</v>
      </c>
      <c r="E2128">
        <f t="shared" si="297"/>
        <v>13</v>
      </c>
      <c r="F2128">
        <v>41</v>
      </c>
      <c r="G2128" t="s">
        <v>60</v>
      </c>
      <c r="H2128" t="s">
        <v>185</v>
      </c>
      <c r="I2128" t="s">
        <v>110</v>
      </c>
      <c r="J2128" t="s">
        <v>76</v>
      </c>
      <c r="K2128" t="s">
        <v>101</v>
      </c>
      <c r="L2128">
        <v>50.74</v>
      </c>
      <c r="M2128" t="s">
        <v>42</v>
      </c>
      <c r="N2128">
        <f t="shared" si="298"/>
        <v>0</v>
      </c>
      <c r="O2128" t="s">
        <v>24</v>
      </c>
      <c r="P2128" t="s">
        <v>1588</v>
      </c>
      <c r="Q2128">
        <v>0</v>
      </c>
      <c r="R2128">
        <v>184</v>
      </c>
      <c r="S2128">
        <f t="shared" si="299"/>
        <v>-1.7149448238421792</v>
      </c>
      <c r="T2128">
        <f t="shared" si="300"/>
        <v>0</v>
      </c>
      <c r="U2128">
        <f t="shared" si="301"/>
        <v>0</v>
      </c>
      <c r="V2128">
        <f t="shared" si="302"/>
        <v>1</v>
      </c>
      <c r="W2128">
        <f t="shared" si="303"/>
        <v>1</v>
      </c>
      <c r="X2128">
        <f t="shared" si="304"/>
        <v>0</v>
      </c>
      <c r="Y2128">
        <f t="shared" si="305"/>
        <v>0</v>
      </c>
    </row>
    <row r="2129" spans="1:25" x14ac:dyDescent="0.3">
      <c r="A2129" t="s">
        <v>1691</v>
      </c>
      <c r="B2129" t="s">
        <v>1692</v>
      </c>
      <c r="C2129" s="1">
        <v>45880</v>
      </c>
      <c r="D2129" s="3">
        <v>0.75127314814814816</v>
      </c>
      <c r="E2129">
        <f t="shared" si="297"/>
        <v>18</v>
      </c>
      <c r="F2129">
        <v>27</v>
      </c>
      <c r="G2129" t="s">
        <v>18</v>
      </c>
      <c r="H2129" t="s">
        <v>47</v>
      </c>
      <c r="I2129" t="s">
        <v>110</v>
      </c>
      <c r="J2129" t="s">
        <v>132</v>
      </c>
      <c r="K2129" t="s">
        <v>114</v>
      </c>
      <c r="L2129">
        <v>50.67</v>
      </c>
      <c r="M2129" t="s">
        <v>42</v>
      </c>
      <c r="N2129">
        <f t="shared" si="298"/>
        <v>0</v>
      </c>
      <c r="O2129" t="s">
        <v>34</v>
      </c>
      <c r="P2129" t="s">
        <v>1693</v>
      </c>
      <c r="Q2129">
        <v>0</v>
      </c>
      <c r="R2129">
        <v>407</v>
      </c>
      <c r="S2129">
        <f t="shared" si="299"/>
        <v>-1.7159139220055057</v>
      </c>
      <c r="T2129">
        <f t="shared" si="300"/>
        <v>0</v>
      </c>
      <c r="U2129">
        <f t="shared" si="301"/>
        <v>0</v>
      </c>
      <c r="V2129">
        <f t="shared" si="302"/>
        <v>0</v>
      </c>
      <c r="W2129">
        <f t="shared" si="303"/>
        <v>0</v>
      </c>
      <c r="X2129">
        <f t="shared" si="304"/>
        <v>0</v>
      </c>
      <c r="Y2129">
        <f t="shared" si="305"/>
        <v>0</v>
      </c>
    </row>
    <row r="2130" spans="1:25" x14ac:dyDescent="0.3">
      <c r="A2130" t="s">
        <v>1085</v>
      </c>
      <c r="B2130" t="s">
        <v>1086</v>
      </c>
      <c r="C2130" s="1">
        <v>45732</v>
      </c>
      <c r="D2130" s="3">
        <v>0.65741898148148148</v>
      </c>
      <c r="E2130">
        <f t="shared" si="297"/>
        <v>15</v>
      </c>
      <c r="F2130">
        <v>64</v>
      </c>
      <c r="G2130" t="s">
        <v>18</v>
      </c>
      <c r="H2130" t="s">
        <v>131</v>
      </c>
      <c r="I2130" t="s">
        <v>119</v>
      </c>
      <c r="J2130" t="s">
        <v>127</v>
      </c>
      <c r="K2130" t="s">
        <v>50</v>
      </c>
      <c r="L2130">
        <v>50.55</v>
      </c>
      <c r="M2130" t="s">
        <v>23</v>
      </c>
      <c r="N2130">
        <f t="shared" si="298"/>
        <v>0</v>
      </c>
      <c r="O2130" t="s">
        <v>51</v>
      </c>
      <c r="P2130" t="s">
        <v>1087</v>
      </c>
      <c r="Q2130">
        <v>0</v>
      </c>
      <c r="R2130">
        <v>189</v>
      </c>
      <c r="S2130">
        <f t="shared" si="299"/>
        <v>-1.717575233142637</v>
      </c>
      <c r="T2130">
        <f t="shared" si="300"/>
        <v>0</v>
      </c>
      <c r="U2130">
        <f t="shared" si="301"/>
        <v>0</v>
      </c>
      <c r="V2130">
        <f t="shared" si="302"/>
        <v>1</v>
      </c>
      <c r="W2130">
        <f t="shared" si="303"/>
        <v>1</v>
      </c>
      <c r="X2130">
        <f t="shared" si="304"/>
        <v>0</v>
      </c>
      <c r="Y2130">
        <f t="shared" si="305"/>
        <v>0</v>
      </c>
    </row>
    <row r="2131" spans="1:25" x14ac:dyDescent="0.3">
      <c r="A2131" t="s">
        <v>5267</v>
      </c>
      <c r="B2131" t="s">
        <v>5268</v>
      </c>
      <c r="C2131" s="1">
        <v>45767</v>
      </c>
      <c r="D2131" s="3">
        <v>7.856481481481481E-2</v>
      </c>
      <c r="E2131">
        <f t="shared" si="297"/>
        <v>1</v>
      </c>
      <c r="F2131">
        <v>36</v>
      </c>
      <c r="G2131" t="s">
        <v>46</v>
      </c>
      <c r="H2131" t="s">
        <v>142</v>
      </c>
      <c r="I2131" t="s">
        <v>110</v>
      </c>
      <c r="J2131" t="s">
        <v>31</v>
      </c>
      <c r="K2131" t="s">
        <v>50</v>
      </c>
      <c r="L2131">
        <v>50.34</v>
      </c>
      <c r="M2131" t="s">
        <v>33</v>
      </c>
      <c r="N2131">
        <f t="shared" si="298"/>
        <v>0</v>
      </c>
      <c r="O2131" t="s">
        <v>51</v>
      </c>
      <c r="P2131" t="s">
        <v>5269</v>
      </c>
      <c r="Q2131">
        <v>0</v>
      </c>
      <c r="R2131">
        <v>106</v>
      </c>
      <c r="S2131">
        <f t="shared" si="299"/>
        <v>-1.7204825276326163</v>
      </c>
      <c r="T2131">
        <f t="shared" si="300"/>
        <v>0</v>
      </c>
      <c r="U2131">
        <f t="shared" si="301"/>
        <v>1</v>
      </c>
      <c r="V2131">
        <f t="shared" si="302"/>
        <v>1</v>
      </c>
      <c r="W2131">
        <f t="shared" si="303"/>
        <v>3</v>
      </c>
      <c r="X2131">
        <f t="shared" si="304"/>
        <v>0</v>
      </c>
      <c r="Y2131">
        <f t="shared" si="305"/>
        <v>0</v>
      </c>
    </row>
    <row r="2132" spans="1:25" x14ac:dyDescent="0.3">
      <c r="A2132" t="s">
        <v>6014</v>
      </c>
      <c r="B2132" t="s">
        <v>6015</v>
      </c>
      <c r="C2132" s="1">
        <v>45775</v>
      </c>
      <c r="D2132" s="3">
        <v>1.1064814814814816E-2</v>
      </c>
      <c r="E2132">
        <f t="shared" si="297"/>
        <v>0</v>
      </c>
      <c r="F2132">
        <v>38</v>
      </c>
      <c r="G2132" t="s">
        <v>18</v>
      </c>
      <c r="H2132" t="s">
        <v>55</v>
      </c>
      <c r="I2132" t="s">
        <v>30</v>
      </c>
      <c r="J2132" t="s">
        <v>76</v>
      </c>
      <c r="K2132" t="s">
        <v>114</v>
      </c>
      <c r="L2132">
        <v>50.33</v>
      </c>
      <c r="M2132" t="s">
        <v>115</v>
      </c>
      <c r="N2132">
        <f t="shared" si="298"/>
        <v>0</v>
      </c>
      <c r="O2132" t="s">
        <v>24</v>
      </c>
      <c r="P2132" t="s">
        <v>6016</v>
      </c>
      <c r="Q2132">
        <v>1</v>
      </c>
      <c r="R2132">
        <v>196</v>
      </c>
      <c r="S2132">
        <f t="shared" si="299"/>
        <v>-1.7206209702273774</v>
      </c>
      <c r="T2132">
        <f t="shared" si="300"/>
        <v>0</v>
      </c>
      <c r="U2132">
        <f t="shared" si="301"/>
        <v>1</v>
      </c>
      <c r="V2132">
        <f t="shared" si="302"/>
        <v>1</v>
      </c>
      <c r="W2132">
        <f t="shared" si="303"/>
        <v>3</v>
      </c>
      <c r="X2132">
        <f t="shared" si="304"/>
        <v>0</v>
      </c>
      <c r="Y2132">
        <f t="shared" si="305"/>
        <v>0</v>
      </c>
    </row>
    <row r="2133" spans="1:25" x14ac:dyDescent="0.3">
      <c r="A2133" s="2" t="s">
        <v>2528</v>
      </c>
      <c r="B2133" t="s">
        <v>2529</v>
      </c>
      <c r="C2133" s="1">
        <v>45847</v>
      </c>
      <c r="D2133" s="3">
        <v>0.19288194444444445</v>
      </c>
      <c r="E2133">
        <f t="shared" si="297"/>
        <v>4</v>
      </c>
      <c r="F2133">
        <v>55</v>
      </c>
      <c r="G2133" t="s">
        <v>60</v>
      </c>
      <c r="H2133" t="s">
        <v>189</v>
      </c>
      <c r="I2133" t="s">
        <v>30</v>
      </c>
      <c r="J2133" t="s">
        <v>127</v>
      </c>
      <c r="K2133" t="s">
        <v>62</v>
      </c>
      <c r="L2133">
        <v>50.27</v>
      </c>
      <c r="M2133" t="s">
        <v>33</v>
      </c>
      <c r="N2133">
        <f t="shared" si="298"/>
        <v>0</v>
      </c>
      <c r="O2133" t="s">
        <v>34</v>
      </c>
      <c r="P2133" t="s">
        <v>2530</v>
      </c>
      <c r="Q2133">
        <v>1</v>
      </c>
      <c r="R2133">
        <v>241</v>
      </c>
      <c r="S2133">
        <f t="shared" si="299"/>
        <v>-1.7214516257959427</v>
      </c>
      <c r="T2133">
        <f t="shared" si="300"/>
        <v>0</v>
      </c>
      <c r="U2133">
        <f t="shared" si="301"/>
        <v>1</v>
      </c>
      <c r="V2133">
        <f t="shared" si="302"/>
        <v>1</v>
      </c>
      <c r="W2133">
        <f t="shared" si="303"/>
        <v>3</v>
      </c>
      <c r="X2133">
        <f t="shared" si="304"/>
        <v>0</v>
      </c>
      <c r="Y2133">
        <f t="shared" si="305"/>
        <v>0</v>
      </c>
    </row>
    <row r="2134" spans="1:25" x14ac:dyDescent="0.3">
      <c r="A2134" t="s">
        <v>92</v>
      </c>
      <c r="B2134" t="s">
        <v>93</v>
      </c>
      <c r="C2134" s="1">
        <v>45810</v>
      </c>
      <c r="D2134" s="3">
        <v>0.13667824074074075</v>
      </c>
      <c r="E2134">
        <f t="shared" ref="E2134:E2197" si="306">HOUR(D2134)</f>
        <v>3</v>
      </c>
      <c r="F2134">
        <v>53</v>
      </c>
      <c r="G2134" t="s">
        <v>60</v>
      </c>
      <c r="H2134" t="s">
        <v>61</v>
      </c>
      <c r="I2134" t="s">
        <v>30</v>
      </c>
      <c r="J2134" t="s">
        <v>94</v>
      </c>
      <c r="K2134" t="s">
        <v>95</v>
      </c>
      <c r="L2134">
        <v>50.26</v>
      </c>
      <c r="M2134" t="s">
        <v>33</v>
      </c>
      <c r="N2134">
        <f t="shared" si="298"/>
        <v>0</v>
      </c>
      <c r="O2134" t="s">
        <v>34</v>
      </c>
      <c r="P2134" t="s">
        <v>96</v>
      </c>
      <c r="Q2134">
        <v>0</v>
      </c>
      <c r="R2134">
        <v>63</v>
      </c>
      <c r="S2134">
        <f t="shared" si="299"/>
        <v>-1.7215900683907039</v>
      </c>
      <c r="T2134">
        <f t="shared" si="300"/>
        <v>0</v>
      </c>
      <c r="U2134">
        <f t="shared" si="301"/>
        <v>1</v>
      </c>
      <c r="V2134">
        <f t="shared" si="302"/>
        <v>1</v>
      </c>
      <c r="W2134">
        <f t="shared" si="303"/>
        <v>3</v>
      </c>
      <c r="X2134">
        <f t="shared" si="304"/>
        <v>0</v>
      </c>
      <c r="Y2134">
        <f t="shared" si="305"/>
        <v>0</v>
      </c>
    </row>
    <row r="2137" spans="1:25" x14ac:dyDescent="0.3">
      <c r="P2137">
        <f>AVERAGE(L:L)</f>
        <v>174.61407407407413</v>
      </c>
    </row>
    <row r="2138" spans="1:25" x14ac:dyDescent="0.3">
      <c r="P2138">
        <f>_xlfn.STDEV.P(L:L)</f>
        <v>72.232104702089146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Fraud cases by payment method</vt:lpstr>
      <vt:lpstr>luxury_cosmetics_fraud_analysis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Mundavath</dc:creator>
  <cp:lastModifiedBy>Bhoomika Mundavath</cp:lastModifiedBy>
  <dcterms:created xsi:type="dcterms:W3CDTF">2026-02-11T05:52:06Z</dcterms:created>
  <dcterms:modified xsi:type="dcterms:W3CDTF">2026-02-19T04:27:04Z</dcterms:modified>
</cp:coreProperties>
</file>